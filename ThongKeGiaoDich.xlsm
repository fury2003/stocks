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1_{4C51963D-D346-3C40-AA1E-BDE81F0629C9}" xr6:coauthVersionLast="47" xr6:coauthVersionMax="47" xr10:uidLastSave="{00000000-0000-0000-0000-000000000000}"/>
  <bookViews>
    <workbookView xWindow="0" yWindow="760" windowWidth="30240" windowHeight="17140" activeTab="4" xr2:uid="{4F6761C8-C7AD-6642-9EED-09E5A9408C33}"/>
  </bookViews>
  <sheets>
    <sheet name="T2-2024" sheetId="10" r:id="rId1"/>
    <sheet name="T1-2024" sheetId="7" r:id="rId2"/>
    <sheet name="2024" sheetId="12" r:id="rId3"/>
    <sheet name="Template" sheetId="13" r:id="rId4"/>
    <sheet name="Intraday" sheetId="1" r:id="rId5"/>
  </sheets>
  <functionGroups builtInGroupCount="19"/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9" i="1" l="1"/>
  <c r="I28" i="1" s="1"/>
  <c r="I27" i="1" s="1"/>
  <c r="I26" i="1" s="1"/>
  <c r="I25" i="1" s="1"/>
  <c r="I24" i="1" s="1"/>
  <c r="I23" i="1" s="1"/>
  <c r="I22" i="1" s="1"/>
  <c r="I21" i="1" s="1"/>
  <c r="I20" i="1" s="1"/>
  <c r="I19" i="1" s="1"/>
  <c r="I18" i="1" s="1"/>
  <c r="I17" i="1" s="1"/>
  <c r="I16" i="1" s="1"/>
  <c r="I15" i="1" s="1"/>
  <c r="I14" i="1" s="1"/>
  <c r="I13" i="1" s="1"/>
  <c r="I12" i="1" s="1"/>
  <c r="I11" i="1" s="1"/>
  <c r="I10" i="1" s="1"/>
  <c r="I9" i="1" s="1"/>
  <c r="I8" i="1" s="1"/>
  <c r="I7" i="1" s="1"/>
  <c r="I6" i="1" s="1"/>
  <c r="I5" i="1" s="1"/>
  <c r="I4" i="1" s="1"/>
  <c r="I30" i="1"/>
  <c r="D29" i="1"/>
  <c r="D28" i="1" s="1"/>
  <c r="D27" i="1" s="1"/>
  <c r="D26" i="1" s="1"/>
  <c r="D25" i="1" s="1"/>
  <c r="D24" i="1" s="1"/>
  <c r="D23" i="1" s="1"/>
  <c r="D22" i="1" s="1"/>
  <c r="D21" i="1" s="1"/>
  <c r="D20" i="1" s="1"/>
  <c r="D19" i="1" s="1"/>
  <c r="D18" i="1" s="1"/>
  <c r="D17" i="1" s="1"/>
  <c r="D16" i="1" s="1"/>
  <c r="D15" i="1" s="1"/>
  <c r="D14" i="1" s="1"/>
  <c r="D13" i="1" s="1"/>
  <c r="D12" i="1" s="1"/>
  <c r="D11" i="1" s="1"/>
  <c r="D10" i="1" s="1"/>
  <c r="D9" i="1" s="1"/>
  <c r="D8" i="1" s="1"/>
  <c r="D7" i="1" s="1"/>
  <c r="D6" i="1" s="1"/>
  <c r="D5" i="1" s="1"/>
  <c r="D4" i="1" s="1"/>
  <c r="D30" i="1"/>
  <c r="V30" i="1"/>
  <c r="V29" i="1" s="1"/>
  <c r="V28" i="1" s="1"/>
  <c r="V27" i="1" s="1"/>
  <c r="V26" i="1" s="1"/>
  <c r="V25" i="1" s="1"/>
  <c r="V24" i="1" s="1"/>
  <c r="V23" i="1" s="1"/>
  <c r="V22" i="1" s="1"/>
  <c r="V21" i="1" s="1"/>
  <c r="V20" i="1" s="1"/>
  <c r="V19" i="1" s="1"/>
  <c r="V18" i="1" s="1"/>
  <c r="V17" i="1" s="1"/>
  <c r="V16" i="1" s="1"/>
  <c r="V15" i="1" s="1"/>
  <c r="V14" i="1" s="1"/>
  <c r="V13" i="1" s="1"/>
  <c r="V12" i="1" s="1"/>
  <c r="V11" i="1" s="1"/>
  <c r="V10" i="1" s="1"/>
  <c r="V9" i="1" s="1"/>
  <c r="V8" i="1" s="1"/>
  <c r="V7" i="1" s="1"/>
  <c r="V6" i="1" s="1"/>
  <c r="V5" i="1" s="1"/>
  <c r="V4" i="1" s="1"/>
  <c r="Q30" i="1"/>
  <c r="Q29" i="1" s="1"/>
  <c r="Q28" i="1" s="1"/>
  <c r="Q27" i="1" s="1"/>
  <c r="Q26" i="1" s="1"/>
  <c r="Q25" i="1" s="1"/>
  <c r="Q24" i="1" s="1"/>
  <c r="Q23" i="1" s="1"/>
  <c r="Q22" i="1" s="1"/>
  <c r="Q21" i="1" s="1"/>
  <c r="Q20" i="1" s="1"/>
  <c r="Q19" i="1" s="1"/>
  <c r="Q18" i="1" s="1"/>
  <c r="Q17" i="1" s="1"/>
  <c r="Q16" i="1" s="1"/>
  <c r="Q15" i="1" s="1"/>
  <c r="Q14" i="1" s="1"/>
  <c r="Q13" i="1" s="1"/>
  <c r="Q12" i="1" s="1"/>
  <c r="Q11" i="1" s="1"/>
  <c r="Q10" i="1" s="1"/>
  <c r="Q9" i="1" s="1"/>
  <c r="Q8" i="1" s="1"/>
  <c r="Q7" i="1" s="1"/>
  <c r="Q6" i="1" s="1"/>
  <c r="Q5" i="1" s="1"/>
  <c r="Q4" i="1" s="1"/>
  <c r="T37" i="13"/>
  <c r="T38" i="13" s="1"/>
  <c r="S37" i="13"/>
  <c r="S38" i="13" s="1"/>
  <c r="R37" i="13"/>
  <c r="R38" i="13" s="1"/>
  <c r="Q37" i="13"/>
  <c r="Q38" i="13" s="1"/>
  <c r="P37" i="13"/>
  <c r="P38" i="13" s="1"/>
  <c r="O37" i="13"/>
  <c r="O38" i="13" s="1"/>
  <c r="N37" i="13"/>
  <c r="N38" i="13" s="1"/>
  <c r="M37" i="13"/>
  <c r="M38" i="13" s="1"/>
  <c r="L37" i="13"/>
  <c r="L38" i="13" s="1"/>
  <c r="K37" i="13"/>
  <c r="K38" i="13" s="1"/>
  <c r="J37" i="13"/>
  <c r="J38" i="13" s="1"/>
  <c r="I37" i="13"/>
  <c r="I38" i="13" s="1"/>
  <c r="H37" i="13"/>
  <c r="H38" i="13" s="1"/>
  <c r="G37" i="13"/>
  <c r="G38" i="13" s="1"/>
  <c r="F37" i="13"/>
  <c r="F38" i="13" s="1"/>
  <c r="E37" i="13"/>
  <c r="E38" i="13" s="1"/>
  <c r="D37" i="13"/>
  <c r="D38" i="13" s="1"/>
  <c r="C37" i="13"/>
  <c r="C38" i="13" s="1"/>
  <c r="B37" i="13"/>
  <c r="B38" i="13" s="1"/>
  <c r="A37" i="13"/>
  <c r="A38" i="13" s="1"/>
  <c r="T31" i="13"/>
  <c r="T32" i="13" s="1"/>
  <c r="S31" i="13"/>
  <c r="S32" i="13" s="1"/>
  <c r="R31" i="13"/>
  <c r="R32" i="13" s="1"/>
  <c r="Q31" i="13"/>
  <c r="Q32" i="13" s="1"/>
  <c r="P31" i="13"/>
  <c r="P32" i="13" s="1"/>
  <c r="O31" i="13"/>
  <c r="O32" i="13" s="1"/>
  <c r="N31" i="13"/>
  <c r="N32" i="13" s="1"/>
  <c r="M31" i="13"/>
  <c r="M32" i="13" s="1"/>
  <c r="L31" i="13"/>
  <c r="L32" i="13" s="1"/>
  <c r="K31" i="13"/>
  <c r="K32" i="13" s="1"/>
  <c r="J31" i="13"/>
  <c r="J32" i="13" s="1"/>
  <c r="I31" i="13"/>
  <c r="I32" i="13" s="1"/>
  <c r="H31" i="13"/>
  <c r="H32" i="13" s="1"/>
  <c r="G31" i="13"/>
  <c r="G32" i="13" s="1"/>
  <c r="F31" i="13"/>
  <c r="F32" i="13" s="1"/>
  <c r="E31" i="13"/>
  <c r="E32" i="13" s="1"/>
  <c r="D31" i="13"/>
  <c r="D32" i="13" s="1"/>
  <c r="C31" i="13"/>
  <c r="C32" i="13" s="1"/>
  <c r="B31" i="13"/>
  <c r="B32" i="13" s="1"/>
  <c r="A31" i="13"/>
  <c r="A32" i="13" s="1"/>
  <c r="T14" i="13"/>
  <c r="T15" i="13" s="1"/>
  <c r="S14" i="13"/>
  <c r="S15" i="13" s="1"/>
  <c r="R14" i="13"/>
  <c r="R15" i="13" s="1"/>
  <c r="Q14" i="13"/>
  <c r="Q15" i="13" s="1"/>
  <c r="P14" i="13"/>
  <c r="P15" i="13" s="1"/>
  <c r="O14" i="13"/>
  <c r="O15" i="13" s="1"/>
  <c r="N14" i="13"/>
  <c r="N15" i="13" s="1"/>
  <c r="M14" i="13"/>
  <c r="M15" i="13" s="1"/>
  <c r="L14" i="13"/>
  <c r="L15" i="13" s="1"/>
  <c r="K14" i="13"/>
  <c r="K15" i="13" s="1"/>
  <c r="J14" i="13"/>
  <c r="J15" i="13" s="1"/>
  <c r="I14" i="13"/>
  <c r="I15" i="13" s="1"/>
  <c r="H14" i="13"/>
  <c r="H15" i="13" s="1"/>
  <c r="G14" i="13"/>
  <c r="G15" i="13" s="1"/>
  <c r="F14" i="13"/>
  <c r="F15" i="13" s="1"/>
  <c r="E14" i="13"/>
  <c r="E15" i="13" s="1"/>
  <c r="D14" i="13"/>
  <c r="D15" i="13" s="1"/>
  <c r="C14" i="13"/>
  <c r="C15" i="13" s="1"/>
  <c r="B14" i="13"/>
  <c r="B15" i="13" s="1"/>
  <c r="A14" i="13"/>
  <c r="A15" i="13" s="1"/>
  <c r="T8" i="13"/>
  <c r="T9" i="13" s="1"/>
  <c r="S8" i="13"/>
  <c r="S9" i="13" s="1"/>
  <c r="R8" i="13"/>
  <c r="R9" i="13" s="1"/>
  <c r="Q8" i="13"/>
  <c r="Q9" i="13" s="1"/>
  <c r="P8" i="13"/>
  <c r="P9" i="13" s="1"/>
  <c r="O8" i="13"/>
  <c r="O9" i="13" s="1"/>
  <c r="N8" i="13"/>
  <c r="N9" i="13" s="1"/>
  <c r="M8" i="13"/>
  <c r="M9" i="13" s="1"/>
  <c r="L8" i="13"/>
  <c r="L9" i="13" s="1"/>
  <c r="K8" i="13"/>
  <c r="K9" i="13" s="1"/>
  <c r="J8" i="13"/>
  <c r="J9" i="13" s="1"/>
  <c r="I8" i="13"/>
  <c r="I9" i="13" s="1"/>
  <c r="H8" i="13"/>
  <c r="H9" i="13" s="1"/>
  <c r="G8" i="13"/>
  <c r="G9" i="13" s="1"/>
  <c r="F8" i="13"/>
  <c r="F9" i="13" s="1"/>
  <c r="E8" i="13"/>
  <c r="E9" i="13" s="1"/>
  <c r="D8" i="13"/>
  <c r="D9" i="13" s="1"/>
  <c r="C8" i="13"/>
  <c r="C9" i="13" s="1"/>
  <c r="B8" i="13"/>
  <c r="B9" i="13" s="1"/>
  <c r="A8" i="13"/>
  <c r="A9" i="13" s="1"/>
  <c r="T37" i="10"/>
  <c r="T38" i="10" s="1"/>
  <c r="S37" i="10"/>
  <c r="S38" i="10" s="1"/>
  <c r="R37" i="10"/>
  <c r="R38" i="10" s="1"/>
  <c r="Q37" i="10"/>
  <c r="Q38" i="10" s="1"/>
  <c r="P37" i="10"/>
  <c r="P38" i="10" s="1"/>
  <c r="O37" i="10"/>
  <c r="O38" i="10" s="1"/>
  <c r="N37" i="10"/>
  <c r="N38" i="10" s="1"/>
  <c r="M37" i="10"/>
  <c r="M38" i="10" s="1"/>
  <c r="L37" i="10"/>
  <c r="L38" i="10" s="1"/>
  <c r="K37" i="10"/>
  <c r="K38" i="10" s="1"/>
  <c r="J37" i="10"/>
  <c r="J38" i="10" s="1"/>
  <c r="I37" i="10"/>
  <c r="I38" i="10" s="1"/>
  <c r="H37" i="10"/>
  <c r="H38" i="10" s="1"/>
  <c r="G37" i="10"/>
  <c r="G38" i="10" s="1"/>
  <c r="F37" i="10"/>
  <c r="F38" i="10" s="1"/>
  <c r="E37" i="10"/>
  <c r="E38" i="10" s="1"/>
  <c r="D37" i="10"/>
  <c r="D38" i="10" s="1"/>
  <c r="C37" i="10"/>
  <c r="C38" i="10" s="1"/>
  <c r="B37" i="10"/>
  <c r="B38" i="10" s="1"/>
  <c r="A37" i="10"/>
  <c r="A38" i="10" s="1"/>
  <c r="T31" i="10"/>
  <c r="T32" i="10" s="1"/>
  <c r="S31" i="10"/>
  <c r="S32" i="10" s="1"/>
  <c r="R31" i="10"/>
  <c r="R32" i="10" s="1"/>
  <c r="Q31" i="10"/>
  <c r="Q32" i="10" s="1"/>
  <c r="P31" i="10"/>
  <c r="P32" i="10" s="1"/>
  <c r="O31" i="10"/>
  <c r="O32" i="10" s="1"/>
  <c r="N31" i="10"/>
  <c r="N32" i="10" s="1"/>
  <c r="M31" i="10"/>
  <c r="M32" i="10" s="1"/>
  <c r="L31" i="10"/>
  <c r="L32" i="10" s="1"/>
  <c r="K31" i="10"/>
  <c r="K32" i="10" s="1"/>
  <c r="J31" i="10"/>
  <c r="J32" i="10" s="1"/>
  <c r="I31" i="10"/>
  <c r="I32" i="10" s="1"/>
  <c r="H31" i="10"/>
  <c r="H32" i="10" s="1"/>
  <c r="G31" i="10"/>
  <c r="G32" i="10" s="1"/>
  <c r="F31" i="10"/>
  <c r="F32" i="10" s="1"/>
  <c r="E31" i="10"/>
  <c r="E32" i="10" s="1"/>
  <c r="D31" i="10"/>
  <c r="D32" i="10" s="1"/>
  <c r="C31" i="10"/>
  <c r="C32" i="10" s="1"/>
  <c r="B31" i="10"/>
  <c r="B32" i="10" s="1"/>
  <c r="A31" i="10"/>
  <c r="A32" i="10" s="1"/>
  <c r="T14" i="10"/>
  <c r="T15" i="10" s="1"/>
  <c r="S14" i="10"/>
  <c r="S15" i="10" s="1"/>
  <c r="R14" i="10"/>
  <c r="R15" i="10" s="1"/>
  <c r="Q14" i="10"/>
  <c r="Q15" i="10" s="1"/>
  <c r="P14" i="10"/>
  <c r="P15" i="10" s="1"/>
  <c r="O14" i="10"/>
  <c r="O15" i="10" s="1"/>
  <c r="N14" i="10"/>
  <c r="N15" i="10" s="1"/>
  <c r="M14" i="10"/>
  <c r="M15" i="10" s="1"/>
  <c r="L14" i="10"/>
  <c r="L15" i="10" s="1"/>
  <c r="K14" i="10"/>
  <c r="K15" i="10" s="1"/>
  <c r="J14" i="10"/>
  <c r="J15" i="10" s="1"/>
  <c r="I14" i="10"/>
  <c r="I15" i="10" s="1"/>
  <c r="H14" i="10"/>
  <c r="H15" i="10" s="1"/>
  <c r="G14" i="10"/>
  <c r="G15" i="10" s="1"/>
  <c r="F14" i="10"/>
  <c r="F15" i="10" s="1"/>
  <c r="E14" i="10"/>
  <c r="E15" i="10" s="1"/>
  <c r="D14" i="10"/>
  <c r="D15" i="10" s="1"/>
  <c r="C14" i="10"/>
  <c r="C15" i="10" s="1"/>
  <c r="B14" i="10"/>
  <c r="B15" i="10" s="1"/>
  <c r="A14" i="10"/>
  <c r="A15" i="10" s="1"/>
  <c r="T8" i="10"/>
  <c r="T9" i="10" s="1"/>
  <c r="S8" i="10"/>
  <c r="S9" i="10" s="1"/>
  <c r="R8" i="10"/>
  <c r="R9" i="10" s="1"/>
  <c r="Q8" i="10"/>
  <c r="Q9" i="10" s="1"/>
  <c r="P8" i="10"/>
  <c r="P9" i="10" s="1"/>
  <c r="O8" i="10"/>
  <c r="O9" i="10" s="1"/>
  <c r="N8" i="10"/>
  <c r="N9" i="10" s="1"/>
  <c r="M8" i="10"/>
  <c r="M9" i="10" s="1"/>
  <c r="L8" i="10"/>
  <c r="L9" i="10" s="1"/>
  <c r="K8" i="10"/>
  <c r="K9" i="10" s="1"/>
  <c r="J8" i="10"/>
  <c r="J9" i="10" s="1"/>
  <c r="I8" i="10"/>
  <c r="I9" i="10" s="1"/>
  <c r="H8" i="10"/>
  <c r="H9" i="10" s="1"/>
  <c r="G8" i="10"/>
  <c r="G9" i="10" s="1"/>
  <c r="F8" i="10"/>
  <c r="F9" i="10" s="1"/>
  <c r="E8" i="10"/>
  <c r="E9" i="10" s="1"/>
  <c r="D8" i="10"/>
  <c r="D9" i="10" s="1"/>
  <c r="C8" i="10"/>
  <c r="C9" i="10" s="1"/>
  <c r="B8" i="10"/>
  <c r="B9" i="10" s="1"/>
  <c r="A8" i="10"/>
  <c r="A9" i="10" s="1"/>
  <c r="J39" i="7"/>
  <c r="F14" i="7" l="1"/>
  <c r="F15" i="7" s="1"/>
  <c r="C14" i="7"/>
  <c r="C15" i="7" s="1"/>
  <c r="B4" i="12"/>
  <c r="T39" i="7"/>
  <c r="T40" i="7" s="1"/>
  <c r="S39" i="7"/>
  <c r="S40" i="7" s="1"/>
  <c r="R39" i="7"/>
  <c r="R40" i="7" s="1"/>
  <c r="Q39" i="7"/>
  <c r="Q40" i="7" s="1"/>
  <c r="P39" i="7"/>
  <c r="P40" i="7" s="1"/>
  <c r="O39" i="7"/>
  <c r="O40" i="7" s="1"/>
  <c r="N39" i="7"/>
  <c r="N40" i="7" s="1"/>
  <c r="M39" i="7"/>
  <c r="M40" i="7" s="1"/>
  <c r="L39" i="7"/>
  <c r="L40" i="7" s="1"/>
  <c r="K39" i="7"/>
  <c r="K40" i="7" s="1"/>
  <c r="J40" i="7"/>
  <c r="I39" i="7"/>
  <c r="I40" i="7" s="1"/>
  <c r="H39" i="7"/>
  <c r="H40" i="7" s="1"/>
  <c r="G39" i="7"/>
  <c r="G40" i="7" s="1"/>
  <c r="F39" i="7"/>
  <c r="F40" i="7" s="1"/>
  <c r="E39" i="7"/>
  <c r="E40" i="7" s="1"/>
  <c r="D39" i="7"/>
  <c r="D40" i="7" s="1"/>
  <c r="C39" i="7"/>
  <c r="C40" i="7" s="1"/>
  <c r="B39" i="7"/>
  <c r="B40" i="7" s="1"/>
  <c r="A39" i="7"/>
  <c r="A40" i="7" s="1"/>
  <c r="T14" i="7"/>
  <c r="T15" i="7" s="1"/>
  <c r="S14" i="7"/>
  <c r="S15" i="7" s="1"/>
  <c r="R14" i="7"/>
  <c r="R15" i="7" s="1"/>
  <c r="Q14" i="7"/>
  <c r="Q15" i="7" s="1"/>
  <c r="P14" i="7"/>
  <c r="P15" i="7" s="1"/>
  <c r="O14" i="7"/>
  <c r="O15" i="7" s="1"/>
  <c r="N14" i="7"/>
  <c r="N15" i="7" s="1"/>
  <c r="M14" i="7"/>
  <c r="M15" i="7" s="1"/>
  <c r="L14" i="7"/>
  <c r="L15" i="7" s="1"/>
  <c r="K14" i="7"/>
  <c r="K15" i="7" s="1"/>
  <c r="J14" i="7"/>
  <c r="J15" i="7" s="1"/>
  <c r="I14" i="7"/>
  <c r="I15" i="7" s="1"/>
  <c r="H14" i="7"/>
  <c r="H15" i="7" s="1"/>
  <c r="G14" i="7"/>
  <c r="G15" i="7" s="1"/>
  <c r="E14" i="7"/>
  <c r="E15" i="7" s="1"/>
  <c r="D14" i="7"/>
  <c r="D15" i="7" s="1"/>
  <c r="B14" i="7"/>
  <c r="B15" i="7" s="1"/>
  <c r="A14" i="7"/>
  <c r="A15" i="7" s="1"/>
  <c r="T33" i="7"/>
  <c r="T34" i="7" s="1"/>
  <c r="S33" i="7"/>
  <c r="S34" i="7" s="1"/>
  <c r="R33" i="7"/>
  <c r="R34" i="7" s="1"/>
  <c r="Q33" i="7"/>
  <c r="Q34" i="7" s="1"/>
  <c r="P33" i="7"/>
  <c r="P34" i="7" s="1"/>
  <c r="O33" i="7"/>
  <c r="O34" i="7" s="1"/>
  <c r="N33" i="7"/>
  <c r="N34" i="7" s="1"/>
  <c r="M33" i="7"/>
  <c r="M34" i="7" s="1"/>
  <c r="L33" i="7"/>
  <c r="L34" i="7" s="1"/>
  <c r="K33" i="7"/>
  <c r="K34" i="7" s="1"/>
  <c r="S8" i="7"/>
  <c r="S9" i="7" s="1"/>
  <c r="T8" i="7"/>
  <c r="T9" i="7" s="1"/>
  <c r="R8" i="7"/>
  <c r="R9" i="7" s="1"/>
  <c r="Q8" i="7"/>
  <c r="Q9" i="7" s="1"/>
  <c r="P8" i="7"/>
  <c r="P9" i="7" s="1"/>
  <c r="O8" i="7"/>
  <c r="O9" i="7" s="1"/>
  <c r="N8" i="7"/>
  <c r="N9" i="7" s="1"/>
  <c r="M8" i="7"/>
  <c r="M9" i="7" s="1"/>
  <c r="L8" i="7"/>
  <c r="L9" i="7" s="1"/>
  <c r="K8" i="7"/>
  <c r="K9" i="7" s="1"/>
  <c r="J33" i="7"/>
  <c r="J34" i="7" s="1"/>
  <c r="I33" i="7"/>
  <c r="I34" i="7" s="1"/>
  <c r="H33" i="7"/>
  <c r="H34" i="7" s="1"/>
  <c r="G33" i="7"/>
  <c r="G34" i="7" s="1"/>
  <c r="F33" i="7"/>
  <c r="F34" i="7" s="1"/>
  <c r="E33" i="7"/>
  <c r="E34" i="7" s="1"/>
  <c r="D33" i="7"/>
  <c r="D34" i="7" s="1"/>
  <c r="C33" i="7"/>
  <c r="C34" i="7" s="1"/>
  <c r="B33" i="7"/>
  <c r="B34" i="7" s="1"/>
  <c r="A33" i="7"/>
  <c r="A34" i="7" s="1"/>
  <c r="J8" i="7"/>
  <c r="J9" i="7" s="1"/>
  <c r="I8" i="7"/>
  <c r="I9" i="7" s="1"/>
  <c r="H8" i="7"/>
  <c r="H9" i="7" s="1"/>
  <c r="G8" i="7"/>
  <c r="G9" i="7" s="1"/>
  <c r="F8" i="7"/>
  <c r="F9" i="7" s="1"/>
  <c r="E8" i="7"/>
  <c r="E9" i="7" s="1"/>
  <c r="D8" i="7"/>
  <c r="D9" i="7" s="1"/>
  <c r="C8" i="7"/>
  <c r="C9" i="7" s="1"/>
  <c r="B8" i="7"/>
  <c r="B9" i="7" s="1"/>
  <c r="A8" i="7"/>
  <c r="A9" i="7" s="1"/>
  <c r="B3" i="12"/>
</calcChain>
</file>

<file path=xl/sharedStrings.xml><?xml version="1.0" encoding="utf-8"?>
<sst xmlns="http://schemas.openxmlformats.org/spreadsheetml/2006/main" count="263" uniqueCount="139">
  <si>
    <t>VNINDEX</t>
  </si>
  <si>
    <t>SLCP tăng</t>
  </si>
  <si>
    <t>SLCP ko đổi</t>
  </si>
  <si>
    <t>SLCP giảm</t>
  </si>
  <si>
    <t>VN30</t>
  </si>
  <si>
    <t>SSI</t>
  </si>
  <si>
    <t>VND</t>
  </si>
  <si>
    <t>BSI</t>
  </si>
  <si>
    <t>MBS</t>
  </si>
  <si>
    <t>HCM</t>
  </si>
  <si>
    <t>VCI</t>
  </si>
  <si>
    <t>SHS</t>
  </si>
  <si>
    <t>VIX</t>
  </si>
  <si>
    <t>Giá Trị Mua Bán Ròng</t>
  </si>
  <si>
    <t>VCB</t>
  </si>
  <si>
    <t>STB</t>
  </si>
  <si>
    <t>HPG</t>
  </si>
  <si>
    <t>VPB</t>
  </si>
  <si>
    <t>VCG</t>
  </si>
  <si>
    <t>MWG</t>
  </si>
  <si>
    <t>CTG</t>
  </si>
  <si>
    <t>EIB</t>
  </si>
  <si>
    <t>IDC</t>
  </si>
  <si>
    <t>Top 10 Nước Ngoài mua</t>
  </si>
  <si>
    <t>Top 10 Nước Ngoài bán</t>
  </si>
  <si>
    <t>VNM</t>
  </si>
  <si>
    <t>VRE</t>
  </si>
  <si>
    <t>MSN</t>
  </si>
  <si>
    <t>VHM</t>
  </si>
  <si>
    <t>DGC</t>
  </si>
  <si>
    <t>HDG</t>
  </si>
  <si>
    <t>LPB</t>
  </si>
  <si>
    <t>FRT</t>
  </si>
  <si>
    <t>PVS</t>
  </si>
  <si>
    <t>GAS</t>
  </si>
  <si>
    <t>NAB</t>
  </si>
  <si>
    <t>ACB</t>
  </si>
  <si>
    <t>FPT</t>
  </si>
  <si>
    <t>VIB</t>
  </si>
  <si>
    <t>MBB</t>
  </si>
  <si>
    <t>GMD</t>
  </si>
  <si>
    <t>TCH</t>
  </si>
  <si>
    <t>PC1</t>
  </si>
  <si>
    <t>AAA</t>
  </si>
  <si>
    <t>PNJ</t>
  </si>
  <si>
    <t>BWE</t>
  </si>
  <si>
    <t>HSG</t>
  </si>
  <si>
    <t>NN</t>
  </si>
  <si>
    <t>Jan</t>
  </si>
  <si>
    <t>Feb</t>
  </si>
  <si>
    <t>Mar</t>
  </si>
  <si>
    <t>TD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</si>
  <si>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</si>
  <si>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</si>
  <si>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</si>
  <si>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</si>
  <si>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</si>
  <si>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</si>
  <si>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</si>
  <si>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</si>
  <si>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</si>
  <si>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BSR</t>
  </si>
  <si>
    <t>NLG</t>
  </si>
  <si>
    <t>HDB</t>
  </si>
  <si>
    <t>DHC</t>
  </si>
  <si>
    <t>PLX</t>
  </si>
  <si>
    <t>MSB</t>
  </si>
  <si>
    <t>VEA</t>
  </si>
  <si>
    <t>VIC</t>
  </si>
  <si>
    <t>TPB</t>
  </si>
  <si>
    <t>DPM</t>
  </si>
  <si>
    <t>KDH</t>
  </si>
  <si>
    <t>VTP</t>
  </si>
  <si>
    <t>DCM</t>
  </si>
  <si>
    <t>PVD</t>
  </si>
  <si>
    <t>DBC</t>
  </si>
  <si>
    <t>NVL</t>
  </si>
  <si>
    <t>ST8</t>
  </si>
  <si>
    <t>DXS</t>
  </si>
  <si>
    <t>OCB</t>
  </si>
  <si>
    <t>ASM</t>
  </si>
  <si>
    <t>VOS</t>
  </si>
  <si>
    <t>SHB</t>
  </si>
  <si>
    <t>VGC</t>
  </si>
  <si>
    <t>TCB</t>
  </si>
  <si>
    <t>Khối Ngoại</t>
  </si>
  <si>
    <t>Tự Doanh</t>
  </si>
  <si>
    <t>Top 10 Tự Doanh mua</t>
  </si>
  <si>
    <t>Top 10 Lệnh Dư Mua</t>
  </si>
  <si>
    <t>HUT</t>
  </si>
  <si>
    <t>CEO</t>
  </si>
  <si>
    <t>Top 10 Volume Dư Mua</t>
  </si>
  <si>
    <t>BAF</t>
  </si>
  <si>
    <t>HAG</t>
  </si>
  <si>
    <t>Top 10 Lệnh Mua Lớn</t>
  </si>
  <si>
    <t>TPG</t>
  </si>
  <si>
    <t>Top 10 Lệnh Dư Bán</t>
  </si>
  <si>
    <t>Top 10 Volume Dư Bán</t>
  </si>
  <si>
    <t>Top 10 Lệnh Bán Lớn</t>
  </si>
  <si>
    <t>GEX</t>
  </si>
  <si>
    <t>NKG</t>
  </si>
  <si>
    <t>DXG</t>
  </si>
  <si>
    <t>DIG</t>
  </si>
  <si>
    <t>CSV</t>
  </si>
  <si>
    <t>SIP</t>
  </si>
  <si>
    <t>DRC</t>
  </si>
  <si>
    <t>LAS</t>
  </si>
  <si>
    <t>GIL</t>
  </si>
  <si>
    <t>NTL</t>
  </si>
  <si>
    <t>HBC</t>
  </si>
  <si>
    <t>DDV</t>
  </si>
  <si>
    <t>NTP</t>
  </si>
  <si>
    <t>KSB</t>
  </si>
  <si>
    <t>DTD</t>
  </si>
  <si>
    <t>Top 20 Nước Ngoài mua</t>
  </si>
  <si>
    <t>Top 20 Tự Doanh mua</t>
  </si>
  <si>
    <t>Top 20 Giảm Giá</t>
  </si>
  <si>
    <t>Top 20 Tăng Giá</t>
  </si>
  <si>
    <t>PSH</t>
  </si>
  <si>
    <t>PET</t>
  </si>
  <si>
    <t>BCG</t>
  </si>
  <si>
    <t>EVE</t>
  </si>
  <si>
    <t>VGS</t>
  </si>
  <si>
    <t>LDG</t>
  </si>
  <si>
    <t>PTB</t>
  </si>
  <si>
    <t>NHA</t>
  </si>
  <si>
    <t>HQC</t>
  </si>
  <si>
    <t>HDC</t>
  </si>
  <si>
    <t>EVF</t>
  </si>
  <si>
    <t>SCR</t>
  </si>
  <si>
    <t>KBC</t>
  </si>
  <si>
    <t>ITA</t>
  </si>
  <si>
    <t>SLCP mua</t>
  </si>
  <si>
    <t>SLCP bán</t>
  </si>
  <si>
    <t>Biến động</t>
  </si>
  <si>
    <t>GT Mua Bán Ròng</t>
  </si>
  <si>
    <t>Luỹ kế Mua Bán</t>
  </si>
  <si>
    <t>Date</t>
  </si>
  <si>
    <t>Luỹ Kế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</si>
</sst>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164" formatCode="0.0%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7">
    <xf numFmtId="0" fontId="0" fillId="0" borderId="0" xfId="0"/>
    <xf numFmtId="0" fontId="0" fillId="2" borderId="0" xfId="0" applyFill="1"/>
    <xf numFmtId="0" fontId="0" fillId="4" borderId="0" xfId="0" applyFill="1"/>
    <xf numFmtId="0" fontId="1" fillId="0" borderId="0" xfId="0" applyFont="1"/>
    <xf numFmtId="41" fontId="0" fillId="0" borderId="0" xfId="1" applyFont="1"/>
    <xf numFmtId="0" fontId="3" fillId="5" borderId="0" xfId="0" applyFont="1" applyFill="1"/>
    <xf numFmtId="0" fontId="4" fillId="6" borderId="0" xfId="0" applyFont="1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5" fillId="10" borderId="0" xfId="0" applyFont="1" applyFill="1"/>
    <xf numFmtId="0" fontId="4" fillId="11" borderId="0" xfId="0" applyFont="1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41" fontId="0" fillId="0" borderId="0" xfId="0" applyNumberFormat="1"/>
    <xf numFmtId="3" fontId="0" fillId="0" borderId="0" xfId="1" applyNumberFormat="1" applyFont="1"/>
    <xf numFmtId="3" fontId="0" fillId="0" borderId="0" xfId="0" applyNumberFormat="1"/>
    <xf numFmtId="164" fontId="0" fillId="0" borderId="0" xfId="2" applyNumberFormat="1" applyFont="1"/>
    <xf numFmtId="41" fontId="0" fillId="8" borderId="0" xfId="1" applyFont="1" applyFill="1"/>
    <xf numFmtId="0" fontId="0" fillId="1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" fillId="15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17" borderId="0" xfId="0" applyFont="1" applyFill="1" applyAlignment="1">
      <alignment horizontal="center"/>
    </xf>
    <xf numFmtId="0" fontId="1" fillId="16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" fillId="0" borderId="0" xfId="0" applyFont="1" applyAlignment="1"/>
    <xf numFmtId="16" fontId="0" fillId="0" borderId="0" xfId="0" applyNumberFormat="1"/>
    <xf numFmtId="14" fontId="0" fillId="0" borderId="0" xfId="0" applyNumberFormat="1"/>
    <xf numFmtId="0" fontId="1" fillId="18" borderId="0" xfId="0" applyFont="1" applyFill="1" applyAlignment="1">
      <alignment horizontal="center"/>
    </xf>
    <xf numFmtId="0" fontId="1" fillId="19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0" borderId="0" xfId="0" applyFont="1"/>
    <xf numFmtId="10" fontId="0" fillId="0" borderId="0" xfId="2" applyNumberFormat="1" applyFont="1"/>
    <xf numFmtId="14" fontId="6" fillId="0" borderId="0" xfId="0" applyNumberFormat="1" applyFont="1"/>
  </cellXfs>
  <cellStyles count="3">
    <cellStyle name="Comma [0]" xfId="1" builtinId="6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Giao Dịch NN &amp; TD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Intraday!$P$2:$P$3</c:f>
              <c:strCache>
                <c:ptCount val="2"/>
                <c:pt idx="0">
                  <c:v>Khối Ngoại</c:v>
                </c:pt>
                <c:pt idx="1">
                  <c:v>GT Mua Bán Ròng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Intraday!$B$4:$B$30</c:f>
              <c:numCache>
                <c:formatCode>m/d/yy</c:formatCode>
                <c:ptCount val="27"/>
                <c:pt idx="0">
                  <c:v>45329</c:v>
                </c:pt>
                <c:pt idx="1">
                  <c:v>45328</c:v>
                </c:pt>
                <c:pt idx="2">
                  <c:v>45327</c:v>
                </c:pt>
                <c:pt idx="3">
                  <c:v>45324</c:v>
                </c:pt>
                <c:pt idx="4">
                  <c:v>45323</c:v>
                </c:pt>
                <c:pt idx="5">
                  <c:v>45322</c:v>
                </c:pt>
                <c:pt idx="6">
                  <c:v>45321</c:v>
                </c:pt>
                <c:pt idx="7">
                  <c:v>45320</c:v>
                </c:pt>
                <c:pt idx="8">
                  <c:v>45317</c:v>
                </c:pt>
                <c:pt idx="9">
                  <c:v>45316</c:v>
                </c:pt>
                <c:pt idx="10">
                  <c:v>45315</c:v>
                </c:pt>
                <c:pt idx="11">
                  <c:v>45314</c:v>
                </c:pt>
                <c:pt idx="12">
                  <c:v>45313</c:v>
                </c:pt>
                <c:pt idx="13">
                  <c:v>45310</c:v>
                </c:pt>
                <c:pt idx="14">
                  <c:v>45309</c:v>
                </c:pt>
                <c:pt idx="15">
                  <c:v>45308</c:v>
                </c:pt>
                <c:pt idx="16">
                  <c:v>45307</c:v>
                </c:pt>
                <c:pt idx="17">
                  <c:v>45306</c:v>
                </c:pt>
                <c:pt idx="18">
                  <c:v>45303</c:v>
                </c:pt>
                <c:pt idx="19">
                  <c:v>45302</c:v>
                </c:pt>
                <c:pt idx="20">
                  <c:v>45301</c:v>
                </c:pt>
                <c:pt idx="21">
                  <c:v>45300</c:v>
                </c:pt>
                <c:pt idx="22">
                  <c:v>45299</c:v>
                </c:pt>
                <c:pt idx="23">
                  <c:v>45296</c:v>
                </c:pt>
                <c:pt idx="24">
                  <c:v>45295</c:v>
                </c:pt>
                <c:pt idx="25">
                  <c:v>45294</c:v>
                </c:pt>
                <c:pt idx="26">
                  <c:v>45293</c:v>
                </c:pt>
              </c:numCache>
            </c:numRef>
          </c:cat>
          <c:val>
            <c:numRef>
              <c:f>Intraday!$P$4:$P$30</c:f>
              <c:numCache>
                <c:formatCode>#,##0</c:formatCode>
                <c:ptCount val="27"/>
                <c:pt idx="0">
                  <c:v>-20426078171</c:v>
                </c:pt>
                <c:pt idx="1">
                  <c:v>-454044753347</c:v>
                </c:pt>
                <c:pt idx="2">
                  <c:v>-47724190106</c:v>
                </c:pt>
                <c:pt idx="3">
                  <c:v>-235298007611</c:v>
                </c:pt>
                <c:pt idx="4">
                  <c:v>167317808902</c:v>
                </c:pt>
                <c:pt idx="5">
                  <c:v>39184647355</c:v>
                </c:pt>
                <c:pt idx="6">
                  <c:v>396711927017</c:v>
                </c:pt>
                <c:pt idx="7">
                  <c:v>-137908844181</c:v>
                </c:pt>
                <c:pt idx="8">
                  <c:v>361099360028</c:v>
                </c:pt>
                <c:pt idx="9">
                  <c:v>-40176974807</c:v>
                </c:pt>
                <c:pt idx="10">
                  <c:v>153335591842</c:v>
                </c:pt>
                <c:pt idx="11">
                  <c:v>249996770975</c:v>
                </c:pt>
                <c:pt idx="12">
                  <c:v>502684290838</c:v>
                </c:pt>
                <c:pt idx="13">
                  <c:v>187659123156</c:v>
                </c:pt>
                <c:pt idx="14">
                  <c:v>69651700055</c:v>
                </c:pt>
                <c:pt idx="15">
                  <c:v>191412433815</c:v>
                </c:pt>
                <c:pt idx="16">
                  <c:v>52772819266</c:v>
                </c:pt>
                <c:pt idx="17">
                  <c:v>24392645189</c:v>
                </c:pt>
                <c:pt idx="18">
                  <c:v>-51248750301</c:v>
                </c:pt>
                <c:pt idx="19">
                  <c:v>104027723444</c:v>
                </c:pt>
                <c:pt idx="20">
                  <c:v>-199155060394</c:v>
                </c:pt>
                <c:pt idx="21">
                  <c:v>-106567673803</c:v>
                </c:pt>
                <c:pt idx="22">
                  <c:v>-204815712671</c:v>
                </c:pt>
                <c:pt idx="23">
                  <c:v>-321896722031</c:v>
                </c:pt>
                <c:pt idx="24">
                  <c:v>14473737182</c:v>
                </c:pt>
                <c:pt idx="25">
                  <c:v>3414941691</c:v>
                </c:pt>
                <c:pt idx="26">
                  <c:v>-164365024289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C20-704B-B7F7-EC53F8C66FB3}"/>
            </c:ext>
          </c:extLst>
        </c:ser>
        <c:ser>
          <c:idx val="16"/>
          <c:order val="2"/>
          <c:tx>
            <c:strRef>
              <c:f>Intraday!$U$2:$U$3</c:f>
              <c:strCache>
                <c:ptCount val="2"/>
                <c:pt idx="0">
                  <c:v>Tự Doanh</c:v>
                </c:pt>
                <c:pt idx="1">
                  <c:v>GT Mua Bán Ròng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Intraday!$B$4:$B$30</c:f>
              <c:numCache>
                <c:formatCode>m/d/yy</c:formatCode>
                <c:ptCount val="27"/>
                <c:pt idx="0">
                  <c:v>45329</c:v>
                </c:pt>
                <c:pt idx="1">
                  <c:v>45328</c:v>
                </c:pt>
                <c:pt idx="2">
                  <c:v>45327</c:v>
                </c:pt>
                <c:pt idx="3">
                  <c:v>45324</c:v>
                </c:pt>
                <c:pt idx="4">
                  <c:v>45323</c:v>
                </c:pt>
                <c:pt idx="5">
                  <c:v>45322</c:v>
                </c:pt>
                <c:pt idx="6">
                  <c:v>45321</c:v>
                </c:pt>
                <c:pt idx="7">
                  <c:v>45320</c:v>
                </c:pt>
                <c:pt idx="8">
                  <c:v>45317</c:v>
                </c:pt>
                <c:pt idx="9">
                  <c:v>45316</c:v>
                </c:pt>
                <c:pt idx="10">
                  <c:v>45315</c:v>
                </c:pt>
                <c:pt idx="11">
                  <c:v>45314</c:v>
                </c:pt>
                <c:pt idx="12">
                  <c:v>45313</c:v>
                </c:pt>
                <c:pt idx="13">
                  <c:v>45310</c:v>
                </c:pt>
                <c:pt idx="14">
                  <c:v>45309</c:v>
                </c:pt>
                <c:pt idx="15">
                  <c:v>45308</c:v>
                </c:pt>
                <c:pt idx="16">
                  <c:v>45307</c:v>
                </c:pt>
                <c:pt idx="17">
                  <c:v>45306</c:v>
                </c:pt>
                <c:pt idx="18">
                  <c:v>45303</c:v>
                </c:pt>
                <c:pt idx="19">
                  <c:v>45302</c:v>
                </c:pt>
                <c:pt idx="20">
                  <c:v>45301</c:v>
                </c:pt>
                <c:pt idx="21">
                  <c:v>45300</c:v>
                </c:pt>
                <c:pt idx="22">
                  <c:v>45299</c:v>
                </c:pt>
                <c:pt idx="23">
                  <c:v>45296</c:v>
                </c:pt>
                <c:pt idx="24">
                  <c:v>45295</c:v>
                </c:pt>
                <c:pt idx="25">
                  <c:v>45294</c:v>
                </c:pt>
                <c:pt idx="26">
                  <c:v>45293</c:v>
                </c:pt>
              </c:numCache>
            </c:numRef>
          </c:cat>
          <c:val>
            <c:numRef>
              <c:f>Intraday!$U$4:$U$30</c:f>
              <c:numCache>
                <c:formatCode>#,##0</c:formatCode>
                <c:ptCount val="27"/>
                <c:pt idx="0">
                  <c:v>55430821000</c:v>
                </c:pt>
                <c:pt idx="1">
                  <c:v>-718184911000</c:v>
                </c:pt>
                <c:pt idx="2">
                  <c:v>17971390000</c:v>
                </c:pt>
                <c:pt idx="3">
                  <c:v>499951149000</c:v>
                </c:pt>
                <c:pt idx="4">
                  <c:v>99823302000</c:v>
                </c:pt>
                <c:pt idx="5">
                  <c:v>69620718500</c:v>
                </c:pt>
                <c:pt idx="6">
                  <c:v>80613287900</c:v>
                </c:pt>
                <c:pt idx="7">
                  <c:v>80072901000</c:v>
                </c:pt>
                <c:pt idx="8">
                  <c:v>554819954000</c:v>
                </c:pt>
                <c:pt idx="9">
                  <c:v>-100337454345</c:v>
                </c:pt>
                <c:pt idx="10">
                  <c:v>-60937057000</c:v>
                </c:pt>
                <c:pt idx="11">
                  <c:v>-926262619000</c:v>
                </c:pt>
                <c:pt idx="12">
                  <c:v>466385605000</c:v>
                </c:pt>
                <c:pt idx="13">
                  <c:v>209791725000</c:v>
                </c:pt>
                <c:pt idx="14">
                  <c:v>472627000000</c:v>
                </c:pt>
                <c:pt idx="15">
                  <c:v>-526950647000</c:v>
                </c:pt>
                <c:pt idx="16">
                  <c:v>46573173000</c:v>
                </c:pt>
                <c:pt idx="17">
                  <c:v>219533725000</c:v>
                </c:pt>
                <c:pt idx="18">
                  <c:v>-384937181000</c:v>
                </c:pt>
                <c:pt idx="19">
                  <c:v>-134937700000</c:v>
                </c:pt>
                <c:pt idx="20">
                  <c:v>-198205025000</c:v>
                </c:pt>
                <c:pt idx="21">
                  <c:v>80559826000</c:v>
                </c:pt>
                <c:pt idx="22">
                  <c:v>81748371000</c:v>
                </c:pt>
                <c:pt idx="23">
                  <c:v>93428911000</c:v>
                </c:pt>
                <c:pt idx="24">
                  <c:v>543935814000</c:v>
                </c:pt>
                <c:pt idx="25">
                  <c:v>-317844600000</c:v>
                </c:pt>
                <c:pt idx="26">
                  <c:v>-43451798000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C20-704B-B7F7-EC53F8C66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5036480"/>
        <c:axId val="2144733184"/>
      </c:barChart>
      <c:lineChart>
        <c:grouping val="standard"/>
        <c:varyColors val="0"/>
        <c:ser>
          <c:idx val="12"/>
          <c:order val="1"/>
          <c:tx>
            <c:strRef>
              <c:f>Intraday!$Q$2:$Q$3</c:f>
              <c:strCache>
                <c:ptCount val="2"/>
                <c:pt idx="0">
                  <c:v>Khối Ngoại</c:v>
                </c:pt>
                <c:pt idx="1">
                  <c:v>Luỹ kế Mua Bán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Intraday!$B$4:$B$30</c:f>
              <c:numCache>
                <c:formatCode>m/d/yy</c:formatCode>
                <c:ptCount val="27"/>
                <c:pt idx="0">
                  <c:v>45329</c:v>
                </c:pt>
                <c:pt idx="1">
                  <c:v>45328</c:v>
                </c:pt>
                <c:pt idx="2">
                  <c:v>45327</c:v>
                </c:pt>
                <c:pt idx="3">
                  <c:v>45324</c:v>
                </c:pt>
                <c:pt idx="4">
                  <c:v>45323</c:v>
                </c:pt>
                <c:pt idx="5">
                  <c:v>45322</c:v>
                </c:pt>
                <c:pt idx="6">
                  <c:v>45321</c:v>
                </c:pt>
                <c:pt idx="7">
                  <c:v>45320</c:v>
                </c:pt>
                <c:pt idx="8">
                  <c:v>45317</c:v>
                </c:pt>
                <c:pt idx="9">
                  <c:v>45316</c:v>
                </c:pt>
                <c:pt idx="10">
                  <c:v>45315</c:v>
                </c:pt>
                <c:pt idx="11">
                  <c:v>45314</c:v>
                </c:pt>
                <c:pt idx="12">
                  <c:v>45313</c:v>
                </c:pt>
                <c:pt idx="13">
                  <c:v>45310</c:v>
                </c:pt>
                <c:pt idx="14">
                  <c:v>45309</c:v>
                </c:pt>
                <c:pt idx="15">
                  <c:v>45308</c:v>
                </c:pt>
                <c:pt idx="16">
                  <c:v>45307</c:v>
                </c:pt>
                <c:pt idx="17">
                  <c:v>45306</c:v>
                </c:pt>
                <c:pt idx="18">
                  <c:v>45303</c:v>
                </c:pt>
                <c:pt idx="19">
                  <c:v>45302</c:v>
                </c:pt>
                <c:pt idx="20">
                  <c:v>45301</c:v>
                </c:pt>
                <c:pt idx="21">
                  <c:v>45300</c:v>
                </c:pt>
                <c:pt idx="22">
                  <c:v>45299</c:v>
                </c:pt>
                <c:pt idx="23">
                  <c:v>45296</c:v>
                </c:pt>
                <c:pt idx="24">
                  <c:v>45295</c:v>
                </c:pt>
                <c:pt idx="25">
                  <c:v>45294</c:v>
                </c:pt>
                <c:pt idx="26">
                  <c:v>45293</c:v>
                </c:pt>
              </c:numCache>
            </c:numRef>
          </c:cat>
          <c:val>
            <c:numRef>
              <c:f>Intraday!$Q$4:$Q$30</c:f>
              <c:numCache>
                <c:formatCode>#,##0</c:formatCode>
                <c:ptCount val="27"/>
                <c:pt idx="0">
                  <c:v>534507729043</c:v>
                </c:pt>
                <c:pt idx="1">
                  <c:v>554933807214</c:v>
                </c:pt>
                <c:pt idx="2">
                  <c:v>1008978560561</c:v>
                </c:pt>
                <c:pt idx="3">
                  <c:v>1056702750667</c:v>
                </c:pt>
                <c:pt idx="4">
                  <c:v>1292000758278</c:v>
                </c:pt>
                <c:pt idx="5">
                  <c:v>1124682949376</c:v>
                </c:pt>
                <c:pt idx="6">
                  <c:v>1085498302021</c:v>
                </c:pt>
                <c:pt idx="7">
                  <c:v>688786375004</c:v>
                </c:pt>
                <c:pt idx="8">
                  <c:v>826695219185</c:v>
                </c:pt>
                <c:pt idx="9">
                  <c:v>465595859157</c:v>
                </c:pt>
                <c:pt idx="10">
                  <c:v>505772833964</c:v>
                </c:pt>
                <c:pt idx="11">
                  <c:v>352437242122</c:v>
                </c:pt>
                <c:pt idx="12">
                  <c:v>102440471147</c:v>
                </c:pt>
                <c:pt idx="13">
                  <c:v>-400243819691</c:v>
                </c:pt>
                <c:pt idx="14">
                  <c:v>-587902942847</c:v>
                </c:pt>
                <c:pt idx="15">
                  <c:v>-657554642902</c:v>
                </c:pt>
                <c:pt idx="16">
                  <c:v>-848967076717</c:v>
                </c:pt>
                <c:pt idx="17">
                  <c:v>-901739895983</c:v>
                </c:pt>
                <c:pt idx="18">
                  <c:v>-926132541172</c:v>
                </c:pt>
                <c:pt idx="19">
                  <c:v>-874883790871</c:v>
                </c:pt>
                <c:pt idx="20">
                  <c:v>-978911514315</c:v>
                </c:pt>
                <c:pt idx="21">
                  <c:v>-779756453921</c:v>
                </c:pt>
                <c:pt idx="22">
                  <c:v>-673188780118</c:v>
                </c:pt>
                <c:pt idx="23">
                  <c:v>-468373067447</c:v>
                </c:pt>
                <c:pt idx="24">
                  <c:v>-146476345416</c:v>
                </c:pt>
                <c:pt idx="25">
                  <c:v>-160950082598</c:v>
                </c:pt>
                <c:pt idx="26">
                  <c:v>-164365024289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C20-704B-B7F7-EC53F8C66FB3}"/>
            </c:ext>
          </c:extLst>
        </c:ser>
        <c:ser>
          <c:idx val="17"/>
          <c:order val="3"/>
          <c:tx>
            <c:strRef>
              <c:f>Intraday!$V$2:$V$3</c:f>
              <c:strCache>
                <c:ptCount val="2"/>
                <c:pt idx="0">
                  <c:v>Tự Doanh</c:v>
                </c:pt>
                <c:pt idx="1">
                  <c:v>Luỹ kế Mua Bán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Intraday!$B$4:$B$30</c:f>
              <c:numCache>
                <c:formatCode>m/d/yy</c:formatCode>
                <c:ptCount val="27"/>
                <c:pt idx="0">
                  <c:v>45329</c:v>
                </c:pt>
                <c:pt idx="1">
                  <c:v>45328</c:v>
                </c:pt>
                <c:pt idx="2">
                  <c:v>45327</c:v>
                </c:pt>
                <c:pt idx="3">
                  <c:v>45324</c:v>
                </c:pt>
                <c:pt idx="4">
                  <c:v>45323</c:v>
                </c:pt>
                <c:pt idx="5">
                  <c:v>45322</c:v>
                </c:pt>
                <c:pt idx="6">
                  <c:v>45321</c:v>
                </c:pt>
                <c:pt idx="7">
                  <c:v>45320</c:v>
                </c:pt>
                <c:pt idx="8">
                  <c:v>45317</c:v>
                </c:pt>
                <c:pt idx="9">
                  <c:v>45316</c:v>
                </c:pt>
                <c:pt idx="10">
                  <c:v>45315</c:v>
                </c:pt>
                <c:pt idx="11">
                  <c:v>45314</c:v>
                </c:pt>
                <c:pt idx="12">
                  <c:v>45313</c:v>
                </c:pt>
                <c:pt idx="13">
                  <c:v>45310</c:v>
                </c:pt>
                <c:pt idx="14">
                  <c:v>45309</c:v>
                </c:pt>
                <c:pt idx="15">
                  <c:v>45308</c:v>
                </c:pt>
                <c:pt idx="16">
                  <c:v>45307</c:v>
                </c:pt>
                <c:pt idx="17">
                  <c:v>45306</c:v>
                </c:pt>
                <c:pt idx="18">
                  <c:v>45303</c:v>
                </c:pt>
                <c:pt idx="19">
                  <c:v>45302</c:v>
                </c:pt>
                <c:pt idx="20">
                  <c:v>45301</c:v>
                </c:pt>
                <c:pt idx="21">
                  <c:v>45300</c:v>
                </c:pt>
                <c:pt idx="22">
                  <c:v>45299</c:v>
                </c:pt>
                <c:pt idx="23">
                  <c:v>45296</c:v>
                </c:pt>
                <c:pt idx="24">
                  <c:v>45295</c:v>
                </c:pt>
                <c:pt idx="25">
                  <c:v>45294</c:v>
                </c:pt>
                <c:pt idx="26">
                  <c:v>45293</c:v>
                </c:pt>
              </c:numCache>
            </c:numRef>
          </c:cat>
          <c:val>
            <c:numRef>
              <c:f>Intraday!$V$4:$V$30</c:f>
              <c:numCache>
                <c:formatCode>#,##0</c:formatCode>
                <c:ptCount val="27"/>
                <c:pt idx="0">
                  <c:v>260838681055</c:v>
                </c:pt>
                <c:pt idx="1">
                  <c:v>205407860055</c:v>
                </c:pt>
                <c:pt idx="2">
                  <c:v>923592771055</c:v>
                </c:pt>
                <c:pt idx="3">
                  <c:v>905621381055</c:v>
                </c:pt>
                <c:pt idx="4">
                  <c:v>405670232055</c:v>
                </c:pt>
                <c:pt idx="5">
                  <c:v>305846930055</c:v>
                </c:pt>
                <c:pt idx="6">
                  <c:v>236226211555</c:v>
                </c:pt>
                <c:pt idx="7">
                  <c:v>155612923655</c:v>
                </c:pt>
                <c:pt idx="8">
                  <c:v>75540022655</c:v>
                </c:pt>
                <c:pt idx="9">
                  <c:v>-479279931345</c:v>
                </c:pt>
                <c:pt idx="10">
                  <c:v>-378942477000</c:v>
                </c:pt>
                <c:pt idx="11">
                  <c:v>-318005420000</c:v>
                </c:pt>
                <c:pt idx="12">
                  <c:v>608257199000</c:v>
                </c:pt>
                <c:pt idx="13">
                  <c:v>141871594000</c:v>
                </c:pt>
                <c:pt idx="14">
                  <c:v>-67920131000</c:v>
                </c:pt>
                <c:pt idx="15">
                  <c:v>-540547131000</c:v>
                </c:pt>
                <c:pt idx="16">
                  <c:v>-13596484000</c:v>
                </c:pt>
                <c:pt idx="17">
                  <c:v>-60169657000</c:v>
                </c:pt>
                <c:pt idx="18">
                  <c:v>-279703382000</c:v>
                </c:pt>
                <c:pt idx="19">
                  <c:v>105233799000</c:v>
                </c:pt>
                <c:pt idx="20">
                  <c:v>240171499000</c:v>
                </c:pt>
                <c:pt idx="21">
                  <c:v>438376524000</c:v>
                </c:pt>
                <c:pt idx="22">
                  <c:v>357816698000</c:v>
                </c:pt>
                <c:pt idx="23">
                  <c:v>276068327000</c:v>
                </c:pt>
                <c:pt idx="24">
                  <c:v>182639416000</c:v>
                </c:pt>
                <c:pt idx="25">
                  <c:v>-361296398000</c:v>
                </c:pt>
                <c:pt idx="26">
                  <c:v>-43451798000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C20-704B-B7F7-EC53F8C66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036480"/>
        <c:axId val="2144733184"/>
      </c:lineChart>
      <c:dateAx>
        <c:axId val="214503648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144733184"/>
        <c:crosses val="autoZero"/>
        <c:auto val="1"/>
        <c:lblOffset val="100"/>
        <c:baseTimeUnit val="days"/>
      </c:dateAx>
      <c:valAx>
        <c:axId val="214473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145036480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Intraday!$C$2:$C$3</c:f>
              <c:strCache>
                <c:ptCount val="2"/>
                <c:pt idx="0">
                  <c:v>VNINDEX</c:v>
                </c:pt>
                <c:pt idx="1">
                  <c:v>Biến động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Intraday!$B$4:$B$30</c:f>
              <c:numCache>
                <c:formatCode>m/d/yy</c:formatCode>
                <c:ptCount val="27"/>
                <c:pt idx="0">
                  <c:v>45329</c:v>
                </c:pt>
                <c:pt idx="1">
                  <c:v>45328</c:v>
                </c:pt>
                <c:pt idx="2">
                  <c:v>45327</c:v>
                </c:pt>
                <c:pt idx="3">
                  <c:v>45324</c:v>
                </c:pt>
                <c:pt idx="4">
                  <c:v>45323</c:v>
                </c:pt>
                <c:pt idx="5">
                  <c:v>45322</c:v>
                </c:pt>
                <c:pt idx="6">
                  <c:v>45321</c:v>
                </c:pt>
                <c:pt idx="7">
                  <c:v>45320</c:v>
                </c:pt>
                <c:pt idx="8">
                  <c:v>45317</c:v>
                </c:pt>
                <c:pt idx="9">
                  <c:v>45316</c:v>
                </c:pt>
                <c:pt idx="10">
                  <c:v>45315</c:v>
                </c:pt>
                <c:pt idx="11">
                  <c:v>45314</c:v>
                </c:pt>
                <c:pt idx="12">
                  <c:v>45313</c:v>
                </c:pt>
                <c:pt idx="13">
                  <c:v>45310</c:v>
                </c:pt>
                <c:pt idx="14">
                  <c:v>45309</c:v>
                </c:pt>
                <c:pt idx="15">
                  <c:v>45308</c:v>
                </c:pt>
                <c:pt idx="16">
                  <c:v>45307</c:v>
                </c:pt>
                <c:pt idx="17">
                  <c:v>45306</c:v>
                </c:pt>
                <c:pt idx="18">
                  <c:v>45303</c:v>
                </c:pt>
                <c:pt idx="19">
                  <c:v>45302</c:v>
                </c:pt>
                <c:pt idx="20">
                  <c:v>45301</c:v>
                </c:pt>
                <c:pt idx="21">
                  <c:v>45300</c:v>
                </c:pt>
                <c:pt idx="22">
                  <c:v>45299</c:v>
                </c:pt>
                <c:pt idx="23">
                  <c:v>45296</c:v>
                </c:pt>
                <c:pt idx="24">
                  <c:v>45295</c:v>
                </c:pt>
                <c:pt idx="25">
                  <c:v>45294</c:v>
                </c:pt>
                <c:pt idx="26">
                  <c:v>45293</c:v>
                </c:pt>
              </c:numCache>
            </c:numRef>
          </c:cat>
          <c:val>
            <c:numRef>
              <c:f>Intraday!$C$4:$C$30</c:f>
              <c:numCache>
                <c:formatCode>0.00%</c:formatCode>
                <c:ptCount val="27"/>
                <c:pt idx="0">
                  <c:v>8.5000000000000006E-3</c:v>
                </c:pt>
                <c:pt idx="1">
                  <c:v>2E-3</c:v>
                </c:pt>
                <c:pt idx="2">
                  <c:v>1.15E-2</c:v>
                </c:pt>
                <c:pt idx="3">
                  <c:v>-4.0000000000000002E-4</c:v>
                </c:pt>
                <c:pt idx="4">
                  <c:v>7.4999999999999997E-3</c:v>
                </c:pt>
                <c:pt idx="5">
                  <c:v>-1.3000000000000001E-2</c:v>
                </c:pt>
                <c:pt idx="6">
                  <c:v>3.3999999999999998E-3</c:v>
                </c:pt>
                <c:pt idx="7">
                  <c:v>0</c:v>
                </c:pt>
                <c:pt idx="8">
                  <c:v>4.4999999999999997E-3</c:v>
                </c:pt>
                <c:pt idx="9">
                  <c:v>-2.2000000000000001E-3</c:v>
                </c:pt>
                <c:pt idx="10">
                  <c:v>-3.8E-3</c:v>
                </c:pt>
                <c:pt idx="11">
                  <c:v>-4.4999999999999997E-3</c:v>
                </c:pt>
                <c:pt idx="12">
                  <c:v>1.1999999999999999E-3</c:v>
                </c:pt>
                <c:pt idx="13">
                  <c:v>1.06E-2</c:v>
                </c:pt>
                <c:pt idx="14">
                  <c:v>5.5999999999999999E-3</c:v>
                </c:pt>
                <c:pt idx="15">
                  <c:v>-5.0000000000000001E-4</c:v>
                </c:pt>
                <c:pt idx="16">
                  <c:v>7.7999999999999996E-3</c:v>
                </c:pt>
                <c:pt idx="17">
                  <c:v>-5.0000000000000001E-4</c:v>
                </c:pt>
                <c:pt idx="18">
                  <c:v>-6.4999999999999997E-3</c:v>
                </c:pt>
                <c:pt idx="19">
                  <c:v>5.9999999999999995E-4</c:v>
                </c:pt>
                <c:pt idx="20">
                  <c:v>2.5000000000000001E-3</c:v>
                </c:pt>
                <c:pt idx="21">
                  <c:v>-1.4E-3</c:v>
                </c:pt>
                <c:pt idx="22">
                  <c:v>4.7999999999999996E-3</c:v>
                </c:pt>
                <c:pt idx="23">
                  <c:v>3.3999999999999998E-3</c:v>
                </c:pt>
                <c:pt idx="24">
                  <c:v>5.7000000000000002E-3</c:v>
                </c:pt>
                <c:pt idx="25">
                  <c:v>1.0999999999999999E-2</c:v>
                </c:pt>
                <c:pt idx="26">
                  <c:v>1.6000000000000001E-3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F-BF41-AB19-3197A8DCC81D}"/>
            </c:ext>
          </c:extLst>
        </c:ser>
        <c:ser>
          <c:idx val="5"/>
          <c:order val="2"/>
          <c:tx>
            <c:strRef>
              <c:f>Intraday!$H$2:$H$3</c:f>
              <c:strCache>
                <c:ptCount val="2"/>
                <c:pt idx="0">
                  <c:v>VN30</c:v>
                </c:pt>
                <c:pt idx="1">
                  <c:v>Biến động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Intraday!$B$4:$B$30</c:f>
              <c:numCache>
                <c:formatCode>m/d/yy</c:formatCode>
                <c:ptCount val="27"/>
                <c:pt idx="0">
                  <c:v>45329</c:v>
                </c:pt>
                <c:pt idx="1">
                  <c:v>45328</c:v>
                </c:pt>
                <c:pt idx="2">
                  <c:v>45327</c:v>
                </c:pt>
                <c:pt idx="3">
                  <c:v>45324</c:v>
                </c:pt>
                <c:pt idx="4">
                  <c:v>45323</c:v>
                </c:pt>
                <c:pt idx="5">
                  <c:v>45322</c:v>
                </c:pt>
                <c:pt idx="6">
                  <c:v>45321</c:v>
                </c:pt>
                <c:pt idx="7">
                  <c:v>45320</c:v>
                </c:pt>
                <c:pt idx="8">
                  <c:v>45317</c:v>
                </c:pt>
                <c:pt idx="9">
                  <c:v>45316</c:v>
                </c:pt>
                <c:pt idx="10">
                  <c:v>45315</c:v>
                </c:pt>
                <c:pt idx="11">
                  <c:v>45314</c:v>
                </c:pt>
                <c:pt idx="12">
                  <c:v>45313</c:v>
                </c:pt>
                <c:pt idx="13">
                  <c:v>45310</c:v>
                </c:pt>
                <c:pt idx="14">
                  <c:v>45309</c:v>
                </c:pt>
                <c:pt idx="15">
                  <c:v>45308</c:v>
                </c:pt>
                <c:pt idx="16">
                  <c:v>45307</c:v>
                </c:pt>
                <c:pt idx="17">
                  <c:v>45306</c:v>
                </c:pt>
                <c:pt idx="18">
                  <c:v>45303</c:v>
                </c:pt>
                <c:pt idx="19">
                  <c:v>45302</c:v>
                </c:pt>
                <c:pt idx="20">
                  <c:v>45301</c:v>
                </c:pt>
                <c:pt idx="21">
                  <c:v>45300</c:v>
                </c:pt>
                <c:pt idx="22">
                  <c:v>45299</c:v>
                </c:pt>
                <c:pt idx="23">
                  <c:v>45296</c:v>
                </c:pt>
                <c:pt idx="24">
                  <c:v>45295</c:v>
                </c:pt>
                <c:pt idx="25">
                  <c:v>45294</c:v>
                </c:pt>
                <c:pt idx="26">
                  <c:v>45293</c:v>
                </c:pt>
              </c:numCache>
            </c:numRef>
          </c:cat>
          <c:val>
            <c:numRef>
              <c:f>Intraday!$H$4:$H$30</c:f>
              <c:numCache>
                <c:formatCode>0.00%</c:formatCode>
                <c:ptCount val="27"/>
                <c:pt idx="0">
                  <c:v>1.1299999999999999E-2</c:v>
                </c:pt>
                <c:pt idx="1">
                  <c:v>1.5E-3</c:v>
                </c:pt>
                <c:pt idx="2">
                  <c:v>1.9199999999999998E-2</c:v>
                </c:pt>
                <c:pt idx="3">
                  <c:v>1.1999999999999999E-3</c:v>
                </c:pt>
                <c:pt idx="4">
                  <c:v>6.0000000000000001E-3</c:v>
                </c:pt>
                <c:pt idx="5">
                  <c:v>-1.2999999999999999E-2</c:v>
                </c:pt>
                <c:pt idx="6">
                  <c:v>2.2000000000000001E-3</c:v>
                </c:pt>
                <c:pt idx="7">
                  <c:v>-3.0999999999999999E-3</c:v>
                </c:pt>
                <c:pt idx="8">
                  <c:v>4.4999999999999997E-3</c:v>
                </c:pt>
                <c:pt idx="9">
                  <c:v>-1.6000000000000001E-3</c:v>
                </c:pt>
                <c:pt idx="10">
                  <c:v>-3.7000000000000002E-3</c:v>
                </c:pt>
                <c:pt idx="11">
                  <c:v>-4.7999999999999996E-3</c:v>
                </c:pt>
                <c:pt idx="12">
                  <c:v>3.7000000000000002E-3</c:v>
                </c:pt>
                <c:pt idx="13">
                  <c:v>9.5999999999999992E-3</c:v>
                </c:pt>
                <c:pt idx="14">
                  <c:v>6.3E-3</c:v>
                </c:pt>
                <c:pt idx="15">
                  <c:v>-3.0999999999999999E-3</c:v>
                </c:pt>
                <c:pt idx="16">
                  <c:v>7.7000000000000002E-3</c:v>
                </c:pt>
                <c:pt idx="17">
                  <c:v>-2E-3</c:v>
                </c:pt>
                <c:pt idx="18">
                  <c:v>1E-4</c:v>
                </c:pt>
                <c:pt idx="19">
                  <c:v>8.0000000000000004E-4</c:v>
                </c:pt>
                <c:pt idx="20">
                  <c:v>2.0999999999999999E-3</c:v>
                </c:pt>
                <c:pt idx="21">
                  <c:v>-2.8E-3</c:v>
                </c:pt>
                <c:pt idx="22">
                  <c:v>2E-3</c:v>
                </c:pt>
                <c:pt idx="23">
                  <c:v>4.1000000000000003E-3</c:v>
                </c:pt>
                <c:pt idx="24">
                  <c:v>1.01E-2</c:v>
                </c:pt>
                <c:pt idx="25">
                  <c:v>1.17E-2</c:v>
                </c:pt>
                <c:pt idx="26">
                  <c:v>2.0000000000000001E-4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25F-BF41-AB19-3197A8DCC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3308767"/>
        <c:axId val="411674223"/>
      </c:barChart>
      <c:lineChart>
        <c:grouping val="standard"/>
        <c:varyColors val="0"/>
        <c:ser>
          <c:idx val="1"/>
          <c:order val="1"/>
          <c:tx>
            <c:strRef>
              <c:f>Intraday!$D$2:$D$3</c:f>
              <c:strCache>
                <c:ptCount val="2"/>
                <c:pt idx="0">
                  <c:v>VNINDEX</c:v>
                </c:pt>
                <c:pt idx="1">
                  <c:v>Luỹ Kế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Intraday!$B$4:$B$30</c:f>
              <c:numCache>
                <c:formatCode>m/d/yy</c:formatCode>
                <c:ptCount val="27"/>
                <c:pt idx="0">
                  <c:v>45329</c:v>
                </c:pt>
                <c:pt idx="1">
                  <c:v>45328</c:v>
                </c:pt>
                <c:pt idx="2">
                  <c:v>45327</c:v>
                </c:pt>
                <c:pt idx="3">
                  <c:v>45324</c:v>
                </c:pt>
                <c:pt idx="4">
                  <c:v>45323</c:v>
                </c:pt>
                <c:pt idx="5">
                  <c:v>45322</c:v>
                </c:pt>
                <c:pt idx="6">
                  <c:v>45321</c:v>
                </c:pt>
                <c:pt idx="7">
                  <c:v>45320</c:v>
                </c:pt>
                <c:pt idx="8">
                  <c:v>45317</c:v>
                </c:pt>
                <c:pt idx="9">
                  <c:v>45316</c:v>
                </c:pt>
                <c:pt idx="10">
                  <c:v>45315</c:v>
                </c:pt>
                <c:pt idx="11">
                  <c:v>45314</c:v>
                </c:pt>
                <c:pt idx="12">
                  <c:v>45313</c:v>
                </c:pt>
                <c:pt idx="13">
                  <c:v>45310</c:v>
                </c:pt>
                <c:pt idx="14">
                  <c:v>45309</c:v>
                </c:pt>
                <c:pt idx="15">
                  <c:v>45308</c:v>
                </c:pt>
                <c:pt idx="16">
                  <c:v>45307</c:v>
                </c:pt>
                <c:pt idx="17">
                  <c:v>45306</c:v>
                </c:pt>
                <c:pt idx="18">
                  <c:v>45303</c:v>
                </c:pt>
                <c:pt idx="19">
                  <c:v>45302</c:v>
                </c:pt>
                <c:pt idx="20">
                  <c:v>45301</c:v>
                </c:pt>
                <c:pt idx="21">
                  <c:v>45300</c:v>
                </c:pt>
                <c:pt idx="22">
                  <c:v>45299</c:v>
                </c:pt>
                <c:pt idx="23">
                  <c:v>45296</c:v>
                </c:pt>
                <c:pt idx="24">
                  <c:v>45295</c:v>
                </c:pt>
                <c:pt idx="25">
                  <c:v>45294</c:v>
                </c:pt>
                <c:pt idx="26">
                  <c:v>45293</c:v>
                </c:pt>
              </c:numCache>
            </c:numRef>
          </c:cat>
          <c:val>
            <c:numRef>
              <c:f>Intraday!$D$4:$D$30</c:f>
              <c:numCache>
                <c:formatCode>0.00%</c:formatCode>
                <c:ptCount val="27"/>
                <c:pt idx="0">
                  <c:v>5.9400000000000001E-2</c:v>
                </c:pt>
                <c:pt idx="1">
                  <c:v>5.0900000000000001E-2</c:v>
                </c:pt>
                <c:pt idx="2">
                  <c:v>4.8899999999999999E-2</c:v>
                </c:pt>
                <c:pt idx="3">
                  <c:v>3.7400000000000003E-2</c:v>
                </c:pt>
                <c:pt idx="4">
                  <c:v>3.78E-2</c:v>
                </c:pt>
                <c:pt idx="5">
                  <c:v>3.0299999999999997E-2</c:v>
                </c:pt>
                <c:pt idx="6">
                  <c:v>4.3299999999999998E-2</c:v>
                </c:pt>
                <c:pt idx="7">
                  <c:v>3.9899999999999998E-2</c:v>
                </c:pt>
                <c:pt idx="8">
                  <c:v>3.9899999999999998E-2</c:v>
                </c:pt>
                <c:pt idx="9">
                  <c:v>3.5400000000000001E-2</c:v>
                </c:pt>
                <c:pt idx="10">
                  <c:v>3.7600000000000001E-2</c:v>
                </c:pt>
                <c:pt idx="11">
                  <c:v>4.1399999999999999E-2</c:v>
                </c:pt>
                <c:pt idx="12">
                  <c:v>4.5899999999999996E-2</c:v>
                </c:pt>
                <c:pt idx="13">
                  <c:v>4.4699999999999997E-2</c:v>
                </c:pt>
                <c:pt idx="14">
                  <c:v>3.4099999999999998E-2</c:v>
                </c:pt>
                <c:pt idx="15">
                  <c:v>2.8499999999999998E-2</c:v>
                </c:pt>
                <c:pt idx="16">
                  <c:v>2.8999999999999998E-2</c:v>
                </c:pt>
                <c:pt idx="17">
                  <c:v>2.12E-2</c:v>
                </c:pt>
                <c:pt idx="18">
                  <c:v>2.1700000000000001E-2</c:v>
                </c:pt>
                <c:pt idx="19">
                  <c:v>2.8199999999999999E-2</c:v>
                </c:pt>
                <c:pt idx="20">
                  <c:v>2.76E-2</c:v>
                </c:pt>
                <c:pt idx="21">
                  <c:v>2.5100000000000001E-2</c:v>
                </c:pt>
                <c:pt idx="22">
                  <c:v>2.6499999999999999E-2</c:v>
                </c:pt>
                <c:pt idx="23">
                  <c:v>2.1700000000000001E-2</c:v>
                </c:pt>
                <c:pt idx="24">
                  <c:v>1.83E-2</c:v>
                </c:pt>
                <c:pt idx="25">
                  <c:v>1.26E-2</c:v>
                </c:pt>
                <c:pt idx="26">
                  <c:v>1.6000000000000001E-3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5F-BF41-AB19-3197A8DCC81D}"/>
            </c:ext>
          </c:extLst>
        </c:ser>
        <c:ser>
          <c:idx val="6"/>
          <c:order val="3"/>
          <c:tx>
            <c:strRef>
              <c:f>Intraday!$I$2:$I$3</c:f>
              <c:strCache>
                <c:ptCount val="2"/>
                <c:pt idx="0">
                  <c:v>VN30</c:v>
                </c:pt>
                <c:pt idx="1">
                  <c:v>Luỹ Kế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Intraday!$B$4:$B$30</c:f>
              <c:numCache>
                <c:formatCode>m/d/yy</c:formatCode>
                <c:ptCount val="27"/>
                <c:pt idx="0">
                  <c:v>45329</c:v>
                </c:pt>
                <c:pt idx="1">
                  <c:v>45328</c:v>
                </c:pt>
                <c:pt idx="2">
                  <c:v>45327</c:v>
                </c:pt>
                <c:pt idx="3">
                  <c:v>45324</c:v>
                </c:pt>
                <c:pt idx="4">
                  <c:v>45323</c:v>
                </c:pt>
                <c:pt idx="5">
                  <c:v>45322</c:v>
                </c:pt>
                <c:pt idx="6">
                  <c:v>45321</c:v>
                </c:pt>
                <c:pt idx="7">
                  <c:v>45320</c:v>
                </c:pt>
                <c:pt idx="8">
                  <c:v>45317</c:v>
                </c:pt>
                <c:pt idx="9">
                  <c:v>45316</c:v>
                </c:pt>
                <c:pt idx="10">
                  <c:v>45315</c:v>
                </c:pt>
                <c:pt idx="11">
                  <c:v>45314</c:v>
                </c:pt>
                <c:pt idx="12">
                  <c:v>45313</c:v>
                </c:pt>
                <c:pt idx="13">
                  <c:v>45310</c:v>
                </c:pt>
                <c:pt idx="14">
                  <c:v>45309</c:v>
                </c:pt>
                <c:pt idx="15">
                  <c:v>45308</c:v>
                </c:pt>
                <c:pt idx="16">
                  <c:v>45307</c:v>
                </c:pt>
                <c:pt idx="17">
                  <c:v>45306</c:v>
                </c:pt>
                <c:pt idx="18">
                  <c:v>45303</c:v>
                </c:pt>
                <c:pt idx="19">
                  <c:v>45302</c:v>
                </c:pt>
                <c:pt idx="20">
                  <c:v>45301</c:v>
                </c:pt>
                <c:pt idx="21">
                  <c:v>45300</c:v>
                </c:pt>
                <c:pt idx="22">
                  <c:v>45299</c:v>
                </c:pt>
                <c:pt idx="23">
                  <c:v>45296</c:v>
                </c:pt>
                <c:pt idx="24">
                  <c:v>45295</c:v>
                </c:pt>
                <c:pt idx="25">
                  <c:v>45294</c:v>
                </c:pt>
                <c:pt idx="26">
                  <c:v>45293</c:v>
                </c:pt>
              </c:numCache>
            </c:numRef>
          </c:cat>
          <c:val>
            <c:numRef>
              <c:f>Intraday!$I$4:$I$30</c:f>
              <c:numCache>
                <c:formatCode>0.00%</c:formatCode>
                <c:ptCount val="27"/>
                <c:pt idx="0">
                  <c:v>7.0199999999999999E-2</c:v>
                </c:pt>
                <c:pt idx="1">
                  <c:v>5.8899999999999994E-2</c:v>
                </c:pt>
                <c:pt idx="2">
                  <c:v>5.7399999999999993E-2</c:v>
                </c:pt>
                <c:pt idx="3">
                  <c:v>3.8199999999999998E-2</c:v>
                </c:pt>
                <c:pt idx="4">
                  <c:v>3.6999999999999998E-2</c:v>
                </c:pt>
                <c:pt idx="5">
                  <c:v>3.1E-2</c:v>
                </c:pt>
                <c:pt idx="6">
                  <c:v>4.3999999999999997E-2</c:v>
                </c:pt>
                <c:pt idx="7">
                  <c:v>4.1799999999999997E-2</c:v>
                </c:pt>
                <c:pt idx="8">
                  <c:v>4.4899999999999995E-2</c:v>
                </c:pt>
                <c:pt idx="9">
                  <c:v>4.0399999999999998E-2</c:v>
                </c:pt>
                <c:pt idx="10">
                  <c:v>4.1999999999999996E-2</c:v>
                </c:pt>
                <c:pt idx="11">
                  <c:v>4.5699999999999998E-2</c:v>
                </c:pt>
                <c:pt idx="12">
                  <c:v>5.0499999999999996E-2</c:v>
                </c:pt>
                <c:pt idx="13">
                  <c:v>4.6799999999999994E-2</c:v>
                </c:pt>
                <c:pt idx="14">
                  <c:v>3.7199999999999997E-2</c:v>
                </c:pt>
                <c:pt idx="15">
                  <c:v>3.0899999999999997E-2</c:v>
                </c:pt>
                <c:pt idx="16">
                  <c:v>3.3999999999999996E-2</c:v>
                </c:pt>
                <c:pt idx="17">
                  <c:v>2.6299999999999997E-2</c:v>
                </c:pt>
                <c:pt idx="18">
                  <c:v>2.8299999999999999E-2</c:v>
                </c:pt>
                <c:pt idx="19">
                  <c:v>2.8199999999999999E-2</c:v>
                </c:pt>
                <c:pt idx="20">
                  <c:v>2.7400000000000001E-2</c:v>
                </c:pt>
                <c:pt idx="21">
                  <c:v>2.53E-2</c:v>
                </c:pt>
                <c:pt idx="22">
                  <c:v>2.81E-2</c:v>
                </c:pt>
                <c:pt idx="23">
                  <c:v>2.6099999999999998E-2</c:v>
                </c:pt>
                <c:pt idx="24">
                  <c:v>2.1999999999999999E-2</c:v>
                </c:pt>
                <c:pt idx="25">
                  <c:v>1.1900000000000001E-2</c:v>
                </c:pt>
                <c:pt idx="26">
                  <c:v>2.0000000000000001E-4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25F-BF41-AB19-3197A8DCC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308767"/>
        <c:axId val="411674223"/>
      </c:lineChart>
      <c:dateAx>
        <c:axId val="403308767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674223"/>
        <c:crosses val="autoZero"/>
        <c:auto val="1"/>
        <c:lblOffset val="100"/>
        <c:baseTimeUnit val="days"/>
      </c:dateAx>
      <c:valAx>
        <c:axId val="411674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03308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30</xdr:row>
      <xdr:rowOff>127000</xdr:rowOff>
    </xdr:from>
    <xdr:to>
      <xdr:col>11</xdr:col>
      <xdr:colOff>603250</xdr:colOff>
      <xdr:row>54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653DB7-8FE1-B4DD-4D26-3277B3BAC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673100</xdr:colOff>
      <xdr:row>30</xdr:row>
      <xdr:rowOff>139700</xdr:rowOff>
    </xdr:from>
    <xdr:to>
      <xdr:col>21</xdr:col>
      <xdr:colOff>1092200</xdr:colOff>
      <xdr:row>54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8D2D3D9-433F-88D4-EC0F-B62F24EA5B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rung.nguyenhoang/Documents/github/ssh/stocks/App/DinhGiaCoPhieu.xlsm" TargetMode="External"/><Relationship Id="rId1" Type="http://schemas.openxmlformats.org/officeDocument/2006/relationships/externalLinkPath" Target="DinhGiaCoPhie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rmula"/>
      <sheetName val="2020"/>
      <sheetName val="2021"/>
      <sheetName val="2022"/>
      <sheetName val="2023"/>
      <sheetName val="PriceValue"/>
      <sheetName val="PE"/>
      <sheetName val="ThongKe"/>
      <sheetName val="Estimate"/>
      <sheetName val="MWG"/>
      <sheetName val="DGW"/>
      <sheetName val="FRT"/>
      <sheetName val="PET"/>
      <sheetName val="PNJ"/>
      <sheetName val="MCH"/>
      <sheetName val="VRE"/>
      <sheetName val="VNM"/>
      <sheetName val="CSV"/>
      <sheetName val="DPM"/>
      <sheetName val="BFC"/>
      <sheetName val="DCM"/>
      <sheetName val="NTP"/>
      <sheetName val="BMP"/>
      <sheetName val="DDV"/>
      <sheetName val="LAS"/>
      <sheetName val="DGC"/>
      <sheetName val="SGP"/>
      <sheetName val="PVT"/>
      <sheetName val="VTP"/>
      <sheetName val="GMD"/>
      <sheetName val="VOS"/>
      <sheetName val="DVP"/>
      <sheetName val="VSC"/>
      <sheetName val="HAH"/>
      <sheetName val="VPG"/>
      <sheetName val="HSG"/>
      <sheetName val="NKG"/>
      <sheetName val="HPG"/>
      <sheetName val="KBC"/>
      <sheetName val="IDC"/>
      <sheetName val="SZC"/>
      <sheetName val="NTC"/>
      <sheetName val="VGC"/>
      <sheetName val="PHR"/>
      <sheetName val="SIP"/>
      <sheetName val="LHG"/>
      <sheetName val="DPR"/>
      <sheetName val="GVR"/>
      <sheetName val="NT2"/>
      <sheetName val="QTP"/>
      <sheetName val="GEG"/>
      <sheetName val="BCG"/>
      <sheetName val="POW"/>
      <sheetName val="VHC"/>
      <sheetName val="ANV"/>
      <sheetName val="IDI"/>
      <sheetName val="FMC"/>
      <sheetName val="ASM"/>
      <sheetName val="MPC"/>
      <sheetName val="PDR"/>
      <sheetName val="DXG"/>
      <sheetName val="TCH"/>
      <sheetName val="SCR"/>
      <sheetName val="NLG"/>
      <sheetName val="KDH"/>
      <sheetName val="VHM"/>
      <sheetName val="DIG"/>
      <sheetName val="NVL"/>
      <sheetName val="NTL"/>
      <sheetName val="DTD"/>
      <sheetName val="CEO"/>
      <sheetName val="HDC"/>
      <sheetName val="STK"/>
      <sheetName val="MSH"/>
      <sheetName val="TNG"/>
      <sheetName val="GIL"/>
      <sheetName val="ADS"/>
      <sheetName val="VGT"/>
      <sheetName val="EVE"/>
      <sheetName val="REE"/>
      <sheetName val="HDG"/>
      <sheetName val="GEX"/>
      <sheetName val="PC1"/>
      <sheetName val="TV2"/>
      <sheetName val="BSR"/>
      <sheetName val="PVD"/>
      <sheetName val="PVS"/>
      <sheetName val="PLX"/>
      <sheetName val="GAS"/>
      <sheetName val="OIL"/>
      <sheetName val="PSH"/>
      <sheetName val="KSB"/>
      <sheetName val="VLB"/>
      <sheetName val="DHA"/>
      <sheetName val="HT1"/>
      <sheetName val="PLC"/>
      <sheetName val="PTB"/>
      <sheetName val="VCS"/>
      <sheetName val="GDT"/>
      <sheetName val="DBC"/>
      <sheetName val="HAG"/>
      <sheetName val="BAF"/>
      <sheetName val="PAN"/>
      <sheetName val="LTG"/>
      <sheetName val="FPT"/>
      <sheetName val="MSN"/>
      <sheetName val="CTR"/>
      <sheetName val="SBT"/>
      <sheetName val="QNS"/>
      <sheetName val="DHC"/>
      <sheetName val="DHG"/>
      <sheetName val="IMP"/>
      <sheetName val="DRC"/>
      <sheetName val="HUT"/>
      <sheetName val="HAX"/>
      <sheetName val="VIC"/>
      <sheetName val="VCG"/>
      <sheetName val="CTD"/>
      <sheetName val="C4G"/>
      <sheetName val="VGI"/>
      <sheetName val="FCN"/>
      <sheetName val="CII"/>
      <sheetName val="THG"/>
      <sheetName val="HHV"/>
      <sheetName val="LCG"/>
      <sheetName val="DPG"/>
      <sheetName val="BCM"/>
      <sheetName val="SSI"/>
      <sheetName val="VND"/>
      <sheetName val="BSI"/>
      <sheetName val="FTS"/>
      <sheetName val="MBS"/>
      <sheetName val="VIX"/>
      <sheetName val="VCI"/>
      <sheetName val="HCM"/>
      <sheetName val="SHS"/>
      <sheetName val="CTS"/>
      <sheetName val="VDS"/>
      <sheetName val="ORS"/>
      <sheetName val="VCB"/>
      <sheetName val="TCB"/>
      <sheetName val="ACB"/>
      <sheetName val="MBB"/>
      <sheetName val="VPB"/>
      <sheetName val="STB"/>
      <sheetName val="CTG"/>
      <sheetName val="SHB"/>
      <sheetName val="VIB"/>
      <sheetName val="LPB"/>
      <sheetName val="TPB"/>
      <sheetName val="HDB"/>
      <sheetName val="MSB"/>
    </sheetNames>
    <sheetDataSet>
      <sheetData sheetId="0" refreshError="1"/>
      <sheetData sheetId="1" refreshError="1"/>
      <sheetData sheetId="2" refreshError="1"/>
      <sheetData sheetId="3" refreshError="1"/>
      <sheetData sheetId="4">
        <row r="41">
          <cell r="A41" t="str">
            <v>HNG</v>
          </cell>
          <cell r="B41">
            <v>11085538</v>
          </cell>
          <cell r="C41">
            <v>2305802</v>
          </cell>
          <cell r="D41">
            <v>1108553895</v>
          </cell>
          <cell r="E41">
            <v>605591</v>
          </cell>
          <cell r="F41">
            <v>-1050010</v>
          </cell>
        </row>
        <row r="42">
          <cell r="A42" t="str">
            <v>TCH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</row>
        <row r="43">
          <cell r="A43" t="str">
            <v>TCM</v>
          </cell>
          <cell r="B43">
            <v>926977</v>
          </cell>
          <cell r="C43">
            <v>2010136</v>
          </cell>
          <cell r="D43">
            <v>92697714</v>
          </cell>
          <cell r="E43">
            <v>3324824</v>
          </cell>
          <cell r="F43">
            <v>131907</v>
          </cell>
        </row>
        <row r="44">
          <cell r="A44" t="str">
            <v>VGI</v>
          </cell>
          <cell r="B44">
            <v>30438112</v>
          </cell>
          <cell r="C44">
            <v>30362756</v>
          </cell>
          <cell r="D44">
            <v>3043811200</v>
          </cell>
          <cell r="E44">
            <v>28192105</v>
          </cell>
          <cell r="F44">
            <v>444961</v>
          </cell>
        </row>
        <row r="45">
          <cell r="A45" t="str">
            <v>OIL</v>
          </cell>
          <cell r="B45">
            <v>10342295</v>
          </cell>
          <cell r="C45">
            <v>11397133</v>
          </cell>
          <cell r="D45">
            <v>1034229500</v>
          </cell>
          <cell r="E45">
            <v>102668902</v>
          </cell>
          <cell r="F45">
            <v>576728</v>
          </cell>
        </row>
        <row r="46">
          <cell r="A46" t="str">
            <v>VPG</v>
          </cell>
          <cell r="B46">
            <v>842070</v>
          </cell>
          <cell r="C46">
            <v>1493065</v>
          </cell>
          <cell r="D46">
            <v>84207071</v>
          </cell>
          <cell r="E46">
            <v>6337724</v>
          </cell>
          <cell r="F46">
            <v>19542</v>
          </cell>
        </row>
        <row r="47">
          <cell r="A47" t="str">
            <v>GDT</v>
          </cell>
          <cell r="B47">
            <v>218725</v>
          </cell>
          <cell r="C47">
            <v>291574</v>
          </cell>
          <cell r="D47">
            <v>21872592</v>
          </cell>
          <cell r="E47">
            <v>309782</v>
          </cell>
          <cell r="F47">
            <v>36622</v>
          </cell>
        </row>
        <row r="48">
          <cell r="A48" t="str">
            <v>PLC</v>
          </cell>
          <cell r="B48">
            <v>807988</v>
          </cell>
          <cell r="C48">
            <v>1319354</v>
          </cell>
          <cell r="D48">
            <v>80798839</v>
          </cell>
          <cell r="E48">
            <v>7960653</v>
          </cell>
          <cell r="F48">
            <v>107738</v>
          </cell>
        </row>
        <row r="49">
          <cell r="A49" t="str">
            <v>DVP</v>
          </cell>
          <cell r="B49">
            <v>400000</v>
          </cell>
          <cell r="C49">
            <v>1374260</v>
          </cell>
          <cell r="D49">
            <v>40000000</v>
          </cell>
          <cell r="E49">
            <v>549212</v>
          </cell>
          <cell r="F49">
            <v>328926</v>
          </cell>
        </row>
        <row r="50">
          <cell r="A50" t="str">
            <v>SGP</v>
          </cell>
          <cell r="B50">
            <v>2162949</v>
          </cell>
          <cell r="C50">
            <v>2841345</v>
          </cell>
          <cell r="D50">
            <v>216294961</v>
          </cell>
          <cell r="E50">
            <v>942618</v>
          </cell>
          <cell r="F50">
            <v>293244</v>
          </cell>
        </row>
        <row r="51">
          <cell r="A51" t="str">
            <v>EVE</v>
          </cell>
          <cell r="B51">
            <v>419797</v>
          </cell>
          <cell r="C51">
            <v>998827</v>
          </cell>
          <cell r="D51">
            <v>41979773</v>
          </cell>
          <cell r="E51">
            <v>786853</v>
          </cell>
          <cell r="F51">
            <v>17894</v>
          </cell>
        </row>
        <row r="52">
          <cell r="A52" t="str">
            <v>BCC</v>
          </cell>
          <cell r="B52">
            <v>1232098</v>
          </cell>
          <cell r="C52">
            <v>1818723</v>
          </cell>
          <cell r="D52">
            <v>123209812</v>
          </cell>
          <cell r="E52">
            <v>3081365</v>
          </cell>
          <cell r="F52">
            <v>-193682</v>
          </cell>
        </row>
        <row r="53">
          <cell r="A53" t="str">
            <v>EVF</v>
          </cell>
          <cell r="B53">
            <v>7042483</v>
          </cell>
          <cell r="C53">
            <v>8456218</v>
          </cell>
          <cell r="D53">
            <v>704248300</v>
          </cell>
          <cell r="E53">
            <v>709025</v>
          </cell>
          <cell r="F53">
            <v>328379</v>
          </cell>
        </row>
        <row r="54">
          <cell r="A54" t="str">
            <v>IJC</v>
          </cell>
          <cell r="B54">
            <v>2518325</v>
          </cell>
          <cell r="C54">
            <v>3823844</v>
          </cell>
          <cell r="D54">
            <v>251832509</v>
          </cell>
          <cell r="E54">
            <v>1493713</v>
          </cell>
          <cell r="F54">
            <v>395038</v>
          </cell>
        </row>
        <row r="55">
          <cell r="A55" t="str">
            <v>CTS</v>
          </cell>
          <cell r="B55">
            <v>1487383</v>
          </cell>
          <cell r="C55">
            <v>2038115</v>
          </cell>
          <cell r="D55">
            <v>148738311</v>
          </cell>
          <cell r="E55">
            <v>1144680</v>
          </cell>
          <cell r="F55">
            <v>187581</v>
          </cell>
        </row>
        <row r="56">
          <cell r="A56" t="str">
            <v>BVH</v>
          </cell>
          <cell r="B56">
            <v>7423227</v>
          </cell>
          <cell r="C56">
            <v>22196978</v>
          </cell>
          <cell r="D56">
            <v>742322764</v>
          </cell>
          <cell r="E56">
            <v>40034309</v>
          </cell>
          <cell r="F56">
            <v>1722756</v>
          </cell>
        </row>
        <row r="57">
          <cell r="A57" t="str">
            <v>TIG</v>
          </cell>
          <cell r="B57">
            <v>1936062</v>
          </cell>
          <cell r="C57">
            <v>2580355</v>
          </cell>
          <cell r="D57">
            <v>193606205</v>
          </cell>
          <cell r="E57">
            <v>1230477</v>
          </cell>
          <cell r="F57">
            <v>210075</v>
          </cell>
        </row>
        <row r="58">
          <cell r="A58" t="str">
            <v>SIP</v>
          </cell>
          <cell r="B58">
            <v>1818079</v>
          </cell>
          <cell r="C58">
            <v>4038759</v>
          </cell>
          <cell r="D58">
            <v>181807923</v>
          </cell>
          <cell r="E58">
            <v>6673425</v>
          </cell>
          <cell r="F58">
            <v>956238</v>
          </cell>
        </row>
        <row r="59">
          <cell r="A59" t="str">
            <v>CRE</v>
          </cell>
          <cell r="B59">
            <v>4636785</v>
          </cell>
          <cell r="C59">
            <v>5619478</v>
          </cell>
          <cell r="D59">
            <v>463678534</v>
          </cell>
          <cell r="E59">
            <v>932598</v>
          </cell>
          <cell r="F59">
            <v>2485</v>
          </cell>
        </row>
        <row r="60">
          <cell r="A60" t="str">
            <v>HHS</v>
          </cell>
          <cell r="B60">
            <v>3471607</v>
          </cell>
          <cell r="C60">
            <v>4501250</v>
          </cell>
          <cell r="D60">
            <v>347160713</v>
          </cell>
          <cell r="E60">
            <v>366575</v>
          </cell>
          <cell r="F60">
            <v>348117</v>
          </cell>
        </row>
        <row r="61">
          <cell r="A61" t="str">
            <v>PSH</v>
          </cell>
          <cell r="B61">
            <v>1261967</v>
          </cell>
          <cell r="C61">
            <v>1601029</v>
          </cell>
          <cell r="D61">
            <v>126196780</v>
          </cell>
          <cell r="E61">
            <v>6094831</v>
          </cell>
          <cell r="F61">
            <v>56915</v>
          </cell>
        </row>
        <row r="62">
          <cell r="A62" t="str">
            <v>FIT</v>
          </cell>
          <cell r="B62">
            <v>3399330</v>
          </cell>
          <cell r="C62">
            <v>5788794</v>
          </cell>
          <cell r="D62">
            <v>339933034</v>
          </cell>
          <cell r="E62">
            <v>1753876</v>
          </cell>
          <cell r="F62">
            <v>-113104</v>
          </cell>
        </row>
        <row r="63">
          <cell r="A63" t="str">
            <v>LCG</v>
          </cell>
          <cell r="B63">
            <v>1916411</v>
          </cell>
          <cell r="C63">
            <v>2555023</v>
          </cell>
          <cell r="D63">
            <v>191641170</v>
          </cell>
          <cell r="E63">
            <v>2030546</v>
          </cell>
          <cell r="F63">
            <v>120407</v>
          </cell>
        </row>
        <row r="64">
          <cell r="A64" t="str">
            <v>TTF</v>
          </cell>
          <cell r="B64">
            <v>4111983</v>
          </cell>
          <cell r="C64">
            <v>343896</v>
          </cell>
          <cell r="D64">
            <v>411198302</v>
          </cell>
          <cell r="E64">
            <v>1545450</v>
          </cell>
          <cell r="F64">
            <v>10847</v>
          </cell>
        </row>
        <row r="65">
          <cell r="A65" t="str">
            <v>ACL</v>
          </cell>
          <cell r="B65">
            <v>501590</v>
          </cell>
          <cell r="C65">
            <v>801265</v>
          </cell>
          <cell r="D65">
            <v>50159019</v>
          </cell>
          <cell r="E65">
            <v>1116757</v>
          </cell>
          <cell r="F65">
            <v>11976</v>
          </cell>
        </row>
        <row r="66">
          <cell r="A66" t="str">
            <v>HBC</v>
          </cell>
          <cell r="B66">
            <v>2741332</v>
          </cell>
          <cell r="C66">
            <v>453621</v>
          </cell>
          <cell r="D66">
            <v>274133270</v>
          </cell>
          <cell r="E66">
            <v>7546426</v>
          </cell>
          <cell r="F66">
            <v>-777544</v>
          </cell>
        </row>
        <row r="67">
          <cell r="A67" t="str">
            <v>DXS</v>
          </cell>
          <cell r="B67">
            <v>5741031</v>
          </cell>
          <cell r="C67">
            <v>8102854</v>
          </cell>
          <cell r="D67">
            <v>574103124</v>
          </cell>
          <cell r="E67">
            <v>1978398</v>
          </cell>
          <cell r="F67">
            <v>-168210</v>
          </cell>
        </row>
        <row r="68">
          <cell r="A68" t="str">
            <v>SCR</v>
          </cell>
          <cell r="B68">
            <v>3956617</v>
          </cell>
          <cell r="C68">
            <v>5124919</v>
          </cell>
          <cell r="D68">
            <v>395661775</v>
          </cell>
          <cell r="E68">
            <v>371202</v>
          </cell>
          <cell r="F68">
            <v>8488</v>
          </cell>
        </row>
        <row r="69">
          <cell r="A69" t="str">
            <v>HQC</v>
          </cell>
          <cell r="B69">
            <v>4766000</v>
          </cell>
          <cell r="C69">
            <v>4364393</v>
          </cell>
          <cell r="D69">
            <v>476600000</v>
          </cell>
          <cell r="E69">
            <v>292813</v>
          </cell>
          <cell r="F69">
            <v>5062</v>
          </cell>
        </row>
        <row r="70">
          <cell r="A70" t="str">
            <v>MIG</v>
          </cell>
          <cell r="B70">
            <v>1726725</v>
          </cell>
          <cell r="C70">
            <v>2081258</v>
          </cell>
          <cell r="D70">
            <v>172672500</v>
          </cell>
          <cell r="E70">
            <v>3593871</v>
          </cell>
          <cell r="F70">
            <v>280554</v>
          </cell>
        </row>
        <row r="71">
          <cell r="A71" t="str">
            <v>BCG</v>
          </cell>
          <cell r="B71">
            <v>5334676</v>
          </cell>
          <cell r="C71">
            <v>17456179</v>
          </cell>
          <cell r="D71">
            <v>533467622</v>
          </cell>
          <cell r="E71">
            <v>4011612</v>
          </cell>
          <cell r="F71">
            <v>75034</v>
          </cell>
        </row>
        <row r="72">
          <cell r="A72" t="str">
            <v>BFC</v>
          </cell>
          <cell r="B72">
            <v>571679</v>
          </cell>
          <cell r="C72">
            <v>1285955</v>
          </cell>
          <cell r="D72">
            <v>57167993</v>
          </cell>
          <cell r="E72">
            <v>8588409</v>
          </cell>
          <cell r="F72">
            <v>148358</v>
          </cell>
        </row>
        <row r="73">
          <cell r="A73" t="str">
            <v>SMC</v>
          </cell>
          <cell r="B73">
            <v>736785</v>
          </cell>
          <cell r="C73">
            <v>803767</v>
          </cell>
          <cell r="D73">
            <v>73678587</v>
          </cell>
          <cell r="E73">
            <v>13786263</v>
          </cell>
          <cell r="F73">
            <v>-879288</v>
          </cell>
        </row>
        <row r="74">
          <cell r="A74" t="str">
            <v>VGS</v>
          </cell>
          <cell r="B74">
            <v>532696</v>
          </cell>
          <cell r="C74">
            <v>981355</v>
          </cell>
          <cell r="D74">
            <v>53269670</v>
          </cell>
          <cell r="E74">
            <v>7555693</v>
          </cell>
          <cell r="F74">
            <v>58066</v>
          </cell>
        </row>
        <row r="75">
          <cell r="A75" t="str">
            <v>VIC</v>
          </cell>
          <cell r="B75">
            <v>38785833</v>
          </cell>
          <cell r="C75">
            <v>148021576</v>
          </cell>
          <cell r="D75">
            <v>3878583300</v>
          </cell>
          <cell r="E75">
            <v>161634280</v>
          </cell>
          <cell r="F75">
            <v>2062572</v>
          </cell>
        </row>
        <row r="76">
          <cell r="A76" t="str">
            <v>MSN</v>
          </cell>
          <cell r="B76">
            <v>14308434</v>
          </cell>
          <cell r="C76">
            <v>38237241</v>
          </cell>
          <cell r="D76">
            <v>1430843400</v>
          </cell>
          <cell r="E76">
            <v>78251619</v>
          </cell>
          <cell r="F76">
            <v>418695</v>
          </cell>
        </row>
        <row r="77">
          <cell r="A77" t="str">
            <v>GEX</v>
          </cell>
          <cell r="B77">
            <v>8514957</v>
          </cell>
          <cell r="C77">
            <v>21224630</v>
          </cell>
          <cell r="D77">
            <v>851495793</v>
          </cell>
          <cell r="E77">
            <v>29998097</v>
          </cell>
          <cell r="F77">
            <v>331021</v>
          </cell>
        </row>
        <row r="78">
          <cell r="A78" t="str">
            <v>HDG</v>
          </cell>
          <cell r="B78">
            <v>3057568</v>
          </cell>
          <cell r="C78">
            <v>7314694</v>
          </cell>
          <cell r="D78">
            <v>305756841</v>
          </cell>
          <cell r="E78">
            <v>2881512</v>
          </cell>
          <cell r="F78">
            <v>711503</v>
          </cell>
        </row>
        <row r="79">
          <cell r="A79" t="str">
            <v>REE</v>
          </cell>
          <cell r="B79">
            <v>4097142</v>
          </cell>
          <cell r="C79">
            <v>20770325</v>
          </cell>
          <cell r="D79">
            <v>409714260</v>
          </cell>
          <cell r="E79">
            <v>8569581</v>
          </cell>
          <cell r="F79">
            <v>2187861</v>
          </cell>
        </row>
        <row r="80">
          <cell r="A80" t="str">
            <v>DRC</v>
          </cell>
          <cell r="B80">
            <v>1187926</v>
          </cell>
          <cell r="C80">
            <v>1852784</v>
          </cell>
          <cell r="D80">
            <v>118792605</v>
          </cell>
          <cell r="E80">
            <v>4495174</v>
          </cell>
          <cell r="F80">
            <v>247740</v>
          </cell>
        </row>
        <row r="81">
          <cell r="A81" t="str">
            <v>DHC</v>
          </cell>
          <cell r="B81">
            <v>804930</v>
          </cell>
          <cell r="C81">
            <v>1851647</v>
          </cell>
          <cell r="D81">
            <v>80493048</v>
          </cell>
          <cell r="E81">
            <v>3258908</v>
          </cell>
          <cell r="F81">
            <v>309081</v>
          </cell>
        </row>
        <row r="82">
          <cell r="A82" t="str">
            <v>HUT</v>
          </cell>
          <cell r="B82">
            <v>8925119</v>
          </cell>
          <cell r="C82">
            <v>11252093</v>
          </cell>
          <cell r="D82">
            <v>892511965</v>
          </cell>
          <cell r="E82">
            <v>10975028</v>
          </cell>
          <cell r="F82">
            <v>43634</v>
          </cell>
        </row>
        <row r="83">
          <cell r="A83" t="str">
            <v>VEA</v>
          </cell>
          <cell r="B83">
            <v>13288000</v>
          </cell>
          <cell r="C83">
            <v>25760980</v>
          </cell>
          <cell r="D83">
            <v>1328800000</v>
          </cell>
          <cell r="E83">
            <v>3842549</v>
          </cell>
          <cell r="F83">
            <v>6233582</v>
          </cell>
        </row>
        <row r="84">
          <cell r="A84" t="str">
            <v>HAX</v>
          </cell>
          <cell r="B84">
            <v>934275</v>
          </cell>
          <cell r="C84">
            <v>1164003</v>
          </cell>
          <cell r="D84">
            <v>93427565</v>
          </cell>
          <cell r="E84">
            <v>3981921</v>
          </cell>
          <cell r="F84">
            <v>34589</v>
          </cell>
        </row>
        <row r="85">
          <cell r="A85" t="str">
            <v>FPT</v>
          </cell>
          <cell r="B85">
            <v>12699688</v>
          </cell>
          <cell r="C85">
            <v>29948354</v>
          </cell>
          <cell r="D85">
            <v>1269968875</v>
          </cell>
          <cell r="E85">
            <v>52617900</v>
          </cell>
          <cell r="F85">
            <v>6470522</v>
          </cell>
        </row>
        <row r="86">
          <cell r="A86" t="str">
            <v>AMV</v>
          </cell>
          <cell r="B86">
            <v>1311056</v>
          </cell>
          <cell r="C86">
            <v>1689816</v>
          </cell>
          <cell r="D86">
            <v>131105650</v>
          </cell>
          <cell r="E86">
            <v>196107</v>
          </cell>
          <cell r="F86">
            <v>13581</v>
          </cell>
        </row>
        <row r="87">
          <cell r="A87" t="str">
            <v>IMP</v>
          </cell>
          <cell r="B87">
            <v>700384</v>
          </cell>
          <cell r="C87">
            <v>2084578</v>
          </cell>
          <cell r="D87">
            <v>70038449</v>
          </cell>
          <cell r="E87">
            <v>1994036</v>
          </cell>
          <cell r="F87">
            <v>299556</v>
          </cell>
        </row>
        <row r="88">
          <cell r="A88" t="str">
            <v>DHG</v>
          </cell>
          <cell r="B88">
            <v>1307460</v>
          </cell>
          <cell r="C88">
            <v>4853762</v>
          </cell>
          <cell r="D88">
            <v>130746071</v>
          </cell>
          <cell r="E88">
            <v>5015395</v>
          </cell>
          <cell r="F88">
            <v>1051490</v>
          </cell>
        </row>
        <row r="89">
          <cell r="A89" t="str">
            <v>SLS</v>
          </cell>
          <cell r="B89">
            <v>97919</v>
          </cell>
          <cell r="C89">
            <v>1218872</v>
          </cell>
          <cell r="D89">
            <v>9791945</v>
          </cell>
          <cell r="E89">
            <v>1619561</v>
          </cell>
          <cell r="F89">
            <v>523378</v>
          </cell>
        </row>
        <row r="90">
          <cell r="A90" t="str">
            <v>LSS</v>
          </cell>
          <cell r="B90">
            <v>745479</v>
          </cell>
          <cell r="C90">
            <v>1705645</v>
          </cell>
          <cell r="D90">
            <v>74547993</v>
          </cell>
          <cell r="E90">
            <v>2808504</v>
          </cell>
          <cell r="F90">
            <v>119756</v>
          </cell>
        </row>
        <row r="91">
          <cell r="A91" t="str">
            <v>SBT</v>
          </cell>
          <cell r="B91">
            <v>7621123</v>
          </cell>
          <cell r="C91">
            <v>11100192</v>
          </cell>
          <cell r="D91">
            <v>762112326</v>
          </cell>
          <cell r="E91">
            <v>25893559</v>
          </cell>
          <cell r="F91">
            <v>553352</v>
          </cell>
        </row>
        <row r="92">
          <cell r="A92" t="str">
            <v>QNS</v>
          </cell>
          <cell r="B92">
            <v>3569399</v>
          </cell>
          <cell r="C92">
            <v>8586571</v>
          </cell>
          <cell r="D92">
            <v>356939955</v>
          </cell>
          <cell r="E92">
            <v>10022843</v>
          </cell>
          <cell r="F92">
            <v>2189477</v>
          </cell>
        </row>
        <row r="93">
          <cell r="A93" t="str">
            <v>GIL</v>
          </cell>
          <cell r="B93">
            <v>700000</v>
          </cell>
          <cell r="C93">
            <v>2542758</v>
          </cell>
          <cell r="D93">
            <v>69999286</v>
          </cell>
          <cell r="E93">
            <v>936395</v>
          </cell>
          <cell r="F93">
            <v>27640</v>
          </cell>
        </row>
        <row r="94">
          <cell r="A94" t="str">
            <v>ADS</v>
          </cell>
          <cell r="B94">
            <v>583947</v>
          </cell>
          <cell r="C94">
            <v>931156</v>
          </cell>
          <cell r="D94">
            <v>58394727</v>
          </cell>
          <cell r="E94">
            <v>1642250</v>
          </cell>
          <cell r="F94">
            <v>66773</v>
          </cell>
        </row>
        <row r="95">
          <cell r="A95" t="str">
            <v>MSH</v>
          </cell>
          <cell r="B95">
            <v>750141</v>
          </cell>
          <cell r="C95">
            <v>1809754</v>
          </cell>
          <cell r="D95">
            <v>75014100</v>
          </cell>
          <cell r="E95">
            <v>4541907</v>
          </cell>
          <cell r="F95">
            <v>244549</v>
          </cell>
        </row>
        <row r="96">
          <cell r="A96" t="str">
            <v>STK</v>
          </cell>
          <cell r="B96">
            <v>966369</v>
          </cell>
          <cell r="C96">
            <v>1628428</v>
          </cell>
          <cell r="D96">
            <v>96636924</v>
          </cell>
          <cell r="E96">
            <v>1425063</v>
          </cell>
          <cell r="F96">
            <v>87338</v>
          </cell>
        </row>
        <row r="97">
          <cell r="A97" t="str">
            <v>VGT</v>
          </cell>
          <cell r="B97">
            <v>5000000</v>
          </cell>
          <cell r="C97">
            <v>9185529</v>
          </cell>
          <cell r="D97">
            <v>500000000</v>
          </cell>
          <cell r="E97">
            <v>16486989</v>
          </cell>
          <cell r="F97">
            <v>61914</v>
          </cell>
        </row>
        <row r="98">
          <cell r="A98" t="str">
            <v>TNG</v>
          </cell>
          <cell r="B98">
            <v>1135230</v>
          </cell>
          <cell r="C98">
            <v>1861144</v>
          </cell>
          <cell r="D98">
            <v>113523002</v>
          </cell>
          <cell r="E98">
            <v>7095751</v>
          </cell>
          <cell r="F98">
            <v>225686</v>
          </cell>
        </row>
        <row r="99">
          <cell r="A99" t="str">
            <v>BAF</v>
          </cell>
          <cell r="B99">
            <v>1435200</v>
          </cell>
          <cell r="C99">
            <v>1906596</v>
          </cell>
          <cell r="D99">
            <v>143520000</v>
          </cell>
          <cell r="E99">
            <v>5250436</v>
          </cell>
          <cell r="F99">
            <v>19955</v>
          </cell>
        </row>
        <row r="100">
          <cell r="A100" t="str">
            <v>HAG</v>
          </cell>
          <cell r="B100">
            <v>9274679</v>
          </cell>
          <cell r="C100">
            <v>6725865</v>
          </cell>
          <cell r="D100">
            <v>927467947</v>
          </cell>
          <cell r="E100">
            <v>6932147</v>
          </cell>
          <cell r="F100">
            <v>1709132</v>
          </cell>
        </row>
        <row r="101">
          <cell r="A101" t="str">
            <v>DBC</v>
          </cell>
          <cell r="B101">
            <v>2420018</v>
          </cell>
          <cell r="C101">
            <v>4666234</v>
          </cell>
          <cell r="D101">
            <v>242001859</v>
          </cell>
          <cell r="E101">
            <v>11110000</v>
          </cell>
          <cell r="F101">
            <v>25007</v>
          </cell>
        </row>
        <row r="102">
          <cell r="A102" t="str">
            <v>VCS</v>
          </cell>
          <cell r="B102">
            <v>1600000</v>
          </cell>
          <cell r="C102">
            <v>4985818</v>
          </cell>
          <cell r="D102">
            <v>160000000</v>
          </cell>
          <cell r="E102">
            <v>4353861</v>
          </cell>
          <cell r="F102">
            <v>846380</v>
          </cell>
        </row>
        <row r="103">
          <cell r="A103" t="str">
            <v>PTB</v>
          </cell>
          <cell r="B103">
            <v>669384</v>
          </cell>
          <cell r="C103">
            <v>2811172</v>
          </cell>
          <cell r="D103">
            <v>66938403</v>
          </cell>
          <cell r="E103">
            <v>5618569</v>
          </cell>
          <cell r="F103">
            <v>292398</v>
          </cell>
        </row>
        <row r="104">
          <cell r="A104" t="str">
            <v>LTG</v>
          </cell>
          <cell r="B104">
            <v>1007414</v>
          </cell>
          <cell r="C104">
            <v>3314492</v>
          </cell>
          <cell r="D104">
            <v>100741465</v>
          </cell>
          <cell r="E104">
            <v>16068634</v>
          </cell>
          <cell r="F104">
            <v>265496</v>
          </cell>
        </row>
        <row r="105">
          <cell r="A105" t="str">
            <v>PAN</v>
          </cell>
          <cell r="B105">
            <v>2162945</v>
          </cell>
          <cell r="C105">
            <v>8340761</v>
          </cell>
          <cell r="D105">
            <v>216294580</v>
          </cell>
          <cell r="E105">
            <v>13204956</v>
          </cell>
          <cell r="F105">
            <v>407686</v>
          </cell>
        </row>
        <row r="106">
          <cell r="A106" t="str">
            <v>DPM</v>
          </cell>
          <cell r="B106">
            <v>3914000</v>
          </cell>
          <cell r="C106">
            <v>11558407</v>
          </cell>
          <cell r="D106">
            <v>391400000</v>
          </cell>
          <cell r="E106">
            <v>13569185</v>
          </cell>
          <cell r="F106">
            <v>532673</v>
          </cell>
        </row>
        <row r="107">
          <cell r="A107" t="str">
            <v>DCM</v>
          </cell>
          <cell r="B107">
            <v>5294000</v>
          </cell>
          <cell r="C107">
            <v>9993191</v>
          </cell>
          <cell r="D107">
            <v>529400000</v>
          </cell>
          <cell r="E107">
            <v>12601811</v>
          </cell>
          <cell r="F107">
            <v>1107087</v>
          </cell>
        </row>
        <row r="108">
          <cell r="A108" t="str">
            <v>NTP</v>
          </cell>
          <cell r="B108">
            <v>1295753</v>
          </cell>
          <cell r="C108">
            <v>3115499</v>
          </cell>
          <cell r="D108">
            <v>129575334</v>
          </cell>
          <cell r="E108">
            <v>5175862</v>
          </cell>
          <cell r="F108">
            <v>559414</v>
          </cell>
        </row>
        <row r="109">
          <cell r="A109" t="str">
            <v>BMP</v>
          </cell>
          <cell r="B109">
            <v>818609</v>
          </cell>
          <cell r="C109">
            <v>2689728</v>
          </cell>
          <cell r="D109">
            <v>81860938</v>
          </cell>
          <cell r="E109">
            <v>5156984</v>
          </cell>
          <cell r="F109">
            <v>1041006</v>
          </cell>
        </row>
        <row r="110">
          <cell r="A110" t="str">
            <v>HT1</v>
          </cell>
          <cell r="B110">
            <v>3815899</v>
          </cell>
          <cell r="C110">
            <v>4832101</v>
          </cell>
          <cell r="D110">
            <v>381589911</v>
          </cell>
          <cell r="E110">
            <v>7049026</v>
          </cell>
          <cell r="F110">
            <v>16918</v>
          </cell>
        </row>
        <row r="111">
          <cell r="A111" t="str">
            <v>VLB</v>
          </cell>
          <cell r="B111">
            <v>469216</v>
          </cell>
          <cell r="C111">
            <v>607359</v>
          </cell>
          <cell r="D111">
            <v>46921600</v>
          </cell>
          <cell r="E111">
            <v>1003204</v>
          </cell>
          <cell r="F111">
            <v>143041</v>
          </cell>
        </row>
        <row r="112">
          <cell r="A112" t="str">
            <v>DHA</v>
          </cell>
          <cell r="B112">
            <v>151199</v>
          </cell>
          <cell r="C112">
            <v>419660</v>
          </cell>
          <cell r="D112">
            <v>15119946</v>
          </cell>
          <cell r="E112">
            <v>375398</v>
          </cell>
          <cell r="F112">
            <v>95945</v>
          </cell>
        </row>
        <row r="113">
          <cell r="A113" t="str">
            <v>KSB</v>
          </cell>
          <cell r="B113">
            <v>766312</v>
          </cell>
          <cell r="C113">
            <v>2000552</v>
          </cell>
          <cell r="D113">
            <v>76631202</v>
          </cell>
          <cell r="E113">
            <v>528624</v>
          </cell>
          <cell r="F113">
            <v>77039</v>
          </cell>
        </row>
        <row r="114">
          <cell r="A114" t="str">
            <v>GAS</v>
          </cell>
          <cell r="B114">
            <v>22967398</v>
          </cell>
          <cell r="C114">
            <v>65298620</v>
          </cell>
          <cell r="D114">
            <v>2296739847</v>
          </cell>
          <cell r="E114">
            <v>89953906</v>
          </cell>
          <cell r="F114">
            <v>11606030</v>
          </cell>
        </row>
        <row r="115">
          <cell r="A115" t="str">
            <v>PLX</v>
          </cell>
          <cell r="B115">
            <v>12938780</v>
          </cell>
          <cell r="C115">
            <v>29185288</v>
          </cell>
          <cell r="D115">
            <v>1293878081</v>
          </cell>
          <cell r="E115">
            <v>274252672</v>
          </cell>
          <cell r="F115">
            <v>2811979</v>
          </cell>
        </row>
        <row r="116">
          <cell r="A116" t="str">
            <v>PVT</v>
          </cell>
          <cell r="B116">
            <v>3236512</v>
          </cell>
          <cell r="C116">
            <v>9026376</v>
          </cell>
          <cell r="D116">
            <v>323651246</v>
          </cell>
          <cell r="E116">
            <v>9487001</v>
          </cell>
          <cell r="F116">
            <v>980250</v>
          </cell>
        </row>
        <row r="117">
          <cell r="A117" t="str">
            <v>PVS</v>
          </cell>
          <cell r="B117">
            <v>4779662</v>
          </cell>
          <cell r="C117">
            <v>13383631</v>
          </cell>
          <cell r="D117">
            <v>477966290</v>
          </cell>
          <cell r="E117">
            <v>19349375</v>
          </cell>
          <cell r="F117">
            <v>866117</v>
          </cell>
        </row>
        <row r="118">
          <cell r="A118" t="str">
            <v>PVD</v>
          </cell>
          <cell r="B118">
            <v>5562960</v>
          </cell>
          <cell r="C118">
            <v>14894247</v>
          </cell>
          <cell r="D118">
            <v>556296006</v>
          </cell>
          <cell r="E118">
            <v>5811685</v>
          </cell>
          <cell r="F118">
            <v>579356</v>
          </cell>
        </row>
        <row r="119">
          <cell r="A119" t="str">
            <v>BSR</v>
          </cell>
          <cell r="B119">
            <v>31004996</v>
          </cell>
          <cell r="C119">
            <v>57130996</v>
          </cell>
          <cell r="D119">
            <v>3100499616</v>
          </cell>
          <cell r="E119">
            <v>147423365</v>
          </cell>
          <cell r="F119">
            <v>8511438</v>
          </cell>
        </row>
        <row r="120">
          <cell r="A120" t="str">
            <v>HSG</v>
          </cell>
          <cell r="B120">
            <v>6159823</v>
          </cell>
          <cell r="C120">
            <v>10870578</v>
          </cell>
          <cell r="D120">
            <v>615982309</v>
          </cell>
          <cell r="E120">
            <v>32806456</v>
          </cell>
          <cell r="F120">
            <v>813601</v>
          </cell>
        </row>
        <row r="121">
          <cell r="A121" t="str">
            <v>NKG</v>
          </cell>
          <cell r="B121">
            <v>2632778</v>
          </cell>
          <cell r="C121">
            <v>5423073</v>
          </cell>
          <cell r="D121">
            <v>263277806</v>
          </cell>
          <cell r="E121">
            <v>18595974</v>
          </cell>
          <cell r="F121">
            <v>117408</v>
          </cell>
        </row>
        <row r="122">
          <cell r="A122" t="str">
            <v>HPG</v>
          </cell>
          <cell r="B122">
            <v>58147857</v>
          </cell>
          <cell r="C122">
            <v>102836419</v>
          </cell>
          <cell r="D122">
            <v>5814785700</v>
          </cell>
          <cell r="E122">
            <v>118953027</v>
          </cell>
          <cell r="F122">
            <v>6835064</v>
          </cell>
        </row>
        <row r="123">
          <cell r="A123" t="str">
            <v>GEG</v>
          </cell>
          <cell r="B123">
            <v>4054494</v>
          </cell>
          <cell r="C123">
            <v>5767322</v>
          </cell>
          <cell r="D123">
            <v>405449401</v>
          </cell>
          <cell r="E123">
            <v>2163456</v>
          </cell>
          <cell r="F123">
            <v>137243</v>
          </cell>
        </row>
        <row r="124">
          <cell r="A124" t="str">
            <v>QTP</v>
          </cell>
          <cell r="B124">
            <v>4500000</v>
          </cell>
          <cell r="C124">
            <v>5166327</v>
          </cell>
          <cell r="D124">
            <v>450000000</v>
          </cell>
          <cell r="E124">
            <v>12058194</v>
          </cell>
          <cell r="F124">
            <v>614468</v>
          </cell>
        </row>
        <row r="125">
          <cell r="A125" t="str">
            <v>NT2</v>
          </cell>
          <cell r="B125">
            <v>2878760</v>
          </cell>
          <cell r="C125">
            <v>4358560</v>
          </cell>
          <cell r="D125">
            <v>287876029</v>
          </cell>
          <cell r="E125">
            <v>6382599</v>
          </cell>
          <cell r="F125">
            <v>495787</v>
          </cell>
        </row>
        <row r="126">
          <cell r="A126" t="str">
            <v>TV2</v>
          </cell>
          <cell r="B126">
            <v>675261</v>
          </cell>
          <cell r="C126">
            <v>1333598</v>
          </cell>
          <cell r="D126">
            <v>67526165</v>
          </cell>
          <cell r="E126">
            <v>1061339</v>
          </cell>
          <cell r="F126">
            <v>53014</v>
          </cell>
        </row>
        <row r="127">
          <cell r="A127" t="str">
            <v>PC1</v>
          </cell>
          <cell r="B127">
            <v>3109955</v>
          </cell>
          <cell r="C127">
            <v>7267407</v>
          </cell>
          <cell r="D127">
            <v>310995558</v>
          </cell>
          <cell r="E127">
            <v>7803008</v>
          </cell>
          <cell r="F127">
            <v>136569</v>
          </cell>
        </row>
        <row r="128">
          <cell r="A128" t="str">
            <v>FMC</v>
          </cell>
          <cell r="B128">
            <v>653888</v>
          </cell>
          <cell r="C128">
            <v>2234057</v>
          </cell>
          <cell r="D128">
            <v>65388889</v>
          </cell>
          <cell r="E128">
            <v>5087392</v>
          </cell>
          <cell r="F128">
            <v>275981</v>
          </cell>
        </row>
        <row r="129">
          <cell r="A129" t="str">
            <v>ANV</v>
          </cell>
          <cell r="B129">
            <v>1335396</v>
          </cell>
          <cell r="C129">
            <v>2850522</v>
          </cell>
          <cell r="D129">
            <v>133539625</v>
          </cell>
          <cell r="E129">
            <v>4439122</v>
          </cell>
          <cell r="F129">
            <v>41847</v>
          </cell>
        </row>
        <row r="130">
          <cell r="A130" t="str">
            <v>VHC</v>
          </cell>
          <cell r="B130">
            <v>1870444</v>
          </cell>
          <cell r="C130">
            <v>8566896</v>
          </cell>
          <cell r="D130">
            <v>187044495</v>
          </cell>
          <cell r="E130">
            <v>10038576</v>
          </cell>
          <cell r="F130">
            <v>896515</v>
          </cell>
        </row>
        <row r="131">
          <cell r="A131" t="str">
            <v>VTP</v>
          </cell>
          <cell r="B131">
            <v>1217830</v>
          </cell>
          <cell r="C131">
            <v>1581495</v>
          </cell>
          <cell r="D131">
            <v>121783042</v>
          </cell>
          <cell r="E131">
            <v>19589872</v>
          </cell>
          <cell r="F131">
            <v>380243</v>
          </cell>
        </row>
        <row r="132">
          <cell r="A132" t="str">
            <v>VSC</v>
          </cell>
          <cell r="B132">
            <v>1333956</v>
          </cell>
          <cell r="C132">
            <v>3296823</v>
          </cell>
          <cell r="D132">
            <v>133395642</v>
          </cell>
          <cell r="E132">
            <v>2180945</v>
          </cell>
          <cell r="F132">
            <v>126139</v>
          </cell>
        </row>
        <row r="133">
          <cell r="A133" t="str">
            <v>VOS</v>
          </cell>
          <cell r="B133">
            <v>1400000</v>
          </cell>
          <cell r="C133">
            <v>1672142</v>
          </cell>
          <cell r="D133">
            <v>140000000</v>
          </cell>
          <cell r="E133">
            <v>3187472</v>
          </cell>
          <cell r="F133">
            <v>155371</v>
          </cell>
        </row>
        <row r="134">
          <cell r="A134" t="str">
            <v>HAH</v>
          </cell>
          <cell r="B134">
            <v>1055168</v>
          </cell>
          <cell r="C134">
            <v>3186114</v>
          </cell>
          <cell r="D134">
            <v>105516881</v>
          </cell>
          <cell r="E134">
            <v>2612689</v>
          </cell>
          <cell r="F134">
            <v>384900</v>
          </cell>
        </row>
        <row r="135">
          <cell r="A135" t="str">
            <v>GMD</v>
          </cell>
          <cell r="B135">
            <v>3058985</v>
          </cell>
          <cell r="C135">
            <v>9706541</v>
          </cell>
          <cell r="D135">
            <v>305898557</v>
          </cell>
          <cell r="E135">
            <v>3845875</v>
          </cell>
          <cell r="F135">
            <v>2221551</v>
          </cell>
        </row>
        <row r="136">
          <cell r="A136" t="str">
            <v>DDV</v>
          </cell>
          <cell r="B136">
            <v>1461099</v>
          </cell>
          <cell r="C136">
            <v>1700306</v>
          </cell>
          <cell r="D136">
            <v>146109900</v>
          </cell>
          <cell r="E136">
            <v>3209553</v>
          </cell>
          <cell r="F136">
            <v>70244</v>
          </cell>
        </row>
        <row r="137">
          <cell r="A137" t="str">
            <v>LAS</v>
          </cell>
          <cell r="B137">
            <v>1128564</v>
          </cell>
          <cell r="C137">
            <v>1421687</v>
          </cell>
          <cell r="D137">
            <v>112856400</v>
          </cell>
          <cell r="E137">
            <v>3440291</v>
          </cell>
          <cell r="F137">
            <v>148516</v>
          </cell>
        </row>
        <row r="138">
          <cell r="A138" t="str">
            <v>CSV</v>
          </cell>
          <cell r="B138">
            <v>442000</v>
          </cell>
          <cell r="C138">
            <v>1436269</v>
          </cell>
          <cell r="D138">
            <v>44200000</v>
          </cell>
          <cell r="E138">
            <v>1588441</v>
          </cell>
          <cell r="F138">
            <v>209181</v>
          </cell>
        </row>
        <row r="139">
          <cell r="A139" t="str">
            <v>DGC</v>
          </cell>
          <cell r="B139">
            <v>3797792</v>
          </cell>
          <cell r="C139">
            <v>11999042</v>
          </cell>
          <cell r="D139">
            <v>379779286</v>
          </cell>
          <cell r="E139">
            <v>9747941</v>
          </cell>
          <cell r="F139">
            <v>3108753</v>
          </cell>
        </row>
        <row r="140">
          <cell r="A140" t="str">
            <v>PNJ</v>
          </cell>
          <cell r="B140">
            <v>3281691</v>
          </cell>
          <cell r="C140">
            <v>9806565</v>
          </cell>
          <cell r="D140">
            <v>328169188</v>
          </cell>
          <cell r="E140">
            <v>33136929</v>
          </cell>
          <cell r="F140">
            <v>1971484</v>
          </cell>
        </row>
        <row r="141">
          <cell r="A141" t="str">
            <v>VRE</v>
          </cell>
          <cell r="B141">
            <v>23288184</v>
          </cell>
          <cell r="C141">
            <v>37826853</v>
          </cell>
          <cell r="D141">
            <v>2328818400</v>
          </cell>
          <cell r="E141">
            <v>9791335</v>
          </cell>
          <cell r="F141">
            <v>4408600</v>
          </cell>
        </row>
        <row r="142">
          <cell r="A142" t="str">
            <v>VNM</v>
          </cell>
          <cell r="B142">
            <v>20899554</v>
          </cell>
          <cell r="C142">
            <v>35025743</v>
          </cell>
          <cell r="D142">
            <v>2089955445</v>
          </cell>
          <cell r="E142">
            <v>60368915</v>
          </cell>
          <cell r="F142">
            <v>8873812</v>
          </cell>
        </row>
        <row r="143">
          <cell r="A143" t="str">
            <v>PET</v>
          </cell>
          <cell r="B143">
            <v>1073348</v>
          </cell>
          <cell r="C143">
            <v>2126624</v>
          </cell>
          <cell r="D143">
            <v>107334831</v>
          </cell>
          <cell r="E143">
            <v>17508388</v>
          </cell>
          <cell r="F143">
            <v>80512</v>
          </cell>
        </row>
        <row r="144">
          <cell r="A144" t="str">
            <v>DGW</v>
          </cell>
          <cell r="B144">
            <v>1672244</v>
          </cell>
          <cell r="C144">
            <v>2627102</v>
          </cell>
          <cell r="D144">
            <v>167224443</v>
          </cell>
          <cell r="E144">
            <v>18817475</v>
          </cell>
          <cell r="F144">
            <v>354389</v>
          </cell>
        </row>
        <row r="145">
          <cell r="A145" t="str">
            <v>FRT</v>
          </cell>
          <cell r="B145">
            <v>1362423</v>
          </cell>
          <cell r="C145">
            <v>1719170</v>
          </cell>
          <cell r="D145">
            <v>136242389</v>
          </cell>
          <cell r="E145">
            <v>31849649</v>
          </cell>
          <cell r="F145">
            <v>-345643</v>
          </cell>
        </row>
        <row r="146">
          <cell r="A146" t="str">
            <v>MWG</v>
          </cell>
          <cell r="B146">
            <v>14633767</v>
          </cell>
          <cell r="C146">
            <v>23359557</v>
          </cell>
          <cell r="D146">
            <v>1463376716</v>
          </cell>
          <cell r="E146">
            <v>118279788</v>
          </cell>
          <cell r="F146">
            <v>167669</v>
          </cell>
        </row>
        <row r="147">
          <cell r="A147" t="str">
            <v>BCM</v>
          </cell>
          <cell r="B147">
            <v>10350000</v>
          </cell>
          <cell r="C147">
            <v>19088996</v>
          </cell>
          <cell r="D147">
            <v>1035000000</v>
          </cell>
          <cell r="E147">
            <v>8072006</v>
          </cell>
          <cell r="F147">
            <v>2441288</v>
          </cell>
        </row>
        <row r="148">
          <cell r="A148" t="str">
            <v>GVR</v>
          </cell>
          <cell r="B148">
            <v>40000000</v>
          </cell>
          <cell r="C148">
            <v>54853576</v>
          </cell>
          <cell r="D148">
            <v>4000000000</v>
          </cell>
          <cell r="E148">
            <v>22079889</v>
          </cell>
          <cell r="F148">
            <v>2585229</v>
          </cell>
        </row>
        <row r="149">
          <cell r="A149" t="str">
            <v>NTC</v>
          </cell>
          <cell r="B149">
            <v>239999</v>
          </cell>
          <cell r="C149">
            <v>960511</v>
          </cell>
          <cell r="D149">
            <v>23999980</v>
          </cell>
          <cell r="E149">
            <v>235260</v>
          </cell>
          <cell r="F149">
            <v>299651</v>
          </cell>
        </row>
        <row r="150">
          <cell r="A150" t="str">
            <v>DPR</v>
          </cell>
          <cell r="B150">
            <v>868859</v>
          </cell>
          <cell r="C150">
            <v>3055764</v>
          </cell>
          <cell r="D150">
            <v>86885932</v>
          </cell>
          <cell r="E150">
            <v>1018687</v>
          </cell>
          <cell r="F150">
            <v>206144</v>
          </cell>
        </row>
        <row r="151">
          <cell r="A151" t="str">
            <v>LHG</v>
          </cell>
          <cell r="B151">
            <v>500120</v>
          </cell>
          <cell r="C151">
            <v>1594911</v>
          </cell>
          <cell r="D151">
            <v>50012010</v>
          </cell>
          <cell r="E151">
            <v>394859</v>
          </cell>
          <cell r="F151">
            <v>166466</v>
          </cell>
        </row>
        <row r="152">
          <cell r="A152" t="str">
            <v>PHR</v>
          </cell>
          <cell r="B152">
            <v>1354991</v>
          </cell>
          <cell r="C152">
            <v>3816044</v>
          </cell>
          <cell r="D152">
            <v>135499198</v>
          </cell>
          <cell r="E152">
            <v>1351024</v>
          </cell>
          <cell r="F152">
            <v>622153</v>
          </cell>
        </row>
        <row r="153">
          <cell r="A153" t="str">
            <v>VGC</v>
          </cell>
          <cell r="B153">
            <v>4483500</v>
          </cell>
          <cell r="C153">
            <v>9524290</v>
          </cell>
          <cell r="D153">
            <v>448350000</v>
          </cell>
          <cell r="E153">
            <v>13193818</v>
          </cell>
          <cell r="F153">
            <v>1218073</v>
          </cell>
        </row>
        <row r="154">
          <cell r="A154" t="str">
            <v>SZC</v>
          </cell>
          <cell r="B154">
            <v>1199999</v>
          </cell>
          <cell r="C154">
            <v>1737315</v>
          </cell>
          <cell r="D154">
            <v>119999961</v>
          </cell>
          <cell r="E154">
            <v>817945</v>
          </cell>
          <cell r="F154">
            <v>218873</v>
          </cell>
        </row>
        <row r="155">
          <cell r="A155" t="str">
            <v>IDC</v>
          </cell>
          <cell r="B155">
            <v>3299999</v>
          </cell>
          <cell r="C155">
            <v>6204231</v>
          </cell>
          <cell r="D155">
            <v>329999929</v>
          </cell>
          <cell r="E155">
            <v>7237031</v>
          </cell>
          <cell r="F155">
            <v>1392963</v>
          </cell>
        </row>
        <row r="156">
          <cell r="A156" t="str">
            <v>KBC</v>
          </cell>
          <cell r="B156">
            <v>7676047</v>
          </cell>
          <cell r="C156">
            <v>20194196</v>
          </cell>
          <cell r="D156">
            <v>767604759</v>
          </cell>
          <cell r="E156">
            <v>5644662</v>
          </cell>
          <cell r="F156">
            <v>1995556</v>
          </cell>
        </row>
        <row r="157">
          <cell r="A157" t="str">
            <v>DTD</v>
          </cell>
          <cell r="B157">
            <v>493444</v>
          </cell>
          <cell r="C157">
            <v>1228629</v>
          </cell>
          <cell r="D157">
            <v>49344416</v>
          </cell>
          <cell r="E157">
            <v>785829</v>
          </cell>
          <cell r="F157">
            <v>213307</v>
          </cell>
        </row>
        <row r="158">
          <cell r="A158" t="str">
            <v>C4G</v>
          </cell>
          <cell r="B158">
            <v>3573007</v>
          </cell>
          <cell r="C158">
            <v>3765504</v>
          </cell>
          <cell r="D158">
            <v>357300754</v>
          </cell>
          <cell r="E158">
            <v>2624150</v>
          </cell>
          <cell r="F158">
            <v>152234</v>
          </cell>
        </row>
        <row r="159">
          <cell r="A159" t="str">
            <v>THG</v>
          </cell>
          <cell r="B159">
            <v>229578</v>
          </cell>
          <cell r="C159">
            <v>691853</v>
          </cell>
          <cell r="D159">
            <v>22957896</v>
          </cell>
          <cell r="E159">
            <v>1669780</v>
          </cell>
          <cell r="F159">
            <v>120044</v>
          </cell>
        </row>
        <row r="160">
          <cell r="A160" t="str">
            <v>CTR</v>
          </cell>
          <cell r="B160">
            <v>1143858</v>
          </cell>
          <cell r="C160">
            <v>1990752</v>
          </cell>
          <cell r="D160">
            <v>114385879</v>
          </cell>
          <cell r="E160">
            <v>11298950</v>
          </cell>
          <cell r="F160">
            <v>516503</v>
          </cell>
        </row>
        <row r="161">
          <cell r="A161" t="str">
            <v>HHV</v>
          </cell>
          <cell r="B161">
            <v>3293503</v>
          </cell>
          <cell r="C161">
            <v>8730235</v>
          </cell>
          <cell r="D161">
            <v>329350351</v>
          </cell>
          <cell r="E161">
            <v>2686560</v>
          </cell>
          <cell r="F161">
            <v>319909</v>
          </cell>
        </row>
        <row r="162">
          <cell r="A162" t="str">
            <v>FCN</v>
          </cell>
          <cell r="B162">
            <v>0</v>
          </cell>
          <cell r="C162">
            <v>3360179</v>
          </cell>
          <cell r="D162">
            <v>157439005</v>
          </cell>
          <cell r="E162">
            <v>2879567</v>
          </cell>
          <cell r="F162">
            <v>-32437</v>
          </cell>
        </row>
        <row r="163">
          <cell r="A163" t="str">
            <v>VCG</v>
          </cell>
          <cell r="B163">
            <v>5344655</v>
          </cell>
          <cell r="C163">
            <v>10182361</v>
          </cell>
          <cell r="D163">
            <v>534465514</v>
          </cell>
          <cell r="E163">
            <v>12704845</v>
          </cell>
          <cell r="F163">
            <v>377878</v>
          </cell>
        </row>
        <row r="164">
          <cell r="A164" t="str">
            <v>CTD</v>
          </cell>
          <cell r="B164">
            <v>0</v>
          </cell>
          <cell r="C164">
            <v>0</v>
          </cell>
          <cell r="D164">
            <v>99930000</v>
          </cell>
          <cell r="E164">
            <v>0</v>
          </cell>
          <cell r="F164">
            <v>0</v>
          </cell>
        </row>
        <row r="165">
          <cell r="A165" t="str">
            <v>NTL</v>
          </cell>
          <cell r="B165">
            <v>609899</v>
          </cell>
          <cell r="C165">
            <v>1464798</v>
          </cell>
          <cell r="D165">
            <v>60989950</v>
          </cell>
          <cell r="E165">
            <v>914023</v>
          </cell>
          <cell r="F165">
            <v>366808</v>
          </cell>
        </row>
        <row r="166">
          <cell r="A166" t="str">
            <v>HDC</v>
          </cell>
          <cell r="B166">
            <v>1351048</v>
          </cell>
          <cell r="C166">
            <v>1907626</v>
          </cell>
          <cell r="D166">
            <v>135104881</v>
          </cell>
          <cell r="E166">
            <v>665576</v>
          </cell>
          <cell r="F166">
            <v>131256</v>
          </cell>
        </row>
        <row r="167">
          <cell r="A167" t="str">
            <v>CEO</v>
          </cell>
          <cell r="B167">
            <v>5146787</v>
          </cell>
          <cell r="C167">
            <v>6234760</v>
          </cell>
          <cell r="D167">
            <v>514678760</v>
          </cell>
          <cell r="E167">
            <v>1393472</v>
          </cell>
          <cell r="F167">
            <v>153050</v>
          </cell>
        </row>
        <row r="168">
          <cell r="A168" t="str">
            <v>DIG</v>
          </cell>
          <cell r="B168">
            <v>6098519</v>
          </cell>
          <cell r="C168">
            <v>7953521</v>
          </cell>
          <cell r="D168">
            <v>609851995</v>
          </cell>
          <cell r="E168">
            <v>1027526</v>
          </cell>
          <cell r="F168">
            <v>172654</v>
          </cell>
        </row>
        <row r="169">
          <cell r="A169" t="str">
            <v>KDH</v>
          </cell>
          <cell r="B169">
            <v>7993119</v>
          </cell>
          <cell r="C169">
            <v>15528201</v>
          </cell>
          <cell r="D169">
            <v>799311971</v>
          </cell>
          <cell r="E169">
            <v>2093493</v>
          </cell>
          <cell r="F169">
            <v>716894</v>
          </cell>
        </row>
        <row r="170">
          <cell r="A170" t="str">
            <v>NLG</v>
          </cell>
          <cell r="B170">
            <v>3847774</v>
          </cell>
          <cell r="C170">
            <v>13528005</v>
          </cell>
          <cell r="D170">
            <v>384777471</v>
          </cell>
          <cell r="E170">
            <v>3181421</v>
          </cell>
          <cell r="F170">
            <v>483736</v>
          </cell>
        </row>
        <row r="171">
          <cell r="A171" t="str">
            <v>VHM</v>
          </cell>
          <cell r="B171">
            <v>43543675</v>
          </cell>
          <cell r="C171">
            <v>182369488</v>
          </cell>
          <cell r="D171">
            <v>4354367500</v>
          </cell>
          <cell r="E171">
            <v>103334072</v>
          </cell>
          <cell r="F171">
            <v>33125469</v>
          </cell>
        </row>
        <row r="172">
          <cell r="A172" t="str">
            <v>NVL</v>
          </cell>
          <cell r="B172">
            <v>19501045</v>
          </cell>
          <cell r="C172">
            <v>45501776</v>
          </cell>
          <cell r="D172">
            <v>1950104538</v>
          </cell>
          <cell r="E172">
            <v>4758901</v>
          </cell>
          <cell r="F172">
            <v>804990</v>
          </cell>
        </row>
        <row r="173">
          <cell r="A173" t="str">
            <v>DXG</v>
          </cell>
          <cell r="B173">
            <v>6117790</v>
          </cell>
          <cell r="C173">
            <v>14190657</v>
          </cell>
          <cell r="D173">
            <v>611779002</v>
          </cell>
          <cell r="E173">
            <v>3705958</v>
          </cell>
          <cell r="F173">
            <v>176333</v>
          </cell>
        </row>
        <row r="174">
          <cell r="A174" t="str">
            <v>PDR</v>
          </cell>
          <cell r="B174">
            <v>7388108</v>
          </cell>
          <cell r="C174">
            <v>9579280</v>
          </cell>
          <cell r="D174">
            <v>738810840</v>
          </cell>
          <cell r="E174">
            <v>617620</v>
          </cell>
          <cell r="F174">
            <v>683947</v>
          </cell>
        </row>
        <row r="175">
          <cell r="A175" t="str">
            <v>EIB</v>
          </cell>
          <cell r="B175">
            <v>17469561</v>
          </cell>
          <cell r="C175">
            <v>22444999</v>
          </cell>
          <cell r="D175">
            <v>1746956100</v>
          </cell>
          <cell r="E175">
            <v>4597104</v>
          </cell>
          <cell r="F175">
            <v>2165099</v>
          </cell>
        </row>
        <row r="176">
          <cell r="A176" t="str">
            <v>TPB</v>
          </cell>
          <cell r="B176">
            <v>22016350</v>
          </cell>
          <cell r="C176">
            <v>32742712</v>
          </cell>
          <cell r="D176">
            <v>2201635000</v>
          </cell>
          <cell r="E176">
            <v>12424695</v>
          </cell>
          <cell r="F176">
            <v>4463120</v>
          </cell>
        </row>
        <row r="177">
          <cell r="A177" t="str">
            <v>HDB</v>
          </cell>
          <cell r="B177">
            <v>29076321</v>
          </cell>
          <cell r="C177">
            <v>46400322</v>
          </cell>
          <cell r="D177">
            <v>2907632100</v>
          </cell>
          <cell r="E177">
            <v>22183974</v>
          </cell>
          <cell r="F177">
            <v>10070898</v>
          </cell>
        </row>
        <row r="178">
          <cell r="A178" t="str">
            <v>MSB</v>
          </cell>
          <cell r="B178">
            <v>20000000</v>
          </cell>
          <cell r="C178">
            <v>31298212</v>
          </cell>
          <cell r="D178">
            <v>2000000000</v>
          </cell>
          <cell r="E178">
            <v>9188515</v>
          </cell>
          <cell r="F178">
            <v>4644214</v>
          </cell>
        </row>
        <row r="179">
          <cell r="A179" t="str">
            <v>LPB</v>
          </cell>
          <cell r="B179">
            <v>25576164</v>
          </cell>
          <cell r="C179">
            <v>34117400</v>
          </cell>
          <cell r="D179">
            <v>2557616400</v>
          </cell>
          <cell r="E179">
            <v>11203129</v>
          </cell>
          <cell r="F179">
            <v>5572246</v>
          </cell>
        </row>
        <row r="180">
          <cell r="A180" t="str">
            <v>VIB</v>
          </cell>
          <cell r="B180">
            <v>25368075</v>
          </cell>
          <cell r="C180">
            <v>37938955</v>
          </cell>
          <cell r="D180">
            <v>2536807500</v>
          </cell>
          <cell r="E180">
            <v>17360553</v>
          </cell>
          <cell r="F180">
            <v>8562421</v>
          </cell>
        </row>
        <row r="181">
          <cell r="A181" t="str">
            <v>VPB</v>
          </cell>
          <cell r="B181">
            <v>79339236</v>
          </cell>
          <cell r="C181">
            <v>139946573</v>
          </cell>
          <cell r="D181">
            <v>7933923600</v>
          </cell>
          <cell r="E181">
            <v>38174676</v>
          </cell>
          <cell r="F181">
            <v>10052574</v>
          </cell>
        </row>
        <row r="182">
          <cell r="A182" t="str">
            <v>ACB</v>
          </cell>
          <cell r="B182">
            <v>38840504</v>
          </cell>
          <cell r="C182">
            <v>70955961</v>
          </cell>
          <cell r="D182">
            <v>3884050400</v>
          </cell>
          <cell r="E182">
            <v>24959570</v>
          </cell>
          <cell r="F182">
            <v>16044733</v>
          </cell>
        </row>
        <row r="183">
          <cell r="A183" t="str">
            <v>TCB</v>
          </cell>
          <cell r="B183">
            <v>35225108</v>
          </cell>
          <cell r="C183">
            <v>131628065</v>
          </cell>
          <cell r="D183">
            <v>3522510800</v>
          </cell>
          <cell r="E183">
            <v>27691120</v>
          </cell>
          <cell r="F183">
            <v>18003802</v>
          </cell>
        </row>
        <row r="184">
          <cell r="A184" t="str">
            <v>MBB</v>
          </cell>
          <cell r="B184">
            <v>52140841</v>
          </cell>
          <cell r="C184">
            <v>96711159</v>
          </cell>
          <cell r="D184">
            <v>5214084100</v>
          </cell>
          <cell r="E184">
            <v>38683848</v>
          </cell>
          <cell r="F184">
            <v>20676788</v>
          </cell>
        </row>
        <row r="185">
          <cell r="A185" t="str">
            <v>SHB</v>
          </cell>
          <cell r="B185">
            <v>37638320</v>
          </cell>
          <cell r="C185">
            <v>49879870</v>
          </cell>
          <cell r="D185">
            <v>3619400000</v>
          </cell>
          <cell r="E185">
            <v>19729130</v>
          </cell>
          <cell r="F185">
            <v>7470410</v>
          </cell>
        </row>
        <row r="186">
          <cell r="A186" t="str">
            <v>CTG</v>
          </cell>
          <cell r="B186">
            <v>53699917</v>
          </cell>
          <cell r="C186">
            <v>127570582</v>
          </cell>
          <cell r="D186">
            <v>5369991700</v>
          </cell>
          <cell r="E186">
            <v>53083104</v>
          </cell>
          <cell r="F186">
            <v>19992233</v>
          </cell>
        </row>
        <row r="187">
          <cell r="A187" t="str">
            <v>STB</v>
          </cell>
          <cell r="B187">
            <v>18852157</v>
          </cell>
          <cell r="C187">
            <v>45733864</v>
          </cell>
          <cell r="D187">
            <v>1885215700</v>
          </cell>
          <cell r="E187">
            <v>22072333</v>
          </cell>
          <cell r="F187">
            <v>7718616</v>
          </cell>
        </row>
        <row r="188">
          <cell r="A188" t="str">
            <v>VCB</v>
          </cell>
          <cell r="B188">
            <v>55890913</v>
          </cell>
          <cell r="C188">
            <v>168543324</v>
          </cell>
          <cell r="D188">
            <v>5589091300</v>
          </cell>
          <cell r="E188">
            <v>53620869</v>
          </cell>
          <cell r="F188">
            <v>33033203</v>
          </cell>
        </row>
        <row r="189">
          <cell r="A189" t="str">
            <v>BSI</v>
          </cell>
          <cell r="B189">
            <v>2027831</v>
          </cell>
          <cell r="C189">
            <v>4684512</v>
          </cell>
          <cell r="D189">
            <v>202783127</v>
          </cell>
          <cell r="E189">
            <v>1258998</v>
          </cell>
          <cell r="F189">
            <v>408357</v>
          </cell>
        </row>
        <row r="190">
          <cell r="A190" t="str">
            <v>SHS</v>
          </cell>
          <cell r="B190">
            <v>8131567</v>
          </cell>
          <cell r="C190">
            <v>10263510</v>
          </cell>
          <cell r="D190">
            <v>813156748</v>
          </cell>
          <cell r="E190">
            <v>1460069</v>
          </cell>
          <cell r="F190">
            <v>559293</v>
          </cell>
        </row>
        <row r="191">
          <cell r="A191" t="str">
            <v>VIX</v>
          </cell>
          <cell r="B191">
            <v>6694447</v>
          </cell>
          <cell r="C191">
            <v>8829497</v>
          </cell>
          <cell r="D191">
            <v>669444725</v>
          </cell>
          <cell r="E191">
            <v>1623956</v>
          </cell>
          <cell r="F191">
            <v>966423</v>
          </cell>
        </row>
        <row r="192">
          <cell r="A192" t="str">
            <v>FTS</v>
          </cell>
          <cell r="B192">
            <v>2145649</v>
          </cell>
          <cell r="C192">
            <v>3643935</v>
          </cell>
          <cell r="D192">
            <v>214564987</v>
          </cell>
          <cell r="E192">
            <v>944166</v>
          </cell>
          <cell r="F192">
            <v>444917</v>
          </cell>
        </row>
        <row r="193">
          <cell r="A193" t="str">
            <v>MBS</v>
          </cell>
          <cell r="B193">
            <v>4376699</v>
          </cell>
          <cell r="C193">
            <v>5038196</v>
          </cell>
          <cell r="D193">
            <v>437669993</v>
          </cell>
          <cell r="E193">
            <v>1815958</v>
          </cell>
          <cell r="F193">
            <v>584016</v>
          </cell>
        </row>
        <row r="194">
          <cell r="A194" t="str">
            <v>VCI</v>
          </cell>
          <cell r="B194">
            <v>4375000</v>
          </cell>
          <cell r="C194">
            <v>7371229</v>
          </cell>
          <cell r="D194">
            <v>437500000</v>
          </cell>
          <cell r="E194">
            <v>2472460</v>
          </cell>
          <cell r="F194">
            <v>491904</v>
          </cell>
        </row>
        <row r="195">
          <cell r="A195" t="str">
            <v>HCM</v>
          </cell>
          <cell r="B195">
            <v>4580523</v>
          </cell>
          <cell r="C195">
            <v>8312085</v>
          </cell>
          <cell r="D195">
            <v>458052367</v>
          </cell>
          <cell r="E195">
            <v>2903163</v>
          </cell>
          <cell r="F195">
            <v>674358</v>
          </cell>
        </row>
        <row r="196">
          <cell r="A196" t="str">
            <v>VND</v>
          </cell>
          <cell r="B196">
            <v>12178440</v>
          </cell>
          <cell r="C196">
            <v>16503094</v>
          </cell>
          <cell r="D196">
            <v>1217844009</v>
          </cell>
          <cell r="E196">
            <v>6561422</v>
          </cell>
          <cell r="F196">
            <v>2017525</v>
          </cell>
        </row>
        <row r="197">
          <cell r="A197" t="str">
            <v>SSI</v>
          </cell>
          <cell r="B197">
            <v>15011301</v>
          </cell>
          <cell r="C197">
            <v>23240892</v>
          </cell>
          <cell r="D197">
            <v>1501130137</v>
          </cell>
          <cell r="E197">
            <v>7157692</v>
          </cell>
          <cell r="F197">
            <v>2292781</v>
          </cell>
        </row>
        <row r="198">
          <cell r="A198" t="str">
            <v>CII</v>
          </cell>
          <cell r="B198">
            <v>3183650</v>
          </cell>
          <cell r="C198">
            <v>8516770</v>
          </cell>
          <cell r="D198">
            <v>318360000</v>
          </cell>
          <cell r="E198">
            <v>3055970</v>
          </cell>
          <cell r="F198">
            <v>187470</v>
          </cell>
        </row>
        <row r="199">
          <cell r="A199" t="str">
            <v>DPG</v>
          </cell>
          <cell r="B199">
            <v>630000</v>
          </cell>
          <cell r="C199">
            <v>2355990</v>
          </cell>
          <cell r="D199">
            <v>63000000</v>
          </cell>
          <cell r="E199">
            <v>3450140</v>
          </cell>
          <cell r="F199">
            <v>208750</v>
          </cell>
        </row>
        <row r="200">
          <cell r="A200" t="str">
            <v>MCH</v>
          </cell>
          <cell r="B200">
            <v>7274620</v>
          </cell>
          <cell r="C200">
            <v>26375560</v>
          </cell>
          <cell r="D200">
            <v>727460000</v>
          </cell>
          <cell r="E200">
            <v>28395710</v>
          </cell>
          <cell r="F200">
            <v>7085160</v>
          </cell>
        </row>
        <row r="201">
          <cell r="A201" t="str">
            <v>POW</v>
          </cell>
          <cell r="D201">
            <v>2341871600</v>
          </cell>
        </row>
      </sheetData>
      <sheetData sheetId="5">
        <row r="40">
          <cell r="A40" t="str">
            <v>MCK</v>
          </cell>
          <cell r="B40" t="str">
            <v>Price</v>
          </cell>
        </row>
        <row r="41">
          <cell r="A41" t="str">
            <v>SSI</v>
          </cell>
          <cell r="B41">
            <v>35100</v>
          </cell>
        </row>
        <row r="42">
          <cell r="A42" t="str">
            <v>VND</v>
          </cell>
          <cell r="B42">
            <v>23000</v>
          </cell>
        </row>
        <row r="43">
          <cell r="A43" t="str">
            <v>HCM</v>
          </cell>
          <cell r="B43">
            <v>27300</v>
          </cell>
        </row>
        <row r="44">
          <cell r="A44" t="str">
            <v>VCI</v>
          </cell>
          <cell r="B44">
            <v>45100</v>
          </cell>
        </row>
        <row r="45">
          <cell r="A45" t="str">
            <v>MBS</v>
          </cell>
          <cell r="B45">
            <v>27000</v>
          </cell>
        </row>
        <row r="46">
          <cell r="A46" t="str">
            <v>FTS</v>
          </cell>
          <cell r="B46">
            <v>48650</v>
          </cell>
        </row>
        <row r="47">
          <cell r="A47" t="str">
            <v>VIX</v>
          </cell>
          <cell r="B47">
            <v>18100</v>
          </cell>
        </row>
        <row r="48">
          <cell r="A48" t="str">
            <v>SHS</v>
          </cell>
          <cell r="B48">
            <v>17600</v>
          </cell>
        </row>
        <row r="49">
          <cell r="A49" t="str">
            <v>BSI</v>
          </cell>
          <cell r="B49">
            <v>52400</v>
          </cell>
        </row>
        <row r="50">
          <cell r="A50" t="str">
            <v>VCB</v>
          </cell>
          <cell r="B50">
            <v>90000</v>
          </cell>
        </row>
        <row r="51">
          <cell r="A51" t="str">
            <v>STB</v>
          </cell>
          <cell r="B51">
            <v>31100</v>
          </cell>
        </row>
        <row r="52">
          <cell r="A52" t="str">
            <v>CTG</v>
          </cell>
          <cell r="B52">
            <v>35500</v>
          </cell>
        </row>
        <row r="53">
          <cell r="A53" t="str">
            <v>MBB</v>
          </cell>
          <cell r="B53">
            <v>23500</v>
          </cell>
        </row>
        <row r="54">
          <cell r="A54" t="str">
            <v>TCB</v>
          </cell>
          <cell r="B54">
            <v>37300</v>
          </cell>
        </row>
        <row r="55">
          <cell r="A55" t="str">
            <v>ACB</v>
          </cell>
          <cell r="B55">
            <v>28000</v>
          </cell>
        </row>
        <row r="56">
          <cell r="A56" t="str">
            <v>VPB</v>
          </cell>
          <cell r="B56">
            <v>19600</v>
          </cell>
        </row>
        <row r="57">
          <cell r="A57" t="str">
            <v>VIB</v>
          </cell>
          <cell r="B57">
            <v>21700</v>
          </cell>
        </row>
        <row r="58">
          <cell r="A58" t="str">
            <v>LPB</v>
          </cell>
          <cell r="B58">
            <v>18150</v>
          </cell>
        </row>
        <row r="59">
          <cell r="A59" t="str">
            <v>MSB</v>
          </cell>
          <cell r="B59">
            <v>14100</v>
          </cell>
        </row>
        <row r="60">
          <cell r="A60" t="str">
            <v>HDB</v>
          </cell>
          <cell r="B60">
            <v>23550</v>
          </cell>
        </row>
        <row r="61">
          <cell r="A61" t="str">
            <v>TPB</v>
          </cell>
          <cell r="B61">
            <v>18500</v>
          </cell>
        </row>
        <row r="62">
          <cell r="A62" t="str">
            <v>EIB</v>
          </cell>
          <cell r="B62">
            <v>18700</v>
          </cell>
        </row>
        <row r="63">
          <cell r="A63" t="str">
            <v>PDR</v>
          </cell>
          <cell r="B63">
            <v>30050</v>
          </cell>
        </row>
        <row r="64">
          <cell r="A64" t="str">
            <v>DXG</v>
          </cell>
          <cell r="B64">
            <v>18400</v>
          </cell>
        </row>
        <row r="65">
          <cell r="A65" t="str">
            <v>NVL</v>
          </cell>
          <cell r="B65">
            <v>17300</v>
          </cell>
        </row>
        <row r="66">
          <cell r="A66" t="str">
            <v>VHM</v>
          </cell>
          <cell r="B66">
            <v>41800</v>
          </cell>
        </row>
        <row r="67">
          <cell r="A67" t="str">
            <v>NLG</v>
          </cell>
          <cell r="B67">
            <v>39800</v>
          </cell>
        </row>
        <row r="68">
          <cell r="A68" t="str">
            <v>KDH</v>
          </cell>
          <cell r="B68">
            <v>31200</v>
          </cell>
        </row>
        <row r="69">
          <cell r="A69" t="str">
            <v>DIG</v>
          </cell>
          <cell r="B69">
            <v>27300</v>
          </cell>
        </row>
        <row r="70">
          <cell r="A70" t="str">
            <v>CEO</v>
          </cell>
          <cell r="B70">
            <v>21100</v>
          </cell>
        </row>
        <row r="71">
          <cell r="A71" t="str">
            <v>HDC</v>
          </cell>
          <cell r="B71">
            <v>30700</v>
          </cell>
        </row>
        <row r="72">
          <cell r="A72" t="str">
            <v>NTL</v>
          </cell>
          <cell r="B72">
            <v>31200</v>
          </cell>
        </row>
        <row r="73">
          <cell r="A73" t="str">
            <v>CTD</v>
          </cell>
          <cell r="B73">
            <v>66200</v>
          </cell>
        </row>
        <row r="74">
          <cell r="A74" t="str">
            <v>VCG</v>
          </cell>
          <cell r="B74">
            <v>25350</v>
          </cell>
        </row>
        <row r="75">
          <cell r="A75" t="str">
            <v>FCN</v>
          </cell>
          <cell r="B75">
            <v>14100</v>
          </cell>
        </row>
        <row r="76">
          <cell r="A76" t="str">
            <v>HHV</v>
          </cell>
          <cell r="B76">
            <v>15550</v>
          </cell>
        </row>
        <row r="77">
          <cell r="A77" t="str">
            <v>CTR</v>
          </cell>
          <cell r="B77">
            <v>96500</v>
          </cell>
        </row>
        <row r="78">
          <cell r="A78" t="str">
            <v>THG</v>
          </cell>
          <cell r="B78">
            <v>39850</v>
          </cell>
        </row>
        <row r="79">
          <cell r="A79" t="str">
            <v>C4G</v>
          </cell>
          <cell r="B79">
            <v>11500</v>
          </cell>
        </row>
        <row r="80">
          <cell r="A80" t="str">
            <v>DTD</v>
          </cell>
          <cell r="B80">
            <v>28000</v>
          </cell>
        </row>
        <row r="81">
          <cell r="A81" t="str">
            <v>KBC</v>
          </cell>
          <cell r="B81">
            <v>31200</v>
          </cell>
        </row>
        <row r="82">
          <cell r="A82" t="str">
            <v>IDC</v>
          </cell>
          <cell r="B82">
            <v>56000</v>
          </cell>
        </row>
        <row r="83">
          <cell r="A83" t="str">
            <v>SZC</v>
          </cell>
          <cell r="B83">
            <v>42350</v>
          </cell>
        </row>
        <row r="84">
          <cell r="A84" t="str">
            <v>VGC</v>
          </cell>
          <cell r="B84">
            <v>52700</v>
          </cell>
        </row>
        <row r="85">
          <cell r="A85" t="str">
            <v>PHR</v>
          </cell>
          <cell r="B85">
            <v>53600</v>
          </cell>
        </row>
        <row r="86">
          <cell r="A86" t="str">
            <v>LHG</v>
          </cell>
          <cell r="B86">
            <v>34850</v>
          </cell>
        </row>
        <row r="87">
          <cell r="A87" t="str">
            <v>DPR</v>
          </cell>
          <cell r="B87">
            <v>34350</v>
          </cell>
        </row>
        <row r="88">
          <cell r="A88" t="str">
            <v>NTC</v>
          </cell>
          <cell r="B88">
            <v>211000</v>
          </cell>
        </row>
        <row r="89">
          <cell r="A89" t="str">
            <v>GVR</v>
          </cell>
          <cell r="B89">
            <v>25350</v>
          </cell>
        </row>
        <row r="90">
          <cell r="A90" t="str">
            <v>BCM</v>
          </cell>
          <cell r="B90">
            <v>64000</v>
          </cell>
        </row>
        <row r="91">
          <cell r="A91" t="str">
            <v>MWG</v>
          </cell>
          <cell r="B91">
            <v>46600</v>
          </cell>
        </row>
        <row r="92">
          <cell r="A92" t="str">
            <v>FRT</v>
          </cell>
          <cell r="B92">
            <v>125000</v>
          </cell>
        </row>
        <row r="93">
          <cell r="A93" t="str">
            <v>DGW</v>
          </cell>
          <cell r="B93">
            <v>55600</v>
          </cell>
        </row>
        <row r="94">
          <cell r="A94" t="str">
            <v>PET</v>
          </cell>
          <cell r="B94">
            <v>24950</v>
          </cell>
        </row>
        <row r="95">
          <cell r="A95" t="str">
            <v>VNM</v>
          </cell>
          <cell r="B95">
            <v>67600</v>
          </cell>
        </row>
        <row r="96">
          <cell r="A96" t="str">
            <v>VRE</v>
          </cell>
          <cell r="B96">
            <v>21900</v>
          </cell>
        </row>
        <row r="97">
          <cell r="A97" t="str">
            <v>PNJ</v>
          </cell>
          <cell r="B97">
            <v>91200</v>
          </cell>
        </row>
        <row r="98">
          <cell r="A98" t="str">
            <v>DGC</v>
          </cell>
          <cell r="B98">
            <v>96200</v>
          </cell>
        </row>
        <row r="99">
          <cell r="A99" t="str">
            <v>CSV</v>
          </cell>
          <cell r="B99">
            <v>55100</v>
          </cell>
        </row>
        <row r="100">
          <cell r="A100" t="str">
            <v>LAS</v>
          </cell>
          <cell r="B100">
            <v>17300</v>
          </cell>
        </row>
        <row r="101">
          <cell r="A101" t="str">
            <v>DDV</v>
          </cell>
          <cell r="B101">
            <v>10800</v>
          </cell>
        </row>
        <row r="102">
          <cell r="A102" t="str">
            <v>GMD</v>
          </cell>
          <cell r="B102">
            <v>69500</v>
          </cell>
        </row>
        <row r="103">
          <cell r="A103" t="str">
            <v>HAH</v>
          </cell>
          <cell r="B103">
            <v>40750</v>
          </cell>
        </row>
        <row r="104">
          <cell r="A104" t="str">
            <v>VOS</v>
          </cell>
          <cell r="B104">
            <v>12300</v>
          </cell>
        </row>
        <row r="105">
          <cell r="A105" t="str">
            <v>VSC</v>
          </cell>
          <cell r="B105">
            <v>22250</v>
          </cell>
        </row>
        <row r="106">
          <cell r="A106" t="str">
            <v>VTP</v>
          </cell>
          <cell r="B106">
            <v>69100</v>
          </cell>
        </row>
        <row r="107">
          <cell r="A107" t="str">
            <v>VHC</v>
          </cell>
          <cell r="B107">
            <v>65800</v>
          </cell>
        </row>
        <row r="108">
          <cell r="A108" t="str">
            <v>ANV</v>
          </cell>
          <cell r="B108">
            <v>30600</v>
          </cell>
        </row>
        <row r="109">
          <cell r="A109" t="str">
            <v>FMC</v>
          </cell>
          <cell r="B109">
            <v>45800</v>
          </cell>
        </row>
        <row r="110">
          <cell r="A110" t="str">
            <v>IDI</v>
          </cell>
          <cell r="B110">
            <v>11300</v>
          </cell>
        </row>
        <row r="111">
          <cell r="A111" t="str">
            <v>PC1</v>
          </cell>
          <cell r="B111">
            <v>29950</v>
          </cell>
        </row>
        <row r="112">
          <cell r="A112" t="str">
            <v>TV2</v>
          </cell>
          <cell r="B112">
            <v>42300</v>
          </cell>
        </row>
        <row r="113">
          <cell r="A113" t="str">
            <v>NT2</v>
          </cell>
          <cell r="B113">
            <v>25450</v>
          </cell>
        </row>
        <row r="114">
          <cell r="A114" t="str">
            <v>QTP</v>
          </cell>
          <cell r="B114">
            <v>15300</v>
          </cell>
        </row>
        <row r="115">
          <cell r="A115" t="str">
            <v>GEG</v>
          </cell>
          <cell r="B115">
            <v>13200</v>
          </cell>
        </row>
        <row r="116">
          <cell r="A116" t="str">
            <v>HPG</v>
          </cell>
          <cell r="B116">
            <v>28150</v>
          </cell>
        </row>
        <row r="117">
          <cell r="A117" t="str">
            <v>NKG</v>
          </cell>
          <cell r="B117">
            <v>24350</v>
          </cell>
        </row>
        <row r="118">
          <cell r="A118" t="str">
            <v>HSG</v>
          </cell>
          <cell r="B118">
            <v>23250</v>
          </cell>
        </row>
        <row r="119">
          <cell r="A119" t="str">
            <v>BSR</v>
          </cell>
          <cell r="B119">
            <v>18600</v>
          </cell>
        </row>
        <row r="120">
          <cell r="A120" t="str">
            <v>PVD</v>
          </cell>
          <cell r="B120">
            <v>28750</v>
          </cell>
        </row>
        <row r="121">
          <cell r="A121" t="str">
            <v>PVS</v>
          </cell>
          <cell r="B121">
            <v>37600</v>
          </cell>
        </row>
        <row r="122">
          <cell r="A122" t="str">
            <v>PVT</v>
          </cell>
          <cell r="B122">
            <v>26750</v>
          </cell>
        </row>
        <row r="123">
          <cell r="A123" t="str">
            <v>PLX</v>
          </cell>
          <cell r="B123">
            <v>34750</v>
          </cell>
        </row>
        <row r="124">
          <cell r="A124" t="str">
            <v>GAS</v>
          </cell>
          <cell r="B124">
            <v>75700</v>
          </cell>
        </row>
        <row r="125">
          <cell r="A125" t="str">
            <v>KSB</v>
          </cell>
          <cell r="B125">
            <v>29150</v>
          </cell>
        </row>
        <row r="126">
          <cell r="A126" t="str">
            <v>DHA</v>
          </cell>
          <cell r="B126">
            <v>52300</v>
          </cell>
        </row>
        <row r="127">
          <cell r="A127" t="str">
            <v>VLB</v>
          </cell>
          <cell r="B127">
            <v>36300</v>
          </cell>
        </row>
        <row r="128">
          <cell r="A128" t="str">
            <v>HT1</v>
          </cell>
          <cell r="B128">
            <v>13150</v>
          </cell>
        </row>
        <row r="129">
          <cell r="A129" t="str">
            <v>BMP</v>
          </cell>
          <cell r="B129">
            <v>106000</v>
          </cell>
        </row>
        <row r="130">
          <cell r="A130" t="str">
            <v>NTP</v>
          </cell>
          <cell r="B130">
            <v>44600</v>
          </cell>
        </row>
        <row r="131">
          <cell r="A131" t="str">
            <v>DCM</v>
          </cell>
          <cell r="B131">
            <v>34000</v>
          </cell>
        </row>
        <row r="132">
          <cell r="A132" t="str">
            <v>DPM</v>
          </cell>
          <cell r="B132">
            <v>33900</v>
          </cell>
        </row>
        <row r="133">
          <cell r="A133" t="str">
            <v>PAN</v>
          </cell>
          <cell r="B133">
            <v>22850</v>
          </cell>
        </row>
        <row r="134">
          <cell r="A134" t="str">
            <v>LTG</v>
          </cell>
          <cell r="B134">
            <v>26900</v>
          </cell>
        </row>
        <row r="135">
          <cell r="A135" t="str">
            <v>PTB</v>
          </cell>
          <cell r="B135">
            <v>55400</v>
          </cell>
        </row>
        <row r="136">
          <cell r="A136" t="str">
            <v>VCS</v>
          </cell>
          <cell r="B136">
            <v>61800</v>
          </cell>
        </row>
        <row r="137">
          <cell r="A137" t="str">
            <v>DBC</v>
          </cell>
          <cell r="B137">
            <v>28550</v>
          </cell>
        </row>
        <row r="138">
          <cell r="A138" t="str">
            <v>HAG</v>
          </cell>
          <cell r="B138">
            <v>13150</v>
          </cell>
        </row>
        <row r="139">
          <cell r="A139" t="str">
            <v>BAF</v>
          </cell>
          <cell r="B139">
            <v>25700</v>
          </cell>
        </row>
        <row r="140">
          <cell r="A140" t="str">
            <v>TNG</v>
          </cell>
          <cell r="B140">
            <v>20600</v>
          </cell>
        </row>
        <row r="141">
          <cell r="A141" t="str">
            <v>VGT</v>
          </cell>
          <cell r="B141">
            <v>11600</v>
          </cell>
        </row>
        <row r="142">
          <cell r="A142" t="str">
            <v>STK</v>
          </cell>
          <cell r="B142">
            <v>27700</v>
          </cell>
        </row>
        <row r="143">
          <cell r="A143" t="str">
            <v>MSH</v>
          </cell>
          <cell r="B143">
            <v>39550</v>
          </cell>
        </row>
        <row r="144">
          <cell r="A144" t="str">
            <v>ADS</v>
          </cell>
          <cell r="B144">
            <v>13000</v>
          </cell>
        </row>
        <row r="145">
          <cell r="A145" t="str">
            <v>GIL</v>
          </cell>
          <cell r="B145">
            <v>28800</v>
          </cell>
        </row>
        <row r="146">
          <cell r="A146" t="str">
            <v>QNS</v>
          </cell>
          <cell r="B146">
            <v>47700</v>
          </cell>
        </row>
        <row r="147">
          <cell r="A147" t="str">
            <v>SBT</v>
          </cell>
          <cell r="B147">
            <v>13300</v>
          </cell>
        </row>
        <row r="148">
          <cell r="A148" t="str">
            <v>LSS</v>
          </cell>
          <cell r="B148">
            <v>11650</v>
          </cell>
        </row>
        <row r="149">
          <cell r="A149" t="str">
            <v>SLS</v>
          </cell>
          <cell r="B149">
            <v>150800</v>
          </cell>
        </row>
        <row r="150">
          <cell r="A150" t="str">
            <v>DHG</v>
          </cell>
          <cell r="B150">
            <v>107300</v>
          </cell>
        </row>
        <row r="151">
          <cell r="A151" t="str">
            <v>IMP</v>
          </cell>
          <cell r="B151">
            <v>63000</v>
          </cell>
        </row>
        <row r="152">
          <cell r="A152" t="str">
            <v>AMV</v>
          </cell>
          <cell r="B152">
            <v>3800</v>
          </cell>
        </row>
        <row r="153">
          <cell r="A153" t="str">
            <v>FPT</v>
          </cell>
          <cell r="B153">
            <v>104900</v>
          </cell>
        </row>
        <row r="154">
          <cell r="A154" t="str">
            <v>HAX</v>
          </cell>
          <cell r="B154">
            <v>14400</v>
          </cell>
        </row>
        <row r="155">
          <cell r="A155" t="str">
            <v>VEA</v>
          </cell>
          <cell r="B155">
            <v>37300</v>
          </cell>
        </row>
        <row r="156">
          <cell r="A156" t="str">
            <v>HUT</v>
          </cell>
          <cell r="B156">
            <v>18900</v>
          </cell>
        </row>
        <row r="157">
          <cell r="A157" t="str">
            <v>DHC</v>
          </cell>
          <cell r="B157">
            <v>42100</v>
          </cell>
        </row>
        <row r="158">
          <cell r="A158" t="str">
            <v>DRC</v>
          </cell>
          <cell r="B158">
            <v>31500</v>
          </cell>
        </row>
        <row r="159">
          <cell r="A159" t="str">
            <v>REE</v>
          </cell>
          <cell r="B159">
            <v>56500</v>
          </cell>
        </row>
        <row r="160">
          <cell r="A160" t="str">
            <v>HDG</v>
          </cell>
          <cell r="B160">
            <v>26800</v>
          </cell>
        </row>
        <row r="161">
          <cell r="A161" t="str">
            <v>GEX</v>
          </cell>
          <cell r="B161">
            <v>21500</v>
          </cell>
        </row>
        <row r="162">
          <cell r="A162" t="str">
            <v>MSN</v>
          </cell>
          <cell r="B162">
            <v>64900</v>
          </cell>
        </row>
        <row r="163">
          <cell r="A163" t="str">
            <v>VIC</v>
          </cell>
          <cell r="B163">
            <v>42400</v>
          </cell>
        </row>
        <row r="164">
          <cell r="A164" t="str">
            <v>VGS</v>
          </cell>
          <cell r="B164">
            <v>22600</v>
          </cell>
        </row>
        <row r="165">
          <cell r="A165" t="str">
            <v>SMC</v>
          </cell>
          <cell r="B165">
            <v>10250</v>
          </cell>
        </row>
        <row r="166">
          <cell r="A166" t="str">
            <v>BFC</v>
          </cell>
          <cell r="B166">
            <v>25700</v>
          </cell>
        </row>
        <row r="167">
          <cell r="A167" t="str">
            <v>BCG</v>
          </cell>
          <cell r="B167">
            <v>8170</v>
          </cell>
        </row>
        <row r="168">
          <cell r="A168" t="str">
            <v>MIG</v>
          </cell>
          <cell r="B168">
            <v>18100</v>
          </cell>
        </row>
        <row r="169">
          <cell r="A169" t="str">
            <v>HQC</v>
          </cell>
          <cell r="B169">
            <v>4170</v>
          </cell>
        </row>
        <row r="170">
          <cell r="A170" t="str">
            <v>SCR</v>
          </cell>
          <cell r="B170">
            <v>7080</v>
          </cell>
        </row>
        <row r="171">
          <cell r="A171" t="str">
            <v>DXS</v>
          </cell>
          <cell r="B171">
            <v>7020</v>
          </cell>
        </row>
        <row r="172">
          <cell r="A172" t="str">
            <v>HBC</v>
          </cell>
          <cell r="B172">
            <v>8390</v>
          </cell>
        </row>
        <row r="173">
          <cell r="A173" t="str">
            <v>ACL</v>
          </cell>
          <cell r="B173">
            <v>12000</v>
          </cell>
        </row>
        <row r="174">
          <cell r="A174" t="str">
            <v>TTF</v>
          </cell>
          <cell r="B174">
            <v>4420</v>
          </cell>
        </row>
        <row r="175">
          <cell r="A175" t="str">
            <v>LCG</v>
          </cell>
          <cell r="B175">
            <v>13250</v>
          </cell>
        </row>
        <row r="176">
          <cell r="A176" t="str">
            <v>FIT</v>
          </cell>
          <cell r="B176">
            <v>4560</v>
          </cell>
        </row>
        <row r="177">
          <cell r="A177" t="str">
            <v>PSH</v>
          </cell>
          <cell r="B177">
            <v>7330</v>
          </cell>
        </row>
        <row r="178">
          <cell r="A178" t="str">
            <v>HHS</v>
          </cell>
          <cell r="B178">
            <v>8570</v>
          </cell>
        </row>
        <row r="179">
          <cell r="A179" t="str">
            <v>CRE</v>
          </cell>
          <cell r="B179">
            <v>8300</v>
          </cell>
        </row>
        <row r="180">
          <cell r="A180" t="str">
            <v>SIP</v>
          </cell>
          <cell r="B180">
            <v>80000</v>
          </cell>
        </row>
        <row r="181">
          <cell r="A181" t="str">
            <v>TIG</v>
          </cell>
          <cell r="B181">
            <v>12000</v>
          </cell>
        </row>
        <row r="182">
          <cell r="A182" t="str">
            <v>BVH</v>
          </cell>
          <cell r="B182">
            <v>41200</v>
          </cell>
        </row>
        <row r="183">
          <cell r="A183" t="str">
            <v>CTS</v>
          </cell>
          <cell r="B183">
            <v>31250</v>
          </cell>
        </row>
        <row r="184">
          <cell r="A184" t="str">
            <v>IJC</v>
          </cell>
          <cell r="B184">
            <v>15400</v>
          </cell>
        </row>
        <row r="185">
          <cell r="A185" t="str">
            <v>EVF</v>
          </cell>
          <cell r="B185">
            <v>15900</v>
          </cell>
        </row>
        <row r="186">
          <cell r="A186" t="str">
            <v>BCC</v>
          </cell>
          <cell r="B186">
            <v>9600</v>
          </cell>
        </row>
        <row r="187">
          <cell r="A187" t="str">
            <v>EVE</v>
          </cell>
          <cell r="B187">
            <v>14150</v>
          </cell>
        </row>
        <row r="188">
          <cell r="A188" t="str">
            <v>SGP</v>
          </cell>
          <cell r="B188">
            <v>18800</v>
          </cell>
        </row>
        <row r="189">
          <cell r="A189" t="str">
            <v>DVP</v>
          </cell>
          <cell r="B189">
            <v>68300</v>
          </cell>
        </row>
        <row r="190">
          <cell r="A190" t="str">
            <v>PLC</v>
          </cell>
          <cell r="B190">
            <v>31600</v>
          </cell>
        </row>
        <row r="191">
          <cell r="A191" t="str">
            <v>GDT</v>
          </cell>
          <cell r="B191">
            <v>24300</v>
          </cell>
        </row>
        <row r="192">
          <cell r="A192" t="str">
            <v>VPG</v>
          </cell>
          <cell r="B192">
            <v>17650</v>
          </cell>
        </row>
        <row r="193">
          <cell r="A193" t="str">
            <v>OIL</v>
          </cell>
          <cell r="B193">
            <v>9800</v>
          </cell>
        </row>
        <row r="194">
          <cell r="A194" t="str">
            <v>VGI</v>
          </cell>
          <cell r="B194">
            <v>27500</v>
          </cell>
        </row>
        <row r="195">
          <cell r="A195" t="str">
            <v>MCH</v>
          </cell>
          <cell r="B195">
            <v>107900</v>
          </cell>
        </row>
        <row r="196">
          <cell r="A196" t="str">
            <v>ORS</v>
          </cell>
          <cell r="B196">
            <v>20000</v>
          </cell>
        </row>
        <row r="197">
          <cell r="A197" t="str">
            <v>VDS</v>
          </cell>
          <cell r="B197">
            <v>12000</v>
          </cell>
        </row>
        <row r="198">
          <cell r="A198" t="str">
            <v>SHB</v>
          </cell>
          <cell r="B198">
            <v>11450</v>
          </cell>
        </row>
        <row r="199">
          <cell r="A199" t="str">
            <v>DPG</v>
          </cell>
          <cell r="B199">
            <v>41700</v>
          </cell>
        </row>
        <row r="200">
          <cell r="A200" t="str">
            <v>POW</v>
          </cell>
          <cell r="B200">
            <v>12000</v>
          </cell>
        </row>
        <row r="201">
          <cell r="A201" t="str">
            <v>MPC</v>
          </cell>
          <cell r="B201">
            <v>12000</v>
          </cell>
        </row>
        <row r="202">
          <cell r="A202" t="str">
            <v>OCB</v>
          </cell>
          <cell r="B202">
            <v>0</v>
          </cell>
        </row>
        <row r="203">
          <cell r="A203" t="str">
            <v>ASM</v>
          </cell>
          <cell r="B203">
            <v>10250</v>
          </cell>
        </row>
        <row r="204">
          <cell r="A204" t="str">
            <v>NAB</v>
          </cell>
          <cell r="B204">
            <v>0</v>
          </cell>
        </row>
        <row r="205">
          <cell r="A205" t="str">
            <v>ST8</v>
          </cell>
          <cell r="B205">
            <v>0</v>
          </cell>
        </row>
        <row r="206">
          <cell r="A206" t="str">
            <v>TCH</v>
          </cell>
          <cell r="B206">
            <v>13400</v>
          </cell>
        </row>
        <row r="207">
          <cell r="A207" t="str">
            <v>AAA</v>
          </cell>
          <cell r="B207">
            <v>0</v>
          </cell>
        </row>
        <row r="208">
          <cell r="A208" t="str">
            <v>BWE</v>
          </cell>
          <cell r="B208">
            <v>0</v>
          </cell>
        </row>
        <row r="209">
          <cell r="A209" t="str">
            <v>NAB</v>
          </cell>
          <cell r="B209">
            <v>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500C1-A977-B342-835F-757AA1BA2330}">
  <sheetPr codeName="Sheet10"/>
  <dimension ref="A1:T47"/>
  <sheetViews>
    <sheetView topLeftCell="A9" workbookViewId="0">
      <selection activeCell="L42" sqref="L42"/>
    </sheetView>
  </sheetViews>
  <sheetFormatPr baseColWidth="10" defaultRowHeight="16" x14ac:dyDescent="0.2"/>
  <cols>
    <col min="1" max="1" width="21.6640625" customWidth="1"/>
    <col min="2" max="2" width="21" customWidth="1"/>
    <col min="3" max="3" width="20.33203125" customWidth="1"/>
    <col min="4" max="10" width="16.83203125" bestFit="1" customWidth="1"/>
    <col min="12" max="12" width="17.6640625" bestFit="1" customWidth="1"/>
  </cols>
  <sheetData>
    <row r="1" spans="1:20" x14ac:dyDescent="0.2">
      <c r="A1" s="20" t="s">
        <v>85</v>
      </c>
      <c r="C1" s="21" t="s">
        <v>86</v>
      </c>
    </row>
    <row r="2" spans="1:20" x14ac:dyDescent="0.2">
      <c r="A2" t="s">
        <v>13</v>
      </c>
      <c r="C2" t="s">
        <v>13</v>
      </c>
    </row>
    <row r="3" spans="1:20" x14ac:dyDescent="0.2">
      <c r="A3" s="19"/>
      <c r="C3" s="19"/>
    </row>
    <row r="5" spans="1:20" x14ac:dyDescent="0.2">
      <c r="A5" s="22" t="s">
        <v>23</v>
      </c>
      <c r="B5" s="22"/>
      <c r="C5" s="22"/>
      <c r="D5" s="22"/>
      <c r="E5" s="22"/>
      <c r="F5" s="22"/>
      <c r="G5" s="22"/>
      <c r="H5" s="22"/>
      <c r="I5" s="22"/>
      <c r="J5" s="22"/>
    </row>
    <row r="6" spans="1:20" x14ac:dyDescent="0.2">
      <c r="A6" s="5"/>
      <c r="B6" s="6"/>
      <c r="C6" s="7"/>
      <c r="D6" s="8"/>
      <c r="E6" s="1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1:20" x14ac:dyDescent="0.2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5"/>
      <c r="M7" s="15"/>
      <c r="N7" s="15"/>
      <c r="O7" s="15"/>
      <c r="P7" s="15"/>
      <c r="Q7" s="15"/>
      <c r="R7" s="15"/>
      <c r="S7" s="15"/>
      <c r="T7" s="15"/>
    </row>
    <row r="8" spans="1:20" x14ac:dyDescent="0.2">
      <c r="A8" s="15" t="e">
        <f>VLOOKUP(A6,[1]PriceValue!A40:B194,2,FALSE)*VLOOKUP(A6,'[1]2023'!A41:F200,4,FALSE)</f>
        <v>#N/A</v>
      </c>
      <c r="B8" s="15" t="e">
        <f>VLOOKUP(B6,[1]PriceValue!A40:B194,2,FALSE)*VLOOKUP(B6,'[1]2023'!A41:F200,4,FALSE)</f>
        <v>#N/A</v>
      </c>
      <c r="C8" s="15" t="e">
        <f>VLOOKUP(C6,[1]PriceValue!A40:B194,2,FALSE)*VLOOKUP(C6,'[1]2023'!A41:F200,4,FALSE)</f>
        <v>#N/A</v>
      </c>
      <c r="D8" s="15" t="e">
        <f>VLOOKUP(D6,[1]PriceValue!A40:B194,2,FALSE)*VLOOKUP(D6,'[1]2023'!A41:F200,4,FALSE)</f>
        <v>#N/A</v>
      </c>
      <c r="E8" s="15" t="e">
        <f>VLOOKUP(E6,[1]PriceValue!A40:B194,2,FALSE)*VLOOKUP(E6,'[1]2023'!A41:F200,4,FALSE)</f>
        <v>#N/A</v>
      </c>
      <c r="F8" s="15" t="e">
        <f>VLOOKUP(F6,[1]PriceValue!A40:B194,2,FALSE)*VLOOKUP(F6,'[1]2023'!A41:F200,4,FALSE)</f>
        <v>#N/A</v>
      </c>
      <c r="G8" s="15" t="e">
        <f>VLOOKUP(G6,[1]PriceValue!A40:B194,2,FALSE)*VLOOKUP(G6,'[1]2023'!A41:F200,4,FALSE)</f>
        <v>#N/A</v>
      </c>
      <c r="H8" s="15" t="e">
        <f>VLOOKUP(H6,[1]PriceValue!A40:B194,2,FALSE)*VLOOKUP(H6,'[1]2023'!A41:F200,4,FALSE)</f>
        <v>#N/A</v>
      </c>
      <c r="I8" s="15" t="e">
        <f>VLOOKUP(I6,[1]PriceValue!A40:B194,2,FALSE)*VLOOKUP(I6,'[1]2023'!A41:F200,4,FALSE)</f>
        <v>#N/A</v>
      </c>
      <c r="J8" s="15" t="e">
        <f>VLOOKUP(J6,[1]PriceValue!A40:B194,2,FALSE)*VLOOKUP(J6,'[1]2023'!A41:F200,4,FALSE)</f>
        <v>#N/A</v>
      </c>
      <c r="K8" s="15" t="e">
        <f>VLOOKUP(K6,[1]PriceValue!A40:B194,2,FALSE)*VLOOKUP(K6,'[1]2023'!A41:F200,4,FALSE)</f>
        <v>#N/A</v>
      </c>
      <c r="L8" s="15" t="e">
        <f>VLOOKUP(L6,[1]PriceValue!A40:B194,2,FALSE)*VLOOKUP(L6,'[1]2023'!A41:F200,4,FALSE)</f>
        <v>#N/A</v>
      </c>
      <c r="M8" s="15" t="e">
        <f>VLOOKUP(M6,[1]PriceValue!A40:B194,2,FALSE)*VLOOKUP(M6,'[1]2023'!A41:F200,4,FALSE)</f>
        <v>#N/A</v>
      </c>
      <c r="N8" s="15" t="e">
        <f>VLOOKUP(N6,[1]PriceValue!A40:B194,2,FALSE)*VLOOKUP(N6,'[1]2023'!A41:F200,4,FALSE)</f>
        <v>#N/A</v>
      </c>
      <c r="O8" s="15" t="e">
        <f>VLOOKUP(O6,[1]PriceValue!A40:B194,2,FALSE)*VLOOKUP(O6,'[1]2023'!A41:F200,4,FALSE)</f>
        <v>#N/A</v>
      </c>
      <c r="P8" s="15" t="e">
        <f>VLOOKUP(P6,[1]PriceValue!A40:B194,2,FALSE)*VLOOKUP(P6,'[1]2023'!A41:F200,4,FALSE)</f>
        <v>#N/A</v>
      </c>
      <c r="Q8" s="15" t="e">
        <f>VLOOKUP(Q6,[1]PriceValue!A40:B194,2,FALSE)*VLOOKUP(Q6,'[1]2023'!A41:F200,4,FALSE)</f>
        <v>#N/A</v>
      </c>
      <c r="R8" s="15" t="e">
        <f>VLOOKUP(R6,[1]PriceValue!A40:B194,2,FALSE)*VLOOKUP(R6,'[1]2023'!A41:F200,4,FALSE)</f>
        <v>#N/A</v>
      </c>
      <c r="S8" s="15" t="e">
        <f>VLOOKUP(S6,[1]PriceValue!A40:B194,2,FALSE)*VLOOKUP(S6,'[1]2023'!A41:F200,4,FALSE)</f>
        <v>#N/A</v>
      </c>
      <c r="T8" s="15" t="e">
        <f>VLOOKUP(T6,[1]PriceValue!A40:B194,2,FALSE)*VLOOKUP(T6,'[1]2023'!A41:F200,4,FALSE)</f>
        <v>#N/A</v>
      </c>
    </row>
    <row r="9" spans="1:20" x14ac:dyDescent="0.2">
      <c r="A9" s="18" t="e">
        <f>A7/A8</f>
        <v>#N/A</v>
      </c>
      <c r="B9" s="18" t="e">
        <f>B7/B8</f>
        <v>#N/A</v>
      </c>
      <c r="C9" s="18" t="e">
        <f t="shared" ref="C9:T9" si="0">C7/C8</f>
        <v>#N/A</v>
      </c>
      <c r="D9" s="18" t="e">
        <f t="shared" si="0"/>
        <v>#N/A</v>
      </c>
      <c r="E9" s="18" t="e">
        <f t="shared" si="0"/>
        <v>#N/A</v>
      </c>
      <c r="F9" s="18" t="e">
        <f t="shared" si="0"/>
        <v>#N/A</v>
      </c>
      <c r="G9" s="18" t="e">
        <f t="shared" si="0"/>
        <v>#N/A</v>
      </c>
      <c r="H9" s="18" t="e">
        <f t="shared" si="0"/>
        <v>#N/A</v>
      </c>
      <c r="I9" s="18" t="e">
        <f t="shared" si="0"/>
        <v>#N/A</v>
      </c>
      <c r="J9" s="18" t="e">
        <f t="shared" si="0"/>
        <v>#N/A</v>
      </c>
      <c r="K9" s="18" t="e">
        <f t="shared" si="0"/>
        <v>#N/A</v>
      </c>
      <c r="L9" s="18" t="e">
        <f t="shared" si="0"/>
        <v>#N/A</v>
      </c>
      <c r="M9" s="18" t="e">
        <f t="shared" si="0"/>
        <v>#N/A</v>
      </c>
      <c r="N9" s="18" t="e">
        <f t="shared" si="0"/>
        <v>#N/A</v>
      </c>
      <c r="O9" s="18" t="e">
        <f t="shared" si="0"/>
        <v>#N/A</v>
      </c>
      <c r="P9" s="18" t="e">
        <f t="shared" si="0"/>
        <v>#N/A</v>
      </c>
      <c r="Q9" s="18" t="e">
        <f t="shared" si="0"/>
        <v>#N/A</v>
      </c>
      <c r="R9" s="18" t="e">
        <f t="shared" si="0"/>
        <v>#N/A</v>
      </c>
      <c r="S9" s="18" t="e">
        <f t="shared" si="0"/>
        <v>#N/A</v>
      </c>
      <c r="T9" s="18" t="e">
        <f t="shared" si="0"/>
        <v>#N/A</v>
      </c>
    </row>
    <row r="10" spans="1:20" x14ac:dyDescent="0.2">
      <c r="A10" s="18"/>
    </row>
    <row r="11" spans="1:20" x14ac:dyDescent="0.2">
      <c r="A11" s="23" t="s">
        <v>87</v>
      </c>
      <c r="B11" s="23"/>
      <c r="C11" s="23"/>
      <c r="D11" s="23"/>
      <c r="E11" s="23"/>
      <c r="F11" s="23"/>
      <c r="G11" s="23"/>
      <c r="H11" s="23"/>
      <c r="I11" s="23"/>
      <c r="J11" s="2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">
      <c r="A12" s="5"/>
      <c r="B12" s="6"/>
      <c r="C12" s="7"/>
      <c r="D12" s="8"/>
      <c r="E12" s="1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 spans="1:20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5"/>
      <c r="M13" s="15"/>
      <c r="N13" s="15"/>
      <c r="O13" s="15"/>
      <c r="P13" s="15"/>
      <c r="Q13" s="15"/>
      <c r="R13" s="15"/>
      <c r="S13" s="15"/>
      <c r="T13" s="15"/>
    </row>
    <row r="14" spans="1:20" x14ac:dyDescent="0.2">
      <c r="A14" s="4" t="e">
        <f>VLOOKUP(A12,[1]PriceValue!A46:B226,2,FALSE)*VLOOKUP(A12,'[1]2023'!A47:F206,4,FALSE)</f>
        <v>#N/A</v>
      </c>
      <c r="B14" s="4" t="e">
        <f>VLOOKUP(B12,[1]PriceValue!A46:B226,2,FALSE)*VLOOKUP(B12,'[1]2023'!A47:F206,4,FALSE)</f>
        <v>#N/A</v>
      </c>
      <c r="C14" s="4" t="e">
        <f>VLOOKUP(C12,[1]PriceValue!A41:B226,2,FALSE)*VLOOKUP(C12,'[1]2023'!A47:F206,4,FALSE)</f>
        <v>#N/A</v>
      </c>
      <c r="D14" s="4" t="e">
        <f>VLOOKUP(D12,[1]PriceValue!A46:B226,2,FALSE)*VLOOKUP(D12,'[1]2023'!A47:F206,4,FALSE)</f>
        <v>#N/A</v>
      </c>
      <c r="E14" s="4" t="e">
        <f>VLOOKUP(E12,[1]PriceValue!A46:B226,2,FALSE)*VLOOKUP(E12,'[1]2023'!A47:F206,4,FALSE)</f>
        <v>#N/A</v>
      </c>
      <c r="F14" s="4" t="e">
        <f>VLOOKUP(F12,[1]PriceValue!A41:B226,2,FALSE)*VLOOKUP(F12,'[1]2023'!A47:F206,4,FALSE)</f>
        <v>#N/A</v>
      </c>
      <c r="G14" s="4" t="e">
        <f>VLOOKUP(G12,[1]PriceValue!A46:B226,2,FALSE)*VLOOKUP(G12,'[1]2023'!A47:F206,4,FALSE)</f>
        <v>#N/A</v>
      </c>
      <c r="H14" s="4" t="e">
        <f>VLOOKUP(H12,[1]PriceValue!A46:B226,2,FALSE)*VLOOKUP(H12,'[1]2023'!A47:F206,4,FALSE)</f>
        <v>#N/A</v>
      </c>
      <c r="I14" s="4" t="e">
        <f>VLOOKUP(I12,[1]PriceValue!A46:B226,2,FALSE)*VLOOKUP(I12,'[1]2023'!A47:F206,4,FALSE)</f>
        <v>#N/A</v>
      </c>
      <c r="J14" s="4" t="e">
        <f>VLOOKUP(J12,[1]PriceValue!A46:B226,2,FALSE)*VLOOKUP(J12,'[1]2023'!A47:F206,4,FALSE)</f>
        <v>#N/A</v>
      </c>
      <c r="K14" s="4" t="e">
        <f>VLOOKUP(K12,[1]PriceValue!A46:B226,2,FALSE)*VLOOKUP(K12,'[1]2023'!A47:F206,4,FALSE)</f>
        <v>#N/A</v>
      </c>
      <c r="L14" s="4" t="e">
        <f>VLOOKUP(L12,[1]PriceValue!A46:B226,2,FALSE)*VLOOKUP(L12,'[1]2023'!A47:F206,4,FALSE)</f>
        <v>#N/A</v>
      </c>
      <c r="M14" s="4" t="e">
        <f>VLOOKUP(M12,[1]PriceValue!A46:B226,2,FALSE)*VLOOKUP(M12,'[1]2023'!A47:F206,4,FALSE)</f>
        <v>#N/A</v>
      </c>
      <c r="N14" s="4" t="e">
        <f>VLOOKUP(N12,[1]PriceValue!A46:B226,2,FALSE)*VLOOKUP(N12,'[1]2023'!A47:F206,4,FALSE)</f>
        <v>#N/A</v>
      </c>
      <c r="O14" s="4" t="e">
        <f>VLOOKUP(O12,[1]PriceValue!A46:B226,2,FALSE)*VLOOKUP(O12,'[1]2023'!A47:F206,4,FALSE)</f>
        <v>#N/A</v>
      </c>
      <c r="P14" s="4" t="e">
        <f>VLOOKUP(P12,[1]PriceValue!A46:B226,2,FALSE)*VLOOKUP(P12,'[1]2023'!A47:F206,4,FALSE)</f>
        <v>#N/A</v>
      </c>
      <c r="Q14" s="4" t="e">
        <f>VLOOKUP(Q12,[1]PriceValue!A46:B226,2,FALSE)*VLOOKUP(Q12,'[1]2023'!A47:F206,4,FALSE)</f>
        <v>#N/A</v>
      </c>
      <c r="R14" s="4" t="e">
        <f>VLOOKUP(R12,[1]PriceValue!A46:B226,2,FALSE)*VLOOKUP(R12,'[1]2023'!A47:F206,4,FALSE)</f>
        <v>#N/A</v>
      </c>
      <c r="S14" s="4" t="e">
        <f>VLOOKUP(S12,[1]PriceValue!A46:B226,2,FALSE)*VLOOKUP(S12,'[1]2023'!A47:F206,4,FALSE)</f>
        <v>#N/A</v>
      </c>
      <c r="T14" s="4" t="e">
        <f>VLOOKUP(T12,[1]PriceValue!A46:B226,2,FALSE)*VLOOKUP(T12,'[1]2023'!A47:F206,4,FALSE)</f>
        <v>#N/A</v>
      </c>
    </row>
    <row r="15" spans="1:20" x14ac:dyDescent="0.2">
      <c r="A15" s="18" t="e">
        <f>A13/A14</f>
        <v>#N/A</v>
      </c>
      <c r="B15" s="18" t="e">
        <f t="shared" ref="B15:T15" si="1">B13/B14</f>
        <v>#N/A</v>
      </c>
      <c r="C15" s="18" t="e">
        <f t="shared" si="1"/>
        <v>#N/A</v>
      </c>
      <c r="D15" s="18" t="e">
        <f t="shared" si="1"/>
        <v>#N/A</v>
      </c>
      <c r="E15" s="18" t="e">
        <f t="shared" si="1"/>
        <v>#N/A</v>
      </c>
      <c r="F15" s="18" t="e">
        <f t="shared" si="1"/>
        <v>#N/A</v>
      </c>
      <c r="G15" s="18" t="e">
        <f t="shared" si="1"/>
        <v>#N/A</v>
      </c>
      <c r="H15" s="18" t="e">
        <f t="shared" si="1"/>
        <v>#N/A</v>
      </c>
      <c r="I15" s="18" t="e">
        <f t="shared" si="1"/>
        <v>#N/A</v>
      </c>
      <c r="J15" s="18" t="e">
        <f t="shared" si="1"/>
        <v>#N/A</v>
      </c>
      <c r="K15" s="18" t="e">
        <f t="shared" si="1"/>
        <v>#N/A</v>
      </c>
      <c r="L15" s="18" t="e">
        <f t="shared" si="1"/>
        <v>#N/A</v>
      </c>
      <c r="M15" s="18" t="e">
        <f t="shared" si="1"/>
        <v>#N/A</v>
      </c>
      <c r="N15" s="18" t="e">
        <f t="shared" si="1"/>
        <v>#N/A</v>
      </c>
      <c r="O15" s="18" t="e">
        <f t="shared" si="1"/>
        <v>#N/A</v>
      </c>
      <c r="P15" s="18" t="e">
        <f t="shared" si="1"/>
        <v>#N/A</v>
      </c>
      <c r="Q15" s="18" t="e">
        <f t="shared" si="1"/>
        <v>#N/A</v>
      </c>
      <c r="R15" s="18" t="e">
        <f t="shared" si="1"/>
        <v>#N/A</v>
      </c>
      <c r="S15" s="18" t="e">
        <f t="shared" si="1"/>
        <v>#N/A</v>
      </c>
      <c r="T15" s="18" t="e">
        <f t="shared" si="1"/>
        <v>#N/A</v>
      </c>
    </row>
    <row r="16" spans="1:20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2">
      <c r="A17" s="25" t="s">
        <v>88</v>
      </c>
      <c r="B17" s="25"/>
      <c r="C17" s="25"/>
      <c r="D17" s="25"/>
      <c r="E17" s="25"/>
      <c r="F17" s="25"/>
      <c r="G17" s="25"/>
      <c r="H17" s="25"/>
      <c r="I17" s="25"/>
      <c r="J17" s="25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25" t="s">
        <v>91</v>
      </c>
      <c r="B20" s="25"/>
      <c r="C20" s="25"/>
      <c r="D20" s="25"/>
      <c r="E20" s="25"/>
      <c r="F20" s="25"/>
      <c r="G20" s="25"/>
      <c r="H20" s="25"/>
      <c r="I20" s="25"/>
      <c r="J20" s="25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25" t="s">
        <v>94</v>
      </c>
      <c r="B23" s="25"/>
      <c r="C23" s="25"/>
      <c r="D23" s="25"/>
      <c r="E23" s="25"/>
      <c r="F23" s="25"/>
      <c r="G23" s="25"/>
      <c r="H23" s="25"/>
      <c r="I23" s="25"/>
      <c r="J23" s="25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</row>
    <row r="27" spans="1:20" x14ac:dyDescent="0.2">
      <c r="A27" s="18"/>
    </row>
    <row r="28" spans="1:20" x14ac:dyDescent="0.2">
      <c r="A28" s="22" t="s">
        <v>24</v>
      </c>
      <c r="B28" s="22"/>
      <c r="C28" s="22"/>
      <c r="D28" s="22"/>
      <c r="E28" s="22"/>
      <c r="F28" s="22"/>
      <c r="G28" s="22"/>
      <c r="H28" s="22"/>
      <c r="I28" s="22"/>
      <c r="J28" s="22"/>
    </row>
    <row r="29" spans="1:20" x14ac:dyDescent="0.2">
      <c r="A29" s="10"/>
      <c r="B29" s="11"/>
      <c r="C29" s="12"/>
      <c r="D29" s="2"/>
      <c r="E29" s="13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</row>
    <row r="30" spans="1:20" x14ac:dyDescent="0.2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</row>
    <row r="31" spans="1:20" x14ac:dyDescent="0.2">
      <c r="A31" s="4" t="e">
        <f>VLOOKUP(A29,[1]PriceValue!A40:B194,2,FALSE)*VLOOKUP(A29,'[1]2023'!A41:F200,4,FALSE)</f>
        <v>#N/A</v>
      </c>
      <c r="B31" s="4" t="e">
        <f>VLOOKUP(B29,[1]PriceValue!A40:B194,2,FALSE)*VLOOKUP(B29,'[1]2023'!A41:F200,4,FALSE)</f>
        <v>#N/A</v>
      </c>
      <c r="C31" s="4" t="e">
        <f>VLOOKUP(C29,[1]PriceValue!A40:B194,2,FALSE)*VLOOKUP(C29,'[1]2023'!A41:F200,4,FALSE)</f>
        <v>#N/A</v>
      </c>
      <c r="D31" s="4" t="e">
        <f>VLOOKUP(D29,[1]PriceValue!A40:B194,2,FALSE)*VLOOKUP(D29,'[1]2023'!A41:F200,4,FALSE)</f>
        <v>#N/A</v>
      </c>
      <c r="E31" s="4" t="e">
        <f>VLOOKUP(E29,[1]PriceValue!A40:B194,2,FALSE)*VLOOKUP(E29,'[1]2023'!A41:F200,4,FALSE)</f>
        <v>#N/A</v>
      </c>
      <c r="F31" s="4" t="e">
        <f>VLOOKUP(F29,[1]PriceValue!A40:B194,2,FALSE)*VLOOKUP(F29,'[1]2023'!A41:F200,4,FALSE)</f>
        <v>#N/A</v>
      </c>
      <c r="G31" s="4" t="e">
        <f>VLOOKUP(G29,[1]PriceValue!A40:B194,2,FALSE)*VLOOKUP(G29,'[1]2023'!A41:F200,4,FALSE)</f>
        <v>#N/A</v>
      </c>
      <c r="H31" s="4" t="e">
        <f>VLOOKUP(H29,[1]PriceValue!A40:B194,2,FALSE)*VLOOKUP(H29,'[1]2023'!A41:F200,4,FALSE)</f>
        <v>#N/A</v>
      </c>
      <c r="I31" s="4" t="e">
        <f>VLOOKUP(I29,[1]PriceValue!A40:B194,2,FALSE)*VLOOKUP(I29,'[1]2023'!A41:F200,4,FALSE)</f>
        <v>#N/A</v>
      </c>
      <c r="J31" s="4" t="e">
        <f>VLOOKUP(J29,[1]PriceValue!A40:B194,2,FALSE)*VLOOKUP(J29,'[1]2023'!A41:F200,4,FALSE)</f>
        <v>#N/A</v>
      </c>
      <c r="K31" s="4" t="e">
        <f>VLOOKUP(K29,[1]PriceValue!A40:B194,2,FALSE)*VLOOKUP(K29,'[1]2023'!A41:F200,4,FALSE)</f>
        <v>#N/A</v>
      </c>
      <c r="L31" s="4" t="e">
        <f>VLOOKUP(L29,[1]PriceValue!A40:B194,2,FALSE)*VLOOKUP(L29,'[1]2023'!A41:F200,4,FALSE)</f>
        <v>#N/A</v>
      </c>
      <c r="M31" s="4" t="e">
        <f>VLOOKUP(M29,[1]PriceValue!A40:B194,2,FALSE)*VLOOKUP(M29,'[1]2023'!A41:F200,4,FALSE)</f>
        <v>#N/A</v>
      </c>
      <c r="N31" s="4" t="e">
        <f>VLOOKUP(N29,[1]PriceValue!A40:B194,2,FALSE)*VLOOKUP(N29,'[1]2023'!A41:F200,4,FALSE)</f>
        <v>#N/A</v>
      </c>
      <c r="O31" s="4" t="e">
        <f>VLOOKUP(O29,[1]PriceValue!A40:B194,2,FALSE)*VLOOKUP(O29,'[1]2023'!A41:F200,4,FALSE)</f>
        <v>#N/A</v>
      </c>
      <c r="P31" s="4" t="e">
        <f>VLOOKUP(P29,[1]PriceValue!A40:B194,2,FALSE)*VLOOKUP(P29,'[1]2023'!A41:F200,4,FALSE)</f>
        <v>#N/A</v>
      </c>
      <c r="Q31" s="4" t="e">
        <f>VLOOKUP(Q29,[1]PriceValue!A40:B194,2,FALSE)*VLOOKUP(Q29,'[1]2023'!A41:F200,4,FALSE)</f>
        <v>#N/A</v>
      </c>
      <c r="R31" s="4" t="e">
        <f>VLOOKUP(R29,[1]PriceValue!A40:B194,2,FALSE)*VLOOKUP(R29,'[1]2023'!A41:F200,4,FALSE)</f>
        <v>#N/A</v>
      </c>
      <c r="S31" s="4" t="e">
        <f>VLOOKUP(S29,[1]PriceValue!A40:B194,2,FALSE)*VLOOKUP(S29,'[1]2023'!A41:F200,4,FALSE)</f>
        <v>#N/A</v>
      </c>
      <c r="T31" s="4" t="e">
        <f>VLOOKUP(T29,[1]PriceValue!A40:B194,2,FALSE)*VLOOKUP(T29,'[1]2023'!A41:F200,4,FALSE)</f>
        <v>#N/A</v>
      </c>
    </row>
    <row r="32" spans="1:20" x14ac:dyDescent="0.2">
      <c r="A32" s="18" t="e">
        <f>-(A30/A31)</f>
        <v>#N/A</v>
      </c>
      <c r="B32" s="18" t="e">
        <f t="shared" ref="B32:T32" si="2">-(B30/B31)</f>
        <v>#N/A</v>
      </c>
      <c r="C32" s="18" t="e">
        <f t="shared" si="2"/>
        <v>#N/A</v>
      </c>
      <c r="D32" s="18" t="e">
        <f t="shared" si="2"/>
        <v>#N/A</v>
      </c>
      <c r="E32" s="18" t="e">
        <f t="shared" si="2"/>
        <v>#N/A</v>
      </c>
      <c r="F32" s="18" t="e">
        <f t="shared" si="2"/>
        <v>#N/A</v>
      </c>
      <c r="G32" s="18" t="e">
        <f t="shared" si="2"/>
        <v>#N/A</v>
      </c>
      <c r="H32" s="18" t="e">
        <f t="shared" si="2"/>
        <v>#N/A</v>
      </c>
      <c r="I32" s="18" t="e">
        <f t="shared" si="2"/>
        <v>#N/A</v>
      </c>
      <c r="J32" s="18" t="e">
        <f t="shared" si="2"/>
        <v>#N/A</v>
      </c>
      <c r="K32" s="18" t="e">
        <f t="shared" si="2"/>
        <v>#N/A</v>
      </c>
      <c r="L32" s="18" t="e">
        <f t="shared" si="2"/>
        <v>#N/A</v>
      </c>
      <c r="M32" s="18" t="e">
        <f t="shared" si="2"/>
        <v>#N/A</v>
      </c>
      <c r="N32" s="18" t="e">
        <f t="shared" si="2"/>
        <v>#N/A</v>
      </c>
      <c r="O32" s="18" t="e">
        <f t="shared" si="2"/>
        <v>#N/A</v>
      </c>
      <c r="P32" s="18" t="e">
        <f t="shared" si="2"/>
        <v>#N/A</v>
      </c>
      <c r="Q32" s="18" t="e">
        <f t="shared" si="2"/>
        <v>#N/A</v>
      </c>
      <c r="R32" s="18" t="e">
        <f t="shared" si="2"/>
        <v>#N/A</v>
      </c>
      <c r="S32" s="18" t="e">
        <f t="shared" si="2"/>
        <v>#N/A</v>
      </c>
      <c r="T32" s="18" t="e">
        <f t="shared" si="2"/>
        <v>#N/A</v>
      </c>
    </row>
    <row r="34" spans="1:20" x14ac:dyDescent="0.2">
      <c r="A34" s="23" t="s">
        <v>24</v>
      </c>
      <c r="B34" s="23"/>
      <c r="C34" s="23"/>
      <c r="D34" s="23"/>
      <c r="E34" s="23"/>
      <c r="F34" s="23"/>
      <c r="G34" s="23"/>
      <c r="H34" s="23"/>
      <c r="I34" s="23"/>
      <c r="J34" s="23"/>
    </row>
    <row r="35" spans="1:20" x14ac:dyDescent="0.2">
      <c r="A35" s="10"/>
      <c r="B35" s="11"/>
      <c r="C35" s="12"/>
      <c r="D35" s="2"/>
      <c r="E35" s="13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</row>
    <row r="36" spans="1:20" x14ac:dyDescent="0.2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7"/>
      <c r="M36" s="17"/>
      <c r="N36" s="17"/>
      <c r="O36" s="17"/>
      <c r="P36" s="17"/>
      <c r="Q36" s="17"/>
      <c r="R36" s="17"/>
      <c r="S36" s="17"/>
      <c r="T36" s="17"/>
    </row>
    <row r="37" spans="1:20" x14ac:dyDescent="0.2">
      <c r="A37" s="4" t="e">
        <f>VLOOKUP(A35,[1]PriceValue!A52:B206,2,FALSE)*VLOOKUP(A35,'[1]2023'!A53:F212,4,FALSE)</f>
        <v>#N/A</v>
      </c>
      <c r="B37" s="4" t="e">
        <f>VLOOKUP(B35,[1]PriceValue!A52:B206,2,FALSE)*VLOOKUP(B35,'[1]2023'!A53:F212,4,FALSE)</f>
        <v>#N/A</v>
      </c>
      <c r="C37" s="4" t="e">
        <f>VLOOKUP(C35,[1]PriceValue!A52:B206,2,FALSE)*VLOOKUP(C35,'[1]2023'!A53:F212,4,FALSE)</f>
        <v>#N/A</v>
      </c>
      <c r="D37" s="4" t="e">
        <f>VLOOKUP(D35,[1]PriceValue!A52:B206,2,FALSE)*VLOOKUP(D35,'[1]2023'!A53:F212,4,FALSE)</f>
        <v>#N/A</v>
      </c>
      <c r="E37" s="4" t="e">
        <f>VLOOKUP(E35,[1]PriceValue!A52:B206,2,FALSE)*VLOOKUP(E35,'[1]2023'!A53:F212,4,FALSE)</f>
        <v>#N/A</v>
      </c>
      <c r="F37" s="4" t="e">
        <f>VLOOKUP(F35,[1]PriceValue!A52:B206,2,FALSE)*VLOOKUP(F35,'[1]2023'!A53:F212,4,FALSE)</f>
        <v>#N/A</v>
      </c>
      <c r="G37" s="4" t="e">
        <f>VLOOKUP(G35,[1]PriceValue!A52:B206,2,FALSE)*VLOOKUP(G35,'[1]2023'!A53:F212,4,FALSE)</f>
        <v>#N/A</v>
      </c>
      <c r="H37" s="4" t="e">
        <f>VLOOKUP(H35,[1]PriceValue!A52:B206,2,FALSE)*VLOOKUP(H35,'[1]2023'!A53:F212,4,FALSE)</f>
        <v>#N/A</v>
      </c>
      <c r="I37" s="4" t="e">
        <f>VLOOKUP(I35,[1]PriceValue!A52:B206,2,FALSE)*VLOOKUP(I35,'[1]2023'!A53:F212,4,FALSE)</f>
        <v>#N/A</v>
      </c>
      <c r="J37" s="4" t="e">
        <f>VLOOKUP(J35,[1]PriceValue!A52:B250,2,FALSE)*VLOOKUP(J35,'[1]2023'!A53:F212,4,FALSE)</f>
        <v>#N/A</v>
      </c>
      <c r="K37" s="4" t="e">
        <f>VLOOKUP(K35,[1]PriceValue!A52:B206,2,FALSE)*VLOOKUP(K35,'[1]2023'!A53:F212,4,FALSE)</f>
        <v>#N/A</v>
      </c>
      <c r="L37" s="4" t="e">
        <f>VLOOKUP(L35,[1]PriceValue!A52:B206,2,FALSE)*VLOOKUP(L35,'[1]2023'!A53:F212,4,FALSE)</f>
        <v>#N/A</v>
      </c>
      <c r="M37" s="4" t="e">
        <f>VLOOKUP(M35,[1]PriceValue!A52:B206,2,FALSE)*VLOOKUP(M35,'[1]2023'!A53:F212,4,FALSE)</f>
        <v>#N/A</v>
      </c>
      <c r="N37" s="4" t="e">
        <f>VLOOKUP(N35,[1]PriceValue!A52:B206,2,FALSE)*VLOOKUP(N35,'[1]2023'!A53:F212,4,FALSE)</f>
        <v>#N/A</v>
      </c>
      <c r="O37" s="4" t="e">
        <f>VLOOKUP(O35,[1]PriceValue!A52:B206,2,FALSE)*VLOOKUP(O35,'[1]2023'!A53:F212,4,FALSE)</f>
        <v>#N/A</v>
      </c>
      <c r="P37" s="4" t="e">
        <f>VLOOKUP(P35,[1]PriceValue!A52:B206,2,FALSE)*VLOOKUP(P35,'[1]2023'!A53:F212,4,FALSE)</f>
        <v>#N/A</v>
      </c>
      <c r="Q37" s="4" t="e">
        <f>VLOOKUP(Q35,[1]PriceValue!A52:B206,2,FALSE)*VLOOKUP(Q35,'[1]2023'!A53:F212,4,FALSE)</f>
        <v>#N/A</v>
      </c>
      <c r="R37" s="4" t="e">
        <f>VLOOKUP(R35,[1]PriceValue!A52:B206,2,FALSE)*VLOOKUP(R35,'[1]2023'!A53:F212,4,FALSE)</f>
        <v>#N/A</v>
      </c>
      <c r="S37" s="4" t="e">
        <f>VLOOKUP(S35,[1]PriceValue!A52:B206,2,FALSE)*VLOOKUP(S35,'[1]2023'!A53:F212,4,FALSE)</f>
        <v>#N/A</v>
      </c>
      <c r="T37" s="4" t="e">
        <f>VLOOKUP(T35,[1]PriceValue!A52:B206,2,FALSE)*VLOOKUP(T35,'[1]2023'!A53:F212,4,FALSE)</f>
        <v>#N/A</v>
      </c>
    </row>
    <row r="38" spans="1:20" x14ac:dyDescent="0.2">
      <c r="A38" s="18" t="e">
        <f>-(A36/A37)</f>
        <v>#N/A</v>
      </c>
      <c r="B38" s="18" t="e">
        <f t="shared" ref="B38:T38" si="3">-(B36/B37)</f>
        <v>#N/A</v>
      </c>
      <c r="C38" s="18" t="e">
        <f t="shared" si="3"/>
        <v>#N/A</v>
      </c>
      <c r="D38" s="18" t="e">
        <f t="shared" si="3"/>
        <v>#N/A</v>
      </c>
      <c r="E38" s="18" t="e">
        <f t="shared" si="3"/>
        <v>#N/A</v>
      </c>
      <c r="F38" s="18" t="e">
        <f t="shared" si="3"/>
        <v>#N/A</v>
      </c>
      <c r="G38" s="18" t="e">
        <f t="shared" si="3"/>
        <v>#N/A</v>
      </c>
      <c r="H38" s="18" t="e">
        <f t="shared" si="3"/>
        <v>#N/A</v>
      </c>
      <c r="I38" s="18" t="e">
        <f t="shared" si="3"/>
        <v>#N/A</v>
      </c>
      <c r="J38" s="18" t="e">
        <f t="shared" si="3"/>
        <v>#N/A</v>
      </c>
      <c r="K38" s="18" t="e">
        <f t="shared" si="3"/>
        <v>#N/A</v>
      </c>
      <c r="L38" s="18" t="e">
        <f t="shared" si="3"/>
        <v>#N/A</v>
      </c>
      <c r="M38" s="18" t="e">
        <f t="shared" si="3"/>
        <v>#N/A</v>
      </c>
      <c r="N38" s="18" t="e">
        <f t="shared" si="3"/>
        <v>#N/A</v>
      </c>
      <c r="O38" s="18" t="e">
        <f t="shared" si="3"/>
        <v>#N/A</v>
      </c>
      <c r="P38" s="18" t="e">
        <f t="shared" si="3"/>
        <v>#N/A</v>
      </c>
      <c r="Q38" s="18" t="e">
        <f t="shared" si="3"/>
        <v>#N/A</v>
      </c>
      <c r="R38" s="18" t="e">
        <f t="shared" si="3"/>
        <v>#N/A</v>
      </c>
      <c r="S38" s="18" t="e">
        <f t="shared" si="3"/>
        <v>#N/A</v>
      </c>
      <c r="T38" s="18" t="e">
        <f t="shared" si="3"/>
        <v>#N/A</v>
      </c>
    </row>
    <row r="40" spans="1:20" x14ac:dyDescent="0.2">
      <c r="A40" s="24" t="s">
        <v>96</v>
      </c>
      <c r="B40" s="24"/>
      <c r="C40" s="24"/>
      <c r="D40" s="24"/>
      <c r="E40" s="24"/>
      <c r="F40" s="24"/>
      <c r="G40" s="24"/>
      <c r="H40" s="24"/>
      <c r="I40" s="24"/>
      <c r="J40" s="24"/>
    </row>
    <row r="41" spans="1:20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</row>
    <row r="42" spans="1:20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</row>
    <row r="43" spans="1:20" x14ac:dyDescent="0.2">
      <c r="A43" s="24" t="s">
        <v>97</v>
      </c>
      <c r="B43" s="24"/>
      <c r="C43" s="24"/>
      <c r="D43" s="24"/>
      <c r="E43" s="24"/>
      <c r="F43" s="24"/>
      <c r="G43" s="24"/>
      <c r="H43" s="24"/>
      <c r="I43" s="24"/>
      <c r="J43" s="24"/>
    </row>
    <row r="44" spans="1:20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</row>
    <row r="45" spans="1:20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</row>
    <row r="46" spans="1:20" x14ac:dyDescent="0.2">
      <c r="A46" s="24" t="s">
        <v>98</v>
      </c>
      <c r="B46" s="24"/>
      <c r="C46" s="24"/>
      <c r="D46" s="24"/>
      <c r="E46" s="24"/>
      <c r="F46" s="24"/>
      <c r="G46" s="24"/>
      <c r="H46" s="24"/>
      <c r="I46" s="24"/>
      <c r="J46" s="24"/>
    </row>
    <row r="47" spans="1:20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</row>
  </sheetData>
  <mergeCells count="10">
    <mergeCell ref="A5:J5"/>
    <mergeCell ref="A11:J11"/>
    <mergeCell ref="A17:J17"/>
    <mergeCell ref="A20:J20"/>
    <mergeCell ref="A23:J23"/>
    <mergeCell ref="A28:J28"/>
    <mergeCell ref="A34:J34"/>
    <mergeCell ref="A40:J40"/>
    <mergeCell ref="A43:J43"/>
    <mergeCell ref="A46:J4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B287F-F156-594D-806D-8B2150A13712}">
  <sheetPr codeName="Sheet7"/>
  <dimension ref="A1:T52"/>
  <sheetViews>
    <sheetView workbookViewId="0">
      <selection activeCell="E2" sqref="E2"/>
    </sheetView>
  </sheetViews>
  <sheetFormatPr baseColWidth="10" defaultRowHeight="16" x14ac:dyDescent="0.2"/>
  <cols>
    <col min="1" max="1" width="21.6640625" customWidth="1"/>
    <col min="2" max="2" width="23" customWidth="1"/>
    <col min="3" max="4" width="19.6640625" bestFit="1" customWidth="1"/>
    <col min="5" max="5" width="20.83203125" customWidth="1"/>
    <col min="6" max="6" width="18.6640625" bestFit="1" customWidth="1"/>
    <col min="7" max="7" width="19.6640625" bestFit="1" customWidth="1"/>
    <col min="8" max="8" width="23.33203125" customWidth="1"/>
    <col min="9" max="9" width="22.5" customWidth="1"/>
    <col min="10" max="10" width="19.6640625" bestFit="1" customWidth="1"/>
    <col min="11" max="11" width="20.6640625" customWidth="1"/>
    <col min="12" max="12" width="21.5" customWidth="1"/>
    <col min="13" max="13" width="19" customWidth="1"/>
    <col min="14" max="14" width="22.83203125" customWidth="1"/>
    <col min="15" max="15" width="19.5" customWidth="1"/>
    <col min="16" max="16" width="20.33203125" customWidth="1"/>
    <col min="17" max="17" width="18.5" customWidth="1"/>
    <col min="18" max="18" width="19.5" customWidth="1"/>
    <col min="19" max="19" width="21.83203125" customWidth="1"/>
    <col min="20" max="20" width="21.6640625" customWidth="1"/>
  </cols>
  <sheetData>
    <row r="1" spans="1:20" x14ac:dyDescent="0.2">
      <c r="A1" s="20" t="s">
        <v>85</v>
      </c>
      <c r="C1" s="21" t="s">
        <v>86</v>
      </c>
    </row>
    <row r="2" spans="1:20" x14ac:dyDescent="0.2">
      <c r="A2" t="s">
        <v>13</v>
      </c>
      <c r="C2" t="s">
        <v>13</v>
      </c>
    </row>
    <row r="3" spans="1:20" x14ac:dyDescent="0.2">
      <c r="A3" s="19">
        <v>1124682949376</v>
      </c>
      <c r="C3" s="19">
        <v>430480795655</v>
      </c>
    </row>
    <row r="5" spans="1:20" x14ac:dyDescent="0.2">
      <c r="A5" s="22" t="s">
        <v>114</v>
      </c>
      <c r="B5" s="22"/>
      <c r="C5" s="22"/>
      <c r="D5" s="22"/>
      <c r="E5" s="22"/>
      <c r="F5" s="22"/>
      <c r="G5" s="22"/>
      <c r="H5" s="22"/>
      <c r="I5" s="22"/>
      <c r="J5" s="22"/>
    </row>
    <row r="6" spans="1:20" x14ac:dyDescent="0.2">
      <c r="A6" s="5" t="s">
        <v>14</v>
      </c>
      <c r="B6" s="6" t="s">
        <v>15</v>
      </c>
      <c r="C6" s="7" t="s">
        <v>16</v>
      </c>
      <c r="D6" s="8" t="s">
        <v>17</v>
      </c>
      <c r="E6" s="1" t="s">
        <v>18</v>
      </c>
      <c r="F6" s="9" t="s">
        <v>19</v>
      </c>
      <c r="G6" s="9" t="s">
        <v>20</v>
      </c>
      <c r="H6" s="9" t="s">
        <v>21</v>
      </c>
      <c r="I6" s="9" t="s">
        <v>22</v>
      </c>
      <c r="J6" s="9" t="s">
        <v>9</v>
      </c>
      <c r="K6" s="9" t="s">
        <v>46</v>
      </c>
      <c r="L6" s="9" t="s">
        <v>61</v>
      </c>
      <c r="M6" s="9" t="s">
        <v>10</v>
      </c>
      <c r="N6" s="9" t="s">
        <v>62</v>
      </c>
      <c r="O6" s="9" t="s">
        <v>63</v>
      </c>
      <c r="P6" s="9" t="s">
        <v>12</v>
      </c>
      <c r="Q6" s="9" t="s">
        <v>64</v>
      </c>
      <c r="R6" s="9" t="s">
        <v>65</v>
      </c>
      <c r="S6" s="9" t="s">
        <v>66</v>
      </c>
      <c r="T6" s="9" t="s">
        <v>67</v>
      </c>
    </row>
    <row r="7" spans="1:20" x14ac:dyDescent="0.2">
      <c r="A7" s="4">
        <v>899260850297</v>
      </c>
      <c r="B7" s="4">
        <v>771038086699</v>
      </c>
      <c r="C7" s="4">
        <v>738110518553</v>
      </c>
      <c r="D7" s="4">
        <v>663457500000</v>
      </c>
      <c r="E7" s="4">
        <v>513927679396</v>
      </c>
      <c r="F7" s="4">
        <v>443447598756</v>
      </c>
      <c r="G7" s="4">
        <v>402910154860</v>
      </c>
      <c r="H7" s="4">
        <v>322294360456</v>
      </c>
      <c r="I7" s="4">
        <v>313495062238</v>
      </c>
      <c r="J7" s="4">
        <v>258576450401</v>
      </c>
      <c r="K7" s="4">
        <v>244950918936</v>
      </c>
      <c r="L7" s="15">
        <v>215415865653</v>
      </c>
      <c r="M7" s="15">
        <v>186043110619</v>
      </c>
      <c r="N7" s="15">
        <v>167756730000</v>
      </c>
      <c r="O7" s="15">
        <v>143876680000</v>
      </c>
      <c r="P7" s="15">
        <v>133193410000</v>
      </c>
      <c r="Q7" s="15">
        <v>104102500000</v>
      </c>
      <c r="R7" s="15">
        <v>78027473524</v>
      </c>
      <c r="S7" s="15">
        <v>72620478720</v>
      </c>
      <c r="T7" s="15">
        <v>60057620570</v>
      </c>
    </row>
    <row r="8" spans="1:20" x14ac:dyDescent="0.2">
      <c r="A8" s="15">
        <f>VLOOKUP(A6,[1]PriceValue!A40:B194,2,FALSE)*VLOOKUP(A6,'[1]2023'!A41:F200,4,FALSE)</f>
        <v>503018217000000</v>
      </c>
      <c r="B8" s="15">
        <f>VLOOKUP(B6,[1]PriceValue!A40:B194,2,FALSE)*VLOOKUP(B6,'[1]2023'!A41:F200,4,FALSE)</f>
        <v>58630208270000</v>
      </c>
      <c r="C8" s="15">
        <f>VLOOKUP(C6,[1]PriceValue!A40:B194,2,FALSE)*VLOOKUP(C6,'[1]2023'!A41:F200,4,FALSE)</f>
        <v>163686217455000</v>
      </c>
      <c r="D8" s="15">
        <f>VLOOKUP(D6,[1]PriceValue!A40:B194,2,FALSE)*VLOOKUP(D6,'[1]2023'!A41:F200,4,FALSE)</f>
        <v>155504902560000</v>
      </c>
      <c r="E8" s="15">
        <f>VLOOKUP(E6,[1]PriceValue!A40:B194,2,FALSE)*VLOOKUP(E6,'[1]2023'!A41:F200,4,FALSE)</f>
        <v>13548700779900</v>
      </c>
      <c r="F8" s="15">
        <f>VLOOKUP(F6,[1]PriceValue!A40:B194,2,FALSE)*VLOOKUP(F6,'[1]2023'!A41:F200,4,FALSE)</f>
        <v>68193354965600</v>
      </c>
      <c r="G8" s="15">
        <f>VLOOKUP(G6,[1]PriceValue!A40:B194,2,FALSE)*VLOOKUP(G6,'[1]2023'!A41:F200,4,FALSE)</f>
        <v>190634705350000</v>
      </c>
      <c r="H8" s="15">
        <f>VLOOKUP(H6,[1]PriceValue!A40:B194,2,FALSE)*VLOOKUP(H6,'[1]2023'!A41:F200,4,FALSE)</f>
        <v>32668079070000</v>
      </c>
      <c r="I8" s="15">
        <f>VLOOKUP(I6,[1]PriceValue!A40:B194,2,FALSE)*VLOOKUP(I6,'[1]2023'!A41:F200,4,FALSE)</f>
        <v>18479996024000</v>
      </c>
      <c r="J8" s="15">
        <f>VLOOKUP(J6,[1]PriceValue!A40:B194,2,FALSE)*VLOOKUP(J6,'[1]2023'!A41:F200,4,FALSE)</f>
        <v>12504829619100</v>
      </c>
      <c r="K8" s="15">
        <f>VLOOKUP(K6,[1]PriceValue!A40:B194,2,FALSE)*VLOOKUP(K6,'[1]2023'!A41:F200,4,FALSE)</f>
        <v>14321588684250</v>
      </c>
      <c r="L8" s="15">
        <f>VLOOKUP(L6,[1]PriceValue!A40:B194,2,FALSE)*VLOOKUP(L6,'[1]2023'!A41:F200,4,FALSE)</f>
        <v>57669292857600</v>
      </c>
      <c r="M8" s="15">
        <f>VLOOKUP(M6,[1]PriceValue!A40:B194,2,FALSE)*VLOOKUP(M6,'[1]2023'!A41:F200,4,FALSE)</f>
        <v>19731250000000</v>
      </c>
      <c r="N8" s="15">
        <f>VLOOKUP(N6,[1]PriceValue!A40:B194,2,FALSE)*VLOOKUP(N6,'[1]2023'!A41:F200,4,FALSE)</f>
        <v>15314143345800</v>
      </c>
      <c r="O8" s="15">
        <f>VLOOKUP(O6,[1]PriceValue!A40:B194,2,FALSE)*VLOOKUP(O6,'[1]2023'!A41:F200,4,FALSE)</f>
        <v>68474735955000</v>
      </c>
      <c r="P8" s="15">
        <f>VLOOKUP(P6,[1]PriceValue!A40:B194,2,FALSE)*VLOOKUP(P6,'[1]2023'!A41:F200,4,FALSE)</f>
        <v>12116949522500</v>
      </c>
      <c r="Q8" s="15">
        <f>VLOOKUP(Q6,[1]PriceValue!A40:B194,2,FALSE)*VLOOKUP(Q6,'[1]2023'!A41:F200,4,FALSE)</f>
        <v>3388757320800</v>
      </c>
      <c r="R8" s="15">
        <f>VLOOKUP(R6,[1]PriceValue!A40:B194,2,FALSE)*VLOOKUP(R6,'[1]2023'!A41:F200,4,FALSE)</f>
        <v>44962263314750</v>
      </c>
      <c r="S8" s="15">
        <f>VLOOKUP(S6,[1]PriceValue!A40:B194,2,FALSE)*VLOOKUP(S6,'[1]2023'!A41:F200,4,FALSE)</f>
        <v>28200000000000</v>
      </c>
      <c r="T8" s="15">
        <f>VLOOKUP(T6,[1]PriceValue!A40:B194,2,FALSE)*VLOOKUP(T6,'[1]2023'!A41:F200,4,FALSE)</f>
        <v>49564240000000</v>
      </c>
    </row>
    <row r="9" spans="1:20" x14ac:dyDescent="0.2">
      <c r="A9" s="18">
        <f>A7/A8</f>
        <v>1.787730185320505E-3</v>
      </c>
      <c r="B9" s="18">
        <f>B7/B8</f>
        <v>1.3150867265356893E-2</v>
      </c>
      <c r="C9" s="18">
        <f t="shared" ref="C9:J9" si="0">C7/C8</f>
        <v>4.5093015773054841E-3</v>
      </c>
      <c r="D9" s="18">
        <f t="shared" si="0"/>
        <v>4.2664732048818309E-3</v>
      </c>
      <c r="E9" s="18">
        <f t="shared" si="0"/>
        <v>3.7931879059461611E-2</v>
      </c>
      <c r="F9" s="18">
        <f t="shared" si="0"/>
        <v>6.5027978016288573E-3</v>
      </c>
      <c r="G9" s="18">
        <f t="shared" si="0"/>
        <v>2.1135194356151897E-3</v>
      </c>
      <c r="H9" s="18">
        <f t="shared" si="0"/>
        <v>9.8657273286684253E-3</v>
      </c>
      <c r="I9" s="18">
        <f t="shared" si="0"/>
        <v>1.6964022169207366E-2</v>
      </c>
      <c r="J9" s="18">
        <f t="shared" si="0"/>
        <v>2.0678126634052475E-2</v>
      </c>
      <c r="K9" s="18">
        <f t="shared" ref="K9" si="1">K7/K8</f>
        <v>1.7103613595981983E-2</v>
      </c>
      <c r="L9" s="18">
        <f t="shared" ref="L9" si="2">L7/L8</f>
        <v>3.7353651307103072E-3</v>
      </c>
      <c r="M9" s="18">
        <f t="shared" ref="M9" si="3">M7/M8</f>
        <v>9.4288557805004749E-3</v>
      </c>
      <c r="N9" s="18">
        <f t="shared" ref="N9" si="4">N7/N8</f>
        <v>1.0954365922531888E-2</v>
      </c>
      <c r="O9" s="18">
        <f t="shared" ref="O9" si="5">O7/O8</f>
        <v>2.1011644366843913E-3</v>
      </c>
      <c r="P9" s="18">
        <f t="shared" ref="P9" si="6">P7/P8</f>
        <v>1.0992321933228553E-2</v>
      </c>
      <c r="Q9" s="18">
        <f t="shared" ref="Q9" si="7">Q7/Q8</f>
        <v>3.0719963144313925E-2</v>
      </c>
      <c r="R9" s="18">
        <f t="shared" ref="R9" si="8">R7/R8</f>
        <v>1.7353991496776556E-3</v>
      </c>
      <c r="S9" s="18">
        <f t="shared" ref="S9" si="9">S7/S8</f>
        <v>2.575194280851064E-3</v>
      </c>
      <c r="T9" s="18">
        <f t="shared" ref="T9" si="10">T7/T8</f>
        <v>1.2117127301861182E-3</v>
      </c>
    </row>
    <row r="10" spans="1:20" x14ac:dyDescent="0.2">
      <c r="A10" s="18"/>
    </row>
    <row r="11" spans="1:20" x14ac:dyDescent="0.2">
      <c r="A11" s="23" t="s">
        <v>115</v>
      </c>
      <c r="B11" s="23"/>
      <c r="C11" s="23"/>
      <c r="D11" s="23"/>
      <c r="E11" s="23"/>
      <c r="F11" s="23"/>
      <c r="G11" s="23"/>
      <c r="H11" s="23"/>
      <c r="I11" s="23"/>
      <c r="J11" s="2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">
      <c r="A12" s="5" t="s">
        <v>42</v>
      </c>
      <c r="B12" s="6" t="s">
        <v>12</v>
      </c>
      <c r="C12" s="7" t="s">
        <v>5</v>
      </c>
      <c r="D12" s="8" t="s">
        <v>43</v>
      </c>
      <c r="E12" s="1" t="s">
        <v>44</v>
      </c>
      <c r="F12" s="9" t="s">
        <v>45</v>
      </c>
      <c r="G12" s="9" t="s">
        <v>46</v>
      </c>
      <c r="H12" s="9" t="s">
        <v>16</v>
      </c>
      <c r="I12" s="9" t="s">
        <v>28</v>
      </c>
      <c r="J12" s="9" t="s">
        <v>15</v>
      </c>
      <c r="K12" s="9" t="s">
        <v>18</v>
      </c>
      <c r="L12" s="9" t="s">
        <v>27</v>
      </c>
      <c r="M12" s="9" t="s">
        <v>81</v>
      </c>
      <c r="N12" s="9" t="s">
        <v>29</v>
      </c>
      <c r="O12" s="9" t="s">
        <v>82</v>
      </c>
      <c r="P12" s="9" t="s">
        <v>83</v>
      </c>
      <c r="Q12" s="9" t="s">
        <v>31</v>
      </c>
      <c r="R12" s="9" t="s">
        <v>26</v>
      </c>
      <c r="S12" s="9" t="s">
        <v>25</v>
      </c>
      <c r="T12" s="9" t="s">
        <v>84</v>
      </c>
    </row>
    <row r="13" spans="1:20" x14ac:dyDescent="0.2">
      <c r="A13" s="4">
        <v>265716015000</v>
      </c>
      <c r="B13" s="4">
        <v>201188317000</v>
      </c>
      <c r="C13" s="4">
        <v>98161722000</v>
      </c>
      <c r="D13" s="4">
        <v>94766652000</v>
      </c>
      <c r="E13" s="4">
        <v>83529260000</v>
      </c>
      <c r="F13" s="4">
        <v>73296570000</v>
      </c>
      <c r="G13" s="4">
        <v>72822631000</v>
      </c>
      <c r="H13" s="4">
        <v>71487265000</v>
      </c>
      <c r="I13" s="4">
        <v>59729560000</v>
      </c>
      <c r="J13" s="4">
        <v>55599245000</v>
      </c>
      <c r="K13" s="4">
        <v>37807506000</v>
      </c>
      <c r="L13" s="15">
        <v>37384190000</v>
      </c>
      <c r="M13" s="15">
        <v>30439320000</v>
      </c>
      <c r="N13" s="15">
        <v>29528936000</v>
      </c>
      <c r="O13" s="15">
        <v>29211907000</v>
      </c>
      <c r="P13" s="15">
        <v>28222785000</v>
      </c>
      <c r="Q13" s="15">
        <v>27416208000</v>
      </c>
      <c r="R13" s="15">
        <v>25473040000</v>
      </c>
      <c r="S13" s="15">
        <v>24871930000</v>
      </c>
      <c r="T13" s="15">
        <v>24569913000</v>
      </c>
    </row>
    <row r="14" spans="1:20" x14ac:dyDescent="0.2">
      <c r="A14" s="4">
        <f>VLOOKUP(A12,[1]PriceValue!A46:B226,2,FALSE)*VLOOKUP(A12,'[1]2023'!A47:F206,4,FALSE)</f>
        <v>9314316962100</v>
      </c>
      <c r="B14" s="4">
        <f>VLOOKUP(B12,[1]PriceValue!A46:B226,2,FALSE)*VLOOKUP(B12,'[1]2023'!A47:F206,4,FALSE)</f>
        <v>12116949522500</v>
      </c>
      <c r="C14" s="4">
        <f>VLOOKUP(C12,[1]PriceValue!A41:B226,2,FALSE)*VLOOKUP(C12,'[1]2023'!A47:F206,4,FALSE)</f>
        <v>52689667808700</v>
      </c>
      <c r="D14" s="4" t="e">
        <f>VLOOKUP(D12,[1]PriceValue!A46:B226,2,FALSE)*VLOOKUP(D12,'[1]2023'!A47:F206,4,FALSE)</f>
        <v>#N/A</v>
      </c>
      <c r="E14" s="4">
        <f>VLOOKUP(E12,[1]PriceValue!A46:B226,2,FALSE)*VLOOKUP(E12,'[1]2023'!A47:F206,4,FALSE)</f>
        <v>29929029945600</v>
      </c>
      <c r="F14" s="4" t="e">
        <f>VLOOKUP(F12,[1]PriceValue!A41:B226,2,FALSE)*VLOOKUP(F12,'[1]2023'!A47:F206,4,FALSE)</f>
        <v>#N/A</v>
      </c>
      <c r="G14" s="4">
        <f>VLOOKUP(G12,[1]PriceValue!A46:B226,2,FALSE)*VLOOKUP(G12,'[1]2023'!A47:F206,4,FALSE)</f>
        <v>14321588684250</v>
      </c>
      <c r="H14" s="4">
        <f>VLOOKUP(H12,[1]PriceValue!A46:B226,2,FALSE)*VLOOKUP(H12,'[1]2023'!A47:F206,4,FALSE)</f>
        <v>163686217455000</v>
      </c>
      <c r="I14" s="4">
        <f>VLOOKUP(I12,[1]PriceValue!A46:B226,2,FALSE)*VLOOKUP(I12,'[1]2023'!A47:F206,4,FALSE)</f>
        <v>182012561500000</v>
      </c>
      <c r="J14" s="4">
        <f>VLOOKUP(J12,[1]PriceValue!A46:B226,2,FALSE)*VLOOKUP(J12,'[1]2023'!A47:F206,4,FALSE)</f>
        <v>58630208270000</v>
      </c>
      <c r="K14" s="4">
        <f>VLOOKUP(K12,[1]PriceValue!A46:B226,2,FALSE)*VLOOKUP(K12,'[1]2023'!A47:F206,4,FALSE)</f>
        <v>13548700779900</v>
      </c>
      <c r="L14" s="4">
        <f>VLOOKUP(L12,[1]PriceValue!A46:B226,2,FALSE)*VLOOKUP(L12,'[1]2023'!A47:F206,4,FALSE)</f>
        <v>92861736660000</v>
      </c>
      <c r="M14" s="4">
        <f>VLOOKUP(M12,[1]PriceValue!A46:B226,2,FALSE)*VLOOKUP(M12,'[1]2023'!A47:F206,4,FALSE)</f>
        <v>1722000000000</v>
      </c>
      <c r="N14" s="4">
        <f>VLOOKUP(N12,[1]PriceValue!A46:B226,2,FALSE)*VLOOKUP(N12,'[1]2023'!A47:F206,4,FALSE)</f>
        <v>36534767313200</v>
      </c>
      <c r="O14" s="4">
        <f>VLOOKUP(O12,[1]PriceValue!A46:B226,2,FALSE)*VLOOKUP(O12,'[1]2023'!A47:F206,4,FALSE)</f>
        <v>41442130000000</v>
      </c>
      <c r="P14" s="4">
        <f>VLOOKUP(P12,[1]PriceValue!A46:B226,2,FALSE)*VLOOKUP(P12,'[1]2023'!A47:F206,4,FALSE)</f>
        <v>23628045000000</v>
      </c>
      <c r="Q14" s="4">
        <f>VLOOKUP(Q12,[1]PriceValue!A46:B226,2,FALSE)*VLOOKUP(Q12,'[1]2023'!A47:F206,4,FALSE)</f>
        <v>46420737660000</v>
      </c>
      <c r="R14" s="4">
        <f>VLOOKUP(R12,[1]PriceValue!A46:B226,2,FALSE)*VLOOKUP(R12,'[1]2023'!A47:F206,4,FALSE)</f>
        <v>51001122960000</v>
      </c>
      <c r="S14" s="4">
        <f>VLOOKUP(S12,[1]PriceValue!A46:B226,2,FALSE)*VLOOKUP(S12,'[1]2023'!A47:F206,4,FALSE)</f>
        <v>141280988082000</v>
      </c>
      <c r="T14" s="4">
        <f>VLOOKUP(T12,[1]PriceValue!A46:B226,2,FALSE)*VLOOKUP(T12,'[1]2023'!A47:F206,4,FALSE)</f>
        <v>131389652840000</v>
      </c>
    </row>
    <row r="15" spans="1:20" x14ac:dyDescent="0.2">
      <c r="A15" s="18">
        <f>A13/A14</f>
        <v>2.8527697315992116E-2</v>
      </c>
      <c r="B15" s="18">
        <f t="shared" ref="B15:T15" si="11">B13/B14</f>
        <v>1.6603875144186479E-2</v>
      </c>
      <c r="C15" s="18">
        <f t="shared" si="11"/>
        <v>1.8630165283333169E-3</v>
      </c>
      <c r="D15" s="18" t="e">
        <f t="shared" si="11"/>
        <v>#N/A</v>
      </c>
      <c r="E15" s="18">
        <f t="shared" si="11"/>
        <v>2.7909110369372333E-3</v>
      </c>
      <c r="F15" s="18" t="e">
        <f t="shared" si="11"/>
        <v>#N/A</v>
      </c>
      <c r="G15" s="18">
        <f t="shared" si="11"/>
        <v>5.0848151420579369E-3</v>
      </c>
      <c r="H15" s="18">
        <f t="shared" si="11"/>
        <v>4.3673356322534003E-4</v>
      </c>
      <c r="I15" s="18">
        <f t="shared" si="11"/>
        <v>3.2816174613310961E-4</v>
      </c>
      <c r="J15" s="18">
        <f t="shared" si="11"/>
        <v>9.4830372670617153E-4</v>
      </c>
      <c r="K15" s="18">
        <f t="shared" si="11"/>
        <v>2.7904894066366009E-3</v>
      </c>
      <c r="L15" s="18">
        <f t="shared" si="11"/>
        <v>4.0257905295134505E-4</v>
      </c>
      <c r="M15" s="18">
        <f t="shared" si="11"/>
        <v>1.7676724738675959E-2</v>
      </c>
      <c r="N15" s="18">
        <f t="shared" si="11"/>
        <v>8.0824207108967151E-4</v>
      </c>
      <c r="O15" s="18">
        <f t="shared" si="11"/>
        <v>7.0488430493316826E-4</v>
      </c>
      <c r="P15" s="18">
        <f t="shared" si="11"/>
        <v>1.1944612853073541E-3</v>
      </c>
      <c r="Q15" s="18">
        <f t="shared" si="11"/>
        <v>5.9060259233286816E-4</v>
      </c>
      <c r="R15" s="18">
        <f t="shared" si="11"/>
        <v>4.9946037501916217E-4</v>
      </c>
      <c r="S15" s="18">
        <f t="shared" si="11"/>
        <v>1.7604583842211128E-4</v>
      </c>
      <c r="T15" s="18">
        <f t="shared" si="11"/>
        <v>1.8700036470847562E-4</v>
      </c>
    </row>
    <row r="16" spans="1:20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2">
      <c r="A17" s="25" t="s">
        <v>88</v>
      </c>
      <c r="B17" s="25"/>
      <c r="C17" s="25"/>
      <c r="D17" s="25"/>
      <c r="E17" s="25"/>
      <c r="F17" s="25"/>
      <c r="G17" s="25"/>
      <c r="H17" s="25"/>
      <c r="I17" s="25"/>
      <c r="J17" s="25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2">
      <c r="A18" s="18" t="s">
        <v>14</v>
      </c>
      <c r="B18" s="18" t="s">
        <v>39</v>
      </c>
      <c r="C18" s="18" t="s">
        <v>15</v>
      </c>
      <c r="D18" s="18" t="s">
        <v>89</v>
      </c>
      <c r="E18" s="18" t="s">
        <v>20</v>
      </c>
      <c r="F18" s="18" t="s">
        <v>90</v>
      </c>
      <c r="G18" s="18" t="s">
        <v>44</v>
      </c>
      <c r="H18" s="18" t="s">
        <v>63</v>
      </c>
      <c r="I18" s="18" t="s">
        <v>18</v>
      </c>
      <c r="J18" s="18" t="s">
        <v>22</v>
      </c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25" t="s">
        <v>91</v>
      </c>
      <c r="B20" s="25"/>
      <c r="C20" s="25"/>
      <c r="D20" s="25"/>
      <c r="E20" s="25"/>
      <c r="F20" s="25"/>
      <c r="G20" s="25"/>
      <c r="H20" s="25"/>
      <c r="I20" s="25"/>
      <c r="J20" s="25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8" t="s">
        <v>63</v>
      </c>
      <c r="B21" s="18" t="s">
        <v>69</v>
      </c>
      <c r="C21" s="18" t="s">
        <v>14</v>
      </c>
      <c r="D21" s="18" t="s">
        <v>18</v>
      </c>
      <c r="E21" s="18" t="s">
        <v>92</v>
      </c>
      <c r="F21" s="18" t="s">
        <v>93</v>
      </c>
      <c r="G21" s="18" t="s">
        <v>20</v>
      </c>
      <c r="H21" s="18" t="s">
        <v>44</v>
      </c>
      <c r="I21" s="18" t="s">
        <v>75</v>
      </c>
      <c r="J21" s="18" t="s">
        <v>38</v>
      </c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25" t="s">
        <v>94</v>
      </c>
      <c r="B23" s="25"/>
      <c r="C23" s="25"/>
      <c r="D23" s="25"/>
      <c r="E23" s="25"/>
      <c r="F23" s="25"/>
      <c r="G23" s="25"/>
      <c r="H23" s="25"/>
      <c r="I23" s="25"/>
      <c r="J23" s="25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8" t="s">
        <v>14</v>
      </c>
      <c r="B24" s="18" t="s">
        <v>63</v>
      </c>
      <c r="C24" s="18" t="s">
        <v>44</v>
      </c>
      <c r="D24" s="18" t="s">
        <v>95</v>
      </c>
      <c r="E24" s="18" t="s">
        <v>61</v>
      </c>
      <c r="F24" s="18" t="s">
        <v>75</v>
      </c>
      <c r="G24" s="18" t="s">
        <v>12</v>
      </c>
      <c r="H24" s="18" t="s">
        <v>18</v>
      </c>
      <c r="I24" s="18" t="s">
        <v>42</v>
      </c>
      <c r="J24" s="18" t="s">
        <v>92</v>
      </c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25" t="s">
        <v>117</v>
      </c>
      <c r="B26" s="25"/>
      <c r="C26" s="25"/>
      <c r="D26" s="25"/>
      <c r="E26" s="25"/>
      <c r="F26" s="25"/>
      <c r="G26" s="25"/>
      <c r="H26" s="25"/>
      <c r="I26" s="25"/>
      <c r="J26" s="25"/>
      <c r="K26" s="18"/>
      <c r="L26" s="18"/>
      <c r="M26" s="18"/>
      <c r="N26" s="18"/>
      <c r="O26" s="18"/>
      <c r="P26" s="18"/>
      <c r="Q26" s="18"/>
      <c r="R26" s="18"/>
      <c r="S26" s="18"/>
      <c r="T26" s="18"/>
    </row>
    <row r="27" spans="1:20" x14ac:dyDescent="0.2">
      <c r="A27" s="18" t="s">
        <v>103</v>
      </c>
      <c r="B27" s="18" t="s">
        <v>104</v>
      </c>
      <c r="C27" s="18" t="s">
        <v>105</v>
      </c>
      <c r="D27" s="18" t="s">
        <v>106</v>
      </c>
      <c r="E27" s="18" t="s">
        <v>72</v>
      </c>
      <c r="F27" s="18" t="s">
        <v>39</v>
      </c>
      <c r="G27" s="18" t="s">
        <v>20</v>
      </c>
      <c r="H27" s="18" t="s">
        <v>107</v>
      </c>
      <c r="I27" s="18" t="s">
        <v>108</v>
      </c>
      <c r="J27" s="18" t="s">
        <v>109</v>
      </c>
      <c r="K27" s="18" t="s">
        <v>8</v>
      </c>
      <c r="L27" s="18" t="s">
        <v>110</v>
      </c>
      <c r="M27" s="18" t="s">
        <v>31</v>
      </c>
      <c r="N27" s="18" t="s">
        <v>9</v>
      </c>
      <c r="O27" s="18" t="s">
        <v>64</v>
      </c>
      <c r="P27" s="18" t="s">
        <v>7</v>
      </c>
      <c r="Q27" s="18" t="s">
        <v>111</v>
      </c>
      <c r="R27" s="18" t="s">
        <v>14</v>
      </c>
      <c r="S27" s="18" t="s">
        <v>112</v>
      </c>
      <c r="T27" s="18" t="s">
        <v>113</v>
      </c>
    </row>
    <row r="28" spans="1:20" x14ac:dyDescent="0.2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</row>
    <row r="29" spans="1:20" x14ac:dyDescent="0.2">
      <c r="A29" s="18"/>
    </row>
    <row r="30" spans="1:20" x14ac:dyDescent="0.2">
      <c r="A30" s="22" t="s">
        <v>24</v>
      </c>
      <c r="B30" s="22"/>
      <c r="C30" s="22"/>
      <c r="D30" s="22"/>
      <c r="E30" s="22"/>
      <c r="F30" s="22"/>
      <c r="G30" s="22"/>
      <c r="H30" s="22"/>
      <c r="I30" s="22"/>
      <c r="J30" s="22"/>
    </row>
    <row r="31" spans="1:20" x14ac:dyDescent="0.2">
      <c r="A31" s="10" t="s">
        <v>25</v>
      </c>
      <c r="B31" s="11" t="s">
        <v>26</v>
      </c>
      <c r="C31" s="12" t="s">
        <v>27</v>
      </c>
      <c r="D31" s="2" t="s">
        <v>28</v>
      </c>
      <c r="E31" s="13" t="s">
        <v>29</v>
      </c>
      <c r="F31" s="14" t="s">
        <v>30</v>
      </c>
      <c r="G31" s="14" t="s">
        <v>31</v>
      </c>
      <c r="H31" s="14" t="s">
        <v>32</v>
      </c>
      <c r="I31" s="14" t="s">
        <v>33</v>
      </c>
      <c r="J31" s="14" t="s">
        <v>34</v>
      </c>
      <c r="K31" s="14" t="s">
        <v>11</v>
      </c>
      <c r="L31" s="14" t="s">
        <v>68</v>
      </c>
      <c r="M31" s="14" t="s">
        <v>69</v>
      </c>
      <c r="N31" s="14" t="s">
        <v>70</v>
      </c>
      <c r="O31" s="14" t="s">
        <v>6</v>
      </c>
      <c r="P31" s="14" t="s">
        <v>71</v>
      </c>
      <c r="Q31" s="14" t="s">
        <v>72</v>
      </c>
      <c r="R31" s="14" t="s">
        <v>73</v>
      </c>
      <c r="S31" s="14" t="s">
        <v>74</v>
      </c>
      <c r="T31" s="14" t="s">
        <v>75</v>
      </c>
    </row>
    <row r="32" spans="1:20" x14ac:dyDescent="0.2">
      <c r="A32" s="16">
        <v>-956073459293</v>
      </c>
      <c r="B32" s="16">
        <v>-790349870000</v>
      </c>
      <c r="C32" s="16">
        <v>-401260743862</v>
      </c>
      <c r="D32" s="16">
        <v>-378547190000</v>
      </c>
      <c r="E32" s="16">
        <v>-370536940000</v>
      </c>
      <c r="F32" s="16">
        <v>-312050819171</v>
      </c>
      <c r="G32" s="16">
        <v>-275955182845</v>
      </c>
      <c r="H32" s="16">
        <v>-243177580000</v>
      </c>
      <c r="I32" s="16">
        <v>-240329185624</v>
      </c>
      <c r="J32" s="16">
        <v>-222875431655</v>
      </c>
      <c r="K32" s="16">
        <v>-209872913405</v>
      </c>
      <c r="L32" s="16">
        <v>-179047931909</v>
      </c>
      <c r="M32" s="16">
        <v>-177021486358</v>
      </c>
      <c r="N32" s="16">
        <v>-158227510000</v>
      </c>
      <c r="O32" s="16">
        <v>-157646130000</v>
      </c>
      <c r="P32" s="16">
        <v>-155115890000</v>
      </c>
      <c r="Q32" s="16">
        <v>-148729067216</v>
      </c>
      <c r="R32" s="16">
        <v>-130111545140</v>
      </c>
      <c r="S32" s="16">
        <v>-88796990000</v>
      </c>
      <c r="T32" s="16">
        <v>-72195569880</v>
      </c>
    </row>
    <row r="33" spans="1:20" x14ac:dyDescent="0.2">
      <c r="A33" s="4">
        <f>VLOOKUP(A31,[1]PriceValue!A40:B194,2,FALSE)*VLOOKUP(A31,'[1]2023'!A41:F200,4,FALSE)</f>
        <v>141280988082000</v>
      </c>
      <c r="B33" s="4">
        <f>VLOOKUP(B31,[1]PriceValue!A40:B194,2,FALSE)*VLOOKUP(B31,'[1]2023'!A41:F200,4,FALSE)</f>
        <v>51001122960000</v>
      </c>
      <c r="C33" s="4">
        <f>VLOOKUP(C31,[1]PriceValue!A40:B194,2,FALSE)*VLOOKUP(C31,'[1]2023'!A41:F200,4,FALSE)</f>
        <v>92861736660000</v>
      </c>
      <c r="D33" s="4">
        <f>VLOOKUP(D31,[1]PriceValue!A40:B194,2,FALSE)*VLOOKUP(D31,'[1]2023'!A41:F200,4,FALSE)</f>
        <v>182012561500000</v>
      </c>
      <c r="E33" s="4">
        <f>VLOOKUP(E31,[1]PriceValue!A40:B194,2,FALSE)*VLOOKUP(E31,'[1]2023'!A41:F200,4,FALSE)</f>
        <v>36534767313200</v>
      </c>
      <c r="F33" s="4">
        <f>VLOOKUP(F31,[1]PriceValue!A40:B194,2,FALSE)*VLOOKUP(F31,'[1]2023'!A41:F200,4,FALSE)</f>
        <v>8194283338800</v>
      </c>
      <c r="G33" s="4">
        <f>VLOOKUP(G31,[1]PriceValue!A40:B194,2,FALSE)*VLOOKUP(G31,'[1]2023'!A41:F200,4,FALSE)</f>
        <v>46420737660000</v>
      </c>
      <c r="H33" s="4">
        <f>VLOOKUP(H31,[1]PriceValue!A40:B194,2,FALSE)*VLOOKUP(H31,'[1]2023'!A41:F200,4,FALSE)</f>
        <v>17030298625000</v>
      </c>
      <c r="I33" s="4">
        <f>VLOOKUP(I31,[1]PriceValue!A40:B194,2,FALSE)*VLOOKUP(I31,'[1]2023'!A41:F200,4,FALSE)</f>
        <v>17971532504000</v>
      </c>
      <c r="J33" s="4">
        <f>VLOOKUP(J31,[1]PriceValue!A40:B194,2,FALSE)*VLOOKUP(J31,'[1]2023'!A41:F200,4,FALSE)</f>
        <v>173863206417900</v>
      </c>
      <c r="K33" s="4">
        <f>VLOOKUP(K31,[1]PriceValue!A40:B194,2,FALSE)*VLOOKUP(K31,'[1]2023'!A41:F200,4,FALSE)</f>
        <v>14311558764800</v>
      </c>
      <c r="L33" s="4">
        <f>VLOOKUP(L31,[1]PriceValue!A40:B194,2,FALSE)*VLOOKUP(L31,'[1]2023'!A41:F200,4,FALSE)</f>
        <v>164451931920000</v>
      </c>
      <c r="M33" s="4">
        <f>VLOOKUP(M31,[1]PriceValue!A40:B194,2,FALSE)*VLOOKUP(M31,'[1]2023'!A41:F200,4,FALSE)</f>
        <v>40730247500000</v>
      </c>
      <c r="N33" s="4">
        <f>VLOOKUP(N31,[1]PriceValue!A40:B194,2,FALSE)*VLOOKUP(N31,'[1]2023'!A41:F200,4,FALSE)</f>
        <v>13268460000000</v>
      </c>
      <c r="O33" s="4">
        <f>VLOOKUP(O31,[1]PriceValue!A40:B194,2,FALSE)*VLOOKUP(O31,'[1]2023'!A41:F200,4,FALSE)</f>
        <v>28010412207000</v>
      </c>
      <c r="P33" s="4">
        <f>VLOOKUP(P31,[1]PriceValue!A40:B194,2,FALSE)*VLOOKUP(P31,'[1]2023'!A41:F200,4,FALSE)</f>
        <v>24938533495200</v>
      </c>
      <c r="Q33" s="4">
        <f>VLOOKUP(Q31,[1]PriceValue!A40:B194,2,FALSE)*VLOOKUP(Q31,'[1]2023'!A41:F200,4,FALSE)</f>
        <v>8415208202200</v>
      </c>
      <c r="R33" s="4">
        <f>VLOOKUP(R31,[1]PriceValue!A40:B194,2,FALSE)*VLOOKUP(R31,'[1]2023'!A41:F200,4,FALSE)</f>
        <v>17999600000000</v>
      </c>
      <c r="S33" s="4">
        <f>VLOOKUP(S31,[1]PriceValue!A40:B194,2,FALSE)*VLOOKUP(S31,'[1]2023'!A41:F200,4,FALSE)</f>
        <v>15993510172500</v>
      </c>
      <c r="T33" s="4">
        <f>VLOOKUP(T31,[1]PriceValue!A40:B194,2,FALSE)*VLOOKUP(T31,'[1]2023'!A41:F200,4,FALSE)</f>
        <v>6909153074450</v>
      </c>
    </row>
    <row r="34" spans="1:20" x14ac:dyDescent="0.2">
      <c r="A34" s="18">
        <f>-(A32/A33)</f>
        <v>6.7671770439352496E-3</v>
      </c>
      <c r="B34" s="18">
        <f t="shared" ref="B34:J34" si="12">-(B32/B33)</f>
        <v>1.5496715055075721E-2</v>
      </c>
      <c r="C34" s="18">
        <f t="shared" si="12"/>
        <v>4.3210557792081683E-3</v>
      </c>
      <c r="D34" s="18">
        <f t="shared" si="12"/>
        <v>2.0797860701498891E-3</v>
      </c>
      <c r="E34" s="18">
        <f t="shared" si="12"/>
        <v>1.0142036401204207E-2</v>
      </c>
      <c r="F34" s="18">
        <f t="shared" si="12"/>
        <v>3.8081526628867809E-2</v>
      </c>
      <c r="G34" s="18">
        <f t="shared" si="12"/>
        <v>5.9446531174532826E-3</v>
      </c>
      <c r="H34" s="18">
        <f t="shared" si="12"/>
        <v>1.4279114263036007E-2</v>
      </c>
      <c r="I34" s="18">
        <f t="shared" si="12"/>
        <v>1.3372770829115931E-2</v>
      </c>
      <c r="J34" s="18">
        <f t="shared" si="12"/>
        <v>1.2819010775591791E-3</v>
      </c>
      <c r="K34" s="18">
        <f t="shared" ref="K34" si="13">-(K32/K33)</f>
        <v>1.4664574058920334E-2</v>
      </c>
      <c r="L34" s="18">
        <f t="shared" ref="L34" si="14">-(L32/L33)</f>
        <v>1.0887554181856643E-3</v>
      </c>
      <c r="M34" s="18">
        <f t="shared" ref="M34" si="15">-(M32/M33)</f>
        <v>4.346192258173732E-3</v>
      </c>
      <c r="N34" s="18">
        <f t="shared" ref="N34" si="16">-(N32/N33)</f>
        <v>1.1925084749850398E-2</v>
      </c>
      <c r="O34" s="18">
        <f t="shared" ref="O34" si="17">-(O32/O33)</f>
        <v>5.6281260280990481E-3</v>
      </c>
      <c r="P34" s="18">
        <f t="shared" ref="P34" si="18">-(P32/P33)</f>
        <v>6.2199282900839243E-3</v>
      </c>
      <c r="Q34" s="18">
        <f t="shared" ref="Q34" si="19">-(Q32/Q33)</f>
        <v>1.7673842838150759E-2</v>
      </c>
      <c r="R34" s="18">
        <f t="shared" ref="R34" si="20">-(R32/R33)</f>
        <v>7.2285798095513233E-3</v>
      </c>
      <c r="S34" s="18">
        <f t="shared" ref="S34" si="21">-(S32/S33)</f>
        <v>5.5520638710495063E-3</v>
      </c>
      <c r="T34" s="18">
        <f t="shared" ref="T34" si="22">-(T32/T33)</f>
        <v>1.0449264779930656E-2</v>
      </c>
    </row>
    <row r="36" spans="1:20" x14ac:dyDescent="0.2">
      <c r="A36" s="23" t="s">
        <v>24</v>
      </c>
      <c r="B36" s="23"/>
      <c r="C36" s="23"/>
      <c r="D36" s="23"/>
      <c r="E36" s="23"/>
      <c r="F36" s="23"/>
      <c r="G36" s="23"/>
      <c r="H36" s="23"/>
      <c r="I36" s="23"/>
      <c r="J36" s="23"/>
    </row>
    <row r="37" spans="1:20" x14ac:dyDescent="0.2">
      <c r="A37" s="10" t="s">
        <v>20</v>
      </c>
      <c r="B37" s="11" t="s">
        <v>35</v>
      </c>
      <c r="C37" s="12" t="s">
        <v>36</v>
      </c>
      <c r="D37" s="2" t="s">
        <v>17</v>
      </c>
      <c r="E37" s="13" t="s">
        <v>37</v>
      </c>
      <c r="F37" s="14" t="s">
        <v>38</v>
      </c>
      <c r="G37" s="14" t="s">
        <v>39</v>
      </c>
      <c r="H37" s="14" t="s">
        <v>21</v>
      </c>
      <c r="I37" s="14" t="s">
        <v>40</v>
      </c>
      <c r="J37" s="14" t="s">
        <v>41</v>
      </c>
      <c r="K37" s="14" t="s">
        <v>76</v>
      </c>
      <c r="L37" s="14" t="s">
        <v>77</v>
      </c>
      <c r="M37" s="14" t="s">
        <v>19</v>
      </c>
      <c r="N37" s="14" t="s">
        <v>78</v>
      </c>
      <c r="O37" s="14" t="s">
        <v>65</v>
      </c>
      <c r="P37" s="14" t="s">
        <v>79</v>
      </c>
      <c r="Q37" s="14" t="s">
        <v>80</v>
      </c>
      <c r="R37" s="14" t="s">
        <v>63</v>
      </c>
      <c r="S37" s="14" t="s">
        <v>66</v>
      </c>
      <c r="T37" s="14" t="s">
        <v>69</v>
      </c>
    </row>
    <row r="38" spans="1:20" x14ac:dyDescent="0.2">
      <c r="A38" s="16">
        <v>-254022663000</v>
      </c>
      <c r="B38" s="16">
        <v>-139840000000</v>
      </c>
      <c r="C38" s="16">
        <v>-91489197000</v>
      </c>
      <c r="D38" s="16">
        <v>-87705560000</v>
      </c>
      <c r="E38" s="16">
        <v>-78952430000</v>
      </c>
      <c r="F38" s="16">
        <v>-75288077000</v>
      </c>
      <c r="G38" s="16">
        <v>-69099374000</v>
      </c>
      <c r="H38" s="16">
        <v>-49988695000</v>
      </c>
      <c r="I38" s="16">
        <v>-38185200000</v>
      </c>
      <c r="J38" s="16">
        <v>-32211512000</v>
      </c>
      <c r="K38" s="16">
        <v>-28250782000</v>
      </c>
      <c r="L38" s="17">
        <v>-26115100000</v>
      </c>
      <c r="M38" s="17">
        <v>-23192275000</v>
      </c>
      <c r="N38" s="17">
        <v>-19532268000</v>
      </c>
      <c r="O38" s="17">
        <v>-17594612000</v>
      </c>
      <c r="P38" s="17">
        <v>-15612673000</v>
      </c>
      <c r="Q38" s="17">
        <v>-14950785000</v>
      </c>
      <c r="R38" s="17">
        <v>-14269861000</v>
      </c>
      <c r="S38" s="17">
        <v>-11950419000</v>
      </c>
      <c r="T38" s="17">
        <v>-10323793000</v>
      </c>
    </row>
    <row r="39" spans="1:20" x14ac:dyDescent="0.2">
      <c r="A39" s="4">
        <f>VLOOKUP(A37,[1]PriceValue!A52:B206,2,FALSE)*VLOOKUP(A37,'[1]2023'!A53:F212,4,FALSE)</f>
        <v>190634705350000</v>
      </c>
      <c r="B39" s="4" t="e">
        <f>VLOOKUP(B37,[1]PriceValue!A52:B206,2,FALSE)*VLOOKUP(B37,'[1]2023'!A53:F212,4,FALSE)</f>
        <v>#N/A</v>
      </c>
      <c r="C39" s="4">
        <f>VLOOKUP(C37,[1]PriceValue!A52:B206,2,FALSE)*VLOOKUP(C37,'[1]2023'!A53:F212,4,FALSE)</f>
        <v>108753411200000</v>
      </c>
      <c r="D39" s="4">
        <f>VLOOKUP(D37,[1]PriceValue!A52:B206,2,FALSE)*VLOOKUP(D37,'[1]2023'!A53:F212,4,FALSE)</f>
        <v>155504902560000</v>
      </c>
      <c r="E39" s="4">
        <f>VLOOKUP(E37,[1]PriceValue!A52:B206,2,FALSE)*VLOOKUP(E37,'[1]2023'!A53:F212,4,FALSE)</f>
        <v>133219734987500</v>
      </c>
      <c r="F39" s="4">
        <f>VLOOKUP(F37,[1]PriceValue!A52:B206,2,FALSE)*VLOOKUP(F37,'[1]2023'!A53:F212,4,FALSE)</f>
        <v>55048722750000</v>
      </c>
      <c r="G39" s="4">
        <f>VLOOKUP(G37,[1]PriceValue!A52:B206,2,FALSE)*VLOOKUP(G37,'[1]2023'!A53:F212,4,FALSE)</f>
        <v>122530976350000</v>
      </c>
      <c r="H39" s="4">
        <f>VLOOKUP(H37,[1]PriceValue!A52:B206,2,FALSE)*VLOOKUP(H37,'[1]2023'!A53:F212,4,FALSE)</f>
        <v>32668079070000</v>
      </c>
      <c r="I39" s="4">
        <f>VLOOKUP(I37,[1]PriceValue!A52:B206,2,FALSE)*VLOOKUP(I37,'[1]2023'!A53:F212,4,FALSE)</f>
        <v>21259949711500</v>
      </c>
      <c r="J39" s="4" t="e">
        <f>VLOOKUP(J37,[1]PriceValue!A52:B250,2,FALSE)*VLOOKUP(J37,'[1]2023'!A53:F212,4,FALSE)</f>
        <v>#N/A</v>
      </c>
      <c r="K39" s="4">
        <f>VLOOKUP(K37,[1]PriceValue!A52:B206,2,FALSE)*VLOOKUP(K37,'[1]2023'!A53:F212,4,FALSE)</f>
        <v>33736808507400</v>
      </c>
      <c r="L39" s="4" t="e">
        <f>VLOOKUP(L37,[1]PriceValue!A52:B206,2,FALSE)*VLOOKUP(L37,'[1]2023'!A53:F212,4,FALSE)</f>
        <v>#N/A</v>
      </c>
      <c r="M39" s="4">
        <f>VLOOKUP(M37,[1]PriceValue!A52:B206,2,FALSE)*VLOOKUP(M37,'[1]2023'!A53:F212,4,FALSE)</f>
        <v>68193354965600</v>
      </c>
      <c r="N39" s="4">
        <f>VLOOKUP(N37,[1]PriceValue!A52:B206,2,FALSE)*VLOOKUP(N37,'[1]2023'!A53:F212,4,FALSE)</f>
        <v>4030203930480</v>
      </c>
      <c r="O39" s="4">
        <f>VLOOKUP(O37,[1]PriceValue!A52:B206,2,FALSE)*VLOOKUP(O37,'[1]2023'!A53:F212,4,FALSE)</f>
        <v>44962263314750</v>
      </c>
      <c r="P39" s="4" t="e">
        <f>VLOOKUP(P37,[1]PriceValue!A52:B206,2,FALSE)*VLOOKUP(P37,'[1]2023'!A53:F212,4,FALSE)</f>
        <v>#N/A</v>
      </c>
      <c r="Q39" s="4" t="e">
        <f>VLOOKUP(Q37,[1]PriceValue!A52:B206,2,FALSE)*VLOOKUP(Q37,'[1]2023'!A53:F212,4,FALSE)</f>
        <v>#N/A</v>
      </c>
      <c r="R39" s="4">
        <f>VLOOKUP(R37,[1]PriceValue!A52:B206,2,FALSE)*VLOOKUP(R37,'[1]2023'!A53:F212,4,FALSE)</f>
        <v>68474735955000</v>
      </c>
      <c r="S39" s="4">
        <f>VLOOKUP(S37,[1]PriceValue!A52:B206,2,FALSE)*VLOOKUP(S37,'[1]2023'!A53:F212,4,FALSE)</f>
        <v>28200000000000</v>
      </c>
      <c r="T39" s="4">
        <f>VLOOKUP(T37,[1]PriceValue!A52:B206,2,FALSE)*VLOOKUP(T37,'[1]2023'!A53:F212,4,FALSE)</f>
        <v>40730247500000</v>
      </c>
    </row>
    <row r="40" spans="1:20" x14ac:dyDescent="0.2">
      <c r="A40" s="18">
        <f>-(A38/A39)</f>
        <v>1.3325100617624765E-3</v>
      </c>
      <c r="B40" s="18" t="e">
        <f t="shared" ref="B40:T40" si="23">-(B38/B39)</f>
        <v>#N/A</v>
      </c>
      <c r="C40" s="18">
        <f t="shared" si="23"/>
        <v>8.412535845128507E-4</v>
      </c>
      <c r="D40" s="18">
        <f t="shared" si="23"/>
        <v>5.6400511209709096E-4</v>
      </c>
      <c r="E40" s="18">
        <f t="shared" si="23"/>
        <v>5.9264815387455999E-4</v>
      </c>
      <c r="F40" s="18">
        <f t="shared" si="23"/>
        <v>1.3676625585286627E-3</v>
      </c>
      <c r="G40" s="18">
        <f t="shared" si="23"/>
        <v>5.6393392151404332E-4</v>
      </c>
      <c r="H40" s="18">
        <f t="shared" si="23"/>
        <v>1.5302000124612775E-3</v>
      </c>
      <c r="I40" s="18">
        <f t="shared" si="23"/>
        <v>1.796109610708286E-3</v>
      </c>
      <c r="J40" s="18" t="e">
        <f t="shared" si="23"/>
        <v>#N/A</v>
      </c>
      <c r="K40" s="18">
        <f t="shared" si="23"/>
        <v>8.3738750788484723E-4</v>
      </c>
      <c r="L40" s="18" t="e">
        <f t="shared" si="23"/>
        <v>#N/A</v>
      </c>
      <c r="M40" s="18">
        <f t="shared" si="23"/>
        <v>3.4009582035814627E-4</v>
      </c>
      <c r="N40" s="18">
        <f t="shared" si="23"/>
        <v>4.8464713788499763E-3</v>
      </c>
      <c r="O40" s="18">
        <f t="shared" si="23"/>
        <v>3.9131953560327191E-4</v>
      </c>
      <c r="P40" s="18" t="e">
        <f t="shared" si="23"/>
        <v>#N/A</v>
      </c>
      <c r="Q40" s="18" t="e">
        <f t="shared" si="23"/>
        <v>#N/A</v>
      </c>
      <c r="R40" s="18">
        <f t="shared" si="23"/>
        <v>2.0839599891816772E-4</v>
      </c>
      <c r="S40" s="18">
        <f t="shared" si="23"/>
        <v>4.2377372340425535E-4</v>
      </c>
      <c r="T40" s="18">
        <f t="shared" si="23"/>
        <v>2.5346747524674382E-4</v>
      </c>
    </row>
    <row r="42" spans="1:20" x14ac:dyDescent="0.2">
      <c r="A42" s="24" t="s">
        <v>96</v>
      </c>
      <c r="B42" s="24"/>
      <c r="C42" s="24"/>
      <c r="D42" s="24"/>
      <c r="E42" s="24"/>
      <c r="F42" s="24"/>
      <c r="G42" s="24"/>
      <c r="H42" s="24"/>
      <c r="I42" s="24"/>
      <c r="J42" s="24"/>
    </row>
    <row r="43" spans="1:20" x14ac:dyDescent="0.2">
      <c r="A43" s="18" t="s">
        <v>6</v>
      </c>
      <c r="B43" s="18" t="s">
        <v>99</v>
      </c>
      <c r="C43" s="18" t="s">
        <v>76</v>
      </c>
      <c r="D43" s="18" t="s">
        <v>100</v>
      </c>
      <c r="E43" s="18" t="s">
        <v>31</v>
      </c>
      <c r="F43" s="18" t="s">
        <v>46</v>
      </c>
      <c r="G43" s="18" t="s">
        <v>25</v>
      </c>
      <c r="H43" s="18" t="s">
        <v>101</v>
      </c>
      <c r="I43" s="18" t="s">
        <v>29</v>
      </c>
      <c r="J43" s="18" t="s">
        <v>28</v>
      </c>
    </row>
    <row r="44" spans="1:20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</row>
    <row r="45" spans="1:20" x14ac:dyDescent="0.2">
      <c r="A45" s="24" t="s">
        <v>97</v>
      </c>
      <c r="B45" s="24"/>
      <c r="C45" s="24"/>
      <c r="D45" s="24"/>
      <c r="E45" s="24"/>
      <c r="F45" s="24"/>
      <c r="G45" s="24"/>
      <c r="H45" s="24"/>
      <c r="I45" s="24"/>
      <c r="J45" s="24"/>
    </row>
    <row r="46" spans="1:20" x14ac:dyDescent="0.2">
      <c r="A46" s="18" t="s">
        <v>99</v>
      </c>
      <c r="B46" s="18" t="s">
        <v>6</v>
      </c>
      <c r="C46" s="18" t="s">
        <v>11</v>
      </c>
      <c r="D46" s="18" t="s">
        <v>76</v>
      </c>
      <c r="E46" s="18" t="s">
        <v>100</v>
      </c>
      <c r="F46" s="18" t="s">
        <v>46</v>
      </c>
      <c r="G46" s="18" t="s">
        <v>102</v>
      </c>
      <c r="H46" s="18" t="s">
        <v>16</v>
      </c>
      <c r="I46" s="18" t="s">
        <v>90</v>
      </c>
      <c r="J46" s="18" t="s">
        <v>101</v>
      </c>
    </row>
    <row r="47" spans="1:20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</row>
    <row r="48" spans="1:20" x14ac:dyDescent="0.2">
      <c r="A48" s="24" t="s">
        <v>98</v>
      </c>
      <c r="B48" s="24"/>
      <c r="C48" s="24"/>
      <c r="D48" s="24"/>
      <c r="E48" s="24"/>
      <c r="F48" s="24"/>
      <c r="G48" s="24"/>
      <c r="H48" s="24"/>
      <c r="I48" s="24"/>
      <c r="J48" s="24"/>
    </row>
    <row r="49" spans="1:20" x14ac:dyDescent="0.2">
      <c r="A49" s="18" t="s">
        <v>99</v>
      </c>
      <c r="B49" s="18" t="s">
        <v>6</v>
      </c>
      <c r="C49" s="18" t="s">
        <v>29</v>
      </c>
      <c r="D49" s="18" t="s">
        <v>100</v>
      </c>
      <c r="E49" s="18" t="s">
        <v>25</v>
      </c>
      <c r="F49" s="18" t="s">
        <v>46</v>
      </c>
      <c r="G49" s="18" t="s">
        <v>102</v>
      </c>
      <c r="H49" s="18" t="s">
        <v>27</v>
      </c>
      <c r="I49" s="18" t="s">
        <v>11</v>
      </c>
      <c r="J49" s="18" t="s">
        <v>36</v>
      </c>
    </row>
    <row r="51" spans="1:20" x14ac:dyDescent="0.2">
      <c r="A51" s="24" t="s">
        <v>116</v>
      </c>
      <c r="B51" s="24"/>
      <c r="C51" s="24"/>
      <c r="D51" s="24"/>
      <c r="E51" s="24"/>
      <c r="F51" s="24"/>
      <c r="G51" s="24"/>
      <c r="H51" s="24"/>
      <c r="I51" s="24"/>
      <c r="J51" s="24"/>
    </row>
    <row r="52" spans="1:20" x14ac:dyDescent="0.2">
      <c r="A52" t="s">
        <v>118</v>
      </c>
      <c r="B52" t="s">
        <v>99</v>
      </c>
      <c r="C52" t="s">
        <v>119</v>
      </c>
      <c r="D52" t="s">
        <v>120</v>
      </c>
      <c r="E52" t="s">
        <v>78</v>
      </c>
      <c r="F52" t="s">
        <v>121</v>
      </c>
      <c r="G52" t="s">
        <v>122</v>
      </c>
      <c r="H52" t="s">
        <v>123</v>
      </c>
      <c r="I52" t="s">
        <v>124</v>
      </c>
      <c r="J52" t="s">
        <v>90</v>
      </c>
      <c r="K52" t="s">
        <v>125</v>
      </c>
      <c r="L52" t="s">
        <v>126</v>
      </c>
      <c r="M52" t="s">
        <v>127</v>
      </c>
      <c r="N52" t="s">
        <v>128</v>
      </c>
      <c r="O52" t="s">
        <v>129</v>
      </c>
      <c r="P52" t="s">
        <v>89</v>
      </c>
      <c r="Q52" t="s">
        <v>30</v>
      </c>
      <c r="R52" t="s">
        <v>68</v>
      </c>
      <c r="S52" t="s">
        <v>130</v>
      </c>
      <c r="T52" t="s">
        <v>131</v>
      </c>
    </row>
  </sheetData>
  <mergeCells count="12">
    <mergeCell ref="A5:J5"/>
    <mergeCell ref="A30:J30"/>
    <mergeCell ref="A11:J11"/>
    <mergeCell ref="A36:J36"/>
    <mergeCell ref="A17:J17"/>
    <mergeCell ref="A20:J20"/>
    <mergeCell ref="A23:J23"/>
    <mergeCell ref="A51:J51"/>
    <mergeCell ref="A42:J42"/>
    <mergeCell ref="A45:J45"/>
    <mergeCell ref="A48:J48"/>
    <mergeCell ref="A26:J2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A1F9A-84B6-C847-A693-E17FADF71D4D}">
  <sheetPr codeName="Sheet12"/>
  <dimension ref="A1:M4"/>
  <sheetViews>
    <sheetView workbookViewId="0">
      <selection activeCell="G13" sqref="G13"/>
    </sheetView>
  </sheetViews>
  <sheetFormatPr baseColWidth="10" defaultRowHeight="16" x14ac:dyDescent="0.2"/>
  <cols>
    <col min="2" max="2" width="17.6640625" bestFit="1" customWidth="1"/>
    <col min="3" max="3" width="13.6640625" customWidth="1"/>
  </cols>
  <sheetData>
    <row r="1" spans="1:13" x14ac:dyDescent="0.2">
      <c r="B1" s="26">
        <v>2024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</row>
    <row r="2" spans="1:13" x14ac:dyDescent="0.2">
      <c r="B2" t="s">
        <v>48</v>
      </c>
      <c r="C2" t="s">
        <v>49</v>
      </c>
      <c r="D2" t="s">
        <v>50</v>
      </c>
      <c r="E2" t="s">
        <v>52</v>
      </c>
      <c r="F2" t="s">
        <v>53</v>
      </c>
      <c r="G2" t="s">
        <v>54</v>
      </c>
      <c r="H2" t="s">
        <v>55</v>
      </c>
      <c r="I2" t="s">
        <v>56</v>
      </c>
      <c r="J2" t="s">
        <v>57</v>
      </c>
      <c r="K2" t="s">
        <v>58</v>
      </c>
      <c r="L2" t="s">
        <v>59</v>
      </c>
      <c r="M2" t="s">
        <v>60</v>
      </c>
    </row>
    <row r="3" spans="1:13" x14ac:dyDescent="0.2">
      <c r="A3" t="s">
        <v>47</v>
      </c>
      <c r="B3" s="15">
        <f>'T1-2024'!A3</f>
        <v>1124682949376</v>
      </c>
    </row>
    <row r="4" spans="1:13" x14ac:dyDescent="0.2">
      <c r="A4" t="s">
        <v>51</v>
      </c>
      <c r="B4" s="15">
        <f>'T1-2024'!C3</f>
        <v>430480795655</v>
      </c>
    </row>
  </sheetData>
  <mergeCells count="1">
    <mergeCell ref="B1:M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A4CD8-FAF6-A144-ACB1-40FB662C0981}">
  <sheetPr codeName="Sheet11"/>
  <dimension ref="A1:T47"/>
  <sheetViews>
    <sheetView topLeftCell="A30" workbookViewId="0">
      <selection activeCell="F63" sqref="F63"/>
    </sheetView>
  </sheetViews>
  <sheetFormatPr baseColWidth="10" defaultRowHeight="16" x14ac:dyDescent="0.2"/>
  <cols>
    <col min="1" max="1" width="21.6640625" customWidth="1"/>
    <col min="2" max="2" width="21" customWidth="1"/>
    <col min="3" max="3" width="20.33203125" customWidth="1"/>
    <col min="4" max="10" width="16.83203125" bestFit="1" customWidth="1"/>
    <col min="12" max="12" width="17.6640625" bestFit="1" customWidth="1"/>
  </cols>
  <sheetData>
    <row r="1" spans="1:20" x14ac:dyDescent="0.2">
      <c r="A1" s="20" t="s">
        <v>85</v>
      </c>
      <c r="C1" s="21" t="s">
        <v>86</v>
      </c>
    </row>
    <row r="2" spans="1:20" x14ac:dyDescent="0.2">
      <c r="A2" t="s">
        <v>13</v>
      </c>
      <c r="C2" t="s">
        <v>13</v>
      </c>
    </row>
    <row r="3" spans="1:20" x14ac:dyDescent="0.2">
      <c r="A3" s="19"/>
      <c r="C3" s="19"/>
    </row>
    <row r="5" spans="1:20" x14ac:dyDescent="0.2">
      <c r="A5" s="22" t="s">
        <v>23</v>
      </c>
      <c r="B5" s="22"/>
      <c r="C5" s="22"/>
      <c r="D5" s="22"/>
      <c r="E5" s="22"/>
      <c r="F5" s="22"/>
      <c r="G5" s="22"/>
      <c r="H5" s="22"/>
      <c r="I5" s="22"/>
      <c r="J5" s="22"/>
    </row>
    <row r="6" spans="1:20" x14ac:dyDescent="0.2">
      <c r="A6" s="5"/>
      <c r="B6" s="6"/>
      <c r="C6" s="7"/>
      <c r="D6" s="8"/>
      <c r="E6" s="1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1:20" x14ac:dyDescent="0.2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5"/>
      <c r="M7" s="15"/>
      <c r="N7" s="15"/>
      <c r="O7" s="15"/>
      <c r="P7" s="15"/>
      <c r="Q7" s="15"/>
      <c r="R7" s="15"/>
      <c r="S7" s="15"/>
      <c r="T7" s="15"/>
    </row>
    <row r="8" spans="1:20" x14ac:dyDescent="0.2">
      <c r="A8" s="15" t="e">
        <f>VLOOKUP(A6,[1]PriceValue!A40:B194,2,FALSE)*VLOOKUP(A6,'[1]2023'!A41:F200,4,FALSE)</f>
        <v>#N/A</v>
      </c>
      <c r="B8" s="15" t="e">
        <f>VLOOKUP(B6,[1]PriceValue!A40:B194,2,FALSE)*VLOOKUP(B6,'[1]2023'!A41:F200,4,FALSE)</f>
        <v>#N/A</v>
      </c>
      <c r="C8" s="15" t="e">
        <f>VLOOKUP(C6,[1]PriceValue!A40:B194,2,FALSE)*VLOOKUP(C6,'[1]2023'!A41:F200,4,FALSE)</f>
        <v>#N/A</v>
      </c>
      <c r="D8" s="15" t="e">
        <f>VLOOKUP(D6,[1]PriceValue!A40:B194,2,FALSE)*VLOOKUP(D6,'[1]2023'!A41:F200,4,FALSE)</f>
        <v>#N/A</v>
      </c>
      <c r="E8" s="15" t="e">
        <f>VLOOKUP(E6,[1]PriceValue!A40:B194,2,FALSE)*VLOOKUP(E6,'[1]2023'!A41:F200,4,FALSE)</f>
        <v>#N/A</v>
      </c>
      <c r="F8" s="15" t="e">
        <f>VLOOKUP(F6,[1]PriceValue!A40:B194,2,FALSE)*VLOOKUP(F6,'[1]2023'!A41:F200,4,FALSE)</f>
        <v>#N/A</v>
      </c>
      <c r="G8" s="15" t="e">
        <f>VLOOKUP(G6,[1]PriceValue!A40:B194,2,FALSE)*VLOOKUP(G6,'[1]2023'!A41:F200,4,FALSE)</f>
        <v>#N/A</v>
      </c>
      <c r="H8" s="15" t="e">
        <f>VLOOKUP(H6,[1]PriceValue!A40:B194,2,FALSE)*VLOOKUP(H6,'[1]2023'!A41:F200,4,FALSE)</f>
        <v>#N/A</v>
      </c>
      <c r="I8" s="15" t="e">
        <f>VLOOKUP(I6,[1]PriceValue!A40:B194,2,FALSE)*VLOOKUP(I6,'[1]2023'!A41:F200,4,FALSE)</f>
        <v>#N/A</v>
      </c>
      <c r="J8" s="15" t="e">
        <f>VLOOKUP(J6,[1]PriceValue!A40:B194,2,FALSE)*VLOOKUP(J6,'[1]2023'!A41:F200,4,FALSE)</f>
        <v>#N/A</v>
      </c>
      <c r="K8" s="15" t="e">
        <f>VLOOKUP(K6,[1]PriceValue!A40:B194,2,FALSE)*VLOOKUP(K6,'[1]2023'!A41:F200,4,FALSE)</f>
        <v>#N/A</v>
      </c>
      <c r="L8" s="15" t="e">
        <f>VLOOKUP(L6,[1]PriceValue!A40:B194,2,FALSE)*VLOOKUP(L6,'[1]2023'!A41:F200,4,FALSE)</f>
        <v>#N/A</v>
      </c>
      <c r="M8" s="15" t="e">
        <f>VLOOKUP(M6,[1]PriceValue!A40:B194,2,FALSE)*VLOOKUP(M6,'[1]2023'!A41:F200,4,FALSE)</f>
        <v>#N/A</v>
      </c>
      <c r="N8" s="15" t="e">
        <f>VLOOKUP(N6,[1]PriceValue!A40:B194,2,FALSE)*VLOOKUP(N6,'[1]2023'!A41:F200,4,FALSE)</f>
        <v>#N/A</v>
      </c>
      <c r="O8" s="15" t="e">
        <f>VLOOKUP(O6,[1]PriceValue!A40:B194,2,FALSE)*VLOOKUP(O6,'[1]2023'!A41:F200,4,FALSE)</f>
        <v>#N/A</v>
      </c>
      <c r="P8" s="15" t="e">
        <f>VLOOKUP(P6,[1]PriceValue!A40:B194,2,FALSE)*VLOOKUP(P6,'[1]2023'!A41:F200,4,FALSE)</f>
        <v>#N/A</v>
      </c>
      <c r="Q8" s="15" t="e">
        <f>VLOOKUP(Q6,[1]PriceValue!A40:B194,2,FALSE)*VLOOKUP(Q6,'[1]2023'!A41:F200,4,FALSE)</f>
        <v>#N/A</v>
      </c>
      <c r="R8" s="15" t="e">
        <f>VLOOKUP(R6,[1]PriceValue!A40:B194,2,FALSE)*VLOOKUP(R6,'[1]2023'!A41:F200,4,FALSE)</f>
        <v>#N/A</v>
      </c>
      <c r="S8" s="15" t="e">
        <f>VLOOKUP(S6,[1]PriceValue!A40:B194,2,FALSE)*VLOOKUP(S6,'[1]2023'!A41:F200,4,FALSE)</f>
        <v>#N/A</v>
      </c>
      <c r="T8" s="15" t="e">
        <f>VLOOKUP(T6,[1]PriceValue!A40:B194,2,FALSE)*VLOOKUP(T6,'[1]2023'!A41:F200,4,FALSE)</f>
        <v>#N/A</v>
      </c>
    </row>
    <row r="9" spans="1:20" x14ac:dyDescent="0.2">
      <c r="A9" s="18" t="e">
        <f>A7/A8</f>
        <v>#N/A</v>
      </c>
      <c r="B9" s="18" t="e">
        <f>B7/B8</f>
        <v>#N/A</v>
      </c>
      <c r="C9" s="18" t="e">
        <f t="shared" ref="C9:T9" si="0">C7/C8</f>
        <v>#N/A</v>
      </c>
      <c r="D9" s="18" t="e">
        <f t="shared" si="0"/>
        <v>#N/A</v>
      </c>
      <c r="E9" s="18" t="e">
        <f t="shared" si="0"/>
        <v>#N/A</v>
      </c>
      <c r="F9" s="18" t="e">
        <f t="shared" si="0"/>
        <v>#N/A</v>
      </c>
      <c r="G9" s="18" t="e">
        <f t="shared" si="0"/>
        <v>#N/A</v>
      </c>
      <c r="H9" s="18" t="e">
        <f t="shared" si="0"/>
        <v>#N/A</v>
      </c>
      <c r="I9" s="18" t="e">
        <f t="shared" si="0"/>
        <v>#N/A</v>
      </c>
      <c r="J9" s="18" t="e">
        <f t="shared" si="0"/>
        <v>#N/A</v>
      </c>
      <c r="K9" s="18" t="e">
        <f t="shared" si="0"/>
        <v>#N/A</v>
      </c>
      <c r="L9" s="18" t="e">
        <f t="shared" si="0"/>
        <v>#N/A</v>
      </c>
      <c r="M9" s="18" t="e">
        <f t="shared" si="0"/>
        <v>#N/A</v>
      </c>
      <c r="N9" s="18" t="e">
        <f t="shared" si="0"/>
        <v>#N/A</v>
      </c>
      <c r="O9" s="18" t="e">
        <f t="shared" si="0"/>
        <v>#N/A</v>
      </c>
      <c r="P9" s="18" t="e">
        <f t="shared" si="0"/>
        <v>#N/A</v>
      </c>
      <c r="Q9" s="18" t="e">
        <f t="shared" si="0"/>
        <v>#N/A</v>
      </c>
      <c r="R9" s="18" t="e">
        <f t="shared" si="0"/>
        <v>#N/A</v>
      </c>
      <c r="S9" s="18" t="e">
        <f t="shared" si="0"/>
        <v>#N/A</v>
      </c>
      <c r="T9" s="18" t="e">
        <f t="shared" si="0"/>
        <v>#N/A</v>
      </c>
    </row>
    <row r="10" spans="1:20" x14ac:dyDescent="0.2">
      <c r="A10" s="18"/>
    </row>
    <row r="11" spans="1:20" x14ac:dyDescent="0.2">
      <c r="A11" s="23" t="s">
        <v>87</v>
      </c>
      <c r="B11" s="23"/>
      <c r="C11" s="23"/>
      <c r="D11" s="23"/>
      <c r="E11" s="23"/>
      <c r="F11" s="23"/>
      <c r="G11" s="23"/>
      <c r="H11" s="23"/>
      <c r="I11" s="23"/>
      <c r="J11" s="2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">
      <c r="A12" s="5"/>
      <c r="B12" s="6"/>
      <c r="C12" s="7"/>
      <c r="D12" s="8"/>
      <c r="E12" s="1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 spans="1:20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5"/>
      <c r="M13" s="15"/>
      <c r="N13" s="15"/>
      <c r="O13" s="15"/>
      <c r="P13" s="15"/>
      <c r="Q13" s="15"/>
      <c r="R13" s="15"/>
      <c r="S13" s="15"/>
      <c r="T13" s="15"/>
    </row>
    <row r="14" spans="1:20" x14ac:dyDescent="0.2">
      <c r="A14" s="4" t="e">
        <f>VLOOKUP(A12,[1]PriceValue!A46:B226,2,FALSE)*VLOOKUP(A12,'[1]2023'!A47:F206,4,FALSE)</f>
        <v>#N/A</v>
      </c>
      <c r="B14" s="4" t="e">
        <f>VLOOKUP(B12,[1]PriceValue!A46:B226,2,FALSE)*VLOOKUP(B12,'[1]2023'!A47:F206,4,FALSE)</f>
        <v>#N/A</v>
      </c>
      <c r="C14" s="4" t="e">
        <f>VLOOKUP(C12,[1]PriceValue!A41:B226,2,FALSE)*VLOOKUP(C12,'[1]2023'!A47:F206,4,FALSE)</f>
        <v>#N/A</v>
      </c>
      <c r="D14" s="4" t="e">
        <f>VLOOKUP(D12,[1]PriceValue!A46:B226,2,FALSE)*VLOOKUP(D12,'[1]2023'!A47:F206,4,FALSE)</f>
        <v>#N/A</v>
      </c>
      <c r="E14" s="4" t="e">
        <f>VLOOKUP(E12,[1]PriceValue!A46:B226,2,FALSE)*VLOOKUP(E12,'[1]2023'!A47:F206,4,FALSE)</f>
        <v>#N/A</v>
      </c>
      <c r="F14" s="4" t="e">
        <f>VLOOKUP(F12,[1]PriceValue!A41:B226,2,FALSE)*VLOOKUP(F12,'[1]2023'!A47:F206,4,FALSE)</f>
        <v>#N/A</v>
      </c>
      <c r="G14" s="4" t="e">
        <f>VLOOKUP(G12,[1]PriceValue!A46:B226,2,FALSE)*VLOOKUP(G12,'[1]2023'!A47:F206,4,FALSE)</f>
        <v>#N/A</v>
      </c>
      <c r="H14" s="4" t="e">
        <f>VLOOKUP(H12,[1]PriceValue!A46:B226,2,FALSE)*VLOOKUP(H12,'[1]2023'!A47:F206,4,FALSE)</f>
        <v>#N/A</v>
      </c>
      <c r="I14" s="4" t="e">
        <f>VLOOKUP(I12,[1]PriceValue!A46:B226,2,FALSE)*VLOOKUP(I12,'[1]2023'!A47:F206,4,FALSE)</f>
        <v>#N/A</v>
      </c>
      <c r="J14" s="4" t="e">
        <f>VLOOKUP(J12,[1]PriceValue!A46:B226,2,FALSE)*VLOOKUP(J12,'[1]2023'!A47:F206,4,FALSE)</f>
        <v>#N/A</v>
      </c>
      <c r="K14" s="4" t="e">
        <f>VLOOKUP(K12,[1]PriceValue!A46:B226,2,FALSE)*VLOOKUP(K12,'[1]2023'!A47:F206,4,FALSE)</f>
        <v>#N/A</v>
      </c>
      <c r="L14" s="4" t="e">
        <f>VLOOKUP(L12,[1]PriceValue!A46:B226,2,FALSE)*VLOOKUP(L12,'[1]2023'!A47:F206,4,FALSE)</f>
        <v>#N/A</v>
      </c>
      <c r="M14" s="4" t="e">
        <f>VLOOKUP(M12,[1]PriceValue!A46:B226,2,FALSE)*VLOOKUP(M12,'[1]2023'!A47:F206,4,FALSE)</f>
        <v>#N/A</v>
      </c>
      <c r="N14" s="4" t="e">
        <f>VLOOKUP(N12,[1]PriceValue!A46:B226,2,FALSE)*VLOOKUP(N12,'[1]2023'!A47:F206,4,FALSE)</f>
        <v>#N/A</v>
      </c>
      <c r="O14" s="4" t="e">
        <f>VLOOKUP(O12,[1]PriceValue!A46:B226,2,FALSE)*VLOOKUP(O12,'[1]2023'!A47:F206,4,FALSE)</f>
        <v>#N/A</v>
      </c>
      <c r="P14" s="4" t="e">
        <f>VLOOKUP(P12,[1]PriceValue!A46:B226,2,FALSE)*VLOOKUP(P12,'[1]2023'!A47:F206,4,FALSE)</f>
        <v>#N/A</v>
      </c>
      <c r="Q14" s="4" t="e">
        <f>VLOOKUP(Q12,[1]PriceValue!A46:B226,2,FALSE)*VLOOKUP(Q12,'[1]2023'!A47:F206,4,FALSE)</f>
        <v>#N/A</v>
      </c>
      <c r="R14" s="4" t="e">
        <f>VLOOKUP(R12,[1]PriceValue!A46:B226,2,FALSE)*VLOOKUP(R12,'[1]2023'!A47:F206,4,FALSE)</f>
        <v>#N/A</v>
      </c>
      <c r="S14" s="4" t="e">
        <f>VLOOKUP(S12,[1]PriceValue!A46:B226,2,FALSE)*VLOOKUP(S12,'[1]2023'!A47:F206,4,FALSE)</f>
        <v>#N/A</v>
      </c>
      <c r="T14" s="4" t="e">
        <f>VLOOKUP(T12,[1]PriceValue!A46:B226,2,FALSE)*VLOOKUP(T12,'[1]2023'!A47:F206,4,FALSE)</f>
        <v>#N/A</v>
      </c>
    </row>
    <row r="15" spans="1:20" x14ac:dyDescent="0.2">
      <c r="A15" s="18" t="e">
        <f>A13/A14</f>
        <v>#N/A</v>
      </c>
      <c r="B15" s="18" t="e">
        <f t="shared" ref="B15:T15" si="1">B13/B14</f>
        <v>#N/A</v>
      </c>
      <c r="C15" s="18" t="e">
        <f t="shared" si="1"/>
        <v>#N/A</v>
      </c>
      <c r="D15" s="18" t="e">
        <f t="shared" si="1"/>
        <v>#N/A</v>
      </c>
      <c r="E15" s="18" t="e">
        <f t="shared" si="1"/>
        <v>#N/A</v>
      </c>
      <c r="F15" s="18" t="e">
        <f t="shared" si="1"/>
        <v>#N/A</v>
      </c>
      <c r="G15" s="18" t="e">
        <f t="shared" si="1"/>
        <v>#N/A</v>
      </c>
      <c r="H15" s="18" t="e">
        <f t="shared" si="1"/>
        <v>#N/A</v>
      </c>
      <c r="I15" s="18" t="e">
        <f t="shared" si="1"/>
        <v>#N/A</v>
      </c>
      <c r="J15" s="18" t="e">
        <f t="shared" si="1"/>
        <v>#N/A</v>
      </c>
      <c r="K15" s="18" t="e">
        <f t="shared" si="1"/>
        <v>#N/A</v>
      </c>
      <c r="L15" s="18" t="e">
        <f t="shared" si="1"/>
        <v>#N/A</v>
      </c>
      <c r="M15" s="18" t="e">
        <f t="shared" si="1"/>
        <v>#N/A</v>
      </c>
      <c r="N15" s="18" t="e">
        <f t="shared" si="1"/>
        <v>#N/A</v>
      </c>
      <c r="O15" s="18" t="e">
        <f t="shared" si="1"/>
        <v>#N/A</v>
      </c>
      <c r="P15" s="18" t="e">
        <f t="shared" si="1"/>
        <v>#N/A</v>
      </c>
      <c r="Q15" s="18" t="e">
        <f t="shared" si="1"/>
        <v>#N/A</v>
      </c>
      <c r="R15" s="18" t="e">
        <f t="shared" si="1"/>
        <v>#N/A</v>
      </c>
      <c r="S15" s="18" t="e">
        <f t="shared" si="1"/>
        <v>#N/A</v>
      </c>
      <c r="T15" s="18" t="e">
        <f t="shared" si="1"/>
        <v>#N/A</v>
      </c>
    </row>
    <row r="16" spans="1:20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2">
      <c r="A17" s="25" t="s">
        <v>88</v>
      </c>
      <c r="B17" s="25"/>
      <c r="C17" s="25"/>
      <c r="D17" s="25"/>
      <c r="E17" s="25"/>
      <c r="F17" s="25"/>
      <c r="G17" s="25"/>
      <c r="H17" s="25"/>
      <c r="I17" s="25"/>
      <c r="J17" s="25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25" t="s">
        <v>91</v>
      </c>
      <c r="B20" s="25"/>
      <c r="C20" s="25"/>
      <c r="D20" s="25"/>
      <c r="E20" s="25"/>
      <c r="F20" s="25"/>
      <c r="G20" s="25"/>
      <c r="H20" s="25"/>
      <c r="I20" s="25"/>
      <c r="J20" s="25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25" t="s">
        <v>94</v>
      </c>
      <c r="B23" s="25"/>
      <c r="C23" s="25"/>
      <c r="D23" s="25"/>
      <c r="E23" s="25"/>
      <c r="F23" s="25"/>
      <c r="G23" s="25"/>
      <c r="H23" s="25"/>
      <c r="I23" s="25"/>
      <c r="J23" s="25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</row>
    <row r="27" spans="1:20" x14ac:dyDescent="0.2">
      <c r="A27" s="18"/>
    </row>
    <row r="28" spans="1:20" x14ac:dyDescent="0.2">
      <c r="A28" s="22" t="s">
        <v>24</v>
      </c>
      <c r="B28" s="22"/>
      <c r="C28" s="22"/>
      <c r="D28" s="22"/>
      <c r="E28" s="22"/>
      <c r="F28" s="22"/>
      <c r="G28" s="22"/>
      <c r="H28" s="22"/>
      <c r="I28" s="22"/>
      <c r="J28" s="22"/>
    </row>
    <row r="29" spans="1:20" x14ac:dyDescent="0.2">
      <c r="A29" s="10"/>
      <c r="B29" s="11"/>
      <c r="C29" s="12"/>
      <c r="D29" s="2"/>
      <c r="E29" s="13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</row>
    <row r="30" spans="1:20" x14ac:dyDescent="0.2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</row>
    <row r="31" spans="1:20" x14ac:dyDescent="0.2">
      <c r="A31" s="4" t="e">
        <f>VLOOKUP(A29,[1]PriceValue!A40:B194,2,FALSE)*VLOOKUP(A29,'[1]2023'!A41:F200,4,FALSE)</f>
        <v>#N/A</v>
      </c>
      <c r="B31" s="4" t="e">
        <f>VLOOKUP(B29,[1]PriceValue!A40:B194,2,FALSE)*VLOOKUP(B29,'[1]2023'!A41:F200,4,FALSE)</f>
        <v>#N/A</v>
      </c>
      <c r="C31" s="4" t="e">
        <f>VLOOKUP(C29,[1]PriceValue!A40:B194,2,FALSE)*VLOOKUP(C29,'[1]2023'!A41:F200,4,FALSE)</f>
        <v>#N/A</v>
      </c>
      <c r="D31" s="4" t="e">
        <f>VLOOKUP(D29,[1]PriceValue!A40:B194,2,FALSE)*VLOOKUP(D29,'[1]2023'!A41:F200,4,FALSE)</f>
        <v>#N/A</v>
      </c>
      <c r="E31" s="4" t="e">
        <f>VLOOKUP(E29,[1]PriceValue!A40:B194,2,FALSE)*VLOOKUP(E29,'[1]2023'!A41:F200,4,FALSE)</f>
        <v>#N/A</v>
      </c>
      <c r="F31" s="4" t="e">
        <f>VLOOKUP(F29,[1]PriceValue!A40:B194,2,FALSE)*VLOOKUP(F29,'[1]2023'!A41:F200,4,FALSE)</f>
        <v>#N/A</v>
      </c>
      <c r="G31" s="4" t="e">
        <f>VLOOKUP(G29,[1]PriceValue!A40:B194,2,FALSE)*VLOOKUP(G29,'[1]2023'!A41:F200,4,FALSE)</f>
        <v>#N/A</v>
      </c>
      <c r="H31" s="4" t="e">
        <f>VLOOKUP(H29,[1]PriceValue!A40:B194,2,FALSE)*VLOOKUP(H29,'[1]2023'!A41:F200,4,FALSE)</f>
        <v>#N/A</v>
      </c>
      <c r="I31" s="4" t="e">
        <f>VLOOKUP(I29,[1]PriceValue!A40:B194,2,FALSE)*VLOOKUP(I29,'[1]2023'!A41:F200,4,FALSE)</f>
        <v>#N/A</v>
      </c>
      <c r="J31" s="4" t="e">
        <f>VLOOKUP(J29,[1]PriceValue!A40:B194,2,FALSE)*VLOOKUP(J29,'[1]2023'!A41:F200,4,FALSE)</f>
        <v>#N/A</v>
      </c>
      <c r="K31" s="4" t="e">
        <f>VLOOKUP(K29,[1]PriceValue!A40:B194,2,FALSE)*VLOOKUP(K29,'[1]2023'!A41:F200,4,FALSE)</f>
        <v>#N/A</v>
      </c>
      <c r="L31" s="4" t="e">
        <f>VLOOKUP(L29,[1]PriceValue!A40:B194,2,FALSE)*VLOOKUP(L29,'[1]2023'!A41:F200,4,FALSE)</f>
        <v>#N/A</v>
      </c>
      <c r="M31" s="4" t="e">
        <f>VLOOKUP(M29,[1]PriceValue!A40:B194,2,FALSE)*VLOOKUP(M29,'[1]2023'!A41:F200,4,FALSE)</f>
        <v>#N/A</v>
      </c>
      <c r="N31" s="4" t="e">
        <f>VLOOKUP(N29,[1]PriceValue!A40:B194,2,FALSE)*VLOOKUP(N29,'[1]2023'!A41:F200,4,FALSE)</f>
        <v>#N/A</v>
      </c>
      <c r="O31" s="4" t="e">
        <f>VLOOKUP(O29,[1]PriceValue!A40:B194,2,FALSE)*VLOOKUP(O29,'[1]2023'!A41:F200,4,FALSE)</f>
        <v>#N/A</v>
      </c>
      <c r="P31" s="4" t="e">
        <f>VLOOKUP(P29,[1]PriceValue!A40:B194,2,FALSE)*VLOOKUP(P29,'[1]2023'!A41:F200,4,FALSE)</f>
        <v>#N/A</v>
      </c>
      <c r="Q31" s="4" t="e">
        <f>VLOOKUP(Q29,[1]PriceValue!A40:B194,2,FALSE)*VLOOKUP(Q29,'[1]2023'!A41:F200,4,FALSE)</f>
        <v>#N/A</v>
      </c>
      <c r="R31" s="4" t="e">
        <f>VLOOKUP(R29,[1]PriceValue!A40:B194,2,FALSE)*VLOOKUP(R29,'[1]2023'!A41:F200,4,FALSE)</f>
        <v>#N/A</v>
      </c>
      <c r="S31" s="4" t="e">
        <f>VLOOKUP(S29,[1]PriceValue!A40:B194,2,FALSE)*VLOOKUP(S29,'[1]2023'!A41:F200,4,FALSE)</f>
        <v>#N/A</v>
      </c>
      <c r="T31" s="4" t="e">
        <f>VLOOKUP(T29,[1]PriceValue!A40:B194,2,FALSE)*VLOOKUP(T29,'[1]2023'!A41:F200,4,FALSE)</f>
        <v>#N/A</v>
      </c>
    </row>
    <row r="32" spans="1:20" x14ac:dyDescent="0.2">
      <c r="A32" s="18" t="e">
        <f>-(A30/A31)</f>
        <v>#N/A</v>
      </c>
      <c r="B32" s="18" t="e">
        <f t="shared" ref="B32:T32" si="2">-(B30/B31)</f>
        <v>#N/A</v>
      </c>
      <c r="C32" s="18" t="e">
        <f t="shared" si="2"/>
        <v>#N/A</v>
      </c>
      <c r="D32" s="18" t="e">
        <f t="shared" si="2"/>
        <v>#N/A</v>
      </c>
      <c r="E32" s="18" t="e">
        <f t="shared" si="2"/>
        <v>#N/A</v>
      </c>
      <c r="F32" s="18" t="e">
        <f t="shared" si="2"/>
        <v>#N/A</v>
      </c>
      <c r="G32" s="18" t="e">
        <f t="shared" si="2"/>
        <v>#N/A</v>
      </c>
      <c r="H32" s="18" t="e">
        <f t="shared" si="2"/>
        <v>#N/A</v>
      </c>
      <c r="I32" s="18" t="e">
        <f t="shared" si="2"/>
        <v>#N/A</v>
      </c>
      <c r="J32" s="18" t="e">
        <f t="shared" si="2"/>
        <v>#N/A</v>
      </c>
      <c r="K32" s="18" t="e">
        <f t="shared" si="2"/>
        <v>#N/A</v>
      </c>
      <c r="L32" s="18" t="e">
        <f t="shared" si="2"/>
        <v>#N/A</v>
      </c>
      <c r="M32" s="18" t="e">
        <f t="shared" si="2"/>
        <v>#N/A</v>
      </c>
      <c r="N32" s="18" t="e">
        <f t="shared" si="2"/>
        <v>#N/A</v>
      </c>
      <c r="O32" s="18" t="e">
        <f t="shared" si="2"/>
        <v>#N/A</v>
      </c>
      <c r="P32" s="18" t="e">
        <f t="shared" si="2"/>
        <v>#N/A</v>
      </c>
      <c r="Q32" s="18" t="e">
        <f t="shared" si="2"/>
        <v>#N/A</v>
      </c>
      <c r="R32" s="18" t="e">
        <f t="shared" si="2"/>
        <v>#N/A</v>
      </c>
      <c r="S32" s="18" t="e">
        <f t="shared" si="2"/>
        <v>#N/A</v>
      </c>
      <c r="T32" s="18" t="e">
        <f t="shared" si="2"/>
        <v>#N/A</v>
      </c>
    </row>
    <row r="34" spans="1:20" x14ac:dyDescent="0.2">
      <c r="A34" s="23" t="s">
        <v>24</v>
      </c>
      <c r="B34" s="23"/>
      <c r="C34" s="23"/>
      <c r="D34" s="23"/>
      <c r="E34" s="23"/>
      <c r="F34" s="23"/>
      <c r="G34" s="23"/>
      <c r="H34" s="23"/>
      <c r="I34" s="23"/>
      <c r="J34" s="23"/>
    </row>
    <row r="35" spans="1:20" x14ac:dyDescent="0.2">
      <c r="A35" s="10"/>
      <c r="B35" s="11"/>
      <c r="C35" s="12"/>
      <c r="D35" s="2"/>
      <c r="E35" s="13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</row>
    <row r="36" spans="1:20" x14ac:dyDescent="0.2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7"/>
      <c r="M36" s="17"/>
      <c r="N36" s="17"/>
      <c r="O36" s="17"/>
      <c r="P36" s="17"/>
      <c r="Q36" s="17"/>
      <c r="R36" s="17"/>
      <c r="S36" s="17"/>
      <c r="T36" s="17"/>
    </row>
    <row r="37" spans="1:20" x14ac:dyDescent="0.2">
      <c r="A37" s="4" t="e">
        <f>VLOOKUP(A35,[1]PriceValue!A52:B206,2,FALSE)*VLOOKUP(A35,'[1]2023'!A53:F212,4,FALSE)</f>
        <v>#N/A</v>
      </c>
      <c r="B37" s="4" t="e">
        <f>VLOOKUP(B35,[1]PriceValue!A52:B206,2,FALSE)*VLOOKUP(B35,'[1]2023'!A53:F212,4,FALSE)</f>
        <v>#N/A</v>
      </c>
      <c r="C37" s="4" t="e">
        <f>VLOOKUP(C35,[1]PriceValue!A52:B206,2,FALSE)*VLOOKUP(C35,'[1]2023'!A53:F212,4,FALSE)</f>
        <v>#N/A</v>
      </c>
      <c r="D37" s="4" t="e">
        <f>VLOOKUP(D35,[1]PriceValue!A52:B206,2,FALSE)*VLOOKUP(D35,'[1]2023'!A53:F212,4,FALSE)</f>
        <v>#N/A</v>
      </c>
      <c r="E37" s="4" t="e">
        <f>VLOOKUP(E35,[1]PriceValue!A52:B206,2,FALSE)*VLOOKUP(E35,'[1]2023'!A53:F212,4,FALSE)</f>
        <v>#N/A</v>
      </c>
      <c r="F37" s="4" t="e">
        <f>VLOOKUP(F35,[1]PriceValue!A52:B206,2,FALSE)*VLOOKUP(F35,'[1]2023'!A53:F212,4,FALSE)</f>
        <v>#N/A</v>
      </c>
      <c r="G37" s="4" t="e">
        <f>VLOOKUP(G35,[1]PriceValue!A52:B206,2,FALSE)*VLOOKUP(G35,'[1]2023'!A53:F212,4,FALSE)</f>
        <v>#N/A</v>
      </c>
      <c r="H37" s="4" t="e">
        <f>VLOOKUP(H35,[1]PriceValue!A52:B206,2,FALSE)*VLOOKUP(H35,'[1]2023'!A53:F212,4,FALSE)</f>
        <v>#N/A</v>
      </c>
      <c r="I37" s="4" t="e">
        <f>VLOOKUP(I35,[1]PriceValue!A52:B206,2,FALSE)*VLOOKUP(I35,'[1]2023'!A53:F212,4,FALSE)</f>
        <v>#N/A</v>
      </c>
      <c r="J37" s="4" t="e">
        <f>VLOOKUP(J35,[1]PriceValue!A52:B250,2,FALSE)*VLOOKUP(J35,'[1]2023'!A53:F212,4,FALSE)</f>
        <v>#N/A</v>
      </c>
      <c r="K37" s="4" t="e">
        <f>VLOOKUP(K35,[1]PriceValue!A52:B206,2,FALSE)*VLOOKUP(K35,'[1]2023'!A53:F212,4,FALSE)</f>
        <v>#N/A</v>
      </c>
      <c r="L37" s="4" t="e">
        <f>VLOOKUP(L35,[1]PriceValue!A52:B206,2,FALSE)*VLOOKUP(L35,'[1]2023'!A53:F212,4,FALSE)</f>
        <v>#N/A</v>
      </c>
      <c r="M37" s="4" t="e">
        <f>VLOOKUP(M35,[1]PriceValue!A52:B206,2,FALSE)*VLOOKUP(M35,'[1]2023'!A53:F212,4,FALSE)</f>
        <v>#N/A</v>
      </c>
      <c r="N37" s="4" t="e">
        <f>VLOOKUP(N35,[1]PriceValue!A52:B206,2,FALSE)*VLOOKUP(N35,'[1]2023'!A53:F212,4,FALSE)</f>
        <v>#N/A</v>
      </c>
      <c r="O37" s="4" t="e">
        <f>VLOOKUP(O35,[1]PriceValue!A52:B206,2,FALSE)*VLOOKUP(O35,'[1]2023'!A53:F212,4,FALSE)</f>
        <v>#N/A</v>
      </c>
      <c r="P37" s="4" t="e">
        <f>VLOOKUP(P35,[1]PriceValue!A52:B206,2,FALSE)*VLOOKUP(P35,'[1]2023'!A53:F212,4,FALSE)</f>
        <v>#N/A</v>
      </c>
      <c r="Q37" s="4" t="e">
        <f>VLOOKUP(Q35,[1]PriceValue!A52:B206,2,FALSE)*VLOOKUP(Q35,'[1]2023'!A53:F212,4,FALSE)</f>
        <v>#N/A</v>
      </c>
      <c r="R37" s="4" t="e">
        <f>VLOOKUP(R35,[1]PriceValue!A52:B206,2,FALSE)*VLOOKUP(R35,'[1]2023'!A53:F212,4,FALSE)</f>
        <v>#N/A</v>
      </c>
      <c r="S37" s="4" t="e">
        <f>VLOOKUP(S35,[1]PriceValue!A52:B206,2,FALSE)*VLOOKUP(S35,'[1]2023'!A53:F212,4,FALSE)</f>
        <v>#N/A</v>
      </c>
      <c r="T37" s="4" t="e">
        <f>VLOOKUP(T35,[1]PriceValue!A52:B206,2,FALSE)*VLOOKUP(T35,'[1]2023'!A53:F212,4,FALSE)</f>
        <v>#N/A</v>
      </c>
    </row>
    <row r="38" spans="1:20" x14ac:dyDescent="0.2">
      <c r="A38" s="18" t="e">
        <f>-(A36/A37)</f>
        <v>#N/A</v>
      </c>
      <c r="B38" s="18" t="e">
        <f t="shared" ref="B38:T38" si="3">-(B36/B37)</f>
        <v>#N/A</v>
      </c>
      <c r="C38" s="18" t="e">
        <f t="shared" si="3"/>
        <v>#N/A</v>
      </c>
      <c r="D38" s="18" t="e">
        <f t="shared" si="3"/>
        <v>#N/A</v>
      </c>
      <c r="E38" s="18" t="e">
        <f t="shared" si="3"/>
        <v>#N/A</v>
      </c>
      <c r="F38" s="18" t="e">
        <f t="shared" si="3"/>
        <v>#N/A</v>
      </c>
      <c r="G38" s="18" t="e">
        <f t="shared" si="3"/>
        <v>#N/A</v>
      </c>
      <c r="H38" s="18" t="e">
        <f t="shared" si="3"/>
        <v>#N/A</v>
      </c>
      <c r="I38" s="18" t="e">
        <f t="shared" si="3"/>
        <v>#N/A</v>
      </c>
      <c r="J38" s="18" t="e">
        <f t="shared" si="3"/>
        <v>#N/A</v>
      </c>
      <c r="K38" s="18" t="e">
        <f t="shared" si="3"/>
        <v>#N/A</v>
      </c>
      <c r="L38" s="18" t="e">
        <f t="shared" si="3"/>
        <v>#N/A</v>
      </c>
      <c r="M38" s="18" t="e">
        <f t="shared" si="3"/>
        <v>#N/A</v>
      </c>
      <c r="N38" s="18" t="e">
        <f t="shared" si="3"/>
        <v>#N/A</v>
      </c>
      <c r="O38" s="18" t="e">
        <f t="shared" si="3"/>
        <v>#N/A</v>
      </c>
      <c r="P38" s="18" t="e">
        <f t="shared" si="3"/>
        <v>#N/A</v>
      </c>
      <c r="Q38" s="18" t="e">
        <f t="shared" si="3"/>
        <v>#N/A</v>
      </c>
      <c r="R38" s="18" t="e">
        <f t="shared" si="3"/>
        <v>#N/A</v>
      </c>
      <c r="S38" s="18" t="e">
        <f t="shared" si="3"/>
        <v>#N/A</v>
      </c>
      <c r="T38" s="18" t="e">
        <f t="shared" si="3"/>
        <v>#N/A</v>
      </c>
    </row>
    <row r="40" spans="1:20" x14ac:dyDescent="0.2">
      <c r="A40" s="24" t="s">
        <v>96</v>
      </c>
      <c r="B40" s="24"/>
      <c r="C40" s="24"/>
      <c r="D40" s="24"/>
      <c r="E40" s="24"/>
      <c r="F40" s="24"/>
      <c r="G40" s="24"/>
      <c r="H40" s="24"/>
      <c r="I40" s="24"/>
      <c r="J40" s="24"/>
    </row>
    <row r="41" spans="1:20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</row>
    <row r="42" spans="1:20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</row>
    <row r="43" spans="1:20" x14ac:dyDescent="0.2">
      <c r="A43" s="24" t="s">
        <v>97</v>
      </c>
      <c r="B43" s="24"/>
      <c r="C43" s="24"/>
      <c r="D43" s="24"/>
      <c r="E43" s="24"/>
      <c r="F43" s="24"/>
      <c r="G43" s="24"/>
      <c r="H43" s="24"/>
      <c r="I43" s="24"/>
      <c r="J43" s="24"/>
    </row>
    <row r="44" spans="1:20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</row>
    <row r="45" spans="1:20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</row>
    <row r="46" spans="1:20" x14ac:dyDescent="0.2">
      <c r="A46" s="24" t="s">
        <v>98</v>
      </c>
      <c r="B46" s="24"/>
      <c r="C46" s="24"/>
      <c r="D46" s="24"/>
      <c r="E46" s="24"/>
      <c r="F46" s="24"/>
      <c r="G46" s="24"/>
      <c r="H46" s="24"/>
      <c r="I46" s="24"/>
      <c r="J46" s="24"/>
    </row>
    <row r="47" spans="1:20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</row>
  </sheetData>
  <mergeCells count="10">
    <mergeCell ref="A34:J34"/>
    <mergeCell ref="A40:J40"/>
    <mergeCell ref="A43:J43"/>
    <mergeCell ref="A46:J46"/>
    <mergeCell ref="A5:J5"/>
    <mergeCell ref="A11:J11"/>
    <mergeCell ref="A17:J17"/>
    <mergeCell ref="A20:J20"/>
    <mergeCell ref="A23:J23"/>
    <mergeCell ref="A28:J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8025B-155D-EA46-93A9-A993BE2C62B7}">
  <sheetPr codeName="Sheet1"/>
  <dimension ref="B2:V46"/>
  <sheetViews>
    <sheetView tabSelected="1" topLeftCell="F1" workbookViewId="0">
      <selection activeCell="T19" sqref="T19"/>
    </sheetView>
  </sheetViews>
  <sheetFormatPr baseColWidth="10" defaultRowHeight="16" x14ac:dyDescent="0.2"/>
  <cols>
    <col min="3" max="3" width="9.33203125" bestFit="1" customWidth="1"/>
    <col min="4" max="4" width="9.33203125" customWidth="1"/>
    <col min="5" max="7" width="10.83203125" customWidth="1"/>
    <col min="8" max="8" width="9.33203125" bestFit="1" customWidth="1"/>
    <col min="9" max="9" width="9.33203125" customWidth="1"/>
    <col min="10" max="14" width="10.83203125" customWidth="1"/>
    <col min="15" max="15" width="8.5" bestFit="1" customWidth="1"/>
    <col min="16" max="17" width="19.33203125" customWidth="1"/>
    <col min="18" max="20" width="10.83203125" customWidth="1"/>
    <col min="21" max="21" width="15.6640625" customWidth="1"/>
    <col min="22" max="22" width="17.83203125" customWidth="1"/>
  </cols>
  <sheetData>
    <row r="2" spans="2:22" x14ac:dyDescent="0.2">
      <c r="B2" s="27"/>
      <c r="C2" s="31" t="s">
        <v>0</v>
      </c>
      <c r="D2" s="31"/>
      <c r="E2" s="31"/>
      <c r="F2" s="31"/>
      <c r="G2" s="31"/>
      <c r="H2" s="30" t="s">
        <v>4</v>
      </c>
      <c r="I2" s="30"/>
      <c r="J2" s="30"/>
      <c r="K2" s="30"/>
      <c r="L2" s="30"/>
      <c r="M2" s="33" t="s">
        <v>85</v>
      </c>
      <c r="N2" s="33"/>
      <c r="O2" s="33"/>
      <c r="P2" s="33"/>
      <c r="Q2" s="33"/>
      <c r="R2" s="32" t="s">
        <v>86</v>
      </c>
      <c r="S2" s="32"/>
      <c r="T2" s="32"/>
      <c r="U2" s="32"/>
      <c r="V2" s="32"/>
    </row>
    <row r="3" spans="2:22" x14ac:dyDescent="0.2">
      <c r="B3" s="28" t="s">
        <v>137</v>
      </c>
      <c r="C3" s="28" t="s">
        <v>134</v>
      </c>
      <c r="D3" s="28" t="s">
        <v>138</v>
      </c>
      <c r="E3" t="s">
        <v>1</v>
      </c>
      <c r="F3" t="s">
        <v>2</v>
      </c>
      <c r="G3" t="s">
        <v>3</v>
      </c>
      <c r="H3" s="28" t="s">
        <v>134</v>
      </c>
      <c r="I3" s="28" t="s">
        <v>138</v>
      </c>
      <c r="J3" t="s">
        <v>1</v>
      </c>
      <c r="K3" t="s">
        <v>2</v>
      </c>
      <c r="L3" t="s">
        <v>3</v>
      </c>
      <c r="M3" t="s">
        <v>132</v>
      </c>
      <c r="N3" t="s">
        <v>2</v>
      </c>
      <c r="O3" t="s">
        <v>133</v>
      </c>
      <c r="P3" t="s">
        <v>135</v>
      </c>
      <c r="Q3" t="s">
        <v>136</v>
      </c>
      <c r="R3" t="s">
        <v>132</v>
      </c>
      <c r="S3" t="s">
        <v>2</v>
      </c>
      <c r="T3" t="s">
        <v>133</v>
      </c>
      <c r="U3" t="s">
        <v>135</v>
      </c>
      <c r="V3" t="s">
        <v>136</v>
      </c>
    </row>
    <row r="4" spans="2:22" x14ac:dyDescent="0.2">
      <c r="B4" s="29">
        <v>45329</v>
      </c>
      <c r="C4" s="35">
        <v>8.5000000000000006E-3</v>
      </c>
      <c r="D4" s="35">
        <f t="shared" ref="D4:D28" si="0">C4+D5</f>
        <v>5.9400000000000001E-2</v>
      </c>
      <c r="E4">
        <v>356</v>
      </c>
      <c r="F4">
        <v>81</v>
      </c>
      <c r="G4">
        <v>110</v>
      </c>
      <c r="H4" s="35">
        <v>1.1299999999999999E-2</v>
      </c>
      <c r="I4" s="35">
        <f t="shared" ref="I4:I28" si="1">H4+I5</f>
        <v>7.0199999999999999E-2</v>
      </c>
      <c r="J4">
        <v>26</v>
      </c>
      <c r="K4">
        <v>3</v>
      </c>
      <c r="L4">
        <v>1</v>
      </c>
      <c r="M4">
        <v>66</v>
      </c>
      <c r="N4">
        <v>1</v>
      </c>
      <c r="O4">
        <v>77</v>
      </c>
      <c r="P4" s="16">
        <v>-20426078171</v>
      </c>
      <c r="Q4" s="16">
        <f t="shared" ref="Q4:Q28" si="2">P4+Q5</f>
        <v>534507729043</v>
      </c>
      <c r="R4">
        <v>69</v>
      </c>
      <c r="S4">
        <v>0</v>
      </c>
      <c r="T4">
        <v>39</v>
      </c>
      <c r="U4" s="16">
        <v>55430821000</v>
      </c>
      <c r="V4" s="17">
        <f t="shared" ref="V4:V28" si="3">U4+V5</f>
        <v>260838681055</v>
      </c>
    </row>
    <row r="5" spans="2:22" x14ac:dyDescent="0.2">
      <c r="B5" s="29">
        <v>45328</v>
      </c>
      <c r="C5" s="35">
        <v>2E-3</v>
      </c>
      <c r="D5" s="35">
        <f t="shared" si="0"/>
        <v>5.0900000000000001E-2</v>
      </c>
      <c r="E5">
        <v>244</v>
      </c>
      <c r="F5">
        <v>107</v>
      </c>
      <c r="G5">
        <v>212</v>
      </c>
      <c r="H5" s="35">
        <v>1.5E-3</v>
      </c>
      <c r="I5" s="35">
        <f t="shared" si="1"/>
        <v>5.8899999999999994E-2</v>
      </c>
      <c r="J5" s="3"/>
      <c r="K5" s="3"/>
      <c r="L5" s="3"/>
      <c r="M5" s="34">
        <v>65</v>
      </c>
      <c r="N5" s="34">
        <v>1</v>
      </c>
      <c r="O5" s="34">
        <v>78</v>
      </c>
      <c r="P5" s="16">
        <v>-454044753347</v>
      </c>
      <c r="Q5" s="16">
        <f t="shared" si="2"/>
        <v>554933807214</v>
      </c>
      <c r="R5" s="34">
        <v>62</v>
      </c>
      <c r="S5" s="34">
        <v>0</v>
      </c>
      <c r="T5" s="34">
        <v>50</v>
      </c>
      <c r="U5" s="16">
        <v>-718184911000</v>
      </c>
      <c r="V5" s="17">
        <f t="shared" si="3"/>
        <v>205407860055</v>
      </c>
    </row>
    <row r="6" spans="2:22" x14ac:dyDescent="0.2">
      <c r="B6" s="29">
        <v>45327</v>
      </c>
      <c r="C6" s="35">
        <v>1.15E-2</v>
      </c>
      <c r="D6" s="35">
        <f t="shared" si="0"/>
        <v>4.8899999999999999E-2</v>
      </c>
      <c r="E6">
        <v>270</v>
      </c>
      <c r="F6">
        <v>72</v>
      </c>
      <c r="G6">
        <v>212</v>
      </c>
      <c r="H6" s="35">
        <v>1.9199999999999998E-2</v>
      </c>
      <c r="I6" s="35">
        <f t="shared" si="1"/>
        <v>5.7399999999999993E-2</v>
      </c>
      <c r="M6">
        <v>71</v>
      </c>
      <c r="N6">
        <v>1</v>
      </c>
      <c r="O6">
        <v>72</v>
      </c>
      <c r="P6" s="16">
        <v>-47724190106</v>
      </c>
      <c r="Q6" s="16">
        <f t="shared" si="2"/>
        <v>1008978560561</v>
      </c>
      <c r="R6">
        <v>84</v>
      </c>
      <c r="S6">
        <v>0</v>
      </c>
      <c r="T6">
        <v>22</v>
      </c>
      <c r="U6" s="16">
        <v>17971390000</v>
      </c>
      <c r="V6" s="17">
        <f t="shared" si="3"/>
        <v>923592771055</v>
      </c>
    </row>
    <row r="7" spans="2:22" x14ac:dyDescent="0.2">
      <c r="B7" s="29">
        <v>45324</v>
      </c>
      <c r="C7" s="35">
        <v>-4.0000000000000002E-4</v>
      </c>
      <c r="D7" s="35">
        <f t="shared" si="0"/>
        <v>3.7400000000000003E-2</v>
      </c>
      <c r="E7">
        <v>199</v>
      </c>
      <c r="F7">
        <v>89</v>
      </c>
      <c r="G7">
        <v>267</v>
      </c>
      <c r="H7" s="35">
        <v>1.1999999999999999E-3</v>
      </c>
      <c r="I7" s="35">
        <f t="shared" si="1"/>
        <v>3.8199999999999998E-2</v>
      </c>
      <c r="M7">
        <v>44</v>
      </c>
      <c r="N7">
        <v>1</v>
      </c>
      <c r="O7">
        <v>90</v>
      </c>
      <c r="P7" s="16">
        <v>-235298007611</v>
      </c>
      <c r="Q7" s="16">
        <f t="shared" si="2"/>
        <v>1056702750667</v>
      </c>
      <c r="R7">
        <v>55</v>
      </c>
      <c r="S7">
        <v>0</v>
      </c>
      <c r="T7">
        <v>53</v>
      </c>
      <c r="U7" s="16">
        <v>499951149000</v>
      </c>
      <c r="V7" s="17">
        <f t="shared" si="3"/>
        <v>905621381055</v>
      </c>
    </row>
    <row r="8" spans="2:22" x14ac:dyDescent="0.2">
      <c r="B8" s="29">
        <v>45323</v>
      </c>
      <c r="C8" s="35">
        <v>7.4999999999999997E-3</v>
      </c>
      <c r="D8" s="35">
        <f t="shared" si="0"/>
        <v>3.78E-2</v>
      </c>
      <c r="E8">
        <v>270</v>
      </c>
      <c r="F8">
        <v>111</v>
      </c>
      <c r="G8">
        <v>177</v>
      </c>
      <c r="H8" s="35">
        <v>6.0000000000000001E-3</v>
      </c>
      <c r="I8" s="35">
        <f t="shared" si="1"/>
        <v>3.6999999999999998E-2</v>
      </c>
      <c r="J8">
        <v>17</v>
      </c>
      <c r="K8">
        <v>5</v>
      </c>
      <c r="L8">
        <v>8</v>
      </c>
      <c r="M8">
        <v>65</v>
      </c>
      <c r="N8">
        <v>1</v>
      </c>
      <c r="O8">
        <v>62</v>
      </c>
      <c r="P8" s="16">
        <v>167317808902</v>
      </c>
      <c r="Q8" s="16">
        <f t="shared" si="2"/>
        <v>1292000758278</v>
      </c>
      <c r="R8">
        <v>46</v>
      </c>
      <c r="S8">
        <v>0</v>
      </c>
      <c r="T8">
        <v>76</v>
      </c>
      <c r="U8" s="16">
        <v>99823302000</v>
      </c>
      <c r="V8" s="17">
        <f t="shared" si="3"/>
        <v>405670232055</v>
      </c>
    </row>
    <row r="9" spans="2:22" x14ac:dyDescent="0.2">
      <c r="B9" s="29">
        <v>45322</v>
      </c>
      <c r="C9" s="35">
        <v>-1.3000000000000001E-2</v>
      </c>
      <c r="D9" s="35">
        <f t="shared" si="0"/>
        <v>3.0299999999999997E-2</v>
      </c>
      <c r="E9">
        <v>101</v>
      </c>
      <c r="F9">
        <v>62</v>
      </c>
      <c r="G9">
        <v>393</v>
      </c>
      <c r="H9" s="35">
        <v>-1.2999999999999999E-2</v>
      </c>
      <c r="I9" s="35">
        <f t="shared" si="1"/>
        <v>3.1E-2</v>
      </c>
      <c r="J9">
        <v>3</v>
      </c>
      <c r="K9">
        <v>1</v>
      </c>
      <c r="L9">
        <v>26</v>
      </c>
      <c r="M9">
        <v>58</v>
      </c>
      <c r="N9">
        <v>1</v>
      </c>
      <c r="O9">
        <v>81</v>
      </c>
      <c r="P9" s="16">
        <v>39184647355</v>
      </c>
      <c r="Q9" s="16">
        <f t="shared" si="2"/>
        <v>1124682949376</v>
      </c>
      <c r="R9">
        <v>38</v>
      </c>
      <c r="S9">
        <v>0</v>
      </c>
      <c r="T9">
        <v>108</v>
      </c>
      <c r="U9" s="16">
        <v>69620718500</v>
      </c>
      <c r="V9" s="17">
        <f t="shared" si="3"/>
        <v>305846930055</v>
      </c>
    </row>
    <row r="10" spans="2:22" x14ac:dyDescent="0.2">
      <c r="B10" s="29">
        <v>45321</v>
      </c>
      <c r="C10" s="35">
        <v>3.3999999999999998E-3</v>
      </c>
      <c r="D10" s="35">
        <f t="shared" si="0"/>
        <v>4.3299999999999998E-2</v>
      </c>
      <c r="E10">
        <v>266</v>
      </c>
      <c r="F10">
        <v>112</v>
      </c>
      <c r="G10">
        <v>174</v>
      </c>
      <c r="H10" s="35">
        <v>2.2000000000000001E-3</v>
      </c>
      <c r="I10" s="35">
        <f t="shared" si="1"/>
        <v>4.3999999999999997E-2</v>
      </c>
      <c r="J10">
        <v>14</v>
      </c>
      <c r="K10">
        <v>4</v>
      </c>
      <c r="L10">
        <v>12</v>
      </c>
      <c r="M10">
        <v>81</v>
      </c>
      <c r="N10">
        <v>2</v>
      </c>
      <c r="O10">
        <v>56</v>
      </c>
      <c r="P10" s="16">
        <v>396711927017</v>
      </c>
      <c r="Q10" s="16">
        <f t="shared" si="2"/>
        <v>1085498302021</v>
      </c>
      <c r="R10">
        <v>41</v>
      </c>
      <c r="S10">
        <v>0</v>
      </c>
      <c r="T10">
        <v>103</v>
      </c>
      <c r="U10" s="16">
        <v>80613287900</v>
      </c>
      <c r="V10" s="17">
        <f t="shared" si="3"/>
        <v>236226211555</v>
      </c>
    </row>
    <row r="11" spans="2:22" x14ac:dyDescent="0.2">
      <c r="B11" s="29">
        <v>45320</v>
      </c>
      <c r="C11" s="35">
        <v>0</v>
      </c>
      <c r="D11" s="35">
        <f t="shared" si="0"/>
        <v>3.9899999999999998E-2</v>
      </c>
      <c r="E11">
        <v>187</v>
      </c>
      <c r="F11">
        <v>106</v>
      </c>
      <c r="G11">
        <v>283</v>
      </c>
      <c r="H11" s="35">
        <v>-3.0999999999999999E-3</v>
      </c>
      <c r="I11" s="35">
        <f t="shared" si="1"/>
        <v>4.1799999999999997E-2</v>
      </c>
      <c r="J11">
        <v>14</v>
      </c>
      <c r="K11">
        <v>5</v>
      </c>
      <c r="L11">
        <v>11</v>
      </c>
      <c r="M11">
        <v>60</v>
      </c>
      <c r="N11">
        <v>2</v>
      </c>
      <c r="O11">
        <v>77</v>
      </c>
      <c r="P11" s="16">
        <v>-137908844181</v>
      </c>
      <c r="Q11" s="16">
        <f t="shared" si="2"/>
        <v>688786375004</v>
      </c>
      <c r="R11">
        <v>42</v>
      </c>
      <c r="S11">
        <v>0</v>
      </c>
      <c r="T11">
        <v>62</v>
      </c>
      <c r="U11" s="16">
        <v>80072901000</v>
      </c>
      <c r="V11" s="17">
        <f t="shared" si="3"/>
        <v>155612923655</v>
      </c>
    </row>
    <row r="12" spans="2:22" x14ac:dyDescent="0.2">
      <c r="B12" s="29">
        <v>45317</v>
      </c>
      <c r="C12" s="35">
        <v>4.4999999999999997E-3</v>
      </c>
      <c r="D12" s="35">
        <f t="shared" si="0"/>
        <v>3.9899999999999998E-2</v>
      </c>
      <c r="E12">
        <v>253</v>
      </c>
      <c r="F12">
        <v>129</v>
      </c>
      <c r="G12">
        <v>193</v>
      </c>
      <c r="H12" s="35">
        <v>4.4999999999999997E-3</v>
      </c>
      <c r="I12" s="35">
        <f t="shared" si="1"/>
        <v>4.4899999999999995E-2</v>
      </c>
      <c r="J12">
        <v>19</v>
      </c>
      <c r="K12">
        <v>3</v>
      </c>
      <c r="L12">
        <v>8</v>
      </c>
      <c r="M12">
        <v>77</v>
      </c>
      <c r="N12">
        <v>0</v>
      </c>
      <c r="O12">
        <v>58</v>
      </c>
      <c r="P12" s="16">
        <v>361099360028</v>
      </c>
      <c r="Q12" s="16">
        <f t="shared" si="2"/>
        <v>826695219185</v>
      </c>
      <c r="R12">
        <v>96</v>
      </c>
      <c r="S12">
        <v>0</v>
      </c>
      <c r="T12">
        <v>11</v>
      </c>
      <c r="U12" s="16">
        <v>554819954000</v>
      </c>
      <c r="V12" s="17">
        <f t="shared" si="3"/>
        <v>75540022655</v>
      </c>
    </row>
    <row r="13" spans="2:22" x14ac:dyDescent="0.2">
      <c r="B13" s="29">
        <v>45316</v>
      </c>
      <c r="C13" s="35">
        <v>-2.2000000000000001E-3</v>
      </c>
      <c r="D13" s="35">
        <f t="shared" si="0"/>
        <v>3.5400000000000001E-2</v>
      </c>
      <c r="H13" s="35">
        <v>-1.6000000000000001E-3</v>
      </c>
      <c r="I13" s="35">
        <f t="shared" si="1"/>
        <v>4.0399999999999998E-2</v>
      </c>
      <c r="M13">
        <v>59</v>
      </c>
      <c r="N13">
        <v>2</v>
      </c>
      <c r="O13">
        <v>76</v>
      </c>
      <c r="P13" s="16">
        <v>-40176974807</v>
      </c>
      <c r="Q13" s="16">
        <f t="shared" si="2"/>
        <v>465595859157</v>
      </c>
      <c r="R13">
        <v>36</v>
      </c>
      <c r="S13">
        <v>0</v>
      </c>
      <c r="T13">
        <v>27</v>
      </c>
      <c r="U13" s="16">
        <v>-100337454345</v>
      </c>
      <c r="V13" s="17">
        <f t="shared" si="3"/>
        <v>-479279931345</v>
      </c>
    </row>
    <row r="14" spans="2:22" x14ac:dyDescent="0.2">
      <c r="B14" s="29">
        <v>45315</v>
      </c>
      <c r="C14" s="35">
        <v>-3.8E-3</v>
      </c>
      <c r="D14" s="35">
        <f t="shared" si="0"/>
        <v>3.7600000000000001E-2</v>
      </c>
      <c r="H14" s="35">
        <v>-3.7000000000000002E-3</v>
      </c>
      <c r="I14" s="35">
        <f t="shared" si="1"/>
        <v>4.1999999999999996E-2</v>
      </c>
      <c r="M14">
        <v>62</v>
      </c>
      <c r="N14">
        <v>4</v>
      </c>
      <c r="O14">
        <v>78</v>
      </c>
      <c r="P14" s="16">
        <v>153335591842</v>
      </c>
      <c r="Q14" s="16">
        <f t="shared" si="2"/>
        <v>505772833964</v>
      </c>
      <c r="R14">
        <v>37</v>
      </c>
      <c r="S14">
        <v>0</v>
      </c>
      <c r="T14">
        <v>71</v>
      </c>
      <c r="U14" s="16">
        <v>-60937057000</v>
      </c>
      <c r="V14" s="17">
        <f t="shared" si="3"/>
        <v>-378942477000</v>
      </c>
    </row>
    <row r="15" spans="2:22" x14ac:dyDescent="0.2">
      <c r="B15" s="29">
        <v>45314</v>
      </c>
      <c r="C15" s="35">
        <v>-4.4999999999999997E-3</v>
      </c>
      <c r="D15" s="35">
        <f t="shared" si="0"/>
        <v>4.1399999999999999E-2</v>
      </c>
      <c r="H15" s="35">
        <v>-4.7999999999999996E-3</v>
      </c>
      <c r="I15" s="35">
        <f t="shared" si="1"/>
        <v>4.5699999999999998E-2</v>
      </c>
      <c r="M15">
        <v>65</v>
      </c>
      <c r="N15">
        <v>2</v>
      </c>
      <c r="O15">
        <v>71</v>
      </c>
      <c r="P15" s="16">
        <v>249996770975</v>
      </c>
      <c r="Q15" s="16">
        <f t="shared" si="2"/>
        <v>352437242122</v>
      </c>
      <c r="R15">
        <v>21</v>
      </c>
      <c r="S15">
        <v>0</v>
      </c>
      <c r="T15">
        <v>85</v>
      </c>
      <c r="U15" s="16">
        <v>-926262619000</v>
      </c>
      <c r="V15" s="17">
        <f t="shared" si="3"/>
        <v>-318005420000</v>
      </c>
    </row>
    <row r="16" spans="2:22" x14ac:dyDescent="0.2">
      <c r="B16" s="29">
        <v>45313</v>
      </c>
      <c r="C16" s="35">
        <v>1.1999999999999999E-3</v>
      </c>
      <c r="D16" s="35">
        <f t="shared" si="0"/>
        <v>4.5899999999999996E-2</v>
      </c>
      <c r="H16" s="35">
        <v>3.7000000000000002E-3</v>
      </c>
      <c r="I16" s="35">
        <f t="shared" si="1"/>
        <v>5.0499999999999996E-2</v>
      </c>
      <c r="M16">
        <v>75</v>
      </c>
      <c r="N16">
        <v>0</v>
      </c>
      <c r="O16">
        <v>66</v>
      </c>
      <c r="P16" s="16">
        <v>502684290838</v>
      </c>
      <c r="Q16" s="16">
        <f t="shared" si="2"/>
        <v>102440471147</v>
      </c>
      <c r="R16">
        <v>88</v>
      </c>
      <c r="S16">
        <v>0</v>
      </c>
      <c r="T16">
        <v>19</v>
      </c>
      <c r="U16" s="16">
        <v>466385605000</v>
      </c>
      <c r="V16" s="17">
        <f t="shared" si="3"/>
        <v>608257199000</v>
      </c>
    </row>
    <row r="17" spans="2:22" x14ac:dyDescent="0.2">
      <c r="B17" s="29">
        <v>45310</v>
      </c>
      <c r="C17" s="35">
        <v>1.06E-2</v>
      </c>
      <c r="D17" s="35">
        <f t="shared" si="0"/>
        <v>4.4699999999999997E-2</v>
      </c>
      <c r="H17" s="35">
        <v>9.5999999999999992E-3</v>
      </c>
      <c r="I17" s="35">
        <f t="shared" si="1"/>
        <v>4.6799999999999994E-2</v>
      </c>
      <c r="M17">
        <v>64</v>
      </c>
      <c r="N17">
        <v>1</v>
      </c>
      <c r="O17">
        <v>69</v>
      </c>
      <c r="P17" s="16">
        <v>187659123156</v>
      </c>
      <c r="Q17" s="16">
        <f t="shared" si="2"/>
        <v>-400243819691</v>
      </c>
      <c r="R17">
        <v>27</v>
      </c>
      <c r="S17">
        <v>0</v>
      </c>
      <c r="T17">
        <v>6</v>
      </c>
      <c r="U17" s="16">
        <v>209791725000</v>
      </c>
      <c r="V17" s="17">
        <f t="shared" si="3"/>
        <v>141871594000</v>
      </c>
    </row>
    <row r="18" spans="2:22" x14ac:dyDescent="0.2">
      <c r="B18" s="29">
        <v>45309</v>
      </c>
      <c r="C18" s="35">
        <v>5.5999999999999999E-3</v>
      </c>
      <c r="D18" s="35">
        <f t="shared" si="0"/>
        <v>3.4099999999999998E-2</v>
      </c>
      <c r="H18" s="35">
        <v>6.3E-3</v>
      </c>
      <c r="I18" s="35">
        <f t="shared" si="1"/>
        <v>3.7199999999999997E-2</v>
      </c>
      <c r="M18">
        <v>71</v>
      </c>
      <c r="N18">
        <v>2</v>
      </c>
      <c r="O18">
        <v>64</v>
      </c>
      <c r="P18" s="16">
        <v>69651700055</v>
      </c>
      <c r="Q18" s="16">
        <f t="shared" si="2"/>
        <v>-587902942847</v>
      </c>
      <c r="R18">
        <v>51</v>
      </c>
      <c r="S18">
        <v>0</v>
      </c>
      <c r="T18">
        <v>68</v>
      </c>
      <c r="U18" s="16">
        <v>472627000000</v>
      </c>
      <c r="V18" s="17">
        <f t="shared" si="3"/>
        <v>-67920131000</v>
      </c>
    </row>
    <row r="19" spans="2:22" x14ac:dyDescent="0.2">
      <c r="B19" s="29">
        <v>45308</v>
      </c>
      <c r="C19" s="35">
        <v>-5.0000000000000001E-4</v>
      </c>
      <c r="D19" s="35">
        <f t="shared" si="0"/>
        <v>2.8499999999999998E-2</v>
      </c>
      <c r="H19" s="35">
        <v>-3.0999999999999999E-3</v>
      </c>
      <c r="I19" s="35">
        <f t="shared" si="1"/>
        <v>3.0899999999999997E-2</v>
      </c>
      <c r="M19">
        <v>66</v>
      </c>
      <c r="N19">
        <v>3</v>
      </c>
      <c r="O19">
        <v>65</v>
      </c>
      <c r="P19" s="16">
        <v>191412433815</v>
      </c>
      <c r="Q19" s="16">
        <f t="shared" si="2"/>
        <v>-657554642902</v>
      </c>
      <c r="R19">
        <v>19</v>
      </c>
      <c r="S19">
        <v>0</v>
      </c>
      <c r="T19">
        <v>92</v>
      </c>
      <c r="U19" s="16">
        <v>-526950647000</v>
      </c>
      <c r="V19" s="17">
        <f t="shared" si="3"/>
        <v>-540547131000</v>
      </c>
    </row>
    <row r="20" spans="2:22" x14ac:dyDescent="0.2">
      <c r="B20" s="29">
        <v>45307</v>
      </c>
      <c r="C20" s="35">
        <v>7.7999999999999996E-3</v>
      </c>
      <c r="D20" s="35">
        <f t="shared" si="0"/>
        <v>2.8999999999999998E-2</v>
      </c>
      <c r="H20" s="35">
        <v>7.7000000000000002E-3</v>
      </c>
      <c r="I20" s="35">
        <f t="shared" si="1"/>
        <v>3.3999999999999996E-2</v>
      </c>
      <c r="M20">
        <v>63</v>
      </c>
      <c r="N20">
        <v>2</v>
      </c>
      <c r="O20">
        <v>63</v>
      </c>
      <c r="P20" s="16">
        <v>52772819266</v>
      </c>
      <c r="Q20" s="16">
        <f t="shared" si="2"/>
        <v>-848967076717</v>
      </c>
      <c r="R20">
        <v>36</v>
      </c>
      <c r="S20">
        <v>0</v>
      </c>
      <c r="T20">
        <v>29</v>
      </c>
      <c r="U20" s="16">
        <v>46573173000</v>
      </c>
      <c r="V20" s="17">
        <f t="shared" si="3"/>
        <v>-13596484000</v>
      </c>
    </row>
    <row r="21" spans="2:22" x14ac:dyDescent="0.2">
      <c r="B21" s="29">
        <v>45306</v>
      </c>
      <c r="C21" s="35">
        <v>-5.0000000000000001E-4</v>
      </c>
      <c r="D21" s="35">
        <f t="shared" si="0"/>
        <v>2.12E-2</v>
      </c>
      <c r="H21" s="35">
        <v>-2E-3</v>
      </c>
      <c r="I21" s="35">
        <f t="shared" si="1"/>
        <v>2.6299999999999997E-2</v>
      </c>
      <c r="M21">
        <v>56</v>
      </c>
      <c r="N21">
        <v>2</v>
      </c>
      <c r="O21">
        <v>71</v>
      </c>
      <c r="P21" s="16">
        <v>24392645189</v>
      </c>
      <c r="Q21" s="16">
        <f t="shared" si="2"/>
        <v>-901739895983</v>
      </c>
      <c r="R21">
        <v>36</v>
      </c>
      <c r="S21">
        <v>0</v>
      </c>
      <c r="T21">
        <v>16</v>
      </c>
      <c r="U21" s="16">
        <v>219533725000</v>
      </c>
      <c r="V21" s="17">
        <f t="shared" si="3"/>
        <v>-60169657000</v>
      </c>
    </row>
    <row r="22" spans="2:22" x14ac:dyDescent="0.2">
      <c r="B22" s="36">
        <v>45303</v>
      </c>
      <c r="C22" s="35">
        <v>-6.4999999999999997E-3</v>
      </c>
      <c r="D22" s="35">
        <f t="shared" si="0"/>
        <v>2.1700000000000001E-2</v>
      </c>
      <c r="H22" s="35">
        <v>1E-4</v>
      </c>
      <c r="I22" s="35">
        <f t="shared" si="1"/>
        <v>2.8299999999999999E-2</v>
      </c>
      <c r="M22">
        <v>68</v>
      </c>
      <c r="N22">
        <v>5</v>
      </c>
      <c r="O22">
        <v>61</v>
      </c>
      <c r="P22" s="16">
        <v>-51248750301</v>
      </c>
      <c r="Q22" s="16">
        <f t="shared" si="2"/>
        <v>-926132541172</v>
      </c>
      <c r="R22">
        <v>30</v>
      </c>
      <c r="S22">
        <v>0</v>
      </c>
      <c r="T22">
        <v>81</v>
      </c>
      <c r="U22" s="16">
        <v>-384937181000</v>
      </c>
      <c r="V22" s="17">
        <f t="shared" si="3"/>
        <v>-279703382000</v>
      </c>
    </row>
    <row r="23" spans="2:22" x14ac:dyDescent="0.2">
      <c r="B23" s="36">
        <v>45302</v>
      </c>
      <c r="C23" s="35">
        <v>5.9999999999999995E-4</v>
      </c>
      <c r="D23" s="35">
        <f t="shared" si="0"/>
        <v>2.8199999999999999E-2</v>
      </c>
      <c r="H23" s="35">
        <v>8.0000000000000004E-4</v>
      </c>
      <c r="I23" s="35">
        <f t="shared" si="1"/>
        <v>2.8199999999999999E-2</v>
      </c>
      <c r="M23">
        <v>66</v>
      </c>
      <c r="N23">
        <v>2</v>
      </c>
      <c r="O23">
        <v>62</v>
      </c>
      <c r="P23" s="16">
        <v>104027723444</v>
      </c>
      <c r="Q23" s="16">
        <f t="shared" si="2"/>
        <v>-874883790871</v>
      </c>
      <c r="R23">
        <v>19</v>
      </c>
      <c r="S23">
        <v>0</v>
      </c>
      <c r="T23">
        <v>5</v>
      </c>
      <c r="U23" s="16">
        <v>-134937700000</v>
      </c>
      <c r="V23" s="17">
        <f t="shared" si="3"/>
        <v>105233799000</v>
      </c>
    </row>
    <row r="24" spans="2:22" x14ac:dyDescent="0.2">
      <c r="B24" s="36">
        <v>45301</v>
      </c>
      <c r="C24" s="35">
        <v>2.5000000000000001E-3</v>
      </c>
      <c r="D24" s="35">
        <f t="shared" si="0"/>
        <v>2.76E-2</v>
      </c>
      <c r="H24" s="35">
        <v>2.0999999999999999E-3</v>
      </c>
      <c r="I24" s="35">
        <f t="shared" si="1"/>
        <v>2.7400000000000001E-2</v>
      </c>
      <c r="M24">
        <v>74</v>
      </c>
      <c r="N24">
        <v>2</v>
      </c>
      <c r="O24">
        <v>62</v>
      </c>
      <c r="P24" s="16">
        <v>-199155060394</v>
      </c>
      <c r="Q24" s="16">
        <f t="shared" si="2"/>
        <v>-978911514315</v>
      </c>
      <c r="R24">
        <v>12</v>
      </c>
      <c r="S24">
        <v>0</v>
      </c>
      <c r="T24">
        <v>19</v>
      </c>
      <c r="U24" s="16">
        <v>-198205025000</v>
      </c>
      <c r="V24" s="17">
        <f t="shared" si="3"/>
        <v>240171499000</v>
      </c>
    </row>
    <row r="25" spans="2:22" x14ac:dyDescent="0.2">
      <c r="B25" s="36">
        <v>45300</v>
      </c>
      <c r="C25" s="35">
        <v>-1.4E-3</v>
      </c>
      <c r="D25" s="35">
        <f t="shared" si="0"/>
        <v>2.5100000000000001E-2</v>
      </c>
      <c r="H25" s="35">
        <v>-2.8E-3</v>
      </c>
      <c r="I25" s="35">
        <f t="shared" si="1"/>
        <v>2.53E-2</v>
      </c>
      <c r="M25">
        <v>74</v>
      </c>
      <c r="N25">
        <v>3</v>
      </c>
      <c r="O25">
        <v>60</v>
      </c>
      <c r="P25" s="16">
        <v>-106567673803</v>
      </c>
      <c r="Q25" s="16">
        <f t="shared" si="2"/>
        <v>-779756453921</v>
      </c>
      <c r="R25">
        <v>19</v>
      </c>
      <c r="S25">
        <v>0</v>
      </c>
      <c r="T25">
        <v>9</v>
      </c>
      <c r="U25" s="16">
        <v>80559826000</v>
      </c>
      <c r="V25" s="17">
        <f t="shared" si="3"/>
        <v>438376524000</v>
      </c>
    </row>
    <row r="26" spans="2:22" x14ac:dyDescent="0.2">
      <c r="B26" s="36">
        <v>45299</v>
      </c>
      <c r="C26" s="35">
        <v>4.7999999999999996E-3</v>
      </c>
      <c r="D26" s="35">
        <f t="shared" si="0"/>
        <v>2.6499999999999999E-2</v>
      </c>
      <c r="H26" s="35">
        <v>2E-3</v>
      </c>
      <c r="I26" s="35">
        <f t="shared" si="1"/>
        <v>2.81E-2</v>
      </c>
      <c r="M26">
        <v>66</v>
      </c>
      <c r="N26">
        <v>2</v>
      </c>
      <c r="O26">
        <v>66</v>
      </c>
      <c r="P26" s="16">
        <v>-204815712671</v>
      </c>
      <c r="Q26" s="16">
        <f t="shared" si="2"/>
        <v>-673188780118</v>
      </c>
      <c r="R26">
        <v>16</v>
      </c>
      <c r="S26">
        <v>0</v>
      </c>
      <c r="T26">
        <v>8</v>
      </c>
      <c r="U26" s="16">
        <v>81748371000</v>
      </c>
      <c r="V26" s="17">
        <f t="shared" si="3"/>
        <v>357816698000</v>
      </c>
    </row>
    <row r="27" spans="2:22" x14ac:dyDescent="0.2">
      <c r="B27" s="36">
        <v>45296</v>
      </c>
      <c r="C27" s="35">
        <v>3.3999999999999998E-3</v>
      </c>
      <c r="D27" s="35">
        <f t="shared" si="0"/>
        <v>2.1700000000000001E-2</v>
      </c>
      <c r="H27" s="35">
        <v>4.1000000000000003E-3</v>
      </c>
      <c r="I27" s="35">
        <f t="shared" si="1"/>
        <v>2.6099999999999998E-2</v>
      </c>
      <c r="M27">
        <v>42</v>
      </c>
      <c r="N27">
        <v>2</v>
      </c>
      <c r="O27">
        <v>67</v>
      </c>
      <c r="P27" s="16">
        <v>-321896722031</v>
      </c>
      <c r="Q27" s="16">
        <f t="shared" si="2"/>
        <v>-468373067447</v>
      </c>
      <c r="R27">
        <v>22</v>
      </c>
      <c r="S27">
        <v>0</v>
      </c>
      <c r="T27">
        <v>7</v>
      </c>
      <c r="U27" s="16">
        <v>93428911000</v>
      </c>
      <c r="V27" s="17">
        <f t="shared" si="3"/>
        <v>276068327000</v>
      </c>
    </row>
    <row r="28" spans="2:22" x14ac:dyDescent="0.2">
      <c r="B28" s="36">
        <v>45295</v>
      </c>
      <c r="C28" s="35">
        <v>5.7000000000000002E-3</v>
      </c>
      <c r="D28" s="35">
        <f t="shared" si="0"/>
        <v>1.83E-2</v>
      </c>
      <c r="H28" s="35">
        <v>1.01E-2</v>
      </c>
      <c r="I28" s="35">
        <f t="shared" si="1"/>
        <v>2.1999999999999999E-2</v>
      </c>
      <c r="M28">
        <v>53</v>
      </c>
      <c r="N28">
        <v>1</v>
      </c>
      <c r="O28">
        <v>56</v>
      </c>
      <c r="P28" s="16">
        <v>14473737182</v>
      </c>
      <c r="Q28" s="16">
        <f t="shared" si="2"/>
        <v>-146476345416</v>
      </c>
      <c r="R28">
        <v>31</v>
      </c>
      <c r="S28">
        <v>0</v>
      </c>
      <c r="T28">
        <v>4</v>
      </c>
      <c r="U28" s="16">
        <v>543935814000</v>
      </c>
      <c r="V28" s="17">
        <f t="shared" si="3"/>
        <v>182639416000</v>
      </c>
    </row>
    <row r="29" spans="2:22" x14ac:dyDescent="0.2">
      <c r="B29" s="36">
        <v>45294</v>
      </c>
      <c r="C29" s="35">
        <v>1.0999999999999999E-2</v>
      </c>
      <c r="D29" s="35">
        <f>C29+D30</f>
        <v>1.26E-2</v>
      </c>
      <c r="H29" s="35">
        <v>1.17E-2</v>
      </c>
      <c r="I29" s="35">
        <f>H29+I30</f>
        <v>1.1900000000000001E-2</v>
      </c>
      <c r="M29">
        <v>42</v>
      </c>
      <c r="N29">
        <v>4</v>
      </c>
      <c r="O29">
        <v>65</v>
      </c>
      <c r="P29" s="16">
        <v>3414941691</v>
      </c>
      <c r="Q29" s="16">
        <f>P29+Q30</f>
        <v>-160950082598</v>
      </c>
      <c r="R29">
        <v>9</v>
      </c>
      <c r="S29">
        <v>0</v>
      </c>
      <c r="T29">
        <v>16</v>
      </c>
      <c r="U29" s="16">
        <v>-317844600000</v>
      </c>
      <c r="V29" s="17">
        <f>U29+V30</f>
        <v>-361296398000</v>
      </c>
    </row>
    <row r="30" spans="2:22" x14ac:dyDescent="0.2">
      <c r="B30" s="36">
        <v>45293</v>
      </c>
      <c r="C30" s="35">
        <v>1.6000000000000001E-3</v>
      </c>
      <c r="D30" s="35">
        <f>C30</f>
        <v>1.6000000000000001E-3</v>
      </c>
      <c r="H30" s="35">
        <v>2.0000000000000001E-4</v>
      </c>
      <c r="I30" s="35">
        <f>H30</f>
        <v>2.0000000000000001E-4</v>
      </c>
      <c r="M30">
        <v>54</v>
      </c>
      <c r="N30">
        <v>0</v>
      </c>
      <c r="O30">
        <v>57</v>
      </c>
      <c r="P30" s="16">
        <v>-164365024289</v>
      </c>
      <c r="Q30" s="16">
        <f>P30</f>
        <v>-164365024289</v>
      </c>
      <c r="R30">
        <v>14</v>
      </c>
      <c r="S30">
        <v>0</v>
      </c>
      <c r="T30">
        <v>17</v>
      </c>
      <c r="U30" s="16">
        <v>-43451798000</v>
      </c>
      <c r="V30" s="17">
        <f>U30</f>
        <v>-43451798000</v>
      </c>
    </row>
    <row r="31" spans="2:22" x14ac:dyDescent="0.2">
      <c r="P31" s="16"/>
      <c r="Q31" s="16"/>
      <c r="U31" s="16"/>
    </row>
    <row r="37" spans="2:2" x14ac:dyDescent="0.2">
      <c r="B37" s="36"/>
    </row>
    <row r="38" spans="2:2" x14ac:dyDescent="0.2">
      <c r="B38" s="36"/>
    </row>
    <row r="39" spans="2:2" x14ac:dyDescent="0.2">
      <c r="B39" s="36"/>
    </row>
    <row r="40" spans="2:2" x14ac:dyDescent="0.2">
      <c r="B40" s="36"/>
    </row>
    <row r="41" spans="2:2" x14ac:dyDescent="0.2">
      <c r="B41" s="36"/>
    </row>
    <row r="42" spans="2:2" x14ac:dyDescent="0.2">
      <c r="B42" s="36"/>
    </row>
    <row r="43" spans="2:2" x14ac:dyDescent="0.2">
      <c r="B43" s="36"/>
    </row>
    <row r="44" spans="2:2" x14ac:dyDescent="0.2">
      <c r="B44" s="36"/>
    </row>
    <row r="45" spans="2:2" x14ac:dyDescent="0.2">
      <c r="B45" s="36"/>
    </row>
    <row r="46" spans="2:2" x14ac:dyDescent="0.2">
      <c r="B46" s="36"/>
    </row>
  </sheetData>
  <mergeCells count="4">
    <mergeCell ref="C2:G2"/>
    <mergeCell ref="H2:L2"/>
    <mergeCell ref="M2:Q2"/>
    <mergeCell ref="R2:V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T2-2024</vt:lpstr>
      <vt:lpstr>T1-2024</vt:lpstr>
      <vt:lpstr>2024</vt:lpstr>
      <vt:lpstr>Template</vt:lpstr>
      <vt:lpstr>Intraday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2024-02-08T03:04:46Z</dcterms:created>
  <dcterms:modified xsi:type="dcterms:W3CDTF">2024-02-15T11:29:52Z</dcterms:modified>
</cp:coreProperties>
</file>