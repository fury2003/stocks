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9D6ACAD9-A0EC-0F4B-9EE5-E0BA7EC11E56}" xr6:coauthVersionLast="47" xr6:coauthVersionMax="47" xr10:uidLastSave="{00000000-0000-0000-0000-000000000000}"/>
  <bookViews>
    <workbookView xWindow="0" yWindow="760" windowWidth="30240" windowHeight="17140" activeTab="4" xr2:uid="{4F6761C8-C7AD-6642-9EED-09E5A9408C33}"/>
  </bookViews>
  <sheets>
    <sheet name="T2-2024" sheetId="10" r:id="rId1"/>
    <sheet name="T1-2024" sheetId="7" r:id="rId2"/>
    <sheet name="2024" sheetId="12" r:id="rId3"/>
    <sheet name="Template" sheetId="13" r:id="rId4"/>
    <sheet name="Intraday" sheetId="1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7" i="13" l="1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7" i="10"/>
  <c r="T38" i="10" s="1"/>
  <c r="S37" i="10"/>
  <c r="S38" i="10" s="1"/>
  <c r="R37" i="10"/>
  <c r="R38" i="10" s="1"/>
  <c r="Q37" i="10"/>
  <c r="Q38" i="10" s="1"/>
  <c r="P37" i="10"/>
  <c r="P38" i="10" s="1"/>
  <c r="O37" i="10"/>
  <c r="O38" i="10" s="1"/>
  <c r="N37" i="10"/>
  <c r="N38" i="10" s="1"/>
  <c r="M37" i="10"/>
  <c r="M38" i="10" s="1"/>
  <c r="L37" i="10"/>
  <c r="L38" i="10" s="1"/>
  <c r="K37" i="10"/>
  <c r="K38" i="10" s="1"/>
  <c r="J37" i="10"/>
  <c r="J38" i="10" s="1"/>
  <c r="I37" i="10"/>
  <c r="I38" i="10" s="1"/>
  <c r="H37" i="10"/>
  <c r="H38" i="10" s="1"/>
  <c r="G37" i="10"/>
  <c r="G38" i="10" s="1"/>
  <c r="F37" i="10"/>
  <c r="F38" i="10" s="1"/>
  <c r="E37" i="10"/>
  <c r="E38" i="10" s="1"/>
  <c r="D37" i="10"/>
  <c r="D38" i="10" s="1"/>
  <c r="C37" i="10"/>
  <c r="C38" i="10" s="1"/>
  <c r="B37" i="10"/>
  <c r="B38" i="10" s="1"/>
  <c r="A37" i="10"/>
  <c r="A38" i="10" s="1"/>
  <c r="T31" i="10"/>
  <c r="T32" i="10" s="1"/>
  <c r="S31" i="10"/>
  <c r="S32" i="10" s="1"/>
  <c r="R31" i="10"/>
  <c r="R32" i="10" s="1"/>
  <c r="Q31" i="10"/>
  <c r="Q32" i="10" s="1"/>
  <c r="P31" i="10"/>
  <c r="P32" i="10" s="1"/>
  <c r="O31" i="10"/>
  <c r="O32" i="10" s="1"/>
  <c r="N31" i="10"/>
  <c r="N32" i="10" s="1"/>
  <c r="M31" i="10"/>
  <c r="M32" i="10" s="1"/>
  <c r="L31" i="10"/>
  <c r="L32" i="10" s="1"/>
  <c r="K31" i="10"/>
  <c r="K32" i="10" s="1"/>
  <c r="J31" i="10"/>
  <c r="J32" i="10" s="1"/>
  <c r="I31" i="10"/>
  <c r="I32" i="10" s="1"/>
  <c r="H31" i="10"/>
  <c r="H32" i="10" s="1"/>
  <c r="G31" i="10"/>
  <c r="G32" i="10" s="1"/>
  <c r="F31" i="10"/>
  <c r="F32" i="10" s="1"/>
  <c r="E31" i="10"/>
  <c r="E32" i="10" s="1"/>
  <c r="D31" i="10"/>
  <c r="D32" i="10" s="1"/>
  <c r="C31" i="10"/>
  <c r="C32" i="10" s="1"/>
  <c r="B31" i="10"/>
  <c r="B32" i="10" s="1"/>
  <c r="A31" i="10"/>
  <c r="A32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9" i="7"/>
  <c r="F14" i="7" l="1"/>
  <c r="F15" i="7" s="1"/>
  <c r="C14" i="7"/>
  <c r="C15" i="7" s="1"/>
  <c r="B4" i="12"/>
  <c r="T39" i="7"/>
  <c r="T40" i="7" s="1"/>
  <c r="S39" i="7"/>
  <c r="S40" i="7" s="1"/>
  <c r="R39" i="7"/>
  <c r="R40" i="7" s="1"/>
  <c r="Q39" i="7"/>
  <c r="Q40" i="7" s="1"/>
  <c r="P39" i="7"/>
  <c r="P40" i="7" s="1"/>
  <c r="O39" i="7"/>
  <c r="O40" i="7" s="1"/>
  <c r="N39" i="7"/>
  <c r="N40" i="7" s="1"/>
  <c r="M39" i="7"/>
  <c r="M40" i="7" s="1"/>
  <c r="L39" i="7"/>
  <c r="L40" i="7" s="1"/>
  <c r="K39" i="7"/>
  <c r="K40" i="7" s="1"/>
  <c r="J40" i="7"/>
  <c r="I39" i="7"/>
  <c r="I40" i="7" s="1"/>
  <c r="H39" i="7"/>
  <c r="H40" i="7" s="1"/>
  <c r="G39" i="7"/>
  <c r="G40" i="7" s="1"/>
  <c r="F39" i="7"/>
  <c r="F40" i="7" s="1"/>
  <c r="E39" i="7"/>
  <c r="E40" i="7" s="1"/>
  <c r="D39" i="7"/>
  <c r="D40" i="7" s="1"/>
  <c r="C39" i="7"/>
  <c r="C40" i="7" s="1"/>
  <c r="B39" i="7"/>
  <c r="B40" i="7" s="1"/>
  <c r="A39" i="7"/>
  <c r="A40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3" i="7"/>
  <c r="T34" i="7" s="1"/>
  <c r="S33" i="7"/>
  <c r="S34" i="7" s="1"/>
  <c r="R33" i="7"/>
  <c r="R34" i="7" s="1"/>
  <c r="Q33" i="7"/>
  <c r="Q34" i="7" s="1"/>
  <c r="P33" i="7"/>
  <c r="P34" i="7" s="1"/>
  <c r="O33" i="7"/>
  <c r="O34" i="7" s="1"/>
  <c r="N33" i="7"/>
  <c r="N34" i="7" s="1"/>
  <c r="M33" i="7"/>
  <c r="M34" i="7" s="1"/>
  <c r="L33" i="7"/>
  <c r="L34" i="7" s="1"/>
  <c r="K33" i="7"/>
  <c r="K34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3" i="7"/>
  <c r="J34" i="7" s="1"/>
  <c r="I33" i="7"/>
  <c r="I34" i="7" s="1"/>
  <c r="H33" i="7"/>
  <c r="H34" i="7" s="1"/>
  <c r="G33" i="7"/>
  <c r="G34" i="7" s="1"/>
  <c r="F33" i="7"/>
  <c r="F34" i="7" s="1"/>
  <c r="E33" i="7"/>
  <c r="E34" i="7" s="1"/>
  <c r="D33" i="7"/>
  <c r="D34" i="7" s="1"/>
  <c r="C33" i="7"/>
  <c r="C34" i="7" s="1"/>
  <c r="B33" i="7"/>
  <c r="B34" i="7" s="1"/>
  <c r="A33" i="7"/>
  <c r="A34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B3" i="12"/>
  <c r="U31" i="1"/>
  <c r="P31" i="1"/>
  <c r="H31" i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H3" i="1" s="1"/>
  <c r="C31" i="1"/>
  <c r="C30" i="1" s="1"/>
  <c r="C29" i="1" s="1"/>
  <c r="C28" i="1" s="1"/>
  <c r="C27" i="1" s="1"/>
  <c r="C26" i="1" s="1"/>
  <c r="C25" i="1" s="1"/>
  <c r="C24" i="1" s="1"/>
  <c r="C23" i="1" s="1"/>
  <c r="C22" i="1" s="1"/>
  <c r="C21" i="1" s="1"/>
  <c r="C20" i="1" s="1"/>
  <c r="C19" i="1" s="1"/>
  <c r="C18" i="1" s="1"/>
  <c r="C17" i="1" s="1"/>
  <c r="C16" i="1" s="1"/>
  <c r="C15" i="1" s="1"/>
  <c r="C14" i="1" s="1"/>
  <c r="C13" i="1" s="1"/>
  <c r="C12" i="1" s="1"/>
  <c r="C11" i="1" s="1"/>
  <c r="C10" i="1" s="1"/>
  <c r="C9" i="1" s="1"/>
  <c r="C8" i="1" s="1"/>
  <c r="C7" i="1" s="1"/>
  <c r="C6" i="1" s="1"/>
  <c r="C5" i="1" s="1"/>
  <c r="C4" i="1" s="1"/>
  <c r="C3" i="1" s="1"/>
  <c r="U30" i="1"/>
  <c r="U29" i="1" s="1"/>
  <c r="U28" i="1" s="1"/>
  <c r="U27" i="1" s="1"/>
  <c r="U26" i="1" s="1"/>
  <c r="U25" i="1" s="1"/>
  <c r="U24" i="1" s="1"/>
  <c r="U23" i="1" s="1"/>
  <c r="U22" i="1" s="1"/>
  <c r="U21" i="1" s="1"/>
  <c r="U20" i="1" s="1"/>
  <c r="U19" i="1" s="1"/>
  <c r="U18" i="1" s="1"/>
  <c r="U17" i="1" s="1"/>
  <c r="U16" i="1" s="1"/>
  <c r="U15" i="1" s="1"/>
  <c r="U14" i="1" s="1"/>
  <c r="U13" i="1" s="1"/>
  <c r="U12" i="1" s="1"/>
  <c r="U11" i="1" s="1"/>
  <c r="U10" i="1" s="1"/>
  <c r="U9" i="1" s="1"/>
  <c r="U8" i="1" s="1"/>
  <c r="U7" i="1" s="1"/>
  <c r="U6" i="1" s="1"/>
  <c r="U5" i="1" s="1"/>
  <c r="U4" i="1" s="1"/>
  <c r="U3" i="1" s="1"/>
  <c r="P30" i="1"/>
  <c r="P29" i="1" s="1"/>
  <c r="P28" i="1" s="1"/>
  <c r="P27" i="1" s="1"/>
  <c r="P26" i="1" s="1"/>
  <c r="P25" i="1" s="1"/>
  <c r="P24" i="1" s="1"/>
  <c r="P23" i="1" s="1"/>
  <c r="P22" i="1" s="1"/>
  <c r="P21" i="1" s="1"/>
  <c r="P20" i="1" s="1"/>
  <c r="P19" i="1" s="1"/>
  <c r="P18" i="1" s="1"/>
  <c r="P17" i="1" s="1"/>
  <c r="P16" i="1" s="1"/>
  <c r="P15" i="1" s="1"/>
  <c r="P14" i="1" s="1"/>
  <c r="P13" i="1" s="1"/>
  <c r="P12" i="1" s="1"/>
  <c r="P11" i="1" s="1"/>
  <c r="P10" i="1" s="1"/>
  <c r="P9" i="1" s="1"/>
  <c r="P8" i="1" s="1"/>
  <c r="P7" i="1" s="1"/>
  <c r="P6" i="1" s="1"/>
  <c r="P5" i="1" s="1"/>
  <c r="P4" i="1" s="1"/>
  <c r="P3" i="1" s="1"/>
</calcChain>
</file>

<file path=xl/sharedStrings.xml><?xml version="1.0" encoding="utf-8"?>
<sst xmlns="http://schemas.openxmlformats.org/spreadsheetml/2006/main" count="263" uniqueCount="139">
  <si>
    <t>VNINDEX</t>
  </si>
  <si>
    <t>SLCP tăng</t>
  </si>
  <si>
    <t>SLCP ko đổi</t>
  </si>
  <si>
    <t>SLCP giảm</t>
  </si>
  <si>
    <t>VN30</t>
  </si>
  <si>
    <t>SSI</t>
  </si>
  <si>
    <t>VND</t>
  </si>
  <si>
    <t>BSI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</si>
  <si>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</si>
  <si>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</si>
  <si>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</si>
  <si>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</si>
  <si>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</si>
  <si>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</si>
  <si>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</si>
  <si>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</si>
  <si>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</si>
  <si>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</si>
  <si>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</si>
  <si>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</si>
  <si>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</si>
  <si>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</si>
  <si>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</si>
  <si>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</si>
  <si>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</si>
  <si>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</si>
  <si>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</si>
  <si>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</si>
  <si>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</si>
  <si>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</si>
  <si>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</si>
  <si>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</si>
  <si>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</si>
  <si>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</si>
  <si>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</si>
  <si>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</si>
  <si>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</si>
  <si>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</si>
  <si>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</si>
  <si>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</si>
  <si>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</si>
  <si>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</si>
  <si>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</si>
  <si>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</si>
  <si>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</si>
  <si>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</si>
  <si>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</si>
  <si>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</si>
  <si>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</si>
  <si>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</si>
  <si>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</si>
  <si>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</si>
  <si>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</si>
  <si>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</si>
  <si>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</si>
  <si>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</si>
  <si>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</si>
  <si>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</si>
  <si>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</si>
  <si>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</si>
  <si>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</si>
  <si>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</si>
  <si>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</si>
  <si>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</si>
  <si>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</si>
  <si>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</si>
  <si>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</si>
  <si>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</si>
  <si>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</si>
  <si>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</si>
  <si>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</si>
  <si>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</si>
  <si>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</si>
  <si>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</si>
  <si>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</si>
  <si>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</si>
  <si>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</si>
  <si>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</si>
  <si>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</si>
  <si>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</si>
  <si>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</si>
  <si>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</si>
  <si>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</si>
  <si>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</si>
  <si>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</si>
  <si>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</si>
  <si>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</si>
  <si>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</si>
  <si>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</si>
  <si>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</si>
  <si>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</si>
  <si>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</si>
  <si>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</si>
  <si>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</si>
  <si>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</si>
  <si>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</si>
  <si>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</si>
  <si>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</si>
  <si>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</si>
  <si>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</si>
  <si>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</si>
  <si>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</si>
  <si>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</si>
  <si>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</si>
  <si>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SIP</t>
  </si>
  <si>
    <t>DRC</t>
  </si>
  <si>
    <t>LAS</t>
  </si>
  <si>
    <t>GIL</t>
  </si>
  <si>
    <t>NTL</t>
  </si>
  <si>
    <t>HBC</t>
  </si>
  <si>
    <t>DDV</t>
  </si>
  <si>
    <t>NTP</t>
  </si>
  <si>
    <t>KSB</t>
  </si>
  <si>
    <t>DTD</t>
  </si>
  <si>
    <t>Top 20 Nước Ngoài mua</t>
  </si>
  <si>
    <t>Top 20 Tự Doanh mua</t>
  </si>
  <si>
    <t>Top 20 Giảm Giá</t>
  </si>
  <si>
    <t>Top 20 Tăng Giá</t>
  </si>
  <si>
    <t>PSH</t>
  </si>
  <si>
    <t>PET</t>
  </si>
  <si>
    <t>BCG</t>
  </si>
  <si>
    <t>EVE</t>
  </si>
  <si>
    <t>VGS</t>
  </si>
  <si>
    <t>LDG</t>
  </si>
  <si>
    <t>PTB</t>
  </si>
  <si>
    <t>NHA</t>
  </si>
  <si>
    <t>HQC</t>
  </si>
  <si>
    <t>HDC</t>
  </si>
  <si>
    <t>EVF</t>
  </si>
  <si>
    <t>SCR</t>
  </si>
  <si>
    <t>KBC</t>
  </si>
  <si>
    <t>ITA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</si>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</sst>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6" fontId="0" fillId="0" borderId="0" xfId="0" applyNumberFormat="1"/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0" fontId="1" fillId="1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Intraday!$O$1:$O$2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Intraday!$O$3:$O$30</c:f>
              <c:numCache>
                <c:formatCode>#,##0</c:formatCode>
                <c:ptCount val="28"/>
                <c:pt idx="0">
                  <c:v>-442481451217</c:v>
                </c:pt>
                <c:pt idx="1">
                  <c:v>-389907696192</c:v>
                </c:pt>
                <c:pt idx="2">
                  <c:v>-20426078171</c:v>
                </c:pt>
                <c:pt idx="3">
                  <c:v>-454044753347</c:v>
                </c:pt>
                <c:pt idx="4">
                  <c:v>-47724190106</c:v>
                </c:pt>
                <c:pt idx="5">
                  <c:v>-235298007611</c:v>
                </c:pt>
                <c:pt idx="6">
                  <c:v>167317808902</c:v>
                </c:pt>
                <c:pt idx="7">
                  <c:v>39184647355</c:v>
                </c:pt>
                <c:pt idx="8">
                  <c:v>396711927017</c:v>
                </c:pt>
                <c:pt idx="9">
                  <c:v>-137908844181</c:v>
                </c:pt>
                <c:pt idx="10">
                  <c:v>361099360028</c:v>
                </c:pt>
                <c:pt idx="11">
                  <c:v>-40176974807</c:v>
                </c:pt>
                <c:pt idx="12">
                  <c:v>153335591842</c:v>
                </c:pt>
                <c:pt idx="13">
                  <c:v>249996770975</c:v>
                </c:pt>
                <c:pt idx="14">
                  <c:v>502684290838</c:v>
                </c:pt>
                <c:pt idx="15">
                  <c:v>187659123156</c:v>
                </c:pt>
                <c:pt idx="16">
                  <c:v>69651700055</c:v>
                </c:pt>
                <c:pt idx="17">
                  <c:v>191412433815</c:v>
                </c:pt>
                <c:pt idx="18">
                  <c:v>52772819266</c:v>
                </c:pt>
                <c:pt idx="19">
                  <c:v>24392645189</c:v>
                </c:pt>
                <c:pt idx="20">
                  <c:v>-51248750301</c:v>
                </c:pt>
                <c:pt idx="21">
                  <c:v>104027723444</c:v>
                </c:pt>
                <c:pt idx="22">
                  <c:v>-199155060394</c:v>
                </c:pt>
                <c:pt idx="23">
                  <c:v>-106567673803</c:v>
                </c:pt>
                <c:pt idx="24">
                  <c:v>-204815712671</c:v>
                </c:pt>
                <c:pt idx="25">
                  <c:v>-321896722031</c:v>
                </c:pt>
                <c:pt idx="26">
                  <c:v>14473737182</c:v>
                </c:pt>
                <c:pt idx="27">
                  <c:v>3414941691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Intraday!$T$1:$T$2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Intraday!$T$3:$T$30</c:f>
              <c:numCache>
                <c:formatCode>#,##0</c:formatCode>
                <c:ptCount val="28"/>
                <c:pt idx="0">
                  <c:v>-83714826000</c:v>
                </c:pt>
                <c:pt idx="1">
                  <c:v>-431362028000</c:v>
                </c:pt>
                <c:pt idx="2">
                  <c:v>55430821000</c:v>
                </c:pt>
                <c:pt idx="3">
                  <c:v>-718184911000</c:v>
                </c:pt>
                <c:pt idx="4">
                  <c:v>17971390000</c:v>
                </c:pt>
                <c:pt idx="5">
                  <c:v>499951149000</c:v>
                </c:pt>
                <c:pt idx="6">
                  <c:v>99823302000</c:v>
                </c:pt>
                <c:pt idx="7">
                  <c:v>69620718500</c:v>
                </c:pt>
                <c:pt idx="8">
                  <c:v>80613287900</c:v>
                </c:pt>
                <c:pt idx="9">
                  <c:v>80072901000</c:v>
                </c:pt>
                <c:pt idx="10">
                  <c:v>554819954000</c:v>
                </c:pt>
                <c:pt idx="11">
                  <c:v>-100337454345</c:v>
                </c:pt>
                <c:pt idx="12">
                  <c:v>-60937057000</c:v>
                </c:pt>
                <c:pt idx="13">
                  <c:v>-926262619000</c:v>
                </c:pt>
                <c:pt idx="14">
                  <c:v>466385605000</c:v>
                </c:pt>
                <c:pt idx="15">
                  <c:v>209791725000</c:v>
                </c:pt>
                <c:pt idx="16">
                  <c:v>472627000000</c:v>
                </c:pt>
                <c:pt idx="17">
                  <c:v>-526950647000</c:v>
                </c:pt>
                <c:pt idx="18">
                  <c:v>46573173000</c:v>
                </c:pt>
                <c:pt idx="19">
                  <c:v>219533725000</c:v>
                </c:pt>
                <c:pt idx="20">
                  <c:v>-384937181000</c:v>
                </c:pt>
                <c:pt idx="21">
                  <c:v>-134937700000</c:v>
                </c:pt>
                <c:pt idx="22">
                  <c:v>-198205025000</c:v>
                </c:pt>
                <c:pt idx="23">
                  <c:v>80559826000</c:v>
                </c:pt>
                <c:pt idx="24">
                  <c:v>81748371000</c:v>
                </c:pt>
                <c:pt idx="25">
                  <c:v>93428911000</c:v>
                </c:pt>
                <c:pt idx="26">
                  <c:v>543935814000</c:v>
                </c:pt>
                <c:pt idx="27">
                  <c:v>-317844600000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Intraday!$P$1:$P$2</c:f>
              <c:strCache>
                <c:ptCount val="2"/>
                <c:pt idx="0">
                  <c:v>Khối Ngoại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Intraday!$A$4:$A$30</c:f>
              <c:numCache>
                <c:formatCode>m/d/yy</c:formatCode>
                <c:ptCount val="27"/>
                <c:pt idx="0">
                  <c:v>45337</c:v>
                </c:pt>
                <c:pt idx="1">
                  <c:v>45329</c:v>
                </c:pt>
                <c:pt idx="2">
                  <c:v>45328</c:v>
                </c:pt>
                <c:pt idx="3">
                  <c:v>45327</c:v>
                </c:pt>
                <c:pt idx="4">
                  <c:v>45324</c:v>
                </c:pt>
                <c:pt idx="5">
                  <c:v>45323</c:v>
                </c:pt>
                <c:pt idx="6">
                  <c:v>45322</c:v>
                </c:pt>
                <c:pt idx="7">
                  <c:v>45321</c:v>
                </c:pt>
                <c:pt idx="8">
                  <c:v>45320</c:v>
                </c:pt>
                <c:pt idx="9">
                  <c:v>45317</c:v>
                </c:pt>
                <c:pt idx="10">
                  <c:v>45316</c:v>
                </c:pt>
                <c:pt idx="11">
                  <c:v>45315</c:v>
                </c:pt>
                <c:pt idx="12">
                  <c:v>45314</c:v>
                </c:pt>
                <c:pt idx="13">
                  <c:v>45313</c:v>
                </c:pt>
                <c:pt idx="14">
                  <c:v>45310</c:v>
                </c:pt>
                <c:pt idx="15">
                  <c:v>45309</c:v>
                </c:pt>
                <c:pt idx="16">
                  <c:v>45308</c:v>
                </c:pt>
                <c:pt idx="17">
                  <c:v>45307</c:v>
                </c:pt>
                <c:pt idx="18">
                  <c:v>45306</c:v>
                </c:pt>
                <c:pt idx="19">
                  <c:v>45303</c:v>
                </c:pt>
                <c:pt idx="20">
                  <c:v>45302</c:v>
                </c:pt>
                <c:pt idx="21">
                  <c:v>45301</c:v>
                </c:pt>
                <c:pt idx="22">
                  <c:v>45300</c:v>
                </c:pt>
                <c:pt idx="23">
                  <c:v>45299</c:v>
                </c:pt>
                <c:pt idx="24">
                  <c:v>45296</c:v>
                </c:pt>
                <c:pt idx="25">
                  <c:v>45295</c:v>
                </c:pt>
                <c:pt idx="26">
                  <c:v>45294</c:v>
                </c:pt>
              </c:numCache>
            </c:numRef>
          </c:cat>
          <c:val>
            <c:numRef>
              <c:f>Intraday!$P$3:$P$30</c:f>
              <c:numCache>
                <c:formatCode>#,##0</c:formatCode>
                <c:ptCount val="28"/>
                <c:pt idx="0">
                  <c:v>-297881418366</c:v>
                </c:pt>
                <c:pt idx="1">
                  <c:v>144600032851</c:v>
                </c:pt>
                <c:pt idx="2">
                  <c:v>534507729043</c:v>
                </c:pt>
                <c:pt idx="3">
                  <c:v>554933807214</c:v>
                </c:pt>
                <c:pt idx="4">
                  <c:v>1008978560561</c:v>
                </c:pt>
                <c:pt idx="5">
                  <c:v>1056702750667</c:v>
                </c:pt>
                <c:pt idx="6">
                  <c:v>1292000758278</c:v>
                </c:pt>
                <c:pt idx="7">
                  <c:v>1124682949376</c:v>
                </c:pt>
                <c:pt idx="8">
                  <c:v>1085498302021</c:v>
                </c:pt>
                <c:pt idx="9">
                  <c:v>688786375004</c:v>
                </c:pt>
                <c:pt idx="10">
                  <c:v>826695219185</c:v>
                </c:pt>
                <c:pt idx="11">
                  <c:v>465595859157</c:v>
                </c:pt>
                <c:pt idx="12">
                  <c:v>505772833964</c:v>
                </c:pt>
                <c:pt idx="13">
                  <c:v>352437242122</c:v>
                </c:pt>
                <c:pt idx="14">
                  <c:v>102440471147</c:v>
                </c:pt>
                <c:pt idx="15">
                  <c:v>-400243819691</c:v>
                </c:pt>
                <c:pt idx="16">
                  <c:v>-587902942847</c:v>
                </c:pt>
                <c:pt idx="17">
                  <c:v>-657554642902</c:v>
                </c:pt>
                <c:pt idx="18">
                  <c:v>-848967076717</c:v>
                </c:pt>
                <c:pt idx="19">
                  <c:v>-901739895983</c:v>
                </c:pt>
                <c:pt idx="20">
                  <c:v>-926132541172</c:v>
                </c:pt>
                <c:pt idx="21">
                  <c:v>-874883790871</c:v>
                </c:pt>
                <c:pt idx="22">
                  <c:v>-978911514315</c:v>
                </c:pt>
                <c:pt idx="23">
                  <c:v>-779756453921</c:v>
                </c:pt>
                <c:pt idx="24">
                  <c:v>-673188780118</c:v>
                </c:pt>
                <c:pt idx="25">
                  <c:v>-468373067447</c:v>
                </c:pt>
                <c:pt idx="26">
                  <c:v>-146476345416</c:v>
                </c:pt>
                <c:pt idx="27">
                  <c:v>-160950082598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Intraday!$U$1:$U$2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Intraday!$A$4:$A$30</c:f>
              <c:numCache>
                <c:formatCode>m/d/yy</c:formatCode>
                <c:ptCount val="27"/>
                <c:pt idx="0">
                  <c:v>45337</c:v>
                </c:pt>
                <c:pt idx="1">
                  <c:v>45329</c:v>
                </c:pt>
                <c:pt idx="2">
                  <c:v>45328</c:v>
                </c:pt>
                <c:pt idx="3">
                  <c:v>45327</c:v>
                </c:pt>
                <c:pt idx="4">
                  <c:v>45324</c:v>
                </c:pt>
                <c:pt idx="5">
                  <c:v>45323</c:v>
                </c:pt>
                <c:pt idx="6">
                  <c:v>45322</c:v>
                </c:pt>
                <c:pt idx="7">
                  <c:v>45321</c:v>
                </c:pt>
                <c:pt idx="8">
                  <c:v>45320</c:v>
                </c:pt>
                <c:pt idx="9">
                  <c:v>45317</c:v>
                </c:pt>
                <c:pt idx="10">
                  <c:v>45316</c:v>
                </c:pt>
                <c:pt idx="11">
                  <c:v>45315</c:v>
                </c:pt>
                <c:pt idx="12">
                  <c:v>45314</c:v>
                </c:pt>
                <c:pt idx="13">
                  <c:v>45313</c:v>
                </c:pt>
                <c:pt idx="14">
                  <c:v>45310</c:v>
                </c:pt>
                <c:pt idx="15">
                  <c:v>45309</c:v>
                </c:pt>
                <c:pt idx="16">
                  <c:v>45308</c:v>
                </c:pt>
                <c:pt idx="17">
                  <c:v>45307</c:v>
                </c:pt>
                <c:pt idx="18">
                  <c:v>45306</c:v>
                </c:pt>
                <c:pt idx="19">
                  <c:v>45303</c:v>
                </c:pt>
                <c:pt idx="20">
                  <c:v>45302</c:v>
                </c:pt>
                <c:pt idx="21">
                  <c:v>45301</c:v>
                </c:pt>
                <c:pt idx="22">
                  <c:v>45300</c:v>
                </c:pt>
                <c:pt idx="23">
                  <c:v>45299</c:v>
                </c:pt>
                <c:pt idx="24">
                  <c:v>45296</c:v>
                </c:pt>
                <c:pt idx="25">
                  <c:v>45295</c:v>
                </c:pt>
                <c:pt idx="26">
                  <c:v>45294</c:v>
                </c:pt>
              </c:numCache>
            </c:numRef>
          </c:cat>
          <c:val>
            <c:numRef>
              <c:f>Intraday!$U$3:$U$30</c:f>
              <c:numCache>
                <c:formatCode>#,##0</c:formatCode>
                <c:ptCount val="28"/>
                <c:pt idx="0">
                  <c:v>-254238172945</c:v>
                </c:pt>
                <c:pt idx="1">
                  <c:v>-170523346945</c:v>
                </c:pt>
                <c:pt idx="2">
                  <c:v>260838681055</c:v>
                </c:pt>
                <c:pt idx="3">
                  <c:v>205407860055</c:v>
                </c:pt>
                <c:pt idx="4">
                  <c:v>923592771055</c:v>
                </c:pt>
                <c:pt idx="5">
                  <c:v>905621381055</c:v>
                </c:pt>
                <c:pt idx="6">
                  <c:v>405670232055</c:v>
                </c:pt>
                <c:pt idx="7">
                  <c:v>305846930055</c:v>
                </c:pt>
                <c:pt idx="8">
                  <c:v>236226211555</c:v>
                </c:pt>
                <c:pt idx="9">
                  <c:v>155612923655</c:v>
                </c:pt>
                <c:pt idx="10">
                  <c:v>75540022655</c:v>
                </c:pt>
                <c:pt idx="11">
                  <c:v>-479279931345</c:v>
                </c:pt>
                <c:pt idx="12">
                  <c:v>-378942477000</c:v>
                </c:pt>
                <c:pt idx="13">
                  <c:v>-318005420000</c:v>
                </c:pt>
                <c:pt idx="14">
                  <c:v>608257199000</c:v>
                </c:pt>
                <c:pt idx="15">
                  <c:v>141871594000</c:v>
                </c:pt>
                <c:pt idx="16">
                  <c:v>-67920131000</c:v>
                </c:pt>
                <c:pt idx="17">
                  <c:v>-540547131000</c:v>
                </c:pt>
                <c:pt idx="18">
                  <c:v>-13596484000</c:v>
                </c:pt>
                <c:pt idx="19">
                  <c:v>-60169657000</c:v>
                </c:pt>
                <c:pt idx="20">
                  <c:v>-279703382000</c:v>
                </c:pt>
                <c:pt idx="21">
                  <c:v>105233799000</c:v>
                </c:pt>
                <c:pt idx="22">
                  <c:v>240171499000</c:v>
                </c:pt>
                <c:pt idx="23">
                  <c:v>438376524000</c:v>
                </c:pt>
                <c:pt idx="24">
                  <c:v>357816698000</c:v>
                </c:pt>
                <c:pt idx="25">
                  <c:v>276068327000</c:v>
                </c:pt>
                <c:pt idx="26">
                  <c:v>182639416000</c:v>
                </c:pt>
                <c:pt idx="27">
                  <c:v>-361296398000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catAx>
        <c:axId val="2145036480"/>
        <c:scaling>
          <c:orientation val="maxMin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0"/>
        <c:lblAlgn val="ctr"/>
        <c:lblOffset val="100"/>
        <c:noMultiLvlLbl val="1"/>
      </c:catAx>
      <c:valAx>
        <c:axId val="214473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Intraday!$B$1:$B$2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Intraday!$B$3:$B$30</c:f>
              <c:numCache>
                <c:formatCode>0.00%</c:formatCode>
                <c:ptCount val="28"/>
                <c:pt idx="0">
                  <c:v>6.0000000000000001E-3</c:v>
                </c:pt>
                <c:pt idx="1">
                  <c:v>3.3E-3</c:v>
                </c:pt>
                <c:pt idx="2">
                  <c:v>8.5000000000000006E-3</c:v>
                </c:pt>
                <c:pt idx="3">
                  <c:v>2E-3</c:v>
                </c:pt>
                <c:pt idx="4">
                  <c:v>1.15E-2</c:v>
                </c:pt>
                <c:pt idx="5">
                  <c:v>-4.0000000000000002E-4</c:v>
                </c:pt>
                <c:pt idx="6">
                  <c:v>7.4999999999999997E-3</c:v>
                </c:pt>
                <c:pt idx="7">
                  <c:v>-1.3000000000000001E-2</c:v>
                </c:pt>
                <c:pt idx="8">
                  <c:v>3.3999999999999998E-3</c:v>
                </c:pt>
                <c:pt idx="9">
                  <c:v>0</c:v>
                </c:pt>
                <c:pt idx="10">
                  <c:v>4.4999999999999997E-3</c:v>
                </c:pt>
                <c:pt idx="11">
                  <c:v>-2.2000000000000001E-3</c:v>
                </c:pt>
                <c:pt idx="12">
                  <c:v>-3.8E-3</c:v>
                </c:pt>
                <c:pt idx="13">
                  <c:v>-4.4999999999999997E-3</c:v>
                </c:pt>
                <c:pt idx="14">
                  <c:v>1.1999999999999999E-3</c:v>
                </c:pt>
                <c:pt idx="15">
                  <c:v>1.06E-2</c:v>
                </c:pt>
                <c:pt idx="16">
                  <c:v>5.5999999999999999E-3</c:v>
                </c:pt>
                <c:pt idx="17">
                  <c:v>-5.0000000000000001E-4</c:v>
                </c:pt>
                <c:pt idx="18">
                  <c:v>7.7999999999999996E-3</c:v>
                </c:pt>
                <c:pt idx="19">
                  <c:v>-5.0000000000000001E-4</c:v>
                </c:pt>
                <c:pt idx="20">
                  <c:v>-6.4999999999999997E-3</c:v>
                </c:pt>
                <c:pt idx="21">
                  <c:v>5.9999999999999995E-4</c:v>
                </c:pt>
                <c:pt idx="22">
                  <c:v>2.5000000000000001E-3</c:v>
                </c:pt>
                <c:pt idx="23">
                  <c:v>-1.4E-3</c:v>
                </c:pt>
                <c:pt idx="24">
                  <c:v>4.7999999999999996E-3</c:v>
                </c:pt>
                <c:pt idx="25">
                  <c:v>3.3999999999999998E-3</c:v>
                </c:pt>
                <c:pt idx="26">
                  <c:v>5.7000000000000002E-3</c:v>
                </c:pt>
                <c:pt idx="27">
                  <c:v>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Intraday!$G$1:$G$2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Intraday!$G$3:$G$30</c:f>
              <c:numCache>
                <c:formatCode>0.00%</c:formatCode>
                <c:ptCount val="28"/>
                <c:pt idx="0">
                  <c:v>6.1000000000000004E-3</c:v>
                </c:pt>
                <c:pt idx="1">
                  <c:v>3.5999999999999999E-3</c:v>
                </c:pt>
                <c:pt idx="2">
                  <c:v>1.1299999999999999E-2</c:v>
                </c:pt>
                <c:pt idx="3">
                  <c:v>1.5E-3</c:v>
                </c:pt>
                <c:pt idx="4">
                  <c:v>1.9199999999999998E-2</c:v>
                </c:pt>
                <c:pt idx="5">
                  <c:v>1.1999999999999999E-3</c:v>
                </c:pt>
                <c:pt idx="6">
                  <c:v>6.0000000000000001E-3</c:v>
                </c:pt>
                <c:pt idx="7">
                  <c:v>-1.2999999999999999E-2</c:v>
                </c:pt>
                <c:pt idx="8">
                  <c:v>2.2000000000000001E-3</c:v>
                </c:pt>
                <c:pt idx="9">
                  <c:v>-3.0999999999999999E-3</c:v>
                </c:pt>
                <c:pt idx="10">
                  <c:v>4.4999999999999997E-3</c:v>
                </c:pt>
                <c:pt idx="11">
                  <c:v>-1.6000000000000001E-3</c:v>
                </c:pt>
                <c:pt idx="12">
                  <c:v>-3.7000000000000002E-3</c:v>
                </c:pt>
                <c:pt idx="13">
                  <c:v>-4.7999999999999996E-3</c:v>
                </c:pt>
                <c:pt idx="14">
                  <c:v>3.7000000000000002E-3</c:v>
                </c:pt>
                <c:pt idx="15">
                  <c:v>9.5999999999999992E-3</c:v>
                </c:pt>
                <c:pt idx="16">
                  <c:v>6.3E-3</c:v>
                </c:pt>
                <c:pt idx="17">
                  <c:v>-3.0999999999999999E-3</c:v>
                </c:pt>
                <c:pt idx="18">
                  <c:v>7.7000000000000002E-3</c:v>
                </c:pt>
                <c:pt idx="19">
                  <c:v>-2E-3</c:v>
                </c:pt>
                <c:pt idx="20">
                  <c:v>1E-4</c:v>
                </c:pt>
                <c:pt idx="21">
                  <c:v>8.0000000000000004E-4</c:v>
                </c:pt>
                <c:pt idx="22">
                  <c:v>2.0999999999999999E-3</c:v>
                </c:pt>
                <c:pt idx="23">
                  <c:v>-2.8E-3</c:v>
                </c:pt>
                <c:pt idx="24">
                  <c:v>2E-3</c:v>
                </c:pt>
                <c:pt idx="25">
                  <c:v>4.1000000000000003E-3</c:v>
                </c:pt>
                <c:pt idx="26">
                  <c:v>1.01E-2</c:v>
                </c:pt>
                <c:pt idx="27">
                  <c:v>1.17E-2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Intraday!$C$1:$C$2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Intraday!$C$3:$C$30</c:f>
              <c:numCache>
                <c:formatCode>0.00%</c:formatCode>
                <c:ptCount val="28"/>
                <c:pt idx="0">
                  <c:v>6.8700000000000011E-2</c:v>
                </c:pt>
                <c:pt idx="1">
                  <c:v>6.2700000000000006E-2</c:v>
                </c:pt>
                <c:pt idx="2">
                  <c:v>5.9400000000000001E-2</c:v>
                </c:pt>
                <c:pt idx="3">
                  <c:v>5.0900000000000001E-2</c:v>
                </c:pt>
                <c:pt idx="4">
                  <c:v>4.8899999999999999E-2</c:v>
                </c:pt>
                <c:pt idx="5">
                  <c:v>3.7400000000000003E-2</c:v>
                </c:pt>
                <c:pt idx="6">
                  <c:v>3.78E-2</c:v>
                </c:pt>
                <c:pt idx="7">
                  <c:v>3.0299999999999997E-2</c:v>
                </c:pt>
                <c:pt idx="8">
                  <c:v>4.3299999999999998E-2</c:v>
                </c:pt>
                <c:pt idx="9">
                  <c:v>3.9899999999999998E-2</c:v>
                </c:pt>
                <c:pt idx="10">
                  <c:v>3.9899999999999998E-2</c:v>
                </c:pt>
                <c:pt idx="11">
                  <c:v>3.5400000000000001E-2</c:v>
                </c:pt>
                <c:pt idx="12">
                  <c:v>3.7600000000000001E-2</c:v>
                </c:pt>
                <c:pt idx="13">
                  <c:v>4.1399999999999999E-2</c:v>
                </c:pt>
                <c:pt idx="14">
                  <c:v>4.5899999999999996E-2</c:v>
                </c:pt>
                <c:pt idx="15">
                  <c:v>4.4699999999999997E-2</c:v>
                </c:pt>
                <c:pt idx="16">
                  <c:v>3.4099999999999998E-2</c:v>
                </c:pt>
                <c:pt idx="17">
                  <c:v>2.8499999999999998E-2</c:v>
                </c:pt>
                <c:pt idx="18">
                  <c:v>2.8999999999999998E-2</c:v>
                </c:pt>
                <c:pt idx="19">
                  <c:v>2.12E-2</c:v>
                </c:pt>
                <c:pt idx="20">
                  <c:v>2.1700000000000001E-2</c:v>
                </c:pt>
                <c:pt idx="21">
                  <c:v>2.8199999999999999E-2</c:v>
                </c:pt>
                <c:pt idx="22">
                  <c:v>2.76E-2</c:v>
                </c:pt>
                <c:pt idx="23">
                  <c:v>2.5100000000000001E-2</c:v>
                </c:pt>
                <c:pt idx="24">
                  <c:v>2.6499999999999999E-2</c:v>
                </c:pt>
                <c:pt idx="25">
                  <c:v>2.1700000000000001E-2</c:v>
                </c:pt>
                <c:pt idx="26">
                  <c:v>1.83E-2</c:v>
                </c:pt>
                <c:pt idx="27">
                  <c:v>1.26E-2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Intraday!$H$1:$H$2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Intraday!$A$3:$A$30</c:f>
              <c:numCache>
                <c:formatCode>m/d/yy</c:formatCode>
                <c:ptCount val="28"/>
                <c:pt idx="0">
                  <c:v>45338</c:v>
                </c:pt>
                <c:pt idx="1">
                  <c:v>45337</c:v>
                </c:pt>
                <c:pt idx="2">
                  <c:v>45329</c:v>
                </c:pt>
                <c:pt idx="3">
                  <c:v>45328</c:v>
                </c:pt>
                <c:pt idx="4">
                  <c:v>45327</c:v>
                </c:pt>
                <c:pt idx="5">
                  <c:v>45324</c:v>
                </c:pt>
                <c:pt idx="6">
                  <c:v>45323</c:v>
                </c:pt>
                <c:pt idx="7">
                  <c:v>45322</c:v>
                </c:pt>
                <c:pt idx="8">
                  <c:v>45321</c:v>
                </c:pt>
                <c:pt idx="9">
                  <c:v>45320</c:v>
                </c:pt>
                <c:pt idx="10">
                  <c:v>45317</c:v>
                </c:pt>
                <c:pt idx="11">
                  <c:v>45316</c:v>
                </c:pt>
                <c:pt idx="12">
                  <c:v>45315</c:v>
                </c:pt>
                <c:pt idx="13">
                  <c:v>45314</c:v>
                </c:pt>
                <c:pt idx="14">
                  <c:v>45313</c:v>
                </c:pt>
                <c:pt idx="15">
                  <c:v>45310</c:v>
                </c:pt>
                <c:pt idx="16">
                  <c:v>45309</c:v>
                </c:pt>
                <c:pt idx="17">
                  <c:v>45308</c:v>
                </c:pt>
                <c:pt idx="18">
                  <c:v>45307</c:v>
                </c:pt>
                <c:pt idx="19">
                  <c:v>45306</c:v>
                </c:pt>
                <c:pt idx="20">
                  <c:v>45303</c:v>
                </c:pt>
                <c:pt idx="21">
                  <c:v>45302</c:v>
                </c:pt>
                <c:pt idx="22">
                  <c:v>45301</c:v>
                </c:pt>
                <c:pt idx="23">
                  <c:v>45300</c:v>
                </c:pt>
                <c:pt idx="24">
                  <c:v>45299</c:v>
                </c:pt>
                <c:pt idx="25">
                  <c:v>45296</c:v>
                </c:pt>
                <c:pt idx="26">
                  <c:v>45295</c:v>
                </c:pt>
                <c:pt idx="27">
                  <c:v>45294</c:v>
                </c:pt>
              </c:numCache>
            </c:numRef>
          </c:cat>
          <c:val>
            <c:numRef>
              <c:f>Intraday!$H$3:$H$30</c:f>
              <c:numCache>
                <c:formatCode>0.00%</c:formatCode>
                <c:ptCount val="28"/>
                <c:pt idx="0">
                  <c:v>7.9899999999999999E-2</c:v>
                </c:pt>
                <c:pt idx="1">
                  <c:v>7.3800000000000004E-2</c:v>
                </c:pt>
                <c:pt idx="2">
                  <c:v>7.0199999999999999E-2</c:v>
                </c:pt>
                <c:pt idx="3">
                  <c:v>5.8899999999999994E-2</c:v>
                </c:pt>
                <c:pt idx="4">
                  <c:v>5.7399999999999993E-2</c:v>
                </c:pt>
                <c:pt idx="5">
                  <c:v>3.8199999999999998E-2</c:v>
                </c:pt>
                <c:pt idx="6">
                  <c:v>3.6999999999999998E-2</c:v>
                </c:pt>
                <c:pt idx="7">
                  <c:v>3.1E-2</c:v>
                </c:pt>
                <c:pt idx="8">
                  <c:v>4.3999999999999997E-2</c:v>
                </c:pt>
                <c:pt idx="9">
                  <c:v>4.1799999999999997E-2</c:v>
                </c:pt>
                <c:pt idx="10">
                  <c:v>4.4899999999999995E-2</c:v>
                </c:pt>
                <c:pt idx="11">
                  <c:v>4.0399999999999998E-2</c:v>
                </c:pt>
                <c:pt idx="12">
                  <c:v>4.1999999999999996E-2</c:v>
                </c:pt>
                <c:pt idx="13">
                  <c:v>4.5699999999999998E-2</c:v>
                </c:pt>
                <c:pt idx="14">
                  <c:v>5.0499999999999996E-2</c:v>
                </c:pt>
                <c:pt idx="15">
                  <c:v>4.6799999999999994E-2</c:v>
                </c:pt>
                <c:pt idx="16">
                  <c:v>3.7199999999999997E-2</c:v>
                </c:pt>
                <c:pt idx="17">
                  <c:v>3.0899999999999997E-2</c:v>
                </c:pt>
                <c:pt idx="18">
                  <c:v>3.3999999999999996E-2</c:v>
                </c:pt>
                <c:pt idx="19">
                  <c:v>2.6299999999999997E-2</c:v>
                </c:pt>
                <c:pt idx="20">
                  <c:v>2.8299999999999999E-2</c:v>
                </c:pt>
                <c:pt idx="21">
                  <c:v>2.8199999999999999E-2</c:v>
                </c:pt>
                <c:pt idx="22">
                  <c:v>2.7400000000000001E-2</c:v>
                </c:pt>
                <c:pt idx="23">
                  <c:v>2.53E-2</c:v>
                </c:pt>
                <c:pt idx="24">
                  <c:v>2.81E-2</c:v>
                </c:pt>
                <c:pt idx="25">
                  <c:v>2.6099999999999998E-2</c:v>
                </c:pt>
                <c:pt idx="26">
                  <c:v>2.1999999999999999E-2</c:v>
                </c:pt>
                <c:pt idx="27">
                  <c:v>1.1900000000000001E-2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catAx>
        <c:axId val="403308767"/>
        <c:scaling>
          <c:orientation val="maxMin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0"/>
        <c:lblAlgn val="ctr"/>
        <c:lblOffset val="100"/>
        <c:noMultiLvlLbl val="1"/>
      </c:catAx>
      <c:valAx>
        <c:axId val="411674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127000</xdr:rowOff>
    </xdr:from>
    <xdr:to>
      <xdr:col>10</xdr:col>
      <xdr:colOff>603250</xdr:colOff>
      <xdr:row>54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673100</xdr:colOff>
      <xdr:row>30</xdr:row>
      <xdr:rowOff>139700</xdr:rowOff>
    </xdr:from>
    <xdr:to>
      <xdr:col>20</xdr:col>
      <xdr:colOff>1092200</xdr:colOff>
      <xdr:row>54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35100</v>
          </cell>
        </row>
        <row r="42">
          <cell r="A42" t="str">
            <v>VND</v>
          </cell>
          <cell r="B42">
            <v>23000</v>
          </cell>
        </row>
        <row r="43">
          <cell r="A43" t="str">
            <v>HCM</v>
          </cell>
          <cell r="B43">
            <v>27300</v>
          </cell>
        </row>
        <row r="44">
          <cell r="A44" t="str">
            <v>VCI</v>
          </cell>
          <cell r="B44">
            <v>45100</v>
          </cell>
        </row>
        <row r="45">
          <cell r="A45" t="str">
            <v>MBS</v>
          </cell>
          <cell r="B45">
            <v>27000</v>
          </cell>
        </row>
        <row r="46">
          <cell r="A46" t="str">
            <v>FTS</v>
          </cell>
          <cell r="B46">
            <v>48650</v>
          </cell>
        </row>
        <row r="47">
          <cell r="A47" t="str">
            <v>VIX</v>
          </cell>
          <cell r="B47">
            <v>18100</v>
          </cell>
        </row>
        <row r="48">
          <cell r="A48" t="str">
            <v>SHS</v>
          </cell>
          <cell r="B48">
            <v>17600</v>
          </cell>
        </row>
        <row r="49">
          <cell r="A49" t="str">
            <v>BSI</v>
          </cell>
          <cell r="B49">
            <v>52400</v>
          </cell>
        </row>
        <row r="50">
          <cell r="A50" t="str">
            <v>VCB</v>
          </cell>
          <cell r="B50">
            <v>90000</v>
          </cell>
        </row>
        <row r="51">
          <cell r="A51" t="str">
            <v>STB</v>
          </cell>
          <cell r="B51">
            <v>31100</v>
          </cell>
        </row>
        <row r="52">
          <cell r="A52" t="str">
            <v>CTG</v>
          </cell>
          <cell r="B52">
            <v>35500</v>
          </cell>
        </row>
        <row r="53">
          <cell r="A53" t="str">
            <v>MBB</v>
          </cell>
          <cell r="B53">
            <v>23500</v>
          </cell>
        </row>
        <row r="54">
          <cell r="A54" t="str">
            <v>TCB</v>
          </cell>
          <cell r="B54">
            <v>37300</v>
          </cell>
        </row>
        <row r="55">
          <cell r="A55" t="str">
            <v>ACB</v>
          </cell>
          <cell r="B55">
            <v>28000</v>
          </cell>
        </row>
        <row r="56">
          <cell r="A56" t="str">
            <v>VPB</v>
          </cell>
          <cell r="B56">
            <v>19600</v>
          </cell>
        </row>
        <row r="57">
          <cell r="A57" t="str">
            <v>VIB</v>
          </cell>
          <cell r="B57">
            <v>21700</v>
          </cell>
        </row>
        <row r="58">
          <cell r="A58" t="str">
            <v>LPB</v>
          </cell>
          <cell r="B58">
            <v>18150</v>
          </cell>
        </row>
        <row r="59">
          <cell r="A59" t="str">
            <v>MSB</v>
          </cell>
          <cell r="B59">
            <v>14100</v>
          </cell>
        </row>
        <row r="60">
          <cell r="A60" t="str">
            <v>HDB</v>
          </cell>
          <cell r="B60">
            <v>23550</v>
          </cell>
        </row>
        <row r="61">
          <cell r="A61" t="str">
            <v>TPB</v>
          </cell>
          <cell r="B61">
            <v>18500</v>
          </cell>
        </row>
        <row r="62">
          <cell r="A62" t="str">
            <v>EIB</v>
          </cell>
          <cell r="B62">
            <v>18700</v>
          </cell>
        </row>
        <row r="63">
          <cell r="A63" t="str">
            <v>PDR</v>
          </cell>
          <cell r="B63">
            <v>30050</v>
          </cell>
        </row>
        <row r="64">
          <cell r="A64" t="str">
            <v>DXG</v>
          </cell>
          <cell r="B64">
            <v>18400</v>
          </cell>
        </row>
        <row r="65">
          <cell r="A65" t="str">
            <v>NVL</v>
          </cell>
          <cell r="B65">
            <v>17300</v>
          </cell>
        </row>
        <row r="66">
          <cell r="A66" t="str">
            <v>VHM</v>
          </cell>
          <cell r="B66">
            <v>41800</v>
          </cell>
        </row>
        <row r="67">
          <cell r="A67" t="str">
            <v>NLG</v>
          </cell>
          <cell r="B67">
            <v>39800</v>
          </cell>
        </row>
        <row r="68">
          <cell r="A68" t="str">
            <v>KDH</v>
          </cell>
          <cell r="B68">
            <v>31200</v>
          </cell>
        </row>
        <row r="69">
          <cell r="A69" t="str">
            <v>DIG</v>
          </cell>
          <cell r="B69">
            <v>27300</v>
          </cell>
        </row>
        <row r="70">
          <cell r="A70" t="str">
            <v>CEO</v>
          </cell>
          <cell r="B70">
            <v>21100</v>
          </cell>
        </row>
        <row r="71">
          <cell r="A71" t="str">
            <v>HDC</v>
          </cell>
          <cell r="B71">
            <v>30700</v>
          </cell>
        </row>
        <row r="72">
          <cell r="A72" t="str">
            <v>NTL</v>
          </cell>
          <cell r="B72">
            <v>31200</v>
          </cell>
        </row>
        <row r="73">
          <cell r="A73" t="str">
            <v>CTD</v>
          </cell>
          <cell r="B73">
            <v>66200</v>
          </cell>
        </row>
        <row r="74">
          <cell r="A74" t="str">
            <v>VCG</v>
          </cell>
          <cell r="B74">
            <v>25350</v>
          </cell>
        </row>
        <row r="75">
          <cell r="A75" t="str">
            <v>FCN</v>
          </cell>
          <cell r="B75">
            <v>14100</v>
          </cell>
        </row>
        <row r="76">
          <cell r="A76" t="str">
            <v>HHV</v>
          </cell>
          <cell r="B76">
            <v>15550</v>
          </cell>
        </row>
        <row r="77">
          <cell r="A77" t="str">
            <v>CTR</v>
          </cell>
          <cell r="B77">
            <v>96500</v>
          </cell>
        </row>
        <row r="78">
          <cell r="A78" t="str">
            <v>THG</v>
          </cell>
          <cell r="B78">
            <v>39850</v>
          </cell>
        </row>
        <row r="79">
          <cell r="A79" t="str">
            <v>C4G</v>
          </cell>
          <cell r="B79">
            <v>11500</v>
          </cell>
        </row>
        <row r="80">
          <cell r="A80" t="str">
            <v>DTD</v>
          </cell>
          <cell r="B80">
            <v>28000</v>
          </cell>
        </row>
        <row r="81">
          <cell r="A81" t="str">
            <v>KBC</v>
          </cell>
          <cell r="B81">
            <v>31200</v>
          </cell>
        </row>
        <row r="82">
          <cell r="A82" t="str">
            <v>IDC</v>
          </cell>
          <cell r="B82">
            <v>56000</v>
          </cell>
        </row>
        <row r="83">
          <cell r="A83" t="str">
            <v>SZC</v>
          </cell>
          <cell r="B83">
            <v>42350</v>
          </cell>
        </row>
        <row r="84">
          <cell r="A84" t="str">
            <v>VGC</v>
          </cell>
          <cell r="B84">
            <v>52700</v>
          </cell>
        </row>
        <row r="85">
          <cell r="A85" t="str">
            <v>PHR</v>
          </cell>
          <cell r="B85">
            <v>53600</v>
          </cell>
        </row>
        <row r="86">
          <cell r="A86" t="str">
            <v>LHG</v>
          </cell>
          <cell r="B86">
            <v>34850</v>
          </cell>
        </row>
        <row r="87">
          <cell r="A87" t="str">
            <v>DPR</v>
          </cell>
          <cell r="B87">
            <v>34350</v>
          </cell>
        </row>
        <row r="88">
          <cell r="A88" t="str">
            <v>NTC</v>
          </cell>
          <cell r="B88">
            <v>211000</v>
          </cell>
        </row>
        <row r="89">
          <cell r="A89" t="str">
            <v>GVR</v>
          </cell>
          <cell r="B89">
            <v>25350</v>
          </cell>
        </row>
        <row r="90">
          <cell r="A90" t="str">
            <v>BCM</v>
          </cell>
          <cell r="B90">
            <v>64000</v>
          </cell>
        </row>
        <row r="91">
          <cell r="A91" t="str">
            <v>MWG</v>
          </cell>
          <cell r="B91">
            <v>46600</v>
          </cell>
        </row>
        <row r="92">
          <cell r="A92" t="str">
            <v>FRT</v>
          </cell>
          <cell r="B92">
            <v>125000</v>
          </cell>
        </row>
        <row r="93">
          <cell r="A93" t="str">
            <v>DGW</v>
          </cell>
          <cell r="B93">
            <v>55600</v>
          </cell>
        </row>
        <row r="94">
          <cell r="A94" t="str">
            <v>PET</v>
          </cell>
          <cell r="B94">
            <v>24950</v>
          </cell>
        </row>
        <row r="95">
          <cell r="A95" t="str">
            <v>VNM</v>
          </cell>
          <cell r="B95">
            <v>67600</v>
          </cell>
        </row>
        <row r="96">
          <cell r="A96" t="str">
            <v>VRE</v>
          </cell>
          <cell r="B96">
            <v>21900</v>
          </cell>
        </row>
        <row r="97">
          <cell r="A97" t="str">
            <v>PNJ</v>
          </cell>
          <cell r="B97">
            <v>91200</v>
          </cell>
        </row>
        <row r="98">
          <cell r="A98" t="str">
            <v>DGC</v>
          </cell>
          <cell r="B98">
            <v>96200</v>
          </cell>
        </row>
        <row r="99">
          <cell r="A99" t="str">
            <v>CSV</v>
          </cell>
          <cell r="B99">
            <v>55100</v>
          </cell>
        </row>
        <row r="100">
          <cell r="A100" t="str">
            <v>LAS</v>
          </cell>
          <cell r="B100">
            <v>17300</v>
          </cell>
        </row>
        <row r="101">
          <cell r="A101" t="str">
            <v>DDV</v>
          </cell>
          <cell r="B101">
            <v>10800</v>
          </cell>
        </row>
        <row r="102">
          <cell r="A102" t="str">
            <v>GMD</v>
          </cell>
          <cell r="B102">
            <v>69500</v>
          </cell>
        </row>
        <row r="103">
          <cell r="A103" t="str">
            <v>HAH</v>
          </cell>
          <cell r="B103">
            <v>40750</v>
          </cell>
        </row>
        <row r="104">
          <cell r="A104" t="str">
            <v>VOS</v>
          </cell>
          <cell r="B104">
            <v>12300</v>
          </cell>
        </row>
        <row r="105">
          <cell r="A105" t="str">
            <v>VSC</v>
          </cell>
          <cell r="B105">
            <v>22250</v>
          </cell>
        </row>
        <row r="106">
          <cell r="A106" t="str">
            <v>VTP</v>
          </cell>
          <cell r="B106">
            <v>69100</v>
          </cell>
        </row>
        <row r="107">
          <cell r="A107" t="str">
            <v>VHC</v>
          </cell>
          <cell r="B107">
            <v>65800</v>
          </cell>
        </row>
        <row r="108">
          <cell r="A108" t="str">
            <v>ANV</v>
          </cell>
          <cell r="B108">
            <v>30600</v>
          </cell>
        </row>
        <row r="109">
          <cell r="A109" t="str">
            <v>FMC</v>
          </cell>
          <cell r="B109">
            <v>45800</v>
          </cell>
        </row>
        <row r="110">
          <cell r="A110" t="str">
            <v>IDI</v>
          </cell>
          <cell r="B110">
            <v>11300</v>
          </cell>
        </row>
        <row r="111">
          <cell r="A111" t="str">
            <v>PC1</v>
          </cell>
          <cell r="B111">
            <v>29950</v>
          </cell>
        </row>
        <row r="112">
          <cell r="A112" t="str">
            <v>TV2</v>
          </cell>
          <cell r="B112">
            <v>42300</v>
          </cell>
        </row>
        <row r="113">
          <cell r="A113" t="str">
            <v>NT2</v>
          </cell>
          <cell r="B113">
            <v>25450</v>
          </cell>
        </row>
        <row r="114">
          <cell r="A114" t="str">
            <v>QTP</v>
          </cell>
          <cell r="B114">
            <v>15300</v>
          </cell>
        </row>
        <row r="115">
          <cell r="A115" t="str">
            <v>GEG</v>
          </cell>
          <cell r="B115">
            <v>13200</v>
          </cell>
        </row>
        <row r="116">
          <cell r="A116" t="str">
            <v>HPG</v>
          </cell>
          <cell r="B116">
            <v>28150</v>
          </cell>
        </row>
        <row r="117">
          <cell r="A117" t="str">
            <v>NKG</v>
          </cell>
          <cell r="B117">
            <v>24350</v>
          </cell>
        </row>
        <row r="118">
          <cell r="A118" t="str">
            <v>HSG</v>
          </cell>
          <cell r="B118">
            <v>23250</v>
          </cell>
        </row>
        <row r="119">
          <cell r="A119" t="str">
            <v>BSR</v>
          </cell>
          <cell r="B119">
            <v>18600</v>
          </cell>
        </row>
        <row r="120">
          <cell r="A120" t="str">
            <v>PVD</v>
          </cell>
          <cell r="B120">
            <v>28750</v>
          </cell>
        </row>
        <row r="121">
          <cell r="A121" t="str">
            <v>PVS</v>
          </cell>
          <cell r="B121">
            <v>37600</v>
          </cell>
        </row>
        <row r="122">
          <cell r="A122" t="str">
            <v>PVT</v>
          </cell>
          <cell r="B122">
            <v>26750</v>
          </cell>
        </row>
        <row r="123">
          <cell r="A123" t="str">
            <v>PLX</v>
          </cell>
          <cell r="B123">
            <v>34750</v>
          </cell>
        </row>
        <row r="124">
          <cell r="A124" t="str">
            <v>GAS</v>
          </cell>
          <cell r="B124">
            <v>75700</v>
          </cell>
        </row>
        <row r="125">
          <cell r="A125" t="str">
            <v>KSB</v>
          </cell>
          <cell r="B125">
            <v>29150</v>
          </cell>
        </row>
        <row r="126">
          <cell r="A126" t="str">
            <v>DHA</v>
          </cell>
          <cell r="B126">
            <v>52300</v>
          </cell>
        </row>
        <row r="127">
          <cell r="A127" t="str">
            <v>VLB</v>
          </cell>
          <cell r="B127">
            <v>36300</v>
          </cell>
        </row>
        <row r="128">
          <cell r="A128" t="str">
            <v>HT1</v>
          </cell>
          <cell r="B128">
            <v>13150</v>
          </cell>
        </row>
        <row r="129">
          <cell r="A129" t="str">
            <v>BMP</v>
          </cell>
          <cell r="B129">
            <v>106000</v>
          </cell>
        </row>
        <row r="130">
          <cell r="A130" t="str">
            <v>NTP</v>
          </cell>
          <cell r="B130">
            <v>44600</v>
          </cell>
        </row>
        <row r="131">
          <cell r="A131" t="str">
            <v>DCM</v>
          </cell>
          <cell r="B131">
            <v>34000</v>
          </cell>
        </row>
        <row r="132">
          <cell r="A132" t="str">
            <v>DPM</v>
          </cell>
          <cell r="B132">
            <v>33900</v>
          </cell>
        </row>
        <row r="133">
          <cell r="A133" t="str">
            <v>PAN</v>
          </cell>
          <cell r="B133">
            <v>22850</v>
          </cell>
        </row>
        <row r="134">
          <cell r="A134" t="str">
            <v>LTG</v>
          </cell>
          <cell r="B134">
            <v>26900</v>
          </cell>
        </row>
        <row r="135">
          <cell r="A135" t="str">
            <v>PTB</v>
          </cell>
          <cell r="B135">
            <v>55400</v>
          </cell>
        </row>
        <row r="136">
          <cell r="A136" t="str">
            <v>VCS</v>
          </cell>
          <cell r="B136">
            <v>61800</v>
          </cell>
        </row>
        <row r="137">
          <cell r="A137" t="str">
            <v>DBC</v>
          </cell>
          <cell r="B137">
            <v>28550</v>
          </cell>
        </row>
        <row r="138">
          <cell r="A138" t="str">
            <v>HAG</v>
          </cell>
          <cell r="B138">
            <v>13150</v>
          </cell>
        </row>
        <row r="139">
          <cell r="A139" t="str">
            <v>BAF</v>
          </cell>
          <cell r="B139">
            <v>25700</v>
          </cell>
        </row>
        <row r="140">
          <cell r="A140" t="str">
            <v>TNG</v>
          </cell>
          <cell r="B140">
            <v>20600</v>
          </cell>
        </row>
        <row r="141">
          <cell r="A141" t="str">
            <v>VGT</v>
          </cell>
          <cell r="B141">
            <v>11600</v>
          </cell>
        </row>
        <row r="142">
          <cell r="A142" t="str">
            <v>STK</v>
          </cell>
          <cell r="B142">
            <v>27700</v>
          </cell>
        </row>
        <row r="143">
          <cell r="A143" t="str">
            <v>MSH</v>
          </cell>
          <cell r="B143">
            <v>39550</v>
          </cell>
        </row>
        <row r="144">
          <cell r="A144" t="str">
            <v>ADS</v>
          </cell>
          <cell r="B144">
            <v>13000</v>
          </cell>
        </row>
        <row r="145">
          <cell r="A145" t="str">
            <v>GIL</v>
          </cell>
          <cell r="B145">
            <v>28800</v>
          </cell>
        </row>
        <row r="146">
          <cell r="A146" t="str">
            <v>QNS</v>
          </cell>
          <cell r="B146">
            <v>47700</v>
          </cell>
        </row>
        <row r="147">
          <cell r="A147" t="str">
            <v>SBT</v>
          </cell>
          <cell r="B147">
            <v>13300</v>
          </cell>
        </row>
        <row r="148">
          <cell r="A148" t="str">
            <v>LSS</v>
          </cell>
          <cell r="B148">
            <v>11650</v>
          </cell>
        </row>
        <row r="149">
          <cell r="A149" t="str">
            <v>SLS</v>
          </cell>
          <cell r="B149">
            <v>150800</v>
          </cell>
        </row>
        <row r="150">
          <cell r="A150" t="str">
            <v>DHG</v>
          </cell>
          <cell r="B150">
            <v>107300</v>
          </cell>
        </row>
        <row r="151">
          <cell r="A151" t="str">
            <v>IMP</v>
          </cell>
          <cell r="B151">
            <v>63000</v>
          </cell>
        </row>
        <row r="152">
          <cell r="A152" t="str">
            <v>AMV</v>
          </cell>
          <cell r="B152">
            <v>3800</v>
          </cell>
        </row>
        <row r="153">
          <cell r="A153" t="str">
            <v>FPT</v>
          </cell>
          <cell r="B153">
            <v>104900</v>
          </cell>
        </row>
        <row r="154">
          <cell r="A154" t="str">
            <v>HAX</v>
          </cell>
          <cell r="B154">
            <v>14400</v>
          </cell>
        </row>
        <row r="155">
          <cell r="A155" t="str">
            <v>VEA</v>
          </cell>
          <cell r="B155">
            <v>37300</v>
          </cell>
        </row>
        <row r="156">
          <cell r="A156" t="str">
            <v>HUT</v>
          </cell>
          <cell r="B156">
            <v>18900</v>
          </cell>
        </row>
        <row r="157">
          <cell r="A157" t="str">
            <v>DHC</v>
          </cell>
          <cell r="B157">
            <v>42100</v>
          </cell>
        </row>
        <row r="158">
          <cell r="A158" t="str">
            <v>DRC</v>
          </cell>
          <cell r="B158">
            <v>31500</v>
          </cell>
        </row>
        <row r="159">
          <cell r="A159" t="str">
            <v>REE</v>
          </cell>
          <cell r="B159">
            <v>56500</v>
          </cell>
        </row>
        <row r="160">
          <cell r="A160" t="str">
            <v>HDG</v>
          </cell>
          <cell r="B160">
            <v>26800</v>
          </cell>
        </row>
        <row r="161">
          <cell r="A161" t="str">
            <v>GEX</v>
          </cell>
          <cell r="B161">
            <v>21500</v>
          </cell>
        </row>
        <row r="162">
          <cell r="A162" t="str">
            <v>MSN</v>
          </cell>
          <cell r="B162">
            <v>64900</v>
          </cell>
        </row>
        <row r="163">
          <cell r="A163" t="str">
            <v>VIC</v>
          </cell>
          <cell r="B163">
            <v>42400</v>
          </cell>
        </row>
        <row r="164">
          <cell r="A164" t="str">
            <v>VGS</v>
          </cell>
          <cell r="B164">
            <v>22600</v>
          </cell>
        </row>
        <row r="165">
          <cell r="A165" t="str">
            <v>SMC</v>
          </cell>
          <cell r="B165">
            <v>10250</v>
          </cell>
        </row>
        <row r="166">
          <cell r="A166" t="str">
            <v>BFC</v>
          </cell>
          <cell r="B166">
            <v>25700</v>
          </cell>
        </row>
        <row r="167">
          <cell r="A167" t="str">
            <v>BCG</v>
          </cell>
          <cell r="B167">
            <v>8170</v>
          </cell>
        </row>
        <row r="168">
          <cell r="A168" t="str">
            <v>MIG</v>
          </cell>
          <cell r="B168">
            <v>18100</v>
          </cell>
        </row>
        <row r="169">
          <cell r="A169" t="str">
            <v>HQC</v>
          </cell>
          <cell r="B169">
            <v>4170</v>
          </cell>
        </row>
        <row r="170">
          <cell r="A170" t="str">
            <v>SCR</v>
          </cell>
          <cell r="B170">
            <v>7080</v>
          </cell>
        </row>
        <row r="171">
          <cell r="A171" t="str">
            <v>DXS</v>
          </cell>
          <cell r="B171">
            <v>7020</v>
          </cell>
        </row>
        <row r="172">
          <cell r="A172" t="str">
            <v>HBC</v>
          </cell>
          <cell r="B172">
            <v>8390</v>
          </cell>
        </row>
        <row r="173">
          <cell r="A173" t="str">
            <v>ACL</v>
          </cell>
          <cell r="B173">
            <v>12000</v>
          </cell>
        </row>
        <row r="174">
          <cell r="A174" t="str">
            <v>TTF</v>
          </cell>
          <cell r="B174">
            <v>4420</v>
          </cell>
        </row>
        <row r="175">
          <cell r="A175" t="str">
            <v>LCG</v>
          </cell>
          <cell r="B175">
            <v>13250</v>
          </cell>
        </row>
        <row r="176">
          <cell r="A176" t="str">
            <v>FIT</v>
          </cell>
          <cell r="B176">
            <v>4560</v>
          </cell>
        </row>
        <row r="177">
          <cell r="A177" t="str">
            <v>PSH</v>
          </cell>
          <cell r="B177">
            <v>7330</v>
          </cell>
        </row>
        <row r="178">
          <cell r="A178" t="str">
            <v>HHS</v>
          </cell>
          <cell r="B178">
            <v>8570</v>
          </cell>
        </row>
        <row r="179">
          <cell r="A179" t="str">
            <v>CRE</v>
          </cell>
          <cell r="B179">
            <v>8300</v>
          </cell>
        </row>
        <row r="180">
          <cell r="A180" t="str">
            <v>SIP</v>
          </cell>
          <cell r="B180">
            <v>80000</v>
          </cell>
        </row>
        <row r="181">
          <cell r="A181" t="str">
            <v>TIG</v>
          </cell>
          <cell r="B181">
            <v>12000</v>
          </cell>
        </row>
        <row r="182">
          <cell r="A182" t="str">
            <v>BVH</v>
          </cell>
          <cell r="B182">
            <v>41200</v>
          </cell>
        </row>
        <row r="183">
          <cell r="A183" t="str">
            <v>CTS</v>
          </cell>
          <cell r="B183">
            <v>31250</v>
          </cell>
        </row>
        <row r="184">
          <cell r="A184" t="str">
            <v>IJC</v>
          </cell>
          <cell r="B184">
            <v>15400</v>
          </cell>
        </row>
        <row r="185">
          <cell r="A185" t="str">
            <v>EVF</v>
          </cell>
          <cell r="B185">
            <v>15900</v>
          </cell>
        </row>
        <row r="186">
          <cell r="A186" t="str">
            <v>BCC</v>
          </cell>
          <cell r="B186">
            <v>9600</v>
          </cell>
        </row>
        <row r="187">
          <cell r="A187" t="str">
            <v>EVE</v>
          </cell>
          <cell r="B187">
            <v>14150</v>
          </cell>
        </row>
        <row r="188">
          <cell r="A188" t="str">
            <v>SGP</v>
          </cell>
          <cell r="B188">
            <v>18800</v>
          </cell>
        </row>
        <row r="189">
          <cell r="A189" t="str">
            <v>DVP</v>
          </cell>
          <cell r="B189">
            <v>68300</v>
          </cell>
        </row>
        <row r="190">
          <cell r="A190" t="str">
            <v>PLC</v>
          </cell>
          <cell r="B190">
            <v>31600</v>
          </cell>
        </row>
        <row r="191">
          <cell r="A191" t="str">
            <v>GDT</v>
          </cell>
          <cell r="B191">
            <v>24300</v>
          </cell>
        </row>
        <row r="192">
          <cell r="A192" t="str">
            <v>VPG</v>
          </cell>
          <cell r="B192">
            <v>17650</v>
          </cell>
        </row>
        <row r="193">
          <cell r="A193" t="str">
            <v>OIL</v>
          </cell>
          <cell r="B193">
            <v>9800</v>
          </cell>
        </row>
        <row r="194">
          <cell r="A194" t="str">
            <v>VGI</v>
          </cell>
          <cell r="B194">
            <v>27500</v>
          </cell>
        </row>
        <row r="195">
          <cell r="A195" t="str">
            <v>MCH</v>
          </cell>
          <cell r="B195">
            <v>107900</v>
          </cell>
        </row>
        <row r="196">
          <cell r="A196" t="str">
            <v>ORS</v>
          </cell>
          <cell r="B196">
            <v>20000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41700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10250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0</v>
          </cell>
        </row>
        <row r="206">
          <cell r="A206" t="str">
            <v>TCH</v>
          </cell>
          <cell r="B206">
            <v>13400</v>
          </cell>
        </row>
        <row r="207">
          <cell r="A207" t="str">
            <v>AAA</v>
          </cell>
          <cell r="B207">
            <v>0</v>
          </cell>
        </row>
        <row r="208">
          <cell r="A208" t="str">
            <v>BWE</v>
          </cell>
          <cell r="B208">
            <v>0</v>
          </cell>
        </row>
        <row r="209">
          <cell r="A209" t="str">
            <v>NAB</v>
          </cell>
          <cell r="B209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7"/>
  <sheetViews>
    <sheetView workbookViewId="0">
      <selection activeCell="L42" sqref="L42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26" t="s">
        <v>23</v>
      </c>
      <c r="B5" s="26"/>
      <c r="C5" s="26"/>
      <c r="D5" s="26"/>
      <c r="E5" s="26"/>
      <c r="F5" s="26"/>
      <c r="G5" s="26"/>
      <c r="H5" s="26"/>
      <c r="I5" s="26"/>
      <c r="J5" s="26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27" t="s">
        <v>87</v>
      </c>
      <c r="B11" s="27"/>
      <c r="C11" s="27"/>
      <c r="D11" s="27"/>
      <c r="E11" s="27"/>
      <c r="F11" s="27"/>
      <c r="G11" s="27"/>
      <c r="H11" s="27"/>
      <c r="I11" s="27"/>
      <c r="J11" s="27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9" t="s">
        <v>88</v>
      </c>
      <c r="B17" s="29"/>
      <c r="C17" s="29"/>
      <c r="D17" s="29"/>
      <c r="E17" s="29"/>
      <c r="F17" s="29"/>
      <c r="G17" s="29"/>
      <c r="H17" s="29"/>
      <c r="I17" s="29"/>
      <c r="J17" s="29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9" t="s">
        <v>91</v>
      </c>
      <c r="B20" s="29"/>
      <c r="C20" s="29"/>
      <c r="D20" s="29"/>
      <c r="E20" s="29"/>
      <c r="F20" s="29"/>
      <c r="G20" s="29"/>
      <c r="H20" s="29"/>
      <c r="I20" s="29"/>
      <c r="J20" s="29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9" t="s">
        <v>94</v>
      </c>
      <c r="B23" s="29"/>
      <c r="C23" s="29"/>
      <c r="D23" s="29"/>
      <c r="E23" s="29"/>
      <c r="F23" s="29"/>
      <c r="G23" s="29"/>
      <c r="H23" s="29"/>
      <c r="I23" s="29"/>
      <c r="J23" s="29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26" t="s">
        <v>24</v>
      </c>
      <c r="B28" s="26"/>
      <c r="C28" s="26"/>
      <c r="D28" s="26"/>
      <c r="E28" s="26"/>
      <c r="F28" s="26"/>
      <c r="G28" s="26"/>
      <c r="H28" s="26"/>
      <c r="I28" s="26"/>
      <c r="J28" s="26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27" t="s">
        <v>24</v>
      </c>
      <c r="B34" s="27"/>
      <c r="C34" s="27"/>
      <c r="D34" s="27"/>
      <c r="E34" s="27"/>
      <c r="F34" s="27"/>
      <c r="G34" s="27"/>
      <c r="H34" s="27"/>
      <c r="I34" s="27"/>
      <c r="J34" s="27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28" t="s">
        <v>96</v>
      </c>
      <c r="B40" s="28"/>
      <c r="C40" s="28"/>
      <c r="D40" s="28"/>
      <c r="E40" s="28"/>
      <c r="F40" s="28"/>
      <c r="G40" s="28"/>
      <c r="H40" s="28"/>
      <c r="I40" s="28"/>
      <c r="J40" s="28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28" t="s">
        <v>97</v>
      </c>
      <c r="B43" s="28"/>
      <c r="C43" s="28"/>
      <c r="D43" s="28"/>
      <c r="E43" s="28"/>
      <c r="F43" s="28"/>
      <c r="G43" s="28"/>
      <c r="H43" s="28"/>
      <c r="I43" s="28"/>
      <c r="J43" s="28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28" t="s">
        <v>98</v>
      </c>
      <c r="B46" s="28"/>
      <c r="C46" s="28"/>
      <c r="D46" s="28"/>
      <c r="E46" s="28"/>
      <c r="F46" s="28"/>
      <c r="G46" s="28"/>
      <c r="H46" s="28"/>
      <c r="I46" s="28"/>
      <c r="J46" s="28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5:J5"/>
    <mergeCell ref="A11:J11"/>
    <mergeCell ref="A17:J17"/>
    <mergeCell ref="A20:J20"/>
    <mergeCell ref="A23:J23"/>
    <mergeCell ref="A28:J28"/>
    <mergeCell ref="A34:J34"/>
    <mergeCell ref="A40:J40"/>
    <mergeCell ref="A43:J43"/>
    <mergeCell ref="A46:J4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52"/>
  <sheetViews>
    <sheetView workbookViewId="0">
      <selection activeCell="E2" sqref="E2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>
        <v>1124682949376</v>
      </c>
      <c r="C3" s="19">
        <v>430480795655</v>
      </c>
    </row>
    <row r="5" spans="1:20" x14ac:dyDescent="0.2">
      <c r="A5" s="26" t="s">
        <v>114</v>
      </c>
      <c r="B5" s="26"/>
      <c r="C5" s="26"/>
      <c r="D5" s="26"/>
      <c r="E5" s="26"/>
      <c r="F5" s="26"/>
      <c r="G5" s="26"/>
      <c r="H5" s="26"/>
      <c r="I5" s="26"/>
      <c r="J5" s="26"/>
    </row>
    <row r="6" spans="1:20" x14ac:dyDescent="0.2">
      <c r="A6" s="5" t="s">
        <v>14</v>
      </c>
      <c r="B6" s="6" t="s">
        <v>15</v>
      </c>
      <c r="C6" s="7" t="s">
        <v>16</v>
      </c>
      <c r="D6" s="8" t="s">
        <v>17</v>
      </c>
      <c r="E6" s="1" t="s">
        <v>18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9</v>
      </c>
      <c r="K6" s="9" t="s">
        <v>46</v>
      </c>
      <c r="L6" s="9" t="s">
        <v>61</v>
      </c>
      <c r="M6" s="9" t="s">
        <v>10</v>
      </c>
      <c r="N6" s="9" t="s">
        <v>62</v>
      </c>
      <c r="O6" s="9" t="s">
        <v>63</v>
      </c>
      <c r="P6" s="9" t="s">
        <v>12</v>
      </c>
      <c r="Q6" s="9" t="s">
        <v>64</v>
      </c>
      <c r="R6" s="9" t="s">
        <v>65</v>
      </c>
      <c r="S6" s="9" t="s">
        <v>66</v>
      </c>
      <c r="T6" s="9" t="s">
        <v>67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503018217000000</v>
      </c>
      <c r="B8" s="15">
        <f>VLOOKUP(B6,[1]PriceValue!A40:B194,2,FALSE)*VLOOKUP(B6,'[1]2023'!A41:F200,4,FALSE)</f>
        <v>58630208270000</v>
      </c>
      <c r="C8" s="15">
        <f>VLOOKUP(C6,[1]PriceValue!A40:B194,2,FALSE)*VLOOKUP(C6,'[1]2023'!A41:F200,4,FALSE)</f>
        <v>163686217455000</v>
      </c>
      <c r="D8" s="15">
        <f>VLOOKUP(D6,[1]PriceValue!A40:B194,2,FALSE)*VLOOKUP(D6,'[1]2023'!A41:F200,4,FALSE)</f>
        <v>155504902560000</v>
      </c>
      <c r="E8" s="15">
        <f>VLOOKUP(E6,[1]PriceValue!A40:B194,2,FALSE)*VLOOKUP(E6,'[1]2023'!A41:F200,4,FALSE)</f>
        <v>13548700779900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190634705350000</v>
      </c>
      <c r="H8" s="15">
        <f>VLOOKUP(H6,[1]PriceValue!A40:B194,2,FALSE)*VLOOKUP(H6,'[1]2023'!A41:F200,4,FALSE)</f>
        <v>32668079070000</v>
      </c>
      <c r="I8" s="15">
        <f>VLOOKUP(I6,[1]PriceValue!A40:B194,2,FALSE)*VLOOKUP(I6,'[1]2023'!A41:F200,4,FALSE)</f>
        <v>18479996024000</v>
      </c>
      <c r="J8" s="15">
        <f>VLOOKUP(J6,[1]PriceValue!A40:B194,2,FALSE)*VLOOKUP(J6,'[1]2023'!A41:F200,4,FALSE)</f>
        <v>12504829619100</v>
      </c>
      <c r="K8" s="15">
        <f>VLOOKUP(K6,[1]PriceValue!A40:B194,2,FALSE)*VLOOKUP(K6,'[1]2023'!A41:F200,4,FALSE)</f>
        <v>14321588684250</v>
      </c>
      <c r="L8" s="15">
        <f>VLOOKUP(L6,[1]PriceValue!A40:B194,2,FALSE)*VLOOKUP(L6,'[1]2023'!A41:F200,4,FALSE)</f>
        <v>57669292857600</v>
      </c>
      <c r="M8" s="15">
        <f>VLOOKUP(M6,[1]PriceValue!A40:B194,2,FALSE)*VLOOKUP(M6,'[1]2023'!A41:F200,4,FALSE)</f>
        <v>19731250000000</v>
      </c>
      <c r="N8" s="15">
        <f>VLOOKUP(N6,[1]PriceValue!A40:B194,2,FALSE)*VLOOKUP(N6,'[1]2023'!A41:F200,4,FALSE)</f>
        <v>15314143345800</v>
      </c>
      <c r="O8" s="15">
        <f>VLOOKUP(O6,[1]PriceValue!A40:B194,2,FALSE)*VLOOKUP(O6,'[1]2023'!A41:F200,4,FALSE)</f>
        <v>68474735955000</v>
      </c>
      <c r="P8" s="15">
        <f>VLOOKUP(P6,[1]PriceValue!A40:B194,2,FALSE)*VLOOKUP(P6,'[1]2023'!A41:F200,4,FALSE)</f>
        <v>12116949522500</v>
      </c>
      <c r="Q8" s="15">
        <f>VLOOKUP(Q6,[1]PriceValue!A40:B194,2,FALSE)*VLOOKUP(Q6,'[1]2023'!A41:F200,4,FALSE)</f>
        <v>3388757320800</v>
      </c>
      <c r="R8" s="15">
        <f>VLOOKUP(R6,[1]PriceValue!A40:B194,2,FALSE)*VLOOKUP(R6,'[1]2023'!A41:F200,4,FALSE)</f>
        <v>44962263314750</v>
      </c>
      <c r="S8" s="15">
        <f>VLOOKUP(S6,[1]PriceValue!A40:B194,2,FALSE)*VLOOKUP(S6,'[1]2023'!A41:F200,4,FALSE)</f>
        <v>28200000000000</v>
      </c>
      <c r="T8" s="15">
        <f>VLOOKUP(T6,[1]PriceValue!A40:B194,2,FALSE)*VLOOKUP(T6,'[1]2023'!A41:F200,4,FALSE)</f>
        <v>49564240000000</v>
      </c>
    </row>
    <row r="9" spans="1:20" x14ac:dyDescent="0.2">
      <c r="A9" s="18">
        <f>A7/A8</f>
        <v>1.787730185320505E-3</v>
      </c>
      <c r="B9" s="18">
        <f>B7/B8</f>
        <v>1.3150867265356893E-2</v>
      </c>
      <c r="C9" s="18">
        <f t="shared" ref="C9:J9" si="0">C7/C8</f>
        <v>4.5093015773054841E-3</v>
      </c>
      <c r="D9" s="18">
        <f t="shared" si="0"/>
        <v>4.2664732048818309E-3</v>
      </c>
      <c r="E9" s="18">
        <f t="shared" si="0"/>
        <v>3.7931879059461611E-2</v>
      </c>
      <c r="F9" s="18">
        <f t="shared" si="0"/>
        <v>6.5027978016288573E-3</v>
      </c>
      <c r="G9" s="18">
        <f t="shared" si="0"/>
        <v>2.1135194356151897E-3</v>
      </c>
      <c r="H9" s="18">
        <f t="shared" si="0"/>
        <v>9.8657273286684253E-3</v>
      </c>
      <c r="I9" s="18">
        <f t="shared" si="0"/>
        <v>1.6964022169207366E-2</v>
      </c>
      <c r="J9" s="18">
        <f t="shared" si="0"/>
        <v>2.0678126634052475E-2</v>
      </c>
      <c r="K9" s="18">
        <f t="shared" ref="K9" si="1">K7/K8</f>
        <v>1.7103613595981983E-2</v>
      </c>
      <c r="L9" s="18">
        <f t="shared" ref="L9" si="2">L7/L8</f>
        <v>3.7353651307103072E-3</v>
      </c>
      <c r="M9" s="18">
        <f t="shared" ref="M9" si="3">M7/M8</f>
        <v>9.4288557805004749E-3</v>
      </c>
      <c r="N9" s="18">
        <f t="shared" ref="N9" si="4">N7/N8</f>
        <v>1.0954365922531888E-2</v>
      </c>
      <c r="O9" s="18">
        <f t="shared" ref="O9" si="5">O7/O8</f>
        <v>2.1011644366843913E-3</v>
      </c>
      <c r="P9" s="18">
        <f t="shared" ref="P9" si="6">P7/P8</f>
        <v>1.0992321933228553E-2</v>
      </c>
      <c r="Q9" s="18">
        <f t="shared" ref="Q9" si="7">Q7/Q8</f>
        <v>3.0719963144313925E-2</v>
      </c>
      <c r="R9" s="18">
        <f t="shared" ref="R9" si="8">R7/R8</f>
        <v>1.7353991496776556E-3</v>
      </c>
      <c r="S9" s="18">
        <f t="shared" ref="S9" si="9">S7/S8</f>
        <v>2.575194280851064E-3</v>
      </c>
      <c r="T9" s="18">
        <f t="shared" ref="T9" si="10">T7/T8</f>
        <v>1.2117127301861182E-3</v>
      </c>
    </row>
    <row r="10" spans="1:20" x14ac:dyDescent="0.2">
      <c r="A10" s="18"/>
    </row>
    <row r="11" spans="1:20" x14ac:dyDescent="0.2">
      <c r="A11" s="27" t="s">
        <v>115</v>
      </c>
      <c r="B11" s="27"/>
      <c r="C11" s="27"/>
      <c r="D11" s="27"/>
      <c r="E11" s="27"/>
      <c r="F11" s="27"/>
      <c r="G11" s="27"/>
      <c r="H11" s="27"/>
      <c r="I11" s="27"/>
      <c r="J11" s="27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42</v>
      </c>
      <c r="B12" s="6" t="s">
        <v>12</v>
      </c>
      <c r="C12" s="7" t="s">
        <v>5</v>
      </c>
      <c r="D12" s="8" t="s">
        <v>43</v>
      </c>
      <c r="E12" s="1" t="s">
        <v>44</v>
      </c>
      <c r="F12" s="9" t="s">
        <v>45</v>
      </c>
      <c r="G12" s="9" t="s">
        <v>46</v>
      </c>
      <c r="H12" s="9" t="s">
        <v>16</v>
      </c>
      <c r="I12" s="9" t="s">
        <v>28</v>
      </c>
      <c r="J12" s="9" t="s">
        <v>15</v>
      </c>
      <c r="K12" s="9" t="s">
        <v>18</v>
      </c>
      <c r="L12" s="9" t="s">
        <v>27</v>
      </c>
      <c r="M12" s="9" t="s">
        <v>81</v>
      </c>
      <c r="N12" s="9" t="s">
        <v>29</v>
      </c>
      <c r="O12" s="9" t="s">
        <v>82</v>
      </c>
      <c r="P12" s="9" t="s">
        <v>83</v>
      </c>
      <c r="Q12" s="9" t="s">
        <v>31</v>
      </c>
      <c r="R12" s="9" t="s">
        <v>26</v>
      </c>
      <c r="S12" s="9" t="s">
        <v>25</v>
      </c>
      <c r="T12" s="9" t="s">
        <v>84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9314316962100</v>
      </c>
      <c r="B14" s="4">
        <f>VLOOKUP(B12,[1]PriceValue!A46:B226,2,FALSE)*VLOOKUP(B12,'[1]2023'!A47:F206,4,FALSE)</f>
        <v>12116949522500</v>
      </c>
      <c r="C14" s="4">
        <f>VLOOKUP(C12,[1]PriceValue!A41:B226,2,FALSE)*VLOOKUP(C12,'[1]2023'!A47:F206,4,FALSE)</f>
        <v>52689667808700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29929029945600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14321588684250</v>
      </c>
      <c r="H14" s="4">
        <f>VLOOKUP(H12,[1]PriceValue!A46:B226,2,FALSE)*VLOOKUP(H12,'[1]2023'!A47:F206,4,FALSE)</f>
        <v>163686217455000</v>
      </c>
      <c r="I14" s="4">
        <f>VLOOKUP(I12,[1]PriceValue!A46:B226,2,FALSE)*VLOOKUP(I12,'[1]2023'!A47:F206,4,FALSE)</f>
        <v>182012561500000</v>
      </c>
      <c r="J14" s="4">
        <f>VLOOKUP(J12,[1]PriceValue!A46:B226,2,FALSE)*VLOOKUP(J12,'[1]2023'!A47:F206,4,FALSE)</f>
        <v>58630208270000</v>
      </c>
      <c r="K14" s="4">
        <f>VLOOKUP(K12,[1]PriceValue!A46:B226,2,FALSE)*VLOOKUP(K12,'[1]2023'!A47:F206,4,FALSE)</f>
        <v>13548700779900</v>
      </c>
      <c r="L14" s="4">
        <f>VLOOKUP(L12,[1]PriceValue!A46:B226,2,FALSE)*VLOOKUP(L12,'[1]2023'!A47:F206,4,FALSE)</f>
        <v>92861736660000</v>
      </c>
      <c r="M14" s="4">
        <f>VLOOKUP(M12,[1]PriceValue!A46:B226,2,FALSE)*VLOOKUP(M12,'[1]2023'!A47:F206,4,FALSE)</f>
        <v>1722000000000</v>
      </c>
      <c r="N14" s="4">
        <f>VLOOKUP(N12,[1]PriceValue!A46:B226,2,FALSE)*VLOOKUP(N12,'[1]2023'!A47:F206,4,FALSE)</f>
        <v>36534767313200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23628045000000</v>
      </c>
      <c r="Q14" s="4">
        <f>VLOOKUP(Q12,[1]PriceValue!A46:B226,2,FALSE)*VLOOKUP(Q12,'[1]2023'!A47:F206,4,FALSE)</f>
        <v>46420737660000</v>
      </c>
      <c r="R14" s="4">
        <f>VLOOKUP(R12,[1]PriceValue!A46:B226,2,FALSE)*VLOOKUP(R12,'[1]2023'!A47:F206,4,FALSE)</f>
        <v>51001122960000</v>
      </c>
      <c r="S14" s="4">
        <f>VLOOKUP(S12,[1]PriceValue!A46:B226,2,FALSE)*VLOOKUP(S12,'[1]2023'!A47:F206,4,FALSE)</f>
        <v>141280988082000</v>
      </c>
      <c r="T14" s="4">
        <f>VLOOKUP(T12,[1]PriceValue!A46:B226,2,FALSE)*VLOOKUP(T12,'[1]2023'!A47:F206,4,FALSE)</f>
        <v>131389652840000</v>
      </c>
    </row>
    <row r="15" spans="1:20" x14ac:dyDescent="0.2">
      <c r="A15" s="18">
        <f>A13/A14</f>
        <v>2.8527697315992116E-2</v>
      </c>
      <c r="B15" s="18">
        <f t="shared" ref="B15:T15" si="11">B13/B14</f>
        <v>1.6603875144186479E-2</v>
      </c>
      <c r="C15" s="18">
        <f t="shared" si="11"/>
        <v>1.8630165283333169E-3</v>
      </c>
      <c r="D15" s="18" t="e">
        <f t="shared" si="11"/>
        <v>#N/A</v>
      </c>
      <c r="E15" s="18">
        <f t="shared" si="11"/>
        <v>2.7909110369372333E-3</v>
      </c>
      <c r="F15" s="18" t="e">
        <f t="shared" si="11"/>
        <v>#N/A</v>
      </c>
      <c r="G15" s="18">
        <f t="shared" si="11"/>
        <v>5.0848151420579369E-3</v>
      </c>
      <c r="H15" s="18">
        <f t="shared" si="11"/>
        <v>4.3673356322534003E-4</v>
      </c>
      <c r="I15" s="18">
        <f t="shared" si="11"/>
        <v>3.2816174613310961E-4</v>
      </c>
      <c r="J15" s="18">
        <f t="shared" si="11"/>
        <v>9.4830372670617153E-4</v>
      </c>
      <c r="K15" s="18">
        <f t="shared" si="11"/>
        <v>2.7904894066366009E-3</v>
      </c>
      <c r="L15" s="18">
        <f t="shared" si="11"/>
        <v>4.0257905295134505E-4</v>
      </c>
      <c r="M15" s="18">
        <f t="shared" si="11"/>
        <v>1.7676724738675959E-2</v>
      </c>
      <c r="N15" s="18">
        <f t="shared" si="11"/>
        <v>8.0824207108967151E-4</v>
      </c>
      <c r="O15" s="18">
        <f t="shared" si="11"/>
        <v>7.0488430493316826E-4</v>
      </c>
      <c r="P15" s="18">
        <f t="shared" si="11"/>
        <v>1.1944612853073541E-3</v>
      </c>
      <c r="Q15" s="18">
        <f t="shared" si="11"/>
        <v>5.9060259233286816E-4</v>
      </c>
      <c r="R15" s="18">
        <f t="shared" si="11"/>
        <v>4.9946037501916217E-4</v>
      </c>
      <c r="S15" s="18">
        <f t="shared" si="11"/>
        <v>1.7604583842211128E-4</v>
      </c>
      <c r="T15" s="18">
        <f t="shared" si="11"/>
        <v>1.8700036470847562E-4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9" t="s">
        <v>88</v>
      </c>
      <c r="B17" s="29"/>
      <c r="C17" s="29"/>
      <c r="D17" s="29"/>
      <c r="E17" s="29"/>
      <c r="F17" s="29"/>
      <c r="G17" s="29"/>
      <c r="H17" s="29"/>
      <c r="I17" s="29"/>
      <c r="J17" s="29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14</v>
      </c>
      <c r="B18" s="18" t="s">
        <v>39</v>
      </c>
      <c r="C18" s="18" t="s">
        <v>15</v>
      </c>
      <c r="D18" s="18" t="s">
        <v>89</v>
      </c>
      <c r="E18" s="18" t="s">
        <v>20</v>
      </c>
      <c r="F18" s="18" t="s">
        <v>90</v>
      </c>
      <c r="G18" s="18" t="s">
        <v>44</v>
      </c>
      <c r="H18" s="18" t="s">
        <v>63</v>
      </c>
      <c r="I18" s="18" t="s">
        <v>18</v>
      </c>
      <c r="J18" s="18" t="s">
        <v>22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9" t="s">
        <v>91</v>
      </c>
      <c r="B20" s="29"/>
      <c r="C20" s="29"/>
      <c r="D20" s="29"/>
      <c r="E20" s="29"/>
      <c r="F20" s="29"/>
      <c r="G20" s="29"/>
      <c r="H20" s="29"/>
      <c r="I20" s="29"/>
      <c r="J20" s="29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63</v>
      </c>
      <c r="B21" s="18" t="s">
        <v>69</v>
      </c>
      <c r="C21" s="18" t="s">
        <v>14</v>
      </c>
      <c r="D21" s="18" t="s">
        <v>18</v>
      </c>
      <c r="E21" s="18" t="s">
        <v>92</v>
      </c>
      <c r="F21" s="18" t="s">
        <v>93</v>
      </c>
      <c r="G21" s="18" t="s">
        <v>20</v>
      </c>
      <c r="H21" s="18" t="s">
        <v>44</v>
      </c>
      <c r="I21" s="18" t="s">
        <v>75</v>
      </c>
      <c r="J21" s="18" t="s">
        <v>38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9" t="s">
        <v>94</v>
      </c>
      <c r="B23" s="29"/>
      <c r="C23" s="29"/>
      <c r="D23" s="29"/>
      <c r="E23" s="29"/>
      <c r="F23" s="29"/>
      <c r="G23" s="29"/>
      <c r="H23" s="29"/>
      <c r="I23" s="29"/>
      <c r="J23" s="29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14</v>
      </c>
      <c r="B24" s="18" t="s">
        <v>63</v>
      </c>
      <c r="C24" s="18" t="s">
        <v>44</v>
      </c>
      <c r="D24" s="18" t="s">
        <v>95</v>
      </c>
      <c r="E24" s="18" t="s">
        <v>61</v>
      </c>
      <c r="F24" s="18" t="s">
        <v>75</v>
      </c>
      <c r="G24" s="18" t="s">
        <v>12</v>
      </c>
      <c r="H24" s="18" t="s">
        <v>18</v>
      </c>
      <c r="I24" s="18" t="s">
        <v>42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29" t="s">
        <v>117</v>
      </c>
      <c r="B26" s="29"/>
      <c r="C26" s="29"/>
      <c r="D26" s="29"/>
      <c r="E26" s="29"/>
      <c r="F26" s="29"/>
      <c r="G26" s="29"/>
      <c r="H26" s="29"/>
      <c r="I26" s="29"/>
      <c r="J26" s="29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 t="s">
        <v>103</v>
      </c>
      <c r="B27" s="18" t="s">
        <v>104</v>
      </c>
      <c r="C27" s="18" t="s">
        <v>105</v>
      </c>
      <c r="D27" s="18" t="s">
        <v>106</v>
      </c>
      <c r="E27" s="18" t="s">
        <v>72</v>
      </c>
      <c r="F27" s="18" t="s">
        <v>39</v>
      </c>
      <c r="G27" s="18" t="s">
        <v>20</v>
      </c>
      <c r="H27" s="18" t="s">
        <v>107</v>
      </c>
      <c r="I27" s="18" t="s">
        <v>108</v>
      </c>
      <c r="J27" s="18" t="s">
        <v>109</v>
      </c>
      <c r="K27" s="18" t="s">
        <v>8</v>
      </c>
      <c r="L27" s="18" t="s">
        <v>110</v>
      </c>
      <c r="M27" s="18" t="s">
        <v>31</v>
      </c>
      <c r="N27" s="18" t="s">
        <v>9</v>
      </c>
      <c r="O27" s="18" t="s">
        <v>64</v>
      </c>
      <c r="P27" s="18" t="s">
        <v>7</v>
      </c>
      <c r="Q27" s="18" t="s">
        <v>111</v>
      </c>
      <c r="R27" s="18" t="s">
        <v>14</v>
      </c>
      <c r="S27" s="18" t="s">
        <v>112</v>
      </c>
      <c r="T27" s="18" t="s">
        <v>113</v>
      </c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2">
      <c r="A29" s="18"/>
    </row>
    <row r="30" spans="1:20" x14ac:dyDescent="0.2">
      <c r="A30" s="26" t="s">
        <v>24</v>
      </c>
      <c r="B30" s="26"/>
      <c r="C30" s="26"/>
      <c r="D30" s="26"/>
      <c r="E30" s="26"/>
      <c r="F30" s="26"/>
      <c r="G30" s="26"/>
      <c r="H30" s="26"/>
      <c r="I30" s="26"/>
      <c r="J30" s="26"/>
    </row>
    <row r="31" spans="1:20" x14ac:dyDescent="0.2">
      <c r="A31" s="10" t="s">
        <v>25</v>
      </c>
      <c r="B31" s="11" t="s">
        <v>26</v>
      </c>
      <c r="C31" s="12" t="s">
        <v>27</v>
      </c>
      <c r="D31" s="2" t="s">
        <v>28</v>
      </c>
      <c r="E31" s="13" t="s">
        <v>29</v>
      </c>
      <c r="F31" s="14" t="s">
        <v>30</v>
      </c>
      <c r="G31" s="14" t="s">
        <v>31</v>
      </c>
      <c r="H31" s="14" t="s">
        <v>32</v>
      </c>
      <c r="I31" s="14" t="s">
        <v>33</v>
      </c>
      <c r="J31" s="14" t="s">
        <v>34</v>
      </c>
      <c r="K31" s="14" t="s">
        <v>11</v>
      </c>
      <c r="L31" s="14" t="s">
        <v>68</v>
      </c>
      <c r="M31" s="14" t="s">
        <v>69</v>
      </c>
      <c r="N31" s="14" t="s">
        <v>70</v>
      </c>
      <c r="O31" s="14" t="s">
        <v>6</v>
      </c>
      <c r="P31" s="14" t="s">
        <v>71</v>
      </c>
      <c r="Q31" s="14" t="s">
        <v>72</v>
      </c>
      <c r="R31" s="14" t="s">
        <v>73</v>
      </c>
      <c r="S31" s="14" t="s">
        <v>74</v>
      </c>
      <c r="T31" s="14" t="s">
        <v>75</v>
      </c>
    </row>
    <row r="32" spans="1:20" x14ac:dyDescent="0.2">
      <c r="A32" s="16">
        <v>-956073459293</v>
      </c>
      <c r="B32" s="16">
        <v>-790349870000</v>
      </c>
      <c r="C32" s="16">
        <v>-401260743862</v>
      </c>
      <c r="D32" s="16">
        <v>-378547190000</v>
      </c>
      <c r="E32" s="16">
        <v>-370536940000</v>
      </c>
      <c r="F32" s="16">
        <v>-312050819171</v>
      </c>
      <c r="G32" s="16">
        <v>-275955182845</v>
      </c>
      <c r="H32" s="16">
        <v>-243177580000</v>
      </c>
      <c r="I32" s="16">
        <v>-240329185624</v>
      </c>
      <c r="J32" s="16">
        <v>-222875431655</v>
      </c>
      <c r="K32" s="16">
        <v>-209872913405</v>
      </c>
      <c r="L32" s="16">
        <v>-179047931909</v>
      </c>
      <c r="M32" s="16">
        <v>-177021486358</v>
      </c>
      <c r="N32" s="16">
        <v>-158227510000</v>
      </c>
      <c r="O32" s="16">
        <v>-157646130000</v>
      </c>
      <c r="P32" s="16">
        <v>-155115890000</v>
      </c>
      <c r="Q32" s="16">
        <v>-148729067216</v>
      </c>
      <c r="R32" s="16">
        <v>-130111545140</v>
      </c>
      <c r="S32" s="16">
        <v>-88796990000</v>
      </c>
      <c r="T32" s="16">
        <v>-72195569880</v>
      </c>
    </row>
    <row r="33" spans="1:20" x14ac:dyDescent="0.2">
      <c r="A33" s="4">
        <f>VLOOKUP(A31,[1]PriceValue!A40:B194,2,FALSE)*VLOOKUP(A31,'[1]2023'!A41:F200,4,FALSE)</f>
        <v>141280988082000</v>
      </c>
      <c r="B33" s="4">
        <f>VLOOKUP(B31,[1]PriceValue!A40:B194,2,FALSE)*VLOOKUP(B31,'[1]2023'!A41:F200,4,FALSE)</f>
        <v>51001122960000</v>
      </c>
      <c r="C33" s="4">
        <f>VLOOKUP(C31,[1]PriceValue!A40:B194,2,FALSE)*VLOOKUP(C31,'[1]2023'!A41:F200,4,FALSE)</f>
        <v>92861736660000</v>
      </c>
      <c r="D33" s="4">
        <f>VLOOKUP(D31,[1]PriceValue!A40:B194,2,FALSE)*VLOOKUP(D31,'[1]2023'!A41:F200,4,FALSE)</f>
        <v>182012561500000</v>
      </c>
      <c r="E33" s="4">
        <f>VLOOKUP(E31,[1]PriceValue!A40:B194,2,FALSE)*VLOOKUP(E31,'[1]2023'!A41:F200,4,FALSE)</f>
        <v>36534767313200</v>
      </c>
      <c r="F33" s="4">
        <f>VLOOKUP(F31,[1]PriceValue!A40:B194,2,FALSE)*VLOOKUP(F31,'[1]2023'!A41:F200,4,FALSE)</f>
        <v>8194283338800</v>
      </c>
      <c r="G33" s="4">
        <f>VLOOKUP(G31,[1]PriceValue!A40:B194,2,FALSE)*VLOOKUP(G31,'[1]2023'!A41:F200,4,FALSE)</f>
        <v>46420737660000</v>
      </c>
      <c r="H33" s="4">
        <f>VLOOKUP(H31,[1]PriceValue!A40:B194,2,FALSE)*VLOOKUP(H31,'[1]2023'!A41:F200,4,FALSE)</f>
        <v>17030298625000</v>
      </c>
      <c r="I33" s="4">
        <f>VLOOKUP(I31,[1]PriceValue!A40:B194,2,FALSE)*VLOOKUP(I31,'[1]2023'!A41:F200,4,FALSE)</f>
        <v>17971532504000</v>
      </c>
      <c r="J33" s="4">
        <f>VLOOKUP(J31,[1]PriceValue!A40:B194,2,FALSE)*VLOOKUP(J31,'[1]2023'!A41:F200,4,FALSE)</f>
        <v>173863206417900</v>
      </c>
      <c r="K33" s="4">
        <f>VLOOKUP(K31,[1]PriceValue!A40:B194,2,FALSE)*VLOOKUP(K31,'[1]2023'!A41:F200,4,FALSE)</f>
        <v>14311558764800</v>
      </c>
      <c r="L33" s="4">
        <f>VLOOKUP(L31,[1]PriceValue!A40:B194,2,FALSE)*VLOOKUP(L31,'[1]2023'!A41:F200,4,FALSE)</f>
        <v>164451931920000</v>
      </c>
      <c r="M33" s="4">
        <f>VLOOKUP(M31,[1]PriceValue!A40:B194,2,FALSE)*VLOOKUP(M31,'[1]2023'!A41:F200,4,FALSE)</f>
        <v>40730247500000</v>
      </c>
      <c r="N33" s="4">
        <f>VLOOKUP(N31,[1]PriceValue!A40:B194,2,FALSE)*VLOOKUP(N31,'[1]2023'!A41:F200,4,FALSE)</f>
        <v>13268460000000</v>
      </c>
      <c r="O33" s="4">
        <f>VLOOKUP(O31,[1]PriceValue!A40:B194,2,FALSE)*VLOOKUP(O31,'[1]2023'!A41:F200,4,FALSE)</f>
        <v>28010412207000</v>
      </c>
      <c r="P33" s="4">
        <f>VLOOKUP(P31,[1]PriceValue!A40:B194,2,FALSE)*VLOOKUP(P31,'[1]2023'!A41:F200,4,FALSE)</f>
        <v>24938533495200</v>
      </c>
      <c r="Q33" s="4">
        <f>VLOOKUP(Q31,[1]PriceValue!A40:B194,2,FALSE)*VLOOKUP(Q31,'[1]2023'!A41:F200,4,FALSE)</f>
        <v>8415208202200</v>
      </c>
      <c r="R33" s="4">
        <f>VLOOKUP(R31,[1]PriceValue!A40:B194,2,FALSE)*VLOOKUP(R31,'[1]2023'!A41:F200,4,FALSE)</f>
        <v>17999600000000</v>
      </c>
      <c r="S33" s="4">
        <f>VLOOKUP(S31,[1]PriceValue!A40:B194,2,FALSE)*VLOOKUP(S31,'[1]2023'!A41:F200,4,FALSE)</f>
        <v>15993510172500</v>
      </c>
      <c r="T33" s="4">
        <f>VLOOKUP(T31,[1]PriceValue!A40:B194,2,FALSE)*VLOOKUP(T31,'[1]2023'!A41:F200,4,FALSE)</f>
        <v>6909153074450</v>
      </c>
    </row>
    <row r="34" spans="1:20" x14ac:dyDescent="0.2">
      <c r="A34" s="18">
        <f>-(A32/A33)</f>
        <v>6.7671770439352496E-3</v>
      </c>
      <c r="B34" s="18">
        <f t="shared" ref="B34:J34" si="12">-(B32/B33)</f>
        <v>1.5496715055075721E-2</v>
      </c>
      <c r="C34" s="18">
        <f t="shared" si="12"/>
        <v>4.3210557792081683E-3</v>
      </c>
      <c r="D34" s="18">
        <f t="shared" si="12"/>
        <v>2.0797860701498891E-3</v>
      </c>
      <c r="E34" s="18">
        <f t="shared" si="12"/>
        <v>1.0142036401204207E-2</v>
      </c>
      <c r="F34" s="18">
        <f t="shared" si="12"/>
        <v>3.8081526628867809E-2</v>
      </c>
      <c r="G34" s="18">
        <f t="shared" si="12"/>
        <v>5.9446531174532826E-3</v>
      </c>
      <c r="H34" s="18">
        <f t="shared" si="12"/>
        <v>1.4279114263036007E-2</v>
      </c>
      <c r="I34" s="18">
        <f t="shared" si="12"/>
        <v>1.3372770829115931E-2</v>
      </c>
      <c r="J34" s="18">
        <f t="shared" si="12"/>
        <v>1.2819010775591791E-3</v>
      </c>
      <c r="K34" s="18">
        <f t="shared" ref="K34" si="13">-(K32/K33)</f>
        <v>1.4664574058920334E-2</v>
      </c>
      <c r="L34" s="18">
        <f t="shared" ref="L34" si="14">-(L32/L33)</f>
        <v>1.0887554181856643E-3</v>
      </c>
      <c r="M34" s="18">
        <f t="shared" ref="M34" si="15">-(M32/M33)</f>
        <v>4.346192258173732E-3</v>
      </c>
      <c r="N34" s="18">
        <f t="shared" ref="N34" si="16">-(N32/N33)</f>
        <v>1.1925084749850398E-2</v>
      </c>
      <c r="O34" s="18">
        <f t="shared" ref="O34" si="17">-(O32/O33)</f>
        <v>5.6281260280990481E-3</v>
      </c>
      <c r="P34" s="18">
        <f t="shared" ref="P34" si="18">-(P32/P33)</f>
        <v>6.2199282900839243E-3</v>
      </c>
      <c r="Q34" s="18">
        <f t="shared" ref="Q34" si="19">-(Q32/Q33)</f>
        <v>1.7673842838150759E-2</v>
      </c>
      <c r="R34" s="18">
        <f t="shared" ref="R34" si="20">-(R32/R33)</f>
        <v>7.2285798095513233E-3</v>
      </c>
      <c r="S34" s="18">
        <f t="shared" ref="S34" si="21">-(S32/S33)</f>
        <v>5.5520638710495063E-3</v>
      </c>
      <c r="T34" s="18">
        <f t="shared" ref="T34" si="22">-(T32/T33)</f>
        <v>1.0449264779930656E-2</v>
      </c>
    </row>
    <row r="36" spans="1:20" x14ac:dyDescent="0.2">
      <c r="A36" s="27" t="s">
        <v>24</v>
      </c>
      <c r="B36" s="27"/>
      <c r="C36" s="27"/>
      <c r="D36" s="27"/>
      <c r="E36" s="27"/>
      <c r="F36" s="27"/>
      <c r="G36" s="27"/>
      <c r="H36" s="27"/>
      <c r="I36" s="27"/>
      <c r="J36" s="27"/>
    </row>
    <row r="37" spans="1:20" x14ac:dyDescent="0.2">
      <c r="A37" s="10" t="s">
        <v>20</v>
      </c>
      <c r="B37" s="11" t="s">
        <v>35</v>
      </c>
      <c r="C37" s="12" t="s">
        <v>36</v>
      </c>
      <c r="D37" s="2" t="s">
        <v>17</v>
      </c>
      <c r="E37" s="13" t="s">
        <v>37</v>
      </c>
      <c r="F37" s="14" t="s">
        <v>38</v>
      </c>
      <c r="G37" s="14" t="s">
        <v>39</v>
      </c>
      <c r="H37" s="14" t="s">
        <v>21</v>
      </c>
      <c r="I37" s="14" t="s">
        <v>40</v>
      </c>
      <c r="J37" s="14" t="s">
        <v>41</v>
      </c>
      <c r="K37" s="14" t="s">
        <v>76</v>
      </c>
      <c r="L37" s="14" t="s">
        <v>77</v>
      </c>
      <c r="M37" s="14" t="s">
        <v>19</v>
      </c>
      <c r="N37" s="14" t="s">
        <v>78</v>
      </c>
      <c r="O37" s="14" t="s">
        <v>65</v>
      </c>
      <c r="P37" s="14" t="s">
        <v>79</v>
      </c>
      <c r="Q37" s="14" t="s">
        <v>80</v>
      </c>
      <c r="R37" s="14" t="s">
        <v>63</v>
      </c>
      <c r="S37" s="14" t="s">
        <v>66</v>
      </c>
      <c r="T37" s="14" t="s">
        <v>69</v>
      </c>
    </row>
    <row r="38" spans="1:20" x14ac:dyDescent="0.2">
      <c r="A38" s="16">
        <v>-254022663000</v>
      </c>
      <c r="B38" s="16">
        <v>-139840000000</v>
      </c>
      <c r="C38" s="16">
        <v>-91489197000</v>
      </c>
      <c r="D38" s="16">
        <v>-87705560000</v>
      </c>
      <c r="E38" s="16">
        <v>-78952430000</v>
      </c>
      <c r="F38" s="16">
        <v>-75288077000</v>
      </c>
      <c r="G38" s="16">
        <v>-69099374000</v>
      </c>
      <c r="H38" s="16">
        <v>-49988695000</v>
      </c>
      <c r="I38" s="16">
        <v>-38185200000</v>
      </c>
      <c r="J38" s="16">
        <v>-32211512000</v>
      </c>
      <c r="K38" s="16">
        <v>-28250782000</v>
      </c>
      <c r="L38" s="17">
        <v>-26115100000</v>
      </c>
      <c r="M38" s="17">
        <v>-23192275000</v>
      </c>
      <c r="N38" s="17">
        <v>-19532268000</v>
      </c>
      <c r="O38" s="17">
        <v>-17594612000</v>
      </c>
      <c r="P38" s="17">
        <v>-15612673000</v>
      </c>
      <c r="Q38" s="17">
        <v>-14950785000</v>
      </c>
      <c r="R38" s="17">
        <v>-14269861000</v>
      </c>
      <c r="S38" s="17">
        <v>-11950419000</v>
      </c>
      <c r="T38" s="17">
        <v>-10323793000</v>
      </c>
    </row>
    <row r="39" spans="1:20" x14ac:dyDescent="0.2">
      <c r="A39" s="4">
        <f>VLOOKUP(A37,[1]PriceValue!A52:B206,2,FALSE)*VLOOKUP(A37,'[1]2023'!A53:F212,4,FALSE)</f>
        <v>190634705350000</v>
      </c>
      <c r="B39" s="4" t="e">
        <f>VLOOKUP(B37,[1]PriceValue!A52:B206,2,FALSE)*VLOOKUP(B37,'[1]2023'!A53:F212,4,FALSE)</f>
        <v>#N/A</v>
      </c>
      <c r="C39" s="4">
        <f>VLOOKUP(C37,[1]PriceValue!A52:B206,2,FALSE)*VLOOKUP(C37,'[1]2023'!A53:F212,4,FALSE)</f>
        <v>108753411200000</v>
      </c>
      <c r="D39" s="4">
        <f>VLOOKUP(D37,[1]PriceValue!A52:B206,2,FALSE)*VLOOKUP(D37,'[1]2023'!A53:F212,4,FALSE)</f>
        <v>155504902560000</v>
      </c>
      <c r="E39" s="4">
        <f>VLOOKUP(E37,[1]PriceValue!A52:B206,2,FALSE)*VLOOKUP(E37,'[1]2023'!A53:F212,4,FALSE)</f>
        <v>133219734987500</v>
      </c>
      <c r="F39" s="4">
        <f>VLOOKUP(F37,[1]PriceValue!A52:B206,2,FALSE)*VLOOKUP(F37,'[1]2023'!A53:F212,4,FALSE)</f>
        <v>55048722750000</v>
      </c>
      <c r="G39" s="4">
        <f>VLOOKUP(G37,[1]PriceValue!A52:B206,2,FALSE)*VLOOKUP(G37,'[1]2023'!A53:F212,4,FALSE)</f>
        <v>122530976350000</v>
      </c>
      <c r="H39" s="4">
        <f>VLOOKUP(H37,[1]PriceValue!A52:B206,2,FALSE)*VLOOKUP(H37,'[1]2023'!A53:F212,4,FALSE)</f>
        <v>32668079070000</v>
      </c>
      <c r="I39" s="4">
        <f>VLOOKUP(I37,[1]PriceValue!A52:B206,2,FALSE)*VLOOKUP(I37,'[1]2023'!A53:F212,4,FALSE)</f>
        <v>21259949711500</v>
      </c>
      <c r="J39" s="4" t="e">
        <f>VLOOKUP(J37,[1]PriceValue!A52:B250,2,FALSE)*VLOOKUP(J37,'[1]2023'!A53:F212,4,FALSE)</f>
        <v>#N/A</v>
      </c>
      <c r="K39" s="4">
        <f>VLOOKUP(K37,[1]PriceValue!A52:B206,2,FALSE)*VLOOKUP(K37,'[1]2023'!A53:F212,4,FALSE)</f>
        <v>33736808507400</v>
      </c>
      <c r="L39" s="4" t="e">
        <f>VLOOKUP(L37,[1]PriceValue!A52:B206,2,FALSE)*VLOOKUP(L37,'[1]2023'!A53:F212,4,FALSE)</f>
        <v>#N/A</v>
      </c>
      <c r="M39" s="4">
        <f>VLOOKUP(M37,[1]PriceValue!A52:B206,2,FALSE)*VLOOKUP(M37,'[1]2023'!A53:F212,4,FALSE)</f>
        <v>68193354965600</v>
      </c>
      <c r="N39" s="4">
        <f>VLOOKUP(N37,[1]PriceValue!A52:B206,2,FALSE)*VLOOKUP(N37,'[1]2023'!A53:F212,4,FALSE)</f>
        <v>4030203930480</v>
      </c>
      <c r="O39" s="4">
        <f>VLOOKUP(O37,[1]PriceValue!A52:B206,2,FALSE)*VLOOKUP(O37,'[1]2023'!A53:F212,4,FALSE)</f>
        <v>44962263314750</v>
      </c>
      <c r="P39" s="4" t="e">
        <f>VLOOKUP(P37,[1]PriceValue!A52:B206,2,FALSE)*VLOOKUP(P37,'[1]2023'!A53:F212,4,FALSE)</f>
        <v>#N/A</v>
      </c>
      <c r="Q39" s="4" t="e">
        <f>VLOOKUP(Q37,[1]PriceValue!A52:B206,2,FALSE)*VLOOKUP(Q37,'[1]2023'!A53:F212,4,FALSE)</f>
        <v>#N/A</v>
      </c>
      <c r="R39" s="4">
        <f>VLOOKUP(R37,[1]PriceValue!A52:B206,2,FALSE)*VLOOKUP(R37,'[1]2023'!A53:F212,4,FALSE)</f>
        <v>68474735955000</v>
      </c>
      <c r="S39" s="4">
        <f>VLOOKUP(S37,[1]PriceValue!A52:B206,2,FALSE)*VLOOKUP(S37,'[1]2023'!A53:F212,4,FALSE)</f>
        <v>28200000000000</v>
      </c>
      <c r="T39" s="4">
        <f>VLOOKUP(T37,[1]PriceValue!A52:B206,2,FALSE)*VLOOKUP(T37,'[1]2023'!A53:F212,4,FALSE)</f>
        <v>40730247500000</v>
      </c>
    </row>
    <row r="40" spans="1:20" x14ac:dyDescent="0.2">
      <c r="A40" s="18">
        <f>-(A38/A39)</f>
        <v>1.3325100617624765E-3</v>
      </c>
      <c r="B40" s="18" t="e">
        <f t="shared" ref="B40:T40" si="23">-(B38/B39)</f>
        <v>#N/A</v>
      </c>
      <c r="C40" s="18">
        <f t="shared" si="23"/>
        <v>8.412535845128507E-4</v>
      </c>
      <c r="D40" s="18">
        <f t="shared" si="23"/>
        <v>5.6400511209709096E-4</v>
      </c>
      <c r="E40" s="18">
        <f t="shared" si="23"/>
        <v>5.9264815387455999E-4</v>
      </c>
      <c r="F40" s="18">
        <f t="shared" si="23"/>
        <v>1.3676625585286627E-3</v>
      </c>
      <c r="G40" s="18">
        <f t="shared" si="23"/>
        <v>5.6393392151404332E-4</v>
      </c>
      <c r="H40" s="18">
        <f t="shared" si="23"/>
        <v>1.5302000124612775E-3</v>
      </c>
      <c r="I40" s="18">
        <f t="shared" si="23"/>
        <v>1.796109610708286E-3</v>
      </c>
      <c r="J40" s="18" t="e">
        <f t="shared" si="23"/>
        <v>#N/A</v>
      </c>
      <c r="K40" s="18">
        <f t="shared" si="23"/>
        <v>8.3738750788484723E-4</v>
      </c>
      <c r="L40" s="18" t="e">
        <f t="shared" si="23"/>
        <v>#N/A</v>
      </c>
      <c r="M40" s="18">
        <f t="shared" si="23"/>
        <v>3.4009582035814627E-4</v>
      </c>
      <c r="N40" s="18">
        <f t="shared" si="23"/>
        <v>4.8464713788499763E-3</v>
      </c>
      <c r="O40" s="18">
        <f t="shared" si="23"/>
        <v>3.9131953560327191E-4</v>
      </c>
      <c r="P40" s="18" t="e">
        <f t="shared" si="23"/>
        <v>#N/A</v>
      </c>
      <c r="Q40" s="18" t="e">
        <f t="shared" si="23"/>
        <v>#N/A</v>
      </c>
      <c r="R40" s="18">
        <f t="shared" si="23"/>
        <v>2.0839599891816772E-4</v>
      </c>
      <c r="S40" s="18">
        <f t="shared" si="23"/>
        <v>4.2377372340425535E-4</v>
      </c>
      <c r="T40" s="18">
        <f t="shared" si="23"/>
        <v>2.5346747524674382E-4</v>
      </c>
    </row>
    <row r="42" spans="1:20" x14ac:dyDescent="0.2">
      <c r="A42" s="28" t="s">
        <v>96</v>
      </c>
      <c r="B42" s="28"/>
      <c r="C42" s="28"/>
      <c r="D42" s="28"/>
      <c r="E42" s="28"/>
      <c r="F42" s="28"/>
      <c r="G42" s="28"/>
      <c r="H42" s="28"/>
      <c r="I42" s="28"/>
      <c r="J42" s="28"/>
    </row>
    <row r="43" spans="1:20" x14ac:dyDescent="0.2">
      <c r="A43" s="18" t="s">
        <v>6</v>
      </c>
      <c r="B43" s="18" t="s">
        <v>99</v>
      </c>
      <c r="C43" s="18" t="s">
        <v>76</v>
      </c>
      <c r="D43" s="18" t="s">
        <v>100</v>
      </c>
      <c r="E43" s="18" t="s">
        <v>31</v>
      </c>
      <c r="F43" s="18" t="s">
        <v>46</v>
      </c>
      <c r="G43" s="18" t="s">
        <v>25</v>
      </c>
      <c r="H43" s="18" t="s">
        <v>101</v>
      </c>
      <c r="I43" s="18" t="s">
        <v>29</v>
      </c>
      <c r="J43" s="18" t="s">
        <v>28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28" t="s">
        <v>97</v>
      </c>
      <c r="B45" s="28"/>
      <c r="C45" s="28"/>
      <c r="D45" s="28"/>
      <c r="E45" s="28"/>
      <c r="F45" s="28"/>
      <c r="G45" s="28"/>
      <c r="H45" s="28"/>
      <c r="I45" s="28"/>
      <c r="J45" s="28"/>
    </row>
    <row r="46" spans="1:20" x14ac:dyDescent="0.2">
      <c r="A46" s="18" t="s">
        <v>99</v>
      </c>
      <c r="B46" s="18" t="s">
        <v>6</v>
      </c>
      <c r="C46" s="18" t="s">
        <v>11</v>
      </c>
      <c r="D46" s="18" t="s">
        <v>76</v>
      </c>
      <c r="E46" s="18" t="s">
        <v>100</v>
      </c>
      <c r="F46" s="18" t="s">
        <v>46</v>
      </c>
      <c r="G46" s="18" t="s">
        <v>102</v>
      </c>
      <c r="H46" s="18" t="s">
        <v>16</v>
      </c>
      <c r="I46" s="18" t="s">
        <v>90</v>
      </c>
      <c r="J46" s="18" t="s">
        <v>101</v>
      </c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  <row r="48" spans="1:20" x14ac:dyDescent="0.2">
      <c r="A48" s="28" t="s">
        <v>98</v>
      </c>
      <c r="B48" s="28"/>
      <c r="C48" s="28"/>
      <c r="D48" s="28"/>
      <c r="E48" s="28"/>
      <c r="F48" s="28"/>
      <c r="G48" s="28"/>
      <c r="H48" s="28"/>
      <c r="I48" s="28"/>
      <c r="J48" s="28"/>
    </row>
    <row r="49" spans="1:20" x14ac:dyDescent="0.2">
      <c r="A49" s="18" t="s">
        <v>99</v>
      </c>
      <c r="B49" s="18" t="s">
        <v>6</v>
      </c>
      <c r="C49" s="18" t="s">
        <v>29</v>
      </c>
      <c r="D49" s="18" t="s">
        <v>100</v>
      </c>
      <c r="E49" s="18" t="s">
        <v>25</v>
      </c>
      <c r="F49" s="18" t="s">
        <v>46</v>
      </c>
      <c r="G49" s="18" t="s">
        <v>102</v>
      </c>
      <c r="H49" s="18" t="s">
        <v>27</v>
      </c>
      <c r="I49" s="18" t="s">
        <v>11</v>
      </c>
      <c r="J49" s="18" t="s">
        <v>36</v>
      </c>
    </row>
    <row r="51" spans="1:20" x14ac:dyDescent="0.2">
      <c r="A51" s="28" t="s">
        <v>116</v>
      </c>
      <c r="B51" s="28"/>
      <c r="C51" s="28"/>
      <c r="D51" s="28"/>
      <c r="E51" s="28"/>
      <c r="F51" s="28"/>
      <c r="G51" s="28"/>
      <c r="H51" s="28"/>
      <c r="I51" s="28"/>
      <c r="J51" s="28"/>
    </row>
    <row r="52" spans="1:20" x14ac:dyDescent="0.2">
      <c r="A52" t="s">
        <v>118</v>
      </c>
      <c r="B52" t="s">
        <v>99</v>
      </c>
      <c r="C52" t="s">
        <v>119</v>
      </c>
      <c r="D52" t="s">
        <v>120</v>
      </c>
      <c r="E52" t="s">
        <v>78</v>
      </c>
      <c r="F52" t="s">
        <v>121</v>
      </c>
      <c r="G52" t="s">
        <v>122</v>
      </c>
      <c r="H52" t="s">
        <v>123</v>
      </c>
      <c r="I52" t="s">
        <v>124</v>
      </c>
      <c r="J52" t="s">
        <v>90</v>
      </c>
      <c r="K52" t="s">
        <v>125</v>
      </c>
      <c r="L52" t="s">
        <v>126</v>
      </c>
      <c r="M52" t="s">
        <v>127</v>
      </c>
      <c r="N52" t="s">
        <v>128</v>
      </c>
      <c r="O52" t="s">
        <v>129</v>
      </c>
      <c r="P52" t="s">
        <v>89</v>
      </c>
      <c r="Q52" t="s">
        <v>30</v>
      </c>
      <c r="R52" t="s">
        <v>68</v>
      </c>
      <c r="S52" t="s">
        <v>130</v>
      </c>
      <c r="T52" t="s">
        <v>131</v>
      </c>
    </row>
  </sheetData>
  <mergeCells count="12">
    <mergeCell ref="A5:J5"/>
    <mergeCell ref="A30:J30"/>
    <mergeCell ref="A11:J11"/>
    <mergeCell ref="A36:J36"/>
    <mergeCell ref="A17:J17"/>
    <mergeCell ref="A20:J20"/>
    <mergeCell ref="A23:J23"/>
    <mergeCell ref="A51:J51"/>
    <mergeCell ref="A42:J42"/>
    <mergeCell ref="A45:J45"/>
    <mergeCell ref="A48:J48"/>
    <mergeCell ref="A26:J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G13" sqref="G13"/>
    </sheetView>
  </sheetViews>
  <sheetFormatPr baseColWidth="10" defaultRowHeight="16" x14ac:dyDescent="0.2"/>
  <cols>
    <col min="2" max="2" width="17.6640625" bestFit="1" customWidth="1"/>
    <col min="3" max="3" width="13.6640625" customWidth="1"/>
  </cols>
  <sheetData>
    <row r="1" spans="1:13" x14ac:dyDescent="0.2">
      <c r="B1" s="30">
        <v>2024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2" spans="1:13" x14ac:dyDescent="0.2">
      <c r="B2" t="s">
        <v>48</v>
      </c>
      <c r="C2" t="s">
        <v>49</v>
      </c>
      <c r="D2" t="s">
        <v>50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</row>
    <row r="3" spans="1:13" x14ac:dyDescent="0.2">
      <c r="A3" t="s">
        <v>47</v>
      </c>
      <c r="B3" s="15">
        <f>'T1-2024'!A3</f>
        <v>1124682949376</v>
      </c>
    </row>
    <row r="4" spans="1:13" x14ac:dyDescent="0.2">
      <c r="A4" t="s">
        <v>51</v>
      </c>
      <c r="B4" s="15">
        <f>'T1-2024'!C3</f>
        <v>430480795655</v>
      </c>
    </row>
  </sheetData>
  <mergeCells count="1">
    <mergeCell ref="B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F63" sqref="F6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26" t="s">
        <v>23</v>
      </c>
      <c r="B5" s="26"/>
      <c r="C5" s="26"/>
      <c r="D5" s="26"/>
      <c r="E5" s="26"/>
      <c r="F5" s="26"/>
      <c r="G5" s="26"/>
      <c r="H5" s="26"/>
      <c r="I5" s="26"/>
      <c r="J5" s="26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27" t="s">
        <v>87</v>
      </c>
      <c r="B11" s="27"/>
      <c r="C11" s="27"/>
      <c r="D11" s="27"/>
      <c r="E11" s="27"/>
      <c r="F11" s="27"/>
      <c r="G11" s="27"/>
      <c r="H11" s="27"/>
      <c r="I11" s="27"/>
      <c r="J11" s="27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9" t="s">
        <v>88</v>
      </c>
      <c r="B17" s="29"/>
      <c r="C17" s="29"/>
      <c r="D17" s="29"/>
      <c r="E17" s="29"/>
      <c r="F17" s="29"/>
      <c r="G17" s="29"/>
      <c r="H17" s="29"/>
      <c r="I17" s="29"/>
      <c r="J17" s="29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9" t="s">
        <v>91</v>
      </c>
      <c r="B20" s="29"/>
      <c r="C20" s="29"/>
      <c r="D20" s="29"/>
      <c r="E20" s="29"/>
      <c r="F20" s="29"/>
      <c r="G20" s="29"/>
      <c r="H20" s="29"/>
      <c r="I20" s="29"/>
      <c r="J20" s="29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9" t="s">
        <v>94</v>
      </c>
      <c r="B23" s="29"/>
      <c r="C23" s="29"/>
      <c r="D23" s="29"/>
      <c r="E23" s="29"/>
      <c r="F23" s="29"/>
      <c r="G23" s="29"/>
      <c r="H23" s="29"/>
      <c r="I23" s="29"/>
      <c r="J23" s="29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26" t="s">
        <v>24</v>
      </c>
      <c r="B28" s="26"/>
      <c r="C28" s="26"/>
      <c r="D28" s="26"/>
      <c r="E28" s="26"/>
      <c r="F28" s="26"/>
      <c r="G28" s="26"/>
      <c r="H28" s="26"/>
      <c r="I28" s="26"/>
      <c r="J28" s="26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27" t="s">
        <v>24</v>
      </c>
      <c r="B34" s="27"/>
      <c r="C34" s="27"/>
      <c r="D34" s="27"/>
      <c r="E34" s="27"/>
      <c r="F34" s="27"/>
      <c r="G34" s="27"/>
      <c r="H34" s="27"/>
      <c r="I34" s="27"/>
      <c r="J34" s="27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28" t="s">
        <v>96</v>
      </c>
      <c r="B40" s="28"/>
      <c r="C40" s="28"/>
      <c r="D40" s="28"/>
      <c r="E40" s="28"/>
      <c r="F40" s="28"/>
      <c r="G40" s="28"/>
      <c r="H40" s="28"/>
      <c r="I40" s="28"/>
      <c r="J40" s="28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28" t="s">
        <v>97</v>
      </c>
      <c r="B43" s="28"/>
      <c r="C43" s="28"/>
      <c r="D43" s="28"/>
      <c r="E43" s="28"/>
      <c r="F43" s="28"/>
      <c r="G43" s="28"/>
      <c r="H43" s="28"/>
      <c r="I43" s="28"/>
      <c r="J43" s="28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28" t="s">
        <v>98</v>
      </c>
      <c r="B46" s="28"/>
      <c r="C46" s="28"/>
      <c r="D46" s="28"/>
      <c r="E46" s="28"/>
      <c r="F46" s="28"/>
      <c r="G46" s="28"/>
      <c r="H46" s="28"/>
      <c r="I46" s="28"/>
      <c r="J46" s="28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U47"/>
  <sheetViews>
    <sheetView tabSelected="1" workbookViewId="0">
      <selection activeCell="L3" sqref="L3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6" width="19.33203125" customWidth="1"/>
    <col min="17" max="19" width="10.83203125" customWidth="1"/>
    <col min="20" max="20" width="15.6640625" customWidth="1"/>
    <col min="21" max="21" width="17.83203125" customWidth="1"/>
  </cols>
  <sheetData>
    <row r="1" spans="1:21" x14ac:dyDescent="0.2">
      <c r="A1" s="3"/>
      <c r="B1" s="31" t="s">
        <v>0</v>
      </c>
      <c r="C1" s="31"/>
      <c r="D1" s="31"/>
      <c r="E1" s="31"/>
      <c r="F1" s="31"/>
      <c r="G1" s="32" t="s">
        <v>4</v>
      </c>
      <c r="H1" s="32"/>
      <c r="I1" s="32"/>
      <c r="J1" s="32"/>
      <c r="K1" s="32"/>
      <c r="L1" s="33" t="s">
        <v>85</v>
      </c>
      <c r="M1" s="33"/>
      <c r="N1" s="33"/>
      <c r="O1" s="33"/>
      <c r="P1" s="33"/>
      <c r="Q1" s="34" t="s">
        <v>86</v>
      </c>
      <c r="R1" s="34"/>
      <c r="S1" s="34"/>
      <c r="T1" s="34"/>
      <c r="U1" s="34"/>
    </row>
    <row r="2" spans="1:21" x14ac:dyDescent="0.2">
      <c r="A2" s="22" t="s">
        <v>137</v>
      </c>
      <c r="B2" s="22" t="s">
        <v>134</v>
      </c>
      <c r="C2" s="22" t="s">
        <v>138</v>
      </c>
      <c r="D2" t="s">
        <v>1</v>
      </c>
      <c r="E2" t="s">
        <v>2</v>
      </c>
      <c r="F2" t="s">
        <v>3</v>
      </c>
      <c r="G2" s="22" t="s">
        <v>134</v>
      </c>
      <c r="H2" s="22" t="s">
        <v>138</v>
      </c>
      <c r="I2" t="s">
        <v>1</v>
      </c>
      <c r="J2" t="s">
        <v>2</v>
      </c>
      <c r="K2" t="s">
        <v>3</v>
      </c>
      <c r="L2" t="s">
        <v>132</v>
      </c>
      <c r="M2" t="s">
        <v>2</v>
      </c>
      <c r="N2" t="s">
        <v>133</v>
      </c>
      <c r="O2" t="s">
        <v>135</v>
      </c>
      <c r="P2" t="s">
        <v>136</v>
      </c>
      <c r="Q2" t="s">
        <v>132</v>
      </c>
      <c r="R2" t="s">
        <v>2</v>
      </c>
      <c r="S2" t="s">
        <v>133</v>
      </c>
      <c r="T2" t="s">
        <v>135</v>
      </c>
      <c r="U2" t="s">
        <v>136</v>
      </c>
    </row>
    <row r="3" spans="1:21" x14ac:dyDescent="0.2">
      <c r="A3" s="23">
        <v>45338</v>
      </c>
      <c r="B3" s="24">
        <v>6.0000000000000001E-3</v>
      </c>
      <c r="C3" s="24">
        <f t="shared" ref="C3:C29" si="0">B3+C4</f>
        <v>6.8700000000000011E-2</v>
      </c>
      <c r="D3">
        <v>288</v>
      </c>
      <c r="E3">
        <v>77</v>
      </c>
      <c r="F3">
        <v>201</v>
      </c>
      <c r="G3" s="24">
        <v>6.1000000000000004E-3</v>
      </c>
      <c r="H3" s="24">
        <f t="shared" ref="H3:H29" si="1">G3+H4</f>
        <v>7.9899999999999999E-2</v>
      </c>
      <c r="I3">
        <v>17</v>
      </c>
      <c r="J3">
        <v>4</v>
      </c>
      <c r="K3">
        <v>9</v>
      </c>
      <c r="L3">
        <v>74</v>
      </c>
      <c r="M3">
        <v>24</v>
      </c>
      <c r="N3">
        <v>70</v>
      </c>
      <c r="O3" s="16">
        <v>-442481451217</v>
      </c>
      <c r="P3" s="16">
        <f t="shared" ref="P3:P29" si="2">O3+P4</f>
        <v>-297881418366</v>
      </c>
      <c r="Q3">
        <v>80</v>
      </c>
      <c r="R3">
        <v>0</v>
      </c>
      <c r="S3">
        <v>29</v>
      </c>
      <c r="T3" s="16">
        <v>-83714826000</v>
      </c>
      <c r="U3" s="17">
        <f t="shared" ref="U3:U29" si="3">T3+U4</f>
        <v>-254238172945</v>
      </c>
    </row>
    <row r="4" spans="1:21" x14ac:dyDescent="0.2">
      <c r="A4" s="23">
        <v>45337</v>
      </c>
      <c r="B4" s="24">
        <v>3.3E-3</v>
      </c>
      <c r="C4" s="24">
        <f t="shared" si="0"/>
        <v>6.2700000000000006E-2</v>
      </c>
      <c r="D4">
        <v>321</v>
      </c>
      <c r="E4">
        <v>81</v>
      </c>
      <c r="F4">
        <v>153</v>
      </c>
      <c r="G4" s="24">
        <v>3.5999999999999999E-3</v>
      </c>
      <c r="H4" s="24">
        <f t="shared" si="1"/>
        <v>7.3800000000000004E-2</v>
      </c>
      <c r="I4">
        <v>17</v>
      </c>
      <c r="J4">
        <v>5</v>
      </c>
      <c r="K4">
        <v>8</v>
      </c>
      <c r="L4">
        <v>71</v>
      </c>
      <c r="M4">
        <v>14</v>
      </c>
      <c r="N4">
        <v>83</v>
      </c>
      <c r="O4" s="16">
        <v>-389907696192</v>
      </c>
      <c r="P4" s="16">
        <f t="shared" si="2"/>
        <v>144600032851</v>
      </c>
      <c r="Q4">
        <v>67</v>
      </c>
      <c r="R4">
        <v>0</v>
      </c>
      <c r="S4">
        <v>41</v>
      </c>
      <c r="T4" s="16">
        <v>-431362028000</v>
      </c>
      <c r="U4" s="17">
        <f t="shared" si="3"/>
        <v>-170523346945</v>
      </c>
    </row>
    <row r="5" spans="1:21" x14ac:dyDescent="0.2">
      <c r="A5" s="23">
        <v>45329</v>
      </c>
      <c r="B5" s="24">
        <v>8.5000000000000006E-3</v>
      </c>
      <c r="C5" s="24">
        <f t="shared" si="0"/>
        <v>5.9400000000000001E-2</v>
      </c>
      <c r="D5">
        <v>356</v>
      </c>
      <c r="E5">
        <v>81</v>
      </c>
      <c r="F5">
        <v>110</v>
      </c>
      <c r="G5" s="24">
        <v>1.1299999999999999E-2</v>
      </c>
      <c r="H5" s="24">
        <f t="shared" si="1"/>
        <v>7.0199999999999999E-2</v>
      </c>
      <c r="I5">
        <v>26</v>
      </c>
      <c r="J5">
        <v>3</v>
      </c>
      <c r="K5">
        <v>1</v>
      </c>
      <c r="L5">
        <v>66</v>
      </c>
      <c r="M5">
        <v>1</v>
      </c>
      <c r="N5">
        <v>77</v>
      </c>
      <c r="O5" s="16">
        <v>-20426078171</v>
      </c>
      <c r="P5" s="16">
        <f t="shared" si="2"/>
        <v>534507729043</v>
      </c>
      <c r="Q5">
        <v>69</v>
      </c>
      <c r="R5">
        <v>0</v>
      </c>
      <c r="S5">
        <v>39</v>
      </c>
      <c r="T5" s="16">
        <v>55430821000</v>
      </c>
      <c r="U5" s="17">
        <f t="shared" si="3"/>
        <v>260838681055</v>
      </c>
    </row>
    <row r="6" spans="1:21" x14ac:dyDescent="0.2">
      <c r="A6" s="23">
        <v>45328</v>
      </c>
      <c r="B6" s="24">
        <v>2E-3</v>
      </c>
      <c r="C6" s="24">
        <f t="shared" si="0"/>
        <v>5.0900000000000001E-2</v>
      </c>
      <c r="D6">
        <v>244</v>
      </c>
      <c r="E6">
        <v>107</v>
      </c>
      <c r="F6">
        <v>212</v>
      </c>
      <c r="G6" s="24">
        <v>1.5E-3</v>
      </c>
      <c r="H6" s="24">
        <f t="shared" si="1"/>
        <v>5.8899999999999994E-2</v>
      </c>
      <c r="I6" s="3"/>
      <c r="J6" s="3"/>
      <c r="K6" s="3"/>
      <c r="L6">
        <v>65</v>
      </c>
      <c r="M6">
        <v>1</v>
      </c>
      <c r="N6">
        <v>78</v>
      </c>
      <c r="O6" s="16">
        <v>-454044753347</v>
      </c>
      <c r="P6" s="16">
        <f t="shared" si="2"/>
        <v>554933807214</v>
      </c>
      <c r="Q6">
        <v>62</v>
      </c>
      <c r="R6">
        <v>0</v>
      </c>
      <c r="S6">
        <v>50</v>
      </c>
      <c r="T6" s="16">
        <v>-718184911000</v>
      </c>
      <c r="U6" s="17">
        <f t="shared" si="3"/>
        <v>205407860055</v>
      </c>
    </row>
    <row r="7" spans="1:21" x14ac:dyDescent="0.2">
      <c r="A7" s="23">
        <v>45327</v>
      </c>
      <c r="B7" s="24">
        <v>1.15E-2</v>
      </c>
      <c r="C7" s="24">
        <f t="shared" si="0"/>
        <v>4.8899999999999999E-2</v>
      </c>
      <c r="D7">
        <v>270</v>
      </c>
      <c r="E7">
        <v>72</v>
      </c>
      <c r="F7">
        <v>212</v>
      </c>
      <c r="G7" s="24">
        <v>1.9199999999999998E-2</v>
      </c>
      <c r="H7" s="24">
        <f t="shared" si="1"/>
        <v>5.7399999999999993E-2</v>
      </c>
      <c r="L7">
        <v>71</v>
      </c>
      <c r="M7">
        <v>1</v>
      </c>
      <c r="N7">
        <v>72</v>
      </c>
      <c r="O7" s="16">
        <v>-47724190106</v>
      </c>
      <c r="P7" s="16">
        <f t="shared" si="2"/>
        <v>1008978560561</v>
      </c>
      <c r="Q7">
        <v>84</v>
      </c>
      <c r="R7">
        <v>0</v>
      </c>
      <c r="S7">
        <v>22</v>
      </c>
      <c r="T7" s="16">
        <v>17971390000</v>
      </c>
      <c r="U7" s="17">
        <f t="shared" si="3"/>
        <v>923592771055</v>
      </c>
    </row>
    <row r="8" spans="1:21" x14ac:dyDescent="0.2">
      <c r="A8" s="23">
        <v>45324</v>
      </c>
      <c r="B8" s="24">
        <v>-4.0000000000000002E-4</v>
      </c>
      <c r="C8" s="24">
        <f t="shared" si="0"/>
        <v>3.7400000000000003E-2</v>
      </c>
      <c r="D8">
        <v>199</v>
      </c>
      <c r="E8">
        <v>89</v>
      </c>
      <c r="F8">
        <v>267</v>
      </c>
      <c r="G8" s="24">
        <v>1.1999999999999999E-3</v>
      </c>
      <c r="H8" s="24">
        <f t="shared" si="1"/>
        <v>3.8199999999999998E-2</v>
      </c>
      <c r="L8">
        <v>44</v>
      </c>
      <c r="M8">
        <v>1</v>
      </c>
      <c r="N8">
        <v>90</v>
      </c>
      <c r="O8" s="16">
        <v>-235298007611</v>
      </c>
      <c r="P8" s="16">
        <f t="shared" si="2"/>
        <v>1056702750667</v>
      </c>
      <c r="Q8">
        <v>55</v>
      </c>
      <c r="R8">
        <v>0</v>
      </c>
      <c r="S8">
        <v>53</v>
      </c>
      <c r="T8" s="16">
        <v>499951149000</v>
      </c>
      <c r="U8" s="17">
        <f t="shared" si="3"/>
        <v>905621381055</v>
      </c>
    </row>
    <row r="9" spans="1:21" x14ac:dyDescent="0.2">
      <c r="A9" s="23">
        <v>45323</v>
      </c>
      <c r="B9" s="24">
        <v>7.4999999999999997E-3</v>
      </c>
      <c r="C9" s="24">
        <f t="shared" si="0"/>
        <v>3.78E-2</v>
      </c>
      <c r="D9">
        <v>270</v>
      </c>
      <c r="E9">
        <v>111</v>
      </c>
      <c r="F9">
        <v>177</v>
      </c>
      <c r="G9" s="24">
        <v>6.0000000000000001E-3</v>
      </c>
      <c r="H9" s="24">
        <f t="shared" si="1"/>
        <v>3.6999999999999998E-2</v>
      </c>
      <c r="I9">
        <v>17</v>
      </c>
      <c r="J9">
        <v>5</v>
      </c>
      <c r="K9">
        <v>8</v>
      </c>
      <c r="L9">
        <v>65</v>
      </c>
      <c r="M9">
        <v>1</v>
      </c>
      <c r="N9">
        <v>62</v>
      </c>
      <c r="O9" s="16">
        <v>167317808902</v>
      </c>
      <c r="P9" s="16">
        <f t="shared" si="2"/>
        <v>1292000758278</v>
      </c>
      <c r="Q9">
        <v>46</v>
      </c>
      <c r="R9">
        <v>0</v>
      </c>
      <c r="S9">
        <v>76</v>
      </c>
      <c r="T9" s="16">
        <v>99823302000</v>
      </c>
      <c r="U9" s="17">
        <f t="shared" si="3"/>
        <v>405670232055</v>
      </c>
    </row>
    <row r="10" spans="1:21" x14ac:dyDescent="0.2">
      <c r="A10" s="23">
        <v>45322</v>
      </c>
      <c r="B10" s="24">
        <v>-1.3000000000000001E-2</v>
      </c>
      <c r="C10" s="24">
        <f t="shared" si="0"/>
        <v>3.0299999999999997E-2</v>
      </c>
      <c r="D10">
        <v>101</v>
      </c>
      <c r="E10">
        <v>62</v>
      </c>
      <c r="F10">
        <v>393</v>
      </c>
      <c r="G10" s="24">
        <v>-1.2999999999999999E-2</v>
      </c>
      <c r="H10" s="24">
        <f t="shared" si="1"/>
        <v>3.1E-2</v>
      </c>
      <c r="I10">
        <v>3</v>
      </c>
      <c r="J10">
        <v>1</v>
      </c>
      <c r="K10">
        <v>26</v>
      </c>
      <c r="L10">
        <v>58</v>
      </c>
      <c r="M10">
        <v>1</v>
      </c>
      <c r="N10">
        <v>81</v>
      </c>
      <c r="O10" s="16">
        <v>39184647355</v>
      </c>
      <c r="P10" s="16">
        <f t="shared" si="2"/>
        <v>1124682949376</v>
      </c>
      <c r="Q10">
        <v>38</v>
      </c>
      <c r="R10">
        <v>0</v>
      </c>
      <c r="S10">
        <v>108</v>
      </c>
      <c r="T10" s="16">
        <v>69620718500</v>
      </c>
      <c r="U10" s="17">
        <f t="shared" si="3"/>
        <v>305846930055</v>
      </c>
    </row>
    <row r="11" spans="1:21" x14ac:dyDescent="0.2">
      <c r="A11" s="23">
        <v>45321</v>
      </c>
      <c r="B11" s="24">
        <v>3.3999999999999998E-3</v>
      </c>
      <c r="C11" s="24">
        <f t="shared" si="0"/>
        <v>4.3299999999999998E-2</v>
      </c>
      <c r="D11">
        <v>266</v>
      </c>
      <c r="E11">
        <v>112</v>
      </c>
      <c r="F11">
        <v>174</v>
      </c>
      <c r="G11" s="24">
        <v>2.2000000000000001E-3</v>
      </c>
      <c r="H11" s="24">
        <f t="shared" si="1"/>
        <v>4.3999999999999997E-2</v>
      </c>
      <c r="I11">
        <v>14</v>
      </c>
      <c r="J11">
        <v>4</v>
      </c>
      <c r="K11">
        <v>12</v>
      </c>
      <c r="L11">
        <v>81</v>
      </c>
      <c r="M11">
        <v>2</v>
      </c>
      <c r="N11">
        <v>56</v>
      </c>
      <c r="O11" s="16">
        <v>396711927017</v>
      </c>
      <c r="P11" s="16">
        <f t="shared" si="2"/>
        <v>1085498302021</v>
      </c>
      <c r="Q11">
        <v>41</v>
      </c>
      <c r="R11">
        <v>0</v>
      </c>
      <c r="S11">
        <v>103</v>
      </c>
      <c r="T11" s="16">
        <v>80613287900</v>
      </c>
      <c r="U11" s="17">
        <f t="shared" si="3"/>
        <v>236226211555</v>
      </c>
    </row>
    <row r="12" spans="1:21" x14ac:dyDescent="0.2">
      <c r="A12" s="23">
        <v>45320</v>
      </c>
      <c r="B12" s="24">
        <v>0</v>
      </c>
      <c r="C12" s="24">
        <f t="shared" si="0"/>
        <v>3.9899999999999998E-2</v>
      </c>
      <c r="D12">
        <v>187</v>
      </c>
      <c r="E12">
        <v>106</v>
      </c>
      <c r="F12">
        <v>283</v>
      </c>
      <c r="G12" s="24">
        <v>-3.0999999999999999E-3</v>
      </c>
      <c r="H12" s="24">
        <f t="shared" si="1"/>
        <v>4.1799999999999997E-2</v>
      </c>
      <c r="I12">
        <v>14</v>
      </c>
      <c r="J12">
        <v>5</v>
      </c>
      <c r="K12">
        <v>11</v>
      </c>
      <c r="L12">
        <v>60</v>
      </c>
      <c r="M12">
        <v>2</v>
      </c>
      <c r="N12">
        <v>77</v>
      </c>
      <c r="O12" s="16">
        <v>-137908844181</v>
      </c>
      <c r="P12" s="16">
        <f t="shared" si="2"/>
        <v>688786375004</v>
      </c>
      <c r="Q12">
        <v>42</v>
      </c>
      <c r="R12">
        <v>0</v>
      </c>
      <c r="S12">
        <v>62</v>
      </c>
      <c r="T12" s="16">
        <v>80072901000</v>
      </c>
      <c r="U12" s="17">
        <f t="shared" si="3"/>
        <v>155612923655</v>
      </c>
    </row>
    <row r="13" spans="1:21" x14ac:dyDescent="0.2">
      <c r="A13" s="23">
        <v>45317</v>
      </c>
      <c r="B13" s="24">
        <v>4.4999999999999997E-3</v>
      </c>
      <c r="C13" s="24">
        <f t="shared" si="0"/>
        <v>3.9899999999999998E-2</v>
      </c>
      <c r="D13">
        <v>253</v>
      </c>
      <c r="E13">
        <v>129</v>
      </c>
      <c r="F13">
        <v>193</v>
      </c>
      <c r="G13" s="24">
        <v>4.4999999999999997E-3</v>
      </c>
      <c r="H13" s="24">
        <f t="shared" si="1"/>
        <v>4.4899999999999995E-2</v>
      </c>
      <c r="I13">
        <v>19</v>
      </c>
      <c r="J13">
        <v>3</v>
      </c>
      <c r="K13">
        <v>8</v>
      </c>
      <c r="L13">
        <v>77</v>
      </c>
      <c r="M13">
        <v>0</v>
      </c>
      <c r="N13">
        <v>58</v>
      </c>
      <c r="O13" s="16">
        <v>361099360028</v>
      </c>
      <c r="P13" s="16">
        <f t="shared" si="2"/>
        <v>826695219185</v>
      </c>
      <c r="Q13">
        <v>96</v>
      </c>
      <c r="R13">
        <v>0</v>
      </c>
      <c r="S13">
        <v>11</v>
      </c>
      <c r="T13" s="16">
        <v>554819954000</v>
      </c>
      <c r="U13" s="17">
        <f t="shared" si="3"/>
        <v>75540022655</v>
      </c>
    </row>
    <row r="14" spans="1:21" x14ac:dyDescent="0.2">
      <c r="A14" s="23">
        <v>45316</v>
      </c>
      <c r="B14" s="24">
        <v>-2.2000000000000001E-3</v>
      </c>
      <c r="C14" s="24">
        <f t="shared" si="0"/>
        <v>3.5400000000000001E-2</v>
      </c>
      <c r="G14" s="24">
        <v>-1.6000000000000001E-3</v>
      </c>
      <c r="H14" s="24">
        <f t="shared" si="1"/>
        <v>4.0399999999999998E-2</v>
      </c>
      <c r="L14">
        <v>59</v>
      </c>
      <c r="M14">
        <v>2</v>
      </c>
      <c r="N14">
        <v>76</v>
      </c>
      <c r="O14" s="16">
        <v>-40176974807</v>
      </c>
      <c r="P14" s="16">
        <f t="shared" si="2"/>
        <v>465595859157</v>
      </c>
      <c r="Q14">
        <v>36</v>
      </c>
      <c r="R14">
        <v>0</v>
      </c>
      <c r="S14">
        <v>27</v>
      </c>
      <c r="T14" s="16">
        <v>-100337454345</v>
      </c>
      <c r="U14" s="17">
        <f t="shared" si="3"/>
        <v>-479279931345</v>
      </c>
    </row>
    <row r="15" spans="1:21" x14ac:dyDescent="0.2">
      <c r="A15" s="23">
        <v>45315</v>
      </c>
      <c r="B15" s="24">
        <v>-3.8E-3</v>
      </c>
      <c r="C15" s="24">
        <f t="shared" si="0"/>
        <v>3.7600000000000001E-2</v>
      </c>
      <c r="G15" s="24">
        <v>-3.7000000000000002E-3</v>
      </c>
      <c r="H15" s="24">
        <f t="shared" si="1"/>
        <v>4.1999999999999996E-2</v>
      </c>
      <c r="L15">
        <v>62</v>
      </c>
      <c r="M15">
        <v>4</v>
      </c>
      <c r="N15">
        <v>78</v>
      </c>
      <c r="O15" s="16">
        <v>153335591842</v>
      </c>
      <c r="P15" s="16">
        <f t="shared" si="2"/>
        <v>505772833964</v>
      </c>
      <c r="Q15">
        <v>37</v>
      </c>
      <c r="R15">
        <v>0</v>
      </c>
      <c r="S15">
        <v>71</v>
      </c>
      <c r="T15" s="16">
        <v>-60937057000</v>
      </c>
      <c r="U15" s="17">
        <f t="shared" si="3"/>
        <v>-378942477000</v>
      </c>
    </row>
    <row r="16" spans="1:21" x14ac:dyDescent="0.2">
      <c r="A16" s="23">
        <v>45314</v>
      </c>
      <c r="B16" s="24">
        <v>-4.4999999999999997E-3</v>
      </c>
      <c r="C16" s="24">
        <f t="shared" si="0"/>
        <v>4.1399999999999999E-2</v>
      </c>
      <c r="G16" s="24">
        <v>-4.7999999999999996E-3</v>
      </c>
      <c r="H16" s="24">
        <f t="shared" si="1"/>
        <v>4.5699999999999998E-2</v>
      </c>
      <c r="L16">
        <v>65</v>
      </c>
      <c r="M16">
        <v>2</v>
      </c>
      <c r="N16">
        <v>71</v>
      </c>
      <c r="O16" s="16">
        <v>249996770975</v>
      </c>
      <c r="P16" s="16">
        <f t="shared" si="2"/>
        <v>352437242122</v>
      </c>
      <c r="Q16">
        <v>21</v>
      </c>
      <c r="R16">
        <v>0</v>
      </c>
      <c r="S16">
        <v>85</v>
      </c>
      <c r="T16" s="16">
        <v>-926262619000</v>
      </c>
      <c r="U16" s="17">
        <f t="shared" si="3"/>
        <v>-318005420000</v>
      </c>
    </row>
    <row r="17" spans="1:21" x14ac:dyDescent="0.2">
      <c r="A17" s="23">
        <v>45313</v>
      </c>
      <c r="B17" s="24">
        <v>1.1999999999999999E-3</v>
      </c>
      <c r="C17" s="24">
        <f t="shared" si="0"/>
        <v>4.5899999999999996E-2</v>
      </c>
      <c r="G17" s="24">
        <v>3.7000000000000002E-3</v>
      </c>
      <c r="H17" s="24">
        <f t="shared" si="1"/>
        <v>5.0499999999999996E-2</v>
      </c>
      <c r="L17">
        <v>75</v>
      </c>
      <c r="M17">
        <v>0</v>
      </c>
      <c r="N17">
        <v>66</v>
      </c>
      <c r="O17" s="16">
        <v>502684290838</v>
      </c>
      <c r="P17" s="16">
        <f t="shared" si="2"/>
        <v>102440471147</v>
      </c>
      <c r="Q17">
        <v>88</v>
      </c>
      <c r="R17">
        <v>0</v>
      </c>
      <c r="S17">
        <v>19</v>
      </c>
      <c r="T17" s="16">
        <v>466385605000</v>
      </c>
      <c r="U17" s="17">
        <f t="shared" si="3"/>
        <v>608257199000</v>
      </c>
    </row>
    <row r="18" spans="1:21" x14ac:dyDescent="0.2">
      <c r="A18" s="23">
        <v>45310</v>
      </c>
      <c r="B18" s="24">
        <v>1.06E-2</v>
      </c>
      <c r="C18" s="24">
        <f t="shared" si="0"/>
        <v>4.4699999999999997E-2</v>
      </c>
      <c r="G18" s="24">
        <v>9.5999999999999992E-3</v>
      </c>
      <c r="H18" s="24">
        <f t="shared" si="1"/>
        <v>4.6799999999999994E-2</v>
      </c>
      <c r="L18">
        <v>64</v>
      </c>
      <c r="M18">
        <v>1</v>
      </c>
      <c r="N18">
        <v>69</v>
      </c>
      <c r="O18" s="16">
        <v>187659123156</v>
      </c>
      <c r="P18" s="16">
        <f t="shared" si="2"/>
        <v>-400243819691</v>
      </c>
      <c r="Q18">
        <v>27</v>
      </c>
      <c r="R18">
        <v>0</v>
      </c>
      <c r="S18">
        <v>6</v>
      </c>
      <c r="T18" s="16">
        <v>209791725000</v>
      </c>
      <c r="U18" s="17">
        <f t="shared" si="3"/>
        <v>141871594000</v>
      </c>
    </row>
    <row r="19" spans="1:21" x14ac:dyDescent="0.2">
      <c r="A19" s="23">
        <v>45309</v>
      </c>
      <c r="B19" s="24">
        <v>5.5999999999999999E-3</v>
      </c>
      <c r="C19" s="24">
        <f t="shared" si="0"/>
        <v>3.4099999999999998E-2</v>
      </c>
      <c r="G19" s="24">
        <v>6.3E-3</v>
      </c>
      <c r="H19" s="24">
        <f t="shared" si="1"/>
        <v>3.7199999999999997E-2</v>
      </c>
      <c r="L19">
        <v>71</v>
      </c>
      <c r="M19">
        <v>2</v>
      </c>
      <c r="N19">
        <v>64</v>
      </c>
      <c r="O19" s="16">
        <v>69651700055</v>
      </c>
      <c r="P19" s="16">
        <f t="shared" si="2"/>
        <v>-587902942847</v>
      </c>
      <c r="Q19">
        <v>51</v>
      </c>
      <c r="R19">
        <v>0</v>
      </c>
      <c r="S19">
        <v>68</v>
      </c>
      <c r="T19" s="16">
        <v>472627000000</v>
      </c>
      <c r="U19" s="17">
        <f t="shared" si="3"/>
        <v>-67920131000</v>
      </c>
    </row>
    <row r="20" spans="1:21" x14ac:dyDescent="0.2">
      <c r="A20" s="23">
        <v>45308</v>
      </c>
      <c r="B20" s="24">
        <v>-5.0000000000000001E-4</v>
      </c>
      <c r="C20" s="24">
        <f t="shared" si="0"/>
        <v>2.8499999999999998E-2</v>
      </c>
      <c r="G20" s="24">
        <v>-3.0999999999999999E-3</v>
      </c>
      <c r="H20" s="24">
        <f t="shared" si="1"/>
        <v>3.0899999999999997E-2</v>
      </c>
      <c r="L20">
        <v>66</v>
      </c>
      <c r="M20">
        <v>3</v>
      </c>
      <c r="N20">
        <v>65</v>
      </c>
      <c r="O20" s="16">
        <v>191412433815</v>
      </c>
      <c r="P20" s="16">
        <f t="shared" si="2"/>
        <v>-657554642902</v>
      </c>
      <c r="Q20">
        <v>19</v>
      </c>
      <c r="R20">
        <v>0</v>
      </c>
      <c r="S20">
        <v>92</v>
      </c>
      <c r="T20" s="16">
        <v>-526950647000</v>
      </c>
      <c r="U20" s="17">
        <f t="shared" si="3"/>
        <v>-540547131000</v>
      </c>
    </row>
    <row r="21" spans="1:21" x14ac:dyDescent="0.2">
      <c r="A21" s="23">
        <v>45307</v>
      </c>
      <c r="B21" s="24">
        <v>7.7999999999999996E-3</v>
      </c>
      <c r="C21" s="24">
        <f t="shared" si="0"/>
        <v>2.8999999999999998E-2</v>
      </c>
      <c r="G21" s="24">
        <v>7.7000000000000002E-3</v>
      </c>
      <c r="H21" s="24">
        <f t="shared" si="1"/>
        <v>3.3999999999999996E-2</v>
      </c>
      <c r="L21">
        <v>63</v>
      </c>
      <c r="M21">
        <v>2</v>
      </c>
      <c r="N21">
        <v>63</v>
      </c>
      <c r="O21" s="16">
        <v>52772819266</v>
      </c>
      <c r="P21" s="16">
        <f t="shared" si="2"/>
        <v>-848967076717</v>
      </c>
      <c r="Q21">
        <v>36</v>
      </c>
      <c r="R21">
        <v>0</v>
      </c>
      <c r="S21">
        <v>29</v>
      </c>
      <c r="T21" s="16">
        <v>46573173000</v>
      </c>
      <c r="U21" s="17">
        <f t="shared" si="3"/>
        <v>-13596484000</v>
      </c>
    </row>
    <row r="22" spans="1:21" x14ac:dyDescent="0.2">
      <c r="A22" s="23">
        <v>45306</v>
      </c>
      <c r="B22" s="24">
        <v>-5.0000000000000001E-4</v>
      </c>
      <c r="C22" s="24">
        <f t="shared" si="0"/>
        <v>2.12E-2</v>
      </c>
      <c r="G22" s="24">
        <v>-2E-3</v>
      </c>
      <c r="H22" s="24">
        <f t="shared" si="1"/>
        <v>2.6299999999999997E-2</v>
      </c>
      <c r="L22">
        <v>56</v>
      </c>
      <c r="M22">
        <v>2</v>
      </c>
      <c r="N22">
        <v>71</v>
      </c>
      <c r="O22" s="16">
        <v>24392645189</v>
      </c>
      <c r="P22" s="16">
        <f t="shared" si="2"/>
        <v>-901739895983</v>
      </c>
      <c r="Q22">
        <v>36</v>
      </c>
      <c r="R22">
        <v>0</v>
      </c>
      <c r="S22">
        <v>16</v>
      </c>
      <c r="T22" s="16">
        <v>219533725000</v>
      </c>
      <c r="U22" s="17">
        <f t="shared" si="3"/>
        <v>-60169657000</v>
      </c>
    </row>
    <row r="23" spans="1:21" x14ac:dyDescent="0.2">
      <c r="A23" s="25">
        <v>45303</v>
      </c>
      <c r="B23" s="24">
        <v>-6.4999999999999997E-3</v>
      </c>
      <c r="C23" s="24">
        <f t="shared" si="0"/>
        <v>2.1700000000000001E-2</v>
      </c>
      <c r="G23" s="24">
        <v>1E-4</v>
      </c>
      <c r="H23" s="24">
        <f t="shared" si="1"/>
        <v>2.8299999999999999E-2</v>
      </c>
      <c r="L23">
        <v>68</v>
      </c>
      <c r="M23">
        <v>5</v>
      </c>
      <c r="N23">
        <v>61</v>
      </c>
      <c r="O23" s="16">
        <v>-51248750301</v>
      </c>
      <c r="P23" s="16">
        <f t="shared" si="2"/>
        <v>-926132541172</v>
      </c>
      <c r="Q23">
        <v>30</v>
      </c>
      <c r="R23">
        <v>0</v>
      </c>
      <c r="S23">
        <v>81</v>
      </c>
      <c r="T23" s="16">
        <v>-384937181000</v>
      </c>
      <c r="U23" s="17">
        <f t="shared" si="3"/>
        <v>-279703382000</v>
      </c>
    </row>
    <row r="24" spans="1:21" x14ac:dyDescent="0.2">
      <c r="A24" s="25">
        <v>45302</v>
      </c>
      <c r="B24" s="24">
        <v>5.9999999999999995E-4</v>
      </c>
      <c r="C24" s="24">
        <f t="shared" si="0"/>
        <v>2.8199999999999999E-2</v>
      </c>
      <c r="G24" s="24">
        <v>8.0000000000000004E-4</v>
      </c>
      <c r="H24" s="24">
        <f t="shared" si="1"/>
        <v>2.8199999999999999E-2</v>
      </c>
      <c r="L24">
        <v>66</v>
      </c>
      <c r="M24">
        <v>2</v>
      </c>
      <c r="N24">
        <v>62</v>
      </c>
      <c r="O24" s="16">
        <v>104027723444</v>
      </c>
      <c r="P24" s="16">
        <f t="shared" si="2"/>
        <v>-874883790871</v>
      </c>
      <c r="Q24">
        <v>19</v>
      </c>
      <c r="R24">
        <v>0</v>
      </c>
      <c r="S24">
        <v>5</v>
      </c>
      <c r="T24" s="16">
        <v>-134937700000</v>
      </c>
      <c r="U24" s="17">
        <f t="shared" si="3"/>
        <v>105233799000</v>
      </c>
    </row>
    <row r="25" spans="1:21" x14ac:dyDescent="0.2">
      <c r="A25" s="25">
        <v>45301</v>
      </c>
      <c r="B25" s="24">
        <v>2.5000000000000001E-3</v>
      </c>
      <c r="C25" s="24">
        <f t="shared" si="0"/>
        <v>2.76E-2</v>
      </c>
      <c r="G25" s="24">
        <v>2.0999999999999999E-3</v>
      </c>
      <c r="H25" s="24">
        <f t="shared" si="1"/>
        <v>2.7400000000000001E-2</v>
      </c>
      <c r="L25">
        <v>74</v>
      </c>
      <c r="M25">
        <v>2</v>
      </c>
      <c r="N25">
        <v>62</v>
      </c>
      <c r="O25" s="16">
        <v>-199155060394</v>
      </c>
      <c r="P25" s="16">
        <f t="shared" si="2"/>
        <v>-978911514315</v>
      </c>
      <c r="Q25">
        <v>12</v>
      </c>
      <c r="R25">
        <v>0</v>
      </c>
      <c r="S25">
        <v>19</v>
      </c>
      <c r="T25" s="16">
        <v>-198205025000</v>
      </c>
      <c r="U25" s="17">
        <f t="shared" si="3"/>
        <v>240171499000</v>
      </c>
    </row>
    <row r="26" spans="1:21" x14ac:dyDescent="0.2">
      <c r="A26" s="25">
        <v>45300</v>
      </c>
      <c r="B26" s="24">
        <v>-1.4E-3</v>
      </c>
      <c r="C26" s="24">
        <f t="shared" si="0"/>
        <v>2.5100000000000001E-2</v>
      </c>
      <c r="G26" s="24">
        <v>-2.8E-3</v>
      </c>
      <c r="H26" s="24">
        <f t="shared" si="1"/>
        <v>2.53E-2</v>
      </c>
      <c r="L26">
        <v>74</v>
      </c>
      <c r="M26">
        <v>3</v>
      </c>
      <c r="N26">
        <v>60</v>
      </c>
      <c r="O26" s="16">
        <v>-106567673803</v>
      </c>
      <c r="P26" s="16">
        <f t="shared" si="2"/>
        <v>-779756453921</v>
      </c>
      <c r="Q26">
        <v>19</v>
      </c>
      <c r="R26">
        <v>0</v>
      </c>
      <c r="S26">
        <v>9</v>
      </c>
      <c r="T26" s="16">
        <v>80559826000</v>
      </c>
      <c r="U26" s="17">
        <f t="shared" si="3"/>
        <v>438376524000</v>
      </c>
    </row>
    <row r="27" spans="1:21" x14ac:dyDescent="0.2">
      <c r="A27" s="25">
        <v>45299</v>
      </c>
      <c r="B27" s="24">
        <v>4.7999999999999996E-3</v>
      </c>
      <c r="C27" s="24">
        <f t="shared" si="0"/>
        <v>2.6499999999999999E-2</v>
      </c>
      <c r="G27" s="24">
        <v>2E-3</v>
      </c>
      <c r="H27" s="24">
        <f t="shared" si="1"/>
        <v>2.81E-2</v>
      </c>
      <c r="L27">
        <v>66</v>
      </c>
      <c r="M27">
        <v>2</v>
      </c>
      <c r="N27">
        <v>66</v>
      </c>
      <c r="O27" s="16">
        <v>-204815712671</v>
      </c>
      <c r="P27" s="16">
        <f t="shared" si="2"/>
        <v>-673188780118</v>
      </c>
      <c r="Q27">
        <v>16</v>
      </c>
      <c r="R27">
        <v>0</v>
      </c>
      <c r="S27">
        <v>8</v>
      </c>
      <c r="T27" s="16">
        <v>81748371000</v>
      </c>
      <c r="U27" s="17">
        <f t="shared" si="3"/>
        <v>357816698000</v>
      </c>
    </row>
    <row r="28" spans="1:21" x14ac:dyDescent="0.2">
      <c r="A28" s="25">
        <v>45296</v>
      </c>
      <c r="B28" s="24">
        <v>3.3999999999999998E-3</v>
      </c>
      <c r="C28" s="24">
        <f t="shared" si="0"/>
        <v>2.1700000000000001E-2</v>
      </c>
      <c r="G28" s="24">
        <v>4.1000000000000003E-3</v>
      </c>
      <c r="H28" s="24">
        <f t="shared" si="1"/>
        <v>2.6099999999999998E-2</v>
      </c>
      <c r="L28">
        <v>42</v>
      </c>
      <c r="M28">
        <v>2</v>
      </c>
      <c r="N28">
        <v>67</v>
      </c>
      <c r="O28" s="16">
        <v>-321896722031</v>
      </c>
      <c r="P28" s="16">
        <f t="shared" si="2"/>
        <v>-468373067447</v>
      </c>
      <c r="Q28">
        <v>22</v>
      </c>
      <c r="R28">
        <v>0</v>
      </c>
      <c r="S28">
        <v>7</v>
      </c>
      <c r="T28" s="16">
        <v>93428911000</v>
      </c>
      <c r="U28" s="17">
        <f t="shared" si="3"/>
        <v>276068327000</v>
      </c>
    </row>
    <row r="29" spans="1:21" x14ac:dyDescent="0.2">
      <c r="A29" s="25">
        <v>45295</v>
      </c>
      <c r="B29" s="24">
        <v>5.7000000000000002E-3</v>
      </c>
      <c r="C29" s="24">
        <f t="shared" si="0"/>
        <v>1.83E-2</v>
      </c>
      <c r="G29" s="24">
        <v>1.01E-2</v>
      </c>
      <c r="H29" s="24">
        <f t="shared" si="1"/>
        <v>2.1999999999999999E-2</v>
      </c>
      <c r="L29">
        <v>53</v>
      </c>
      <c r="M29">
        <v>1</v>
      </c>
      <c r="N29">
        <v>56</v>
      </c>
      <c r="O29" s="16">
        <v>14473737182</v>
      </c>
      <c r="P29" s="16">
        <f t="shared" si="2"/>
        <v>-146476345416</v>
      </c>
      <c r="Q29">
        <v>31</v>
      </c>
      <c r="R29">
        <v>0</v>
      </c>
      <c r="S29">
        <v>4</v>
      </c>
      <c r="T29" s="16">
        <v>543935814000</v>
      </c>
      <c r="U29" s="17">
        <f t="shared" si="3"/>
        <v>182639416000</v>
      </c>
    </row>
    <row r="30" spans="1:21" x14ac:dyDescent="0.2">
      <c r="A30" s="25">
        <v>45294</v>
      </c>
      <c r="B30" s="24">
        <v>1.0999999999999999E-2</v>
      </c>
      <c r="C30" s="24">
        <f>B30+C31</f>
        <v>1.26E-2</v>
      </c>
      <c r="G30" s="24">
        <v>1.17E-2</v>
      </c>
      <c r="H30" s="24">
        <f>G30+H31</f>
        <v>1.1900000000000001E-2</v>
      </c>
      <c r="L30">
        <v>42</v>
      </c>
      <c r="M30">
        <v>4</v>
      </c>
      <c r="N30">
        <v>65</v>
      </c>
      <c r="O30" s="16">
        <v>3414941691</v>
      </c>
      <c r="P30" s="16">
        <f>O30+P31</f>
        <v>-160950082598</v>
      </c>
      <c r="Q30">
        <v>9</v>
      </c>
      <c r="R30">
        <v>0</v>
      </c>
      <c r="S30">
        <v>16</v>
      </c>
      <c r="T30" s="16">
        <v>-317844600000</v>
      </c>
      <c r="U30" s="17">
        <f>T30+U31</f>
        <v>-361296398000</v>
      </c>
    </row>
    <row r="31" spans="1:21" x14ac:dyDescent="0.2">
      <c r="A31" s="25">
        <v>45293</v>
      </c>
      <c r="B31" s="24">
        <v>1.6000000000000001E-3</v>
      </c>
      <c r="C31" s="24">
        <f>B31</f>
        <v>1.6000000000000001E-3</v>
      </c>
      <c r="G31" s="24">
        <v>2.0000000000000001E-4</v>
      </c>
      <c r="H31" s="24">
        <f>G31</f>
        <v>2.0000000000000001E-4</v>
      </c>
      <c r="L31">
        <v>54</v>
      </c>
      <c r="M31">
        <v>0</v>
      </c>
      <c r="N31">
        <v>57</v>
      </c>
      <c r="O31" s="16">
        <v>-164365024289</v>
      </c>
      <c r="P31" s="16">
        <f>O31</f>
        <v>-164365024289</v>
      </c>
      <c r="Q31">
        <v>14</v>
      </c>
      <c r="R31">
        <v>0</v>
      </c>
      <c r="S31">
        <v>17</v>
      </c>
      <c r="T31" s="16">
        <v>-43451798000</v>
      </c>
      <c r="U31" s="17">
        <f>T31</f>
        <v>-43451798000</v>
      </c>
    </row>
    <row r="32" spans="1:21" x14ac:dyDescent="0.2">
      <c r="O32" s="16"/>
      <c r="P32" s="16"/>
      <c r="T32" s="16"/>
    </row>
    <row r="38" spans="1:1" x14ac:dyDescent="0.2">
      <c r="A38" s="25"/>
    </row>
    <row r="39" spans="1:1" x14ac:dyDescent="0.2">
      <c r="A39" s="25"/>
    </row>
    <row r="40" spans="1:1" x14ac:dyDescent="0.2">
      <c r="A40" s="25"/>
    </row>
    <row r="41" spans="1:1" x14ac:dyDescent="0.2">
      <c r="A41" s="25"/>
    </row>
    <row r="42" spans="1:1" x14ac:dyDescent="0.2">
      <c r="A42" s="25"/>
    </row>
    <row r="43" spans="1:1" x14ac:dyDescent="0.2">
      <c r="A43" s="25"/>
    </row>
    <row r="44" spans="1:1" x14ac:dyDescent="0.2">
      <c r="A44" s="25"/>
    </row>
    <row r="45" spans="1:1" x14ac:dyDescent="0.2">
      <c r="A45" s="25"/>
    </row>
    <row r="46" spans="1:1" x14ac:dyDescent="0.2">
      <c r="A46" s="25"/>
    </row>
    <row r="47" spans="1:1" x14ac:dyDescent="0.2">
      <c r="A47" s="25"/>
    </row>
  </sheetData>
  <mergeCells count="4">
    <mergeCell ref="B1:F1"/>
    <mergeCell ref="G1:K1"/>
    <mergeCell ref="L1:P1"/>
    <mergeCell ref="Q1:U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T2-2024</vt:lpstr>
      <vt:lpstr>T1-2024</vt:lpstr>
      <vt:lpstr>2024</vt:lpstr>
      <vt:lpstr>Template</vt:lpstr>
      <vt:lpstr>Intraday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2024-02-18T17:37:50Z</dcterms:modified>
</cp:coreProperties>
</file>