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2E9D08F6-84EE-1643-8929-BCCA99961C88}" xr6:coauthVersionLast="47" xr6:coauthVersionMax="47" xr10:uidLastSave="{00000000-0000-0000-0000-000000000000}"/>
  <bookViews>
    <workbookView xWindow="0" yWindow="760" windowWidth="30240" windowHeight="16940" activeTab="5" xr2:uid="{4F6761C8-C7AD-6642-9EED-09E5A9408C33}"/>
  </bookViews>
  <sheets>
    <sheet name="T2-2024" sheetId="10" r:id="rId1"/>
    <sheet name="T1-2024" sheetId="7" r:id="rId2"/>
    <sheet name="2024" sheetId="12" r:id="rId3"/>
    <sheet name="Template" sheetId="13" r:id="rId4"/>
    <sheet name="Intraday" sheetId="1" r:id="rId5"/>
    <sheet name="Volatile_Foreign_Buy" sheetId="15" r:id="rId6"/>
    <sheet name="Volatile_Foreign_Sell" sheetId="16" r:id="rId7"/>
    <sheet name="Volatile_Proprietary_Buy" sheetId="18" r:id="rId8"/>
    <sheet name="Volatile_Proprietary_Sell" sheetId="17" r:id="rId9"/>
    <sheet name="MoneyFlow" sheetId="14" r:id="rId10"/>
  </sheets>
  <functionGroups builtInGroupCount="19"/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7" i="13" l="1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T37" i="10"/>
  <c r="T38" i="10" s="1"/>
  <c r="S37" i="10"/>
  <c r="S38" i="10" s="1"/>
  <c r="R37" i="10"/>
  <c r="R38" i="10" s="1"/>
  <c r="Q37" i="10"/>
  <c r="Q38" i="10" s="1"/>
  <c r="P37" i="10"/>
  <c r="P38" i="10" s="1"/>
  <c r="O37" i="10"/>
  <c r="O38" i="10" s="1"/>
  <c r="N37" i="10"/>
  <c r="N38" i="10" s="1"/>
  <c r="M37" i="10"/>
  <c r="M38" i="10" s="1"/>
  <c r="L37" i="10"/>
  <c r="L38" i="10" s="1"/>
  <c r="K37" i="10"/>
  <c r="K38" i="10" s="1"/>
  <c r="J37" i="10"/>
  <c r="J38" i="10" s="1"/>
  <c r="I37" i="10"/>
  <c r="I38" i="10" s="1"/>
  <c r="H37" i="10"/>
  <c r="H38" i="10" s="1"/>
  <c r="G37" i="10"/>
  <c r="G38" i="10" s="1"/>
  <c r="F37" i="10"/>
  <c r="F38" i="10" s="1"/>
  <c r="E37" i="10"/>
  <c r="E38" i="10" s="1"/>
  <c r="D37" i="10"/>
  <c r="D38" i="10" s="1"/>
  <c r="C37" i="10"/>
  <c r="C38" i="10" s="1"/>
  <c r="B37" i="10"/>
  <c r="B38" i="10" s="1"/>
  <c r="A37" i="10"/>
  <c r="A38" i="10" s="1"/>
  <c r="T31" i="10"/>
  <c r="T32" i="10" s="1"/>
  <c r="S31" i="10"/>
  <c r="S32" i="10" s="1"/>
  <c r="R31" i="10"/>
  <c r="R32" i="10" s="1"/>
  <c r="Q31" i="10"/>
  <c r="Q32" i="10" s="1"/>
  <c r="P31" i="10"/>
  <c r="P32" i="10" s="1"/>
  <c r="O31" i="10"/>
  <c r="O32" i="10" s="1"/>
  <c r="N31" i="10"/>
  <c r="N32" i="10" s="1"/>
  <c r="M31" i="10"/>
  <c r="M32" i="10" s="1"/>
  <c r="L31" i="10"/>
  <c r="L32" i="10" s="1"/>
  <c r="K31" i="10"/>
  <c r="K32" i="10" s="1"/>
  <c r="J31" i="10"/>
  <c r="J32" i="10" s="1"/>
  <c r="I31" i="10"/>
  <c r="I32" i="10" s="1"/>
  <c r="H31" i="10"/>
  <c r="H32" i="10" s="1"/>
  <c r="G31" i="10"/>
  <c r="G32" i="10" s="1"/>
  <c r="F31" i="10"/>
  <c r="F32" i="10" s="1"/>
  <c r="E31" i="10"/>
  <c r="E32" i="10" s="1"/>
  <c r="D31" i="10"/>
  <c r="D32" i="10" s="1"/>
  <c r="C31" i="10"/>
  <c r="C32" i="10" s="1"/>
  <c r="B31" i="10"/>
  <c r="B32" i="10" s="1"/>
  <c r="A31" i="10"/>
  <c r="A32" i="10" s="1"/>
  <c r="T14" i="10"/>
  <c r="T15" i="10" s="1"/>
  <c r="S14" i="10"/>
  <c r="S15" i="10" s="1"/>
  <c r="R14" i="10"/>
  <c r="R15" i="10" s="1"/>
  <c r="Q14" i="10"/>
  <c r="Q15" i="10" s="1"/>
  <c r="P14" i="10"/>
  <c r="P15" i="10" s="1"/>
  <c r="O14" i="10"/>
  <c r="O15" i="10" s="1"/>
  <c r="N14" i="10"/>
  <c r="N15" i="10" s="1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G14" i="10"/>
  <c r="G15" i="10" s="1"/>
  <c r="F14" i="10"/>
  <c r="F15" i="10" s="1"/>
  <c r="E14" i="10"/>
  <c r="E15" i="10" s="1"/>
  <c r="D14" i="10"/>
  <c r="D15" i="10" s="1"/>
  <c r="C14" i="10"/>
  <c r="C15" i="10" s="1"/>
  <c r="B14" i="10"/>
  <c r="B15" i="10" s="1"/>
  <c r="A14" i="10"/>
  <c r="A15" i="10" s="1"/>
  <c r="T8" i="10"/>
  <c r="T9" i="10" s="1"/>
  <c r="S8" i="10"/>
  <c r="S9" i="10" s="1"/>
  <c r="R8" i="10"/>
  <c r="R9" i="10" s="1"/>
  <c r="Q8" i="10"/>
  <c r="Q9" i="10" s="1"/>
  <c r="P8" i="10"/>
  <c r="P9" i="10" s="1"/>
  <c r="O8" i="10"/>
  <c r="O9" i="10" s="1"/>
  <c r="N8" i="10"/>
  <c r="N9" i="10" s="1"/>
  <c r="M8" i="10"/>
  <c r="M9" i="10" s="1"/>
  <c r="L8" i="10"/>
  <c r="L9" i="10" s="1"/>
  <c r="K8" i="10"/>
  <c r="K9" i="10" s="1"/>
  <c r="J8" i="10"/>
  <c r="J9" i="10" s="1"/>
  <c r="I8" i="10"/>
  <c r="I9" i="10" s="1"/>
  <c r="H8" i="10"/>
  <c r="H9" i="10" s="1"/>
  <c r="G8" i="10"/>
  <c r="G9" i="10" s="1"/>
  <c r="F8" i="10"/>
  <c r="F9" i="10" s="1"/>
  <c r="E8" i="10"/>
  <c r="E9" i="10" s="1"/>
  <c r="D8" i="10"/>
  <c r="D9" i="10" s="1"/>
  <c r="C8" i="10"/>
  <c r="C9" i="10" s="1"/>
  <c r="B8" i="10"/>
  <c r="B9" i="10" s="1"/>
  <c r="A8" i="10"/>
  <c r="A9" i="10" s="1"/>
  <c r="J39" i="7"/>
  <c r="F14" i="7" l="1"/>
  <c r="F15" i="7" s="1"/>
  <c r="C14" i="7"/>
  <c r="C15" i="7" s="1"/>
  <c r="B4" i="12"/>
  <c r="T39" i="7"/>
  <c r="T40" i="7" s="1"/>
  <c r="S39" i="7"/>
  <c r="S40" i="7" s="1"/>
  <c r="R39" i="7"/>
  <c r="R40" i="7" s="1"/>
  <c r="Q39" i="7"/>
  <c r="Q40" i="7" s="1"/>
  <c r="P39" i="7"/>
  <c r="P40" i="7" s="1"/>
  <c r="O39" i="7"/>
  <c r="O40" i="7" s="1"/>
  <c r="N39" i="7"/>
  <c r="N40" i="7" s="1"/>
  <c r="M39" i="7"/>
  <c r="M40" i="7" s="1"/>
  <c r="L39" i="7"/>
  <c r="L40" i="7" s="1"/>
  <c r="K39" i="7"/>
  <c r="K40" i="7" s="1"/>
  <c r="J40" i="7"/>
  <c r="I39" i="7"/>
  <c r="I40" i="7" s="1"/>
  <c r="H39" i="7"/>
  <c r="H40" i="7" s="1"/>
  <c r="G39" i="7"/>
  <c r="G40" i="7" s="1"/>
  <c r="F39" i="7"/>
  <c r="F40" i="7" s="1"/>
  <c r="E39" i="7"/>
  <c r="E40" i="7" s="1"/>
  <c r="D39" i="7"/>
  <c r="D40" i="7" s="1"/>
  <c r="C39" i="7"/>
  <c r="C40" i="7" s="1"/>
  <c r="B39" i="7"/>
  <c r="B40" i="7" s="1"/>
  <c r="A39" i="7"/>
  <c r="A40" i="7" s="1"/>
  <c r="T14" i="7"/>
  <c r="T15" i="7" s="1"/>
  <c r="S14" i="7"/>
  <c r="S15" i="7" s="1"/>
  <c r="R14" i="7"/>
  <c r="R15" i="7" s="1"/>
  <c r="Q14" i="7"/>
  <c r="Q15" i="7" s="1"/>
  <c r="P14" i="7"/>
  <c r="P15" i="7" s="1"/>
  <c r="O14" i="7"/>
  <c r="O15" i="7" s="1"/>
  <c r="N14" i="7"/>
  <c r="N15" i="7" s="1"/>
  <c r="M14" i="7"/>
  <c r="M15" i="7" s="1"/>
  <c r="L14" i="7"/>
  <c r="L15" i="7" s="1"/>
  <c r="K14" i="7"/>
  <c r="K15" i="7" s="1"/>
  <c r="J14" i="7"/>
  <c r="J15" i="7" s="1"/>
  <c r="I14" i="7"/>
  <c r="I15" i="7" s="1"/>
  <c r="H14" i="7"/>
  <c r="H15" i="7" s="1"/>
  <c r="G14" i="7"/>
  <c r="G15" i="7" s="1"/>
  <c r="E14" i="7"/>
  <c r="E15" i="7" s="1"/>
  <c r="D14" i="7"/>
  <c r="D15" i="7" s="1"/>
  <c r="B14" i="7"/>
  <c r="B15" i="7" s="1"/>
  <c r="A14" i="7"/>
  <c r="A15" i="7" s="1"/>
  <c r="T33" i="7"/>
  <c r="T34" i="7" s="1"/>
  <c r="S33" i="7"/>
  <c r="S34" i="7" s="1"/>
  <c r="R33" i="7"/>
  <c r="R34" i="7" s="1"/>
  <c r="Q33" i="7"/>
  <c r="Q34" i="7" s="1"/>
  <c r="P33" i="7"/>
  <c r="P34" i="7" s="1"/>
  <c r="O33" i="7"/>
  <c r="O34" i="7" s="1"/>
  <c r="N33" i="7"/>
  <c r="N34" i="7" s="1"/>
  <c r="M33" i="7"/>
  <c r="M34" i="7" s="1"/>
  <c r="L33" i="7"/>
  <c r="L34" i="7" s="1"/>
  <c r="K33" i="7"/>
  <c r="K34" i="7" s="1"/>
  <c r="S8" i="7"/>
  <c r="S9" i="7" s="1"/>
  <c r="T8" i="7"/>
  <c r="T9" i="7" s="1"/>
  <c r="R8" i="7"/>
  <c r="R9" i="7" s="1"/>
  <c r="Q8" i="7"/>
  <c r="Q9" i="7" s="1"/>
  <c r="P8" i="7"/>
  <c r="P9" i="7" s="1"/>
  <c r="O8" i="7"/>
  <c r="O9" i="7" s="1"/>
  <c r="N8" i="7"/>
  <c r="N9" i="7" s="1"/>
  <c r="M8" i="7"/>
  <c r="M9" i="7" s="1"/>
  <c r="L8" i="7"/>
  <c r="L9" i="7" s="1"/>
  <c r="K8" i="7"/>
  <c r="K9" i="7" s="1"/>
  <c r="J33" i="7"/>
  <c r="J34" i="7" s="1"/>
  <c r="I33" i="7"/>
  <c r="I34" i="7" s="1"/>
  <c r="H33" i="7"/>
  <c r="H34" i="7" s="1"/>
  <c r="G33" i="7"/>
  <c r="G34" i="7" s="1"/>
  <c r="F33" i="7"/>
  <c r="F34" i="7" s="1"/>
  <c r="E33" i="7"/>
  <c r="E34" i="7" s="1"/>
  <c r="D33" i="7"/>
  <c r="D34" i="7" s="1"/>
  <c r="C33" i="7"/>
  <c r="C34" i="7" s="1"/>
  <c r="B33" i="7"/>
  <c r="B34" i="7" s="1"/>
  <c r="A33" i="7"/>
  <c r="A34" i="7" s="1"/>
  <c r="J8" i="7"/>
  <c r="J9" i="7" s="1"/>
  <c r="I8" i="7"/>
  <c r="I9" i="7" s="1"/>
  <c r="H8" i="7"/>
  <c r="H9" i="7" s="1"/>
  <c r="G8" i="7"/>
  <c r="G9" i="7" s="1"/>
  <c r="F8" i="7"/>
  <c r="F9" i="7" s="1"/>
  <c r="E8" i="7"/>
  <c r="E9" i="7" s="1"/>
  <c r="D8" i="7"/>
  <c r="D9" i="7" s="1"/>
  <c r="C8" i="7"/>
  <c r="C9" i="7" s="1"/>
  <c r="B8" i="7"/>
  <c r="B9" i="7" s="1"/>
  <c r="A8" i="7"/>
  <c r="A9" i="7" s="1"/>
  <c r="B3" i="12"/>
  <c r="U46" i="1"/>
  <c r="P46" i="1"/>
  <c r="H46" i="1"/>
  <c r="C46" i="1"/>
  <c r="U45" i="1"/>
  <c r="P45" i="1"/>
  <c r="H45" i="1"/>
  <c r="C45" i="1"/>
  <c r="U44" i="1"/>
  <c r="P44" i="1"/>
  <c r="H44" i="1"/>
  <c r="C44" i="1"/>
  <c r="U43" i="1"/>
  <c r="P43" i="1"/>
  <c r="H43" i="1"/>
  <c r="C43" i="1"/>
  <c r="U42" i="1"/>
  <c r="P42" i="1"/>
  <c r="H42" i="1"/>
  <c r="C42" i="1"/>
  <c r="U41" i="1"/>
  <c r="P41" i="1"/>
  <c r="H41" i="1"/>
  <c r="C41" i="1"/>
  <c r="U40" i="1"/>
  <c r="P40" i="1"/>
  <c r="H40" i="1"/>
  <c r="C40" i="1"/>
  <c r="U39" i="1"/>
  <c r="P39" i="1"/>
  <c r="H39" i="1"/>
  <c r="C39" i="1"/>
  <c r="U38" i="1"/>
  <c r="P38" i="1"/>
  <c r="H38" i="1"/>
  <c r="C38" i="1"/>
  <c r="U37" i="1"/>
  <c r="P37" i="1"/>
  <c r="H37" i="1"/>
  <c r="C37" i="1"/>
  <c r="U36" i="1"/>
  <c r="P36" i="1"/>
  <c r="H36" i="1"/>
  <c r="C36" i="1"/>
  <c r="U35" i="1"/>
  <c r="P35" i="1"/>
  <c r="H35" i="1"/>
  <c r="C35" i="1"/>
  <c r="U34" i="1"/>
  <c r="P34" i="1"/>
  <c r="H34" i="1"/>
  <c r="C34" i="1"/>
  <c r="U33" i="1"/>
  <c r="P33" i="1"/>
  <c r="H33" i="1"/>
  <c r="C33" i="1"/>
  <c r="U32" i="1"/>
  <c r="P32" i="1"/>
  <c r="H32" i="1"/>
  <c r="C32" i="1"/>
  <c r="U31" i="1"/>
  <c r="P31" i="1"/>
  <c r="H31" i="1"/>
  <c r="C31" i="1"/>
  <c r="U30" i="1"/>
  <c r="P30" i="1"/>
  <c r="H30" i="1"/>
  <c r="C30" i="1"/>
  <c r="U29" i="1"/>
  <c r="P29" i="1"/>
  <c r="H29" i="1"/>
  <c r="C29" i="1"/>
  <c r="U28" i="1"/>
  <c r="P28" i="1"/>
  <c r="H28" i="1"/>
  <c r="C28" i="1"/>
  <c r="U27" i="1"/>
  <c r="P27" i="1"/>
  <c r="H27" i="1"/>
  <c r="C27" i="1"/>
  <c r="U26" i="1"/>
  <c r="P26" i="1"/>
  <c r="H26" i="1"/>
  <c r="C26" i="1"/>
  <c r="U25" i="1"/>
  <c r="P25" i="1"/>
  <c r="H25" i="1"/>
  <c r="C25" i="1"/>
  <c r="U24" i="1"/>
  <c r="P24" i="1"/>
  <c r="H24" i="1"/>
  <c r="C24" i="1"/>
  <c r="U23" i="1"/>
  <c r="P23" i="1"/>
  <c r="H23" i="1"/>
  <c r="C23" i="1"/>
  <c r="U22" i="1"/>
  <c r="P22" i="1"/>
  <c r="H22" i="1"/>
  <c r="C22" i="1"/>
  <c r="U21" i="1"/>
  <c r="P21" i="1"/>
  <c r="H21" i="1"/>
  <c r="C21" i="1"/>
  <c r="U20" i="1"/>
  <c r="P20" i="1"/>
  <c r="H20" i="1"/>
  <c r="C20" i="1"/>
  <c r="U19" i="1"/>
  <c r="P19" i="1"/>
  <c r="H19" i="1"/>
  <c r="C19" i="1"/>
  <c r="U18" i="1"/>
  <c r="P18" i="1"/>
  <c r="H18" i="1"/>
  <c r="C18" i="1"/>
  <c r="U17" i="1"/>
  <c r="P17" i="1"/>
  <c r="H17" i="1"/>
  <c r="C17" i="1"/>
  <c r="U16" i="1"/>
  <c r="P16" i="1"/>
  <c r="H16" i="1"/>
  <c r="C16" i="1"/>
  <c r="U15" i="1"/>
  <c r="P15" i="1"/>
  <c r="H15" i="1"/>
  <c r="C15" i="1"/>
  <c r="U14" i="1"/>
  <c r="P14" i="1"/>
  <c r="H14" i="1"/>
  <c r="C14" i="1"/>
  <c r="U13" i="1"/>
  <c r="P13" i="1"/>
  <c r="H13" i="1"/>
  <c r="C13" i="1"/>
  <c r="U12" i="1"/>
  <c r="P12" i="1"/>
  <c r="H12" i="1"/>
  <c r="C12" i="1"/>
  <c r="U11" i="1"/>
  <c r="P11" i="1"/>
  <c r="H11" i="1"/>
  <c r="C11" i="1"/>
  <c r="U10" i="1"/>
  <c r="P10" i="1"/>
  <c r="H10" i="1"/>
  <c r="C10" i="1"/>
  <c r="U9" i="1"/>
  <c r="P9" i="1"/>
  <c r="H9" i="1"/>
  <c r="C9" i="1"/>
  <c r="U8" i="1"/>
  <c r="P8" i="1"/>
  <c r="H8" i="1"/>
  <c r="C8" i="1"/>
  <c r="U7" i="1"/>
  <c r="P7" i="1"/>
  <c r="C7" i="1"/>
</calcChain>
</file>

<file path=xl/sharedStrings.xml><?xml version="1.0" encoding="utf-8"?>
<sst xmlns="http://schemas.openxmlformats.org/spreadsheetml/2006/main" count="1844" uniqueCount="320">
  <si>
    <t>VNINDEX</t>
  </si>
  <si>
    <t>SLCP tăng</t>
  </si>
  <si>
    <t>SLCP ko đổi</t>
  </si>
  <si>
    <t>SLCP giảm</t>
  </si>
  <si>
    <t>VN30</t>
  </si>
  <si>
    <t>SSI</t>
  </si>
  <si>
    <t>VND</t>
  </si>
  <si>
    <t>BSI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</si>
  <si>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</si>
  <si>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</si>
  <si>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</si>
  <si>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</si>
  <si>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</si>
  <si>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</si>
  <si>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</si>
  <si>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</si>
  <si>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</si>
  <si>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</si>
  <si>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</si>
  <si>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</si>
  <si>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</si>
  <si>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</si>
  <si>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</si>
  <si>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</si>
  <si>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</si>
  <si>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</si>
  <si>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</si>
  <si>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</si>
  <si>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</si>
  <si>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</si>
  <si>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</si>
  <si>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</si>
  <si>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</si>
  <si>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</si>
  <si>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</si>
  <si>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</si>
  <si>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</si>
  <si>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</si>
  <si>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</si>
  <si>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</si>
  <si>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</si>
  <si>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</si>
  <si>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</si>
  <si>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</si>
  <si>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</si>
  <si>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</si>
  <si>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</si>
  <si>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</si>
  <si>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</si>
  <si>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</si>
  <si>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</si>
  <si>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</si>
  <si>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</si>
  <si>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</si>
  <si>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</si>
  <si>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</si>
  <si>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</si>
  <si>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</si>
  <si>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</si>
  <si>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</si>
  <si>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</si>
  <si>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</si>
  <si>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</si>
  <si>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</si>
  <si>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</si>
  <si>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</si>
  <si>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</si>
  <si>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</si>
  <si>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</si>
  <si>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</si>
  <si>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</si>
  <si>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</si>
  <si>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</si>
  <si>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</si>
  <si>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</si>
  <si>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</si>
  <si>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</si>
  <si>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</si>
  <si>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</si>
  <si>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</si>
  <si>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</si>
  <si>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</si>
  <si>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</si>
  <si>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</si>
  <si>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</si>
  <si>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</si>
  <si>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</si>
  <si>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</si>
  <si>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</si>
  <si>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</si>
  <si>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</si>
  <si>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</si>
  <si>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</si>
  <si>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</si>
  <si>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</si>
  <si>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TPG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</si>
  <si>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</si>
  <si>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</si>
  <si>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</si>
  <si>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</si>
  <si>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</si>
  <si>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</si>
  <si>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</si>
  <si>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</si>
  <si>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SIP</t>
  </si>
  <si>
    <t>DRC</t>
  </si>
  <si>
    <t>LAS</t>
  </si>
  <si>
    <t>GIL</t>
  </si>
  <si>
    <t>NTL</t>
  </si>
  <si>
    <t>HBC</t>
  </si>
  <si>
    <t>DDV</t>
  </si>
  <si>
    <t>NTP</t>
  </si>
  <si>
    <t>KSB</t>
  </si>
  <si>
    <t>DTD</t>
  </si>
  <si>
    <t>Top 20 Nước Ngoài mua</t>
  </si>
  <si>
    <t>Top 20 Tự Doanh mua</t>
  </si>
  <si>
    <t>Top 20 Giảm Giá</t>
  </si>
  <si>
    <t>Top 20 Tăng Giá</t>
  </si>
  <si>
    <t>PSH</t>
  </si>
  <si>
    <t>PET</t>
  </si>
  <si>
    <t>BCG</t>
  </si>
  <si>
    <t>EVE</t>
  </si>
  <si>
    <t>VGS</t>
  </si>
  <si>
    <t>LDG</t>
  </si>
  <si>
    <t>PTB</t>
  </si>
  <si>
    <t>NHA</t>
  </si>
  <si>
    <t>HQC</t>
  </si>
  <si>
    <t>HDC</t>
  </si>
  <si>
    <t>EVF</t>
  </si>
  <si>
    <t>SCR</t>
  </si>
  <si>
    <t>KBC</t>
  </si>
  <si>
    <t>ITA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</si>
  <si>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</si>
  <si>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</si>
  <si>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</si>
  <si>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</si>
  <si>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</si>
  <si>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</si>
  <si>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</si>
  <si>
    <t>19/02/2024</t>
  </si>
  <si>
    <t>20/02/2024</t>
  </si>
  <si>
    <t>21/02/2024</t>
  </si>
  <si>
    <t>22/02/2024</t>
  </si>
  <si>
    <t>23/02/2024</t>
  </si>
  <si>
    <t>BLUECHIP</t>
  </si>
  <si>
    <t>MIDCAP</t>
  </si>
  <si>
    <t>SMALLCAP</t>
  </si>
  <si>
    <t>Ngân Hàng</t>
  </si>
  <si>
    <t>Chứng Khoán</t>
  </si>
  <si>
    <t>BĐS</t>
  </si>
  <si>
    <t>BĐS KCN</t>
  </si>
  <si>
    <t>Thép</t>
  </si>
  <si>
    <t>Bán Lẻ</t>
  </si>
  <si>
    <t>Dầu Khí</t>
  </si>
  <si>
    <t>Xây Dựng</t>
  </si>
  <si>
    <t>Cảng, VT Biển</t>
  </si>
  <si>
    <t>Dệt May</t>
  </si>
  <si>
    <t>Thuỷ Sản</t>
  </si>
  <si>
    <t>Gỗ</t>
  </si>
  <si>
    <t>Vật liệu xây dựng</t>
  </si>
  <si>
    <t>Điện</t>
  </si>
  <si>
    <t>Hoá chất, Phân bón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</si>
  <si>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</si>
  <si>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</si>
  <si>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</si>
  <si>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</si>
  <si>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</si>
  <si>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</si>
  <si>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</si>
  <si>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</si>
  <si>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</si>
  <si>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</si>
  <si>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</si>
  <si>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</si>
  <si>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</si>
  <si>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</si>
  <si>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</si>
  <si>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</si>
  <si>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</si>
  <si>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</si>
  <si>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</si>
  <si>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</si>
  <si>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</si>
  <si>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</si>
  <si>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</si>
  <si>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</si>
  <si>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</si>
  <si>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</si>
  <si>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</si>
  <si>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</si>
  <si>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1M</t>
  </si>
  <si>
    <t>QTP</t>
  </si>
  <si>
    <t>TCM</t>
  </si>
  <si>
    <t>3M</t>
  </si>
  <si>
    <t>6M</t>
  </si>
  <si>
    <t>12M</t>
  </si>
  <si>
    <t>BID</t>
  </si>
  <si>
    <t>25/02/2024</t>
  </si>
  <si>
    <t>Duration</t>
  </si>
  <si>
    <t>f</t>
  </si>
  <si>
    <t>HAH</t>
  </si>
  <si>
    <t>DGW</t>
  </si>
  <si>
    <t>CII</t>
  </si>
  <si>
    <t>KDC</t>
  </si>
  <si>
    <t>PVI</t>
  </si>
  <si>
    <t>PVP</t>
  </si>
  <si>
    <t>VPI</t>
  </si>
  <si>
    <t>HHV</t>
  </si>
  <si>
    <t>SBT</t>
  </si>
  <si>
    <t>SZC</t>
  </si>
  <si>
    <t>CMG</t>
  </si>
  <si>
    <t>KOS</t>
  </si>
  <si>
    <t>L10</t>
  </si>
  <si>
    <t>SD7</t>
  </si>
  <si>
    <t>SCS</t>
  </si>
  <si>
    <t>NT2</t>
  </si>
  <si>
    <t>AGG</t>
  </si>
  <si>
    <t>STK</t>
  </si>
  <si>
    <t>SVC</t>
  </si>
  <si>
    <t>GDA</t>
  </si>
  <si>
    <t>HJS</t>
  </si>
  <si>
    <t>PAN</t>
  </si>
  <si>
    <t>VHC</t>
  </si>
  <si>
    <t>IDI</t>
  </si>
  <si>
    <t>FMC</t>
  </si>
  <si>
    <t>SGP</t>
  </si>
  <si>
    <t>MSH</t>
  </si>
  <si>
    <t>BCM</t>
  </si>
  <si>
    <t>FCN</t>
  </si>
  <si>
    <t>TTF</t>
  </si>
  <si>
    <t>ADS</t>
  </si>
  <si>
    <t>LHG</t>
  </si>
  <si>
    <t>GDT</t>
  </si>
  <si>
    <t>HT1</t>
  </si>
  <si>
    <t>26/02/2024</t>
  </si>
  <si>
    <t>LSS</t>
  </si>
  <si>
    <t>SAB</t>
  </si>
  <si>
    <t>REE</t>
  </si>
  <si>
    <t/>
  </si>
  <si>
    <t>SSB</t>
  </si>
  <si>
    <t>SAF</t>
  </si>
  <si>
    <t>BCR</t>
  </si>
  <si>
    <t>27/02/2024</t>
  </si>
  <si>
    <t>ANV</t>
  </si>
  <si>
    <t>THG</t>
  </si>
  <si>
    <t>PLC</t>
  </si>
  <si>
    <t>VIP</t>
  </si>
  <si>
    <t>VCS</t>
  </si>
  <si>
    <t>PDR</t>
  </si>
  <si>
    <t>TCI</t>
  </si>
  <si>
    <t>TLH</t>
  </si>
  <si>
    <t>CSM</t>
  </si>
  <si>
    <t>TEG</t>
  </si>
  <si>
    <t>DL1</t>
  </si>
  <si>
    <t>28/02/2024</t>
  </si>
  <si>
    <t>DPR</t>
  </si>
  <si>
    <t>BFC</t>
  </si>
  <si>
    <t>TIG</t>
  </si>
  <si>
    <t>SLS</t>
  </si>
  <si>
    <t>IMP</t>
  </si>
  <si>
    <t>PVC</t>
  </si>
  <si>
    <t>MPC</t>
  </si>
  <si>
    <t>MIG</t>
  </si>
  <si>
    <t>TMP</t>
  </si>
  <si>
    <t>THD</t>
  </si>
  <si>
    <t>FIT</t>
  </si>
  <si>
    <t>PVT</t>
  </si>
  <si>
    <t>LCS</t>
  </si>
  <si>
    <t>LCG</t>
  </si>
  <si>
    <t>VGT</t>
  </si>
  <si>
    <t>ELC</t>
  </si>
  <si>
    <t>DRI</t>
  </si>
  <si>
    <t>GEG</t>
  </si>
  <si>
    <t>Top 20 Nước Ngoài bán</t>
  </si>
  <si>
    <t>29/02/2024</t>
  </si>
  <si>
    <t>BMP</t>
  </si>
  <si>
    <t>LTG</t>
  </si>
  <si>
    <t>GVR</t>
  </si>
  <si>
    <t>OIL</t>
  </si>
  <si>
    <t>DHA</t>
  </si>
  <si>
    <t>POW</t>
  </si>
  <si>
    <t>FTS</t>
  </si>
  <si>
    <t>TNH</t>
  </si>
  <si>
    <t>HHS</t>
  </si>
  <si>
    <t>HCD</t>
  </si>
  <si>
    <t>01/03/2024</t>
  </si>
  <si>
    <t>CTD</t>
  </si>
  <si>
    <t>IJC</t>
  </si>
  <si>
    <t>CTR</t>
  </si>
  <si>
    <t>TLG</t>
  </si>
  <si>
    <t>BVH</t>
  </si>
  <si>
    <t>BIC</t>
  </si>
  <si>
    <t>HLY</t>
  </si>
  <si>
    <t>YEG</t>
  </si>
  <si>
    <t>GEE</t>
  </si>
  <si>
    <t>Top 10 Tự Doanh bán</t>
  </si>
  <si>
    <t>BHI</t>
  </si>
  <si>
    <t>VSC</t>
  </si>
  <si>
    <t>04/03/2024</t>
  </si>
  <si>
    <t>HAX</t>
  </si>
  <si>
    <t>C4G</t>
  </si>
  <si>
    <t>HOM</t>
  </si>
  <si>
    <t>05/03/2024</t>
  </si>
  <si>
    <t>PHP</t>
  </si>
  <si>
    <t>SZL</t>
  </si>
  <si>
    <t>06/03/2024</t>
  </si>
  <si>
    <t>MCH</t>
  </si>
  <si>
    <t>VGI</t>
  </si>
  <si>
    <t>PHR</t>
  </si>
  <si>
    <t>CLX</t>
  </si>
  <si>
    <t>TDC</t>
  </si>
  <si>
    <t>HAF</t>
  </si>
  <si>
    <t>MGG</t>
  </si>
  <si>
    <t>NBB</t>
  </si>
  <si>
    <t>07/03/2024</t>
  </si>
  <si>
    <t>ORS</t>
  </si>
  <si>
    <t>CTI</t>
  </si>
  <si>
    <t>DCL</t>
  </si>
  <si>
    <t>08/03/2024</t>
  </si>
  <si>
    <t>DHG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</si>
</sst>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16" fontId="0" fillId="0" borderId="0" xfId="0" applyNumberFormat="1"/>
    <xf numFmtId="14" fontId="0" fillId="0" borderId="0" xfId="0" applyNumberFormat="1"/>
    <xf numFmtId="10" fontId="0" fillId="0" borderId="0" xfId="2" applyNumberFormat="1" applyFont="1"/>
    <xf numFmtId="14" fontId="6" fillId="0" borderId="0" xfId="0" applyNumberFormat="1" applyFont="1"/>
    <xf numFmtId="14" fontId="0" fillId="0" borderId="0" xfId="0" applyNumberFormat="1" applyAlignment="1">
      <alignment horizontal="right"/>
    </xf>
    <xf numFmtId="10" fontId="0" fillId="0" borderId="0" xfId="0" applyNumberFormat="1"/>
    <xf numFmtId="0" fontId="1" fillId="15" borderId="0" xfId="0" applyFont="1" applyFill="1"/>
    <xf numFmtId="0" fontId="1" fillId="2" borderId="0" xfId="0" applyFont="1" applyFill="1"/>
    <xf numFmtId="3" fontId="0" fillId="17" borderId="0" xfId="1" applyNumberFormat="1" applyFont="1" applyFill="1"/>
    <xf numFmtId="0" fontId="1" fillId="1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14" fontId="0" fillId="0" borderId="0" xfId="0" applyNumberFormat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6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Giao Dịch NN &amp;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Intraday!$O$1:$O$2</c:f>
              <c:strCache>
                <c:ptCount val="2"/>
                <c:pt idx="0">
                  <c:v>Khối Ngoại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</c:strCache>
            </c:strRef>
          </c:cat>
          <c:val>
            <c:numRef>
              <c:f>Intraday!$O$3:$O$27</c:f>
              <c:numCache>
                <c:formatCode>#,##0</c:formatCode>
                <c:ptCount val="25"/>
                <c:pt idx="0">
                  <c:v>-524846354609</c:v>
                </c:pt>
                <c:pt idx="1">
                  <c:v>144525221748</c:v>
                </c:pt>
                <c:pt idx="2">
                  <c:v>-196891375040</c:v>
                </c:pt>
                <c:pt idx="3">
                  <c:v>192448049623</c:v>
                </c:pt>
                <c:pt idx="4">
                  <c:v>233287666818</c:v>
                </c:pt>
                <c:pt idx="5">
                  <c:v>415333352293</c:v>
                </c:pt>
                <c:pt idx="6">
                  <c:v>-283682679192</c:v>
                </c:pt>
                <c:pt idx="7">
                  <c:v>188033541882</c:v>
                </c:pt>
                <c:pt idx="8">
                  <c:v>221541319150</c:v>
                </c:pt>
                <c:pt idx="9">
                  <c:v>135599952356</c:v>
                </c:pt>
                <c:pt idx="10">
                  <c:v>-746396579742</c:v>
                </c:pt>
                <c:pt idx="11">
                  <c:v>-964850421523</c:v>
                </c:pt>
                <c:pt idx="12">
                  <c:v>61064252954</c:v>
                </c:pt>
                <c:pt idx="13">
                  <c:v>204994329241</c:v>
                </c:pt>
                <c:pt idx="14">
                  <c:v>188930474831</c:v>
                </c:pt>
                <c:pt idx="15">
                  <c:v>-442481451217</c:v>
                </c:pt>
                <c:pt idx="16">
                  <c:v>-389907696192</c:v>
                </c:pt>
                <c:pt idx="17">
                  <c:v>-20426078171</c:v>
                </c:pt>
                <c:pt idx="18">
                  <c:v>-454044753347</c:v>
                </c:pt>
                <c:pt idx="19">
                  <c:v>-47724190106</c:v>
                </c:pt>
                <c:pt idx="20">
                  <c:v>-235298007611</c:v>
                </c:pt>
                <c:pt idx="21">
                  <c:v>167317808902</c:v>
                </c:pt>
                <c:pt idx="22">
                  <c:v>39184647355</c:v>
                </c:pt>
                <c:pt idx="23">
                  <c:v>396711927017</c:v>
                </c:pt>
                <c:pt idx="24">
                  <c:v>-137908844181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0-704B-B7F7-EC53F8C66FB3}"/>
            </c:ext>
          </c:extLst>
        </c:ser>
        <c:ser>
          <c:idx val="16"/>
          <c:order val="2"/>
          <c:tx>
            <c:strRef>
              <c:f>Intraday!$T$1:$T$2</c:f>
              <c:strCache>
                <c:ptCount val="2"/>
                <c:pt idx="0">
                  <c:v>Tự Doanh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</c:strCache>
            </c:strRef>
          </c:cat>
          <c:val>
            <c:numRef>
              <c:f>Intraday!$T$3:$T$27</c:f>
              <c:numCache>
                <c:formatCode>#,##0</c:formatCode>
                <c:ptCount val="25"/>
                <c:pt idx="0">
                  <c:v>308522557000</c:v>
                </c:pt>
                <c:pt idx="1">
                  <c:v>90006913000</c:v>
                </c:pt>
                <c:pt idx="2">
                  <c:v>-551504761000</c:v>
                </c:pt>
                <c:pt idx="3">
                  <c:v>-362678957000</c:v>
                </c:pt>
                <c:pt idx="4">
                  <c:v>-195967555000</c:v>
                </c:pt>
                <c:pt idx="5">
                  <c:v>85544066600</c:v>
                </c:pt>
                <c:pt idx="6">
                  <c:v>12773172000</c:v>
                </c:pt>
                <c:pt idx="7">
                  <c:v>-240537106200</c:v>
                </c:pt>
                <c:pt idx="8">
                  <c:v>-605445427200</c:v>
                </c:pt>
                <c:pt idx="9">
                  <c:v>69732196000</c:v>
                </c:pt>
                <c:pt idx="10">
                  <c:v>70546609000</c:v>
                </c:pt>
                <c:pt idx="11">
                  <c:v>-332818912600</c:v>
                </c:pt>
                <c:pt idx="12">
                  <c:v>-614818417000</c:v>
                </c:pt>
                <c:pt idx="13">
                  <c:v>-470868857000</c:v>
                </c:pt>
                <c:pt idx="14">
                  <c:v>-623379316400</c:v>
                </c:pt>
                <c:pt idx="15">
                  <c:v>-83714826000</c:v>
                </c:pt>
                <c:pt idx="16">
                  <c:v>-431362028000</c:v>
                </c:pt>
                <c:pt idx="17">
                  <c:v>55430821000</c:v>
                </c:pt>
                <c:pt idx="18">
                  <c:v>-718184911000</c:v>
                </c:pt>
                <c:pt idx="19">
                  <c:v>17971390000</c:v>
                </c:pt>
                <c:pt idx="20">
                  <c:v>499951149000</c:v>
                </c:pt>
                <c:pt idx="21">
                  <c:v>99823302000</c:v>
                </c:pt>
                <c:pt idx="22">
                  <c:v>69620718500</c:v>
                </c:pt>
                <c:pt idx="23">
                  <c:v>80613287900</c:v>
                </c:pt>
                <c:pt idx="24">
                  <c:v>80072901000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036480"/>
        <c:axId val="2144733184"/>
      </c:barChart>
      <c:lineChart>
        <c:grouping val="standard"/>
        <c:varyColors val="0"/>
        <c:ser>
          <c:idx val="12"/>
          <c:order val="1"/>
          <c:tx>
            <c:strRef>
              <c:f>Intraday!$P$1:$P$2</c:f>
              <c:strCache>
                <c:ptCount val="2"/>
                <c:pt idx="0">
                  <c:v>Khối Ngoại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Intraday!$A$4:$A$27</c:f>
              <c:strCache>
                <c:ptCount val="24"/>
                <c:pt idx="0">
                  <c:v>07/03/2024</c:v>
                </c:pt>
                <c:pt idx="1">
                  <c:v>06/03/2024</c:v>
                </c:pt>
                <c:pt idx="2">
                  <c:v>05/03/2024</c:v>
                </c:pt>
                <c:pt idx="3">
                  <c:v>04/03/2024</c:v>
                </c:pt>
                <c:pt idx="4">
                  <c:v>01/03/2024</c:v>
                </c:pt>
                <c:pt idx="5">
                  <c:v>29/02/2024</c:v>
                </c:pt>
                <c:pt idx="6">
                  <c:v>28/02/2024</c:v>
                </c:pt>
                <c:pt idx="7">
                  <c:v>27/02/2024</c:v>
                </c:pt>
                <c:pt idx="8">
                  <c:v>26/02/2024</c:v>
                </c:pt>
                <c:pt idx="9">
                  <c:v>23/02/2024</c:v>
                </c:pt>
                <c:pt idx="10">
                  <c:v>22/02/2024</c:v>
                </c:pt>
                <c:pt idx="11">
                  <c:v>21/02/2024</c:v>
                </c:pt>
                <c:pt idx="12">
                  <c:v>20/02/2024</c:v>
                </c:pt>
                <c:pt idx="13">
                  <c:v>19/02/2024</c:v>
                </c:pt>
                <c:pt idx="14">
                  <c:v>16/02/2024</c:v>
                </c:pt>
                <c:pt idx="15">
                  <c:v>15/02/2024</c:v>
                </c:pt>
                <c:pt idx="16">
                  <c:v>07/02/2024</c:v>
                </c:pt>
                <c:pt idx="17">
                  <c:v>06/02/2024</c:v>
                </c:pt>
                <c:pt idx="18">
                  <c:v>05/02/2024</c:v>
                </c:pt>
                <c:pt idx="19">
                  <c:v>02/02/2024</c:v>
                </c:pt>
                <c:pt idx="20">
                  <c:v>01/02/2024</c:v>
                </c:pt>
                <c:pt idx="21">
                  <c:v>31/01/2024</c:v>
                </c:pt>
                <c:pt idx="22">
                  <c:v>30/01/2024</c:v>
                </c:pt>
                <c:pt idx="23">
                  <c:v>29/01/2024</c:v>
                </c:pt>
              </c:strCache>
            </c:strRef>
          </c:cat>
          <c:val>
            <c:numRef>
              <c:f>Intraday!$P$3:$P$27</c:f>
              <c:numCache>
                <c:formatCode>General</c:formatCode>
                <c:ptCount val="25"/>
                <c:pt idx="4" formatCode="#,##0">
                  <c:v>-644026209298</c:v>
                </c:pt>
                <c:pt idx="5" formatCode="#,##0">
                  <c:v>-877313876116</c:v>
                </c:pt>
                <c:pt idx="6" formatCode="#,##0">
                  <c:v>-1292647228409</c:v>
                </c:pt>
                <c:pt idx="7" formatCode="#,##0">
                  <c:v>-1008964549217</c:v>
                </c:pt>
                <c:pt idx="8" formatCode="#,##0">
                  <c:v>-1196998091099</c:v>
                </c:pt>
                <c:pt idx="9" formatCode="#,##0">
                  <c:v>-1418539410249</c:v>
                </c:pt>
                <c:pt idx="10" formatCode="#,##0">
                  <c:v>-1554139362605</c:v>
                </c:pt>
                <c:pt idx="11" formatCode="#,##0">
                  <c:v>-807742782863</c:v>
                </c:pt>
                <c:pt idx="12" formatCode="#,##0">
                  <c:v>157107638660</c:v>
                </c:pt>
                <c:pt idx="13" formatCode="#,##0">
                  <c:v>96043385706</c:v>
                </c:pt>
                <c:pt idx="14" formatCode="#,##0">
                  <c:v>-108950943535</c:v>
                </c:pt>
                <c:pt idx="15" formatCode="#,##0">
                  <c:v>-297881418366</c:v>
                </c:pt>
                <c:pt idx="16" formatCode="#,##0">
                  <c:v>144600032851</c:v>
                </c:pt>
                <c:pt idx="17" formatCode="#,##0">
                  <c:v>534507729043</c:v>
                </c:pt>
                <c:pt idx="18" formatCode="#,##0">
                  <c:v>554933807214</c:v>
                </c:pt>
                <c:pt idx="19" formatCode="#,##0">
                  <c:v>1008978560561</c:v>
                </c:pt>
                <c:pt idx="20" formatCode="#,##0">
                  <c:v>1056702750667</c:v>
                </c:pt>
                <c:pt idx="21" formatCode="#,##0">
                  <c:v>1292000758278</c:v>
                </c:pt>
                <c:pt idx="22" formatCode="#,##0">
                  <c:v>1124682949376</c:v>
                </c:pt>
                <c:pt idx="23" formatCode="#,##0">
                  <c:v>1085498302021</c:v>
                </c:pt>
                <c:pt idx="24" formatCode="#,##0">
                  <c:v>688786375004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20-704B-B7F7-EC53F8C66FB3}"/>
            </c:ext>
          </c:extLst>
        </c:ser>
        <c:ser>
          <c:idx val="17"/>
          <c:order val="3"/>
          <c:tx>
            <c:strRef>
              <c:f>Intraday!$U$1:$U$2</c:f>
              <c:strCache>
                <c:ptCount val="2"/>
                <c:pt idx="0">
                  <c:v>Tự Doanh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Intraday!$A$4:$A$27</c:f>
              <c:strCache>
                <c:ptCount val="24"/>
                <c:pt idx="0">
                  <c:v>07/03/2024</c:v>
                </c:pt>
                <c:pt idx="1">
                  <c:v>06/03/2024</c:v>
                </c:pt>
                <c:pt idx="2">
                  <c:v>05/03/2024</c:v>
                </c:pt>
                <c:pt idx="3">
                  <c:v>04/03/2024</c:v>
                </c:pt>
                <c:pt idx="4">
                  <c:v>01/03/2024</c:v>
                </c:pt>
                <c:pt idx="5">
                  <c:v>29/02/2024</c:v>
                </c:pt>
                <c:pt idx="6">
                  <c:v>28/02/2024</c:v>
                </c:pt>
                <c:pt idx="7">
                  <c:v>27/02/2024</c:v>
                </c:pt>
                <c:pt idx="8">
                  <c:v>26/02/2024</c:v>
                </c:pt>
                <c:pt idx="9">
                  <c:v>23/02/2024</c:v>
                </c:pt>
                <c:pt idx="10">
                  <c:v>22/02/2024</c:v>
                </c:pt>
                <c:pt idx="11">
                  <c:v>21/02/2024</c:v>
                </c:pt>
                <c:pt idx="12">
                  <c:v>20/02/2024</c:v>
                </c:pt>
                <c:pt idx="13">
                  <c:v>19/02/2024</c:v>
                </c:pt>
                <c:pt idx="14">
                  <c:v>16/02/2024</c:v>
                </c:pt>
                <c:pt idx="15">
                  <c:v>15/02/2024</c:v>
                </c:pt>
                <c:pt idx="16">
                  <c:v>07/02/2024</c:v>
                </c:pt>
                <c:pt idx="17">
                  <c:v>06/02/2024</c:v>
                </c:pt>
                <c:pt idx="18">
                  <c:v>05/02/2024</c:v>
                </c:pt>
                <c:pt idx="19">
                  <c:v>02/02/2024</c:v>
                </c:pt>
                <c:pt idx="20">
                  <c:v>01/02/2024</c:v>
                </c:pt>
                <c:pt idx="21">
                  <c:v>31/01/2024</c:v>
                </c:pt>
                <c:pt idx="22">
                  <c:v>30/01/2024</c:v>
                </c:pt>
                <c:pt idx="23">
                  <c:v>29/01/2024</c:v>
                </c:pt>
              </c:strCache>
            </c:strRef>
          </c:cat>
          <c:val>
            <c:numRef>
              <c:f>Intraday!$U$3:$U$27</c:f>
              <c:numCache>
                <c:formatCode>General</c:formatCode>
                <c:ptCount val="25"/>
                <c:pt idx="4" formatCode="#,##0">
                  <c:v>-3099477720745</c:v>
                </c:pt>
                <c:pt idx="5" formatCode="#,##0">
                  <c:v>-2903510165745</c:v>
                </c:pt>
                <c:pt idx="6" formatCode="#,##0">
                  <c:v>-2989054232345</c:v>
                </c:pt>
                <c:pt idx="7" formatCode="#,##0">
                  <c:v>-3001827404345</c:v>
                </c:pt>
                <c:pt idx="8" formatCode="#,##0">
                  <c:v>-2761290298145</c:v>
                </c:pt>
                <c:pt idx="9" formatCode="#,##0">
                  <c:v>-2155844870945</c:v>
                </c:pt>
                <c:pt idx="10" formatCode="#,##0">
                  <c:v>-2225577066945</c:v>
                </c:pt>
                <c:pt idx="11" formatCode="#,##0">
                  <c:v>-2296123675945</c:v>
                </c:pt>
                <c:pt idx="12" formatCode="#,##0">
                  <c:v>-1963304763345</c:v>
                </c:pt>
                <c:pt idx="13" formatCode="#,##0">
                  <c:v>-1348486346345</c:v>
                </c:pt>
                <c:pt idx="14" formatCode="#,##0">
                  <c:v>-877617489345</c:v>
                </c:pt>
                <c:pt idx="15" formatCode="#,##0">
                  <c:v>-254238172945</c:v>
                </c:pt>
                <c:pt idx="16" formatCode="#,##0">
                  <c:v>-170523346945</c:v>
                </c:pt>
                <c:pt idx="17" formatCode="#,##0">
                  <c:v>260838681055</c:v>
                </c:pt>
                <c:pt idx="18" formatCode="#,##0">
                  <c:v>205407860055</c:v>
                </c:pt>
                <c:pt idx="19" formatCode="#,##0">
                  <c:v>923592771055</c:v>
                </c:pt>
                <c:pt idx="20" formatCode="#,##0">
                  <c:v>905621381055</c:v>
                </c:pt>
                <c:pt idx="21" formatCode="#,##0">
                  <c:v>405670232055</c:v>
                </c:pt>
                <c:pt idx="22" formatCode="#,##0">
                  <c:v>305846930055</c:v>
                </c:pt>
                <c:pt idx="23" formatCode="#,##0">
                  <c:v>236226211555</c:v>
                </c:pt>
                <c:pt idx="24" formatCode="#,##0">
                  <c:v>155612923655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36480"/>
        <c:axId val="2144733184"/>
      </c:lineChart>
      <c:catAx>
        <c:axId val="21450364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4733184"/>
        <c:crosses val="autoZero"/>
        <c:auto val="0"/>
        <c:lblAlgn val="ctr"/>
        <c:lblOffset val="100"/>
        <c:noMultiLvlLbl val="1"/>
      </c:catAx>
      <c:valAx>
        <c:axId val="2144733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503648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Intraday!$B$1:$B$2</c:f>
              <c:strCache>
                <c:ptCount val="2"/>
                <c:pt idx="0">
                  <c:v>VNINDEX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</c:strCache>
            </c:strRef>
          </c:cat>
          <c:val>
            <c:numRef>
              <c:f>Intraday!$B$3:$B$27</c:f>
              <c:numCache>
                <c:formatCode>0.00%</c:formatCode>
                <c:ptCount val="25"/>
                <c:pt idx="0">
                  <c:v>-1.66E-2</c:v>
                </c:pt>
                <c:pt idx="1">
                  <c:v>4.5000000000000005E-3</c:v>
                </c:pt>
                <c:pt idx="2">
                  <c:v>-5.6999999999999993E-3</c:v>
                </c:pt>
                <c:pt idx="3">
                  <c:v>6.8000000000000005E-3</c:v>
                </c:pt>
                <c:pt idx="4">
                  <c:v>2.5000000000000001E-3</c:v>
                </c:pt>
                <c:pt idx="5">
                  <c:v>4.4000000000000003E-3</c:v>
                </c:pt>
                <c:pt idx="6">
                  <c:v>-1.5E-3</c:v>
                </c:pt>
                <c:pt idx="7">
                  <c:v>1.38E-2</c:v>
                </c:pt>
                <c:pt idx="8">
                  <c:v>1.09E-2</c:v>
                </c:pt>
                <c:pt idx="9">
                  <c:v>0.01</c:v>
                </c:pt>
                <c:pt idx="10">
                  <c:v>-1.2500000000000001E-2</c:v>
                </c:pt>
                <c:pt idx="11">
                  <c:v>-2.2000000000000001E-3</c:v>
                </c:pt>
                <c:pt idx="12">
                  <c:v>0</c:v>
                </c:pt>
                <c:pt idx="13">
                  <c:v>4.1999999999999997E-3</c:v>
                </c:pt>
                <c:pt idx="14">
                  <c:v>1.26E-2</c:v>
                </c:pt>
                <c:pt idx="15">
                  <c:v>6.0000000000000001E-3</c:v>
                </c:pt>
                <c:pt idx="16">
                  <c:v>3.3E-3</c:v>
                </c:pt>
                <c:pt idx="17">
                  <c:v>8.5000000000000006E-3</c:v>
                </c:pt>
                <c:pt idx="18">
                  <c:v>2E-3</c:v>
                </c:pt>
                <c:pt idx="19">
                  <c:v>1.15E-2</c:v>
                </c:pt>
                <c:pt idx="20">
                  <c:v>-4.0000000000000002E-4</c:v>
                </c:pt>
                <c:pt idx="21">
                  <c:v>7.4999999999999997E-3</c:v>
                </c:pt>
                <c:pt idx="22">
                  <c:v>-1.3000000000000001E-2</c:v>
                </c:pt>
                <c:pt idx="23">
                  <c:v>3.3999999999999998E-3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F-BF41-AB19-3197A8DCC81D}"/>
            </c:ext>
          </c:extLst>
        </c:ser>
        <c:ser>
          <c:idx val="5"/>
          <c:order val="2"/>
          <c:tx>
            <c:strRef>
              <c:f>Intraday!$G$1:$G$2</c:f>
              <c:strCache>
                <c:ptCount val="2"/>
                <c:pt idx="0">
                  <c:v>VN30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</c:strCache>
            </c:strRef>
          </c:cat>
          <c:val>
            <c:numRef>
              <c:f>Intraday!$G$3:$G$27</c:f>
              <c:numCache>
                <c:formatCode>0.00%</c:formatCode>
                <c:ptCount val="25"/>
                <c:pt idx="0">
                  <c:v>-2.06E-2</c:v>
                </c:pt>
                <c:pt idx="1">
                  <c:v>4.3E-3</c:v>
                </c:pt>
                <c:pt idx="2">
                  <c:v>-7.0999999999999995E-3</c:v>
                </c:pt>
                <c:pt idx="3">
                  <c:v>9.1999999999999998E-3</c:v>
                </c:pt>
                <c:pt idx="4">
                  <c:v>1.1999999999999999E-3</c:v>
                </c:pt>
                <c:pt idx="5">
                  <c:v>1E-3</c:v>
                </c:pt>
                <c:pt idx="6">
                  <c:v>2.9999999999999997E-4</c:v>
                </c:pt>
                <c:pt idx="7">
                  <c:v>1.3999999999999999E-2</c:v>
                </c:pt>
                <c:pt idx="8">
                  <c:v>1.18E-2</c:v>
                </c:pt>
                <c:pt idx="9">
                  <c:v>8.3999999999999995E-3</c:v>
                </c:pt>
                <c:pt idx="10">
                  <c:v>-1.3600000000000001E-2</c:v>
                </c:pt>
                <c:pt idx="11">
                  <c:v>-1.8E-3</c:v>
                </c:pt>
                <c:pt idx="12">
                  <c:v>2.9999999999999997E-4</c:v>
                </c:pt>
                <c:pt idx="13">
                  <c:v>1.1999999999999999E-3</c:v>
                </c:pt>
                <c:pt idx="14">
                  <c:v>1.2800000000000001E-2</c:v>
                </c:pt>
                <c:pt idx="15">
                  <c:v>6.1000000000000004E-3</c:v>
                </c:pt>
                <c:pt idx="16">
                  <c:v>3.5999999999999999E-3</c:v>
                </c:pt>
                <c:pt idx="17">
                  <c:v>1.1299999999999999E-2</c:v>
                </c:pt>
                <c:pt idx="18">
                  <c:v>1.5E-3</c:v>
                </c:pt>
                <c:pt idx="19">
                  <c:v>1.9199999999999998E-2</c:v>
                </c:pt>
                <c:pt idx="20">
                  <c:v>1.1999999999999999E-3</c:v>
                </c:pt>
                <c:pt idx="21">
                  <c:v>6.0000000000000001E-3</c:v>
                </c:pt>
                <c:pt idx="22">
                  <c:v>-1.2999999999999999E-2</c:v>
                </c:pt>
                <c:pt idx="23">
                  <c:v>2.2000000000000001E-3</c:v>
                </c:pt>
                <c:pt idx="24">
                  <c:v>-3.0999999999999999E-3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308767"/>
        <c:axId val="411674223"/>
      </c:barChart>
      <c:lineChart>
        <c:grouping val="standard"/>
        <c:varyColors val="0"/>
        <c:ser>
          <c:idx val="1"/>
          <c:order val="1"/>
          <c:tx>
            <c:strRef>
              <c:f>Intraday!$C$1:$C$2</c:f>
              <c:strCache>
                <c:ptCount val="2"/>
                <c:pt idx="0">
                  <c:v>VNINDEX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Intraday!$A$3:$A$27</c:f>
              <c:strCache>
                <c:ptCount val="25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</c:strCache>
            </c:strRef>
          </c:cat>
          <c:val>
            <c:numRef>
              <c:f>Intraday!$C$3:$C$27</c:f>
              <c:numCache>
                <c:formatCode>General</c:formatCode>
                <c:ptCount val="25"/>
                <c:pt idx="4" formatCode="0.00%">
                  <c:v>0.11090000000000001</c:v>
                </c:pt>
                <c:pt idx="5" formatCode="0.00%">
                  <c:v>0.10840000000000001</c:v>
                </c:pt>
                <c:pt idx="6" formatCode="0.00%">
                  <c:v>0.10400000000000001</c:v>
                </c:pt>
                <c:pt idx="7" formatCode="0.00%">
                  <c:v>0.10550000000000001</c:v>
                </c:pt>
                <c:pt idx="8" formatCode="0.00%">
                  <c:v>9.1700000000000004E-2</c:v>
                </c:pt>
                <c:pt idx="9" formatCode="0.00%">
                  <c:v>8.0800000000000011E-2</c:v>
                </c:pt>
                <c:pt idx="10" formatCode="0.00%">
                  <c:v>7.0800000000000016E-2</c:v>
                </c:pt>
                <c:pt idx="11" formatCode="0.00%">
                  <c:v>8.3300000000000013E-2</c:v>
                </c:pt>
                <c:pt idx="12" formatCode="0.00%">
                  <c:v>8.5500000000000007E-2</c:v>
                </c:pt>
                <c:pt idx="13" formatCode="0.00%">
                  <c:v>8.5500000000000007E-2</c:v>
                </c:pt>
                <c:pt idx="14" formatCode="0.00%">
                  <c:v>8.1300000000000011E-2</c:v>
                </c:pt>
                <c:pt idx="15" formatCode="0.00%">
                  <c:v>6.8700000000000011E-2</c:v>
                </c:pt>
                <c:pt idx="16" formatCode="0.00%">
                  <c:v>6.2700000000000006E-2</c:v>
                </c:pt>
                <c:pt idx="17" formatCode="0.00%">
                  <c:v>5.9400000000000001E-2</c:v>
                </c:pt>
                <c:pt idx="18" formatCode="0.00%">
                  <c:v>5.0900000000000001E-2</c:v>
                </c:pt>
                <c:pt idx="19" formatCode="0.00%">
                  <c:v>4.8899999999999999E-2</c:v>
                </c:pt>
                <c:pt idx="20" formatCode="0.00%">
                  <c:v>3.7400000000000003E-2</c:v>
                </c:pt>
                <c:pt idx="21" formatCode="0.00%">
                  <c:v>3.78E-2</c:v>
                </c:pt>
                <c:pt idx="22" formatCode="0.00%">
                  <c:v>3.0299999999999997E-2</c:v>
                </c:pt>
                <c:pt idx="23" formatCode="0.00%">
                  <c:v>4.3299999999999998E-2</c:v>
                </c:pt>
                <c:pt idx="24" formatCode="0.00%">
                  <c:v>3.9899999999999998E-2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F-BF41-AB19-3197A8DCC81D}"/>
            </c:ext>
          </c:extLst>
        </c:ser>
        <c:ser>
          <c:idx val="6"/>
          <c:order val="3"/>
          <c:tx>
            <c:strRef>
              <c:f>Intraday!$H$1:$H$2</c:f>
              <c:strCache>
                <c:ptCount val="2"/>
                <c:pt idx="0">
                  <c:v>VN30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Intraday!$A$3:$A$27</c:f>
              <c:strCache>
                <c:ptCount val="25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</c:strCache>
            </c:strRef>
          </c:cat>
          <c:val>
            <c:numRef>
              <c:f>Intraday!$H$3:$H$27</c:f>
              <c:numCache>
                <c:formatCode>General</c:formatCode>
                <c:ptCount val="25"/>
                <c:pt idx="5" formatCode="0.00%">
                  <c:v>0.11430000000000001</c:v>
                </c:pt>
                <c:pt idx="6" formatCode="0.00%">
                  <c:v>0.11330000000000001</c:v>
                </c:pt>
                <c:pt idx="7" formatCode="0.00%">
                  <c:v>0.11300000000000002</c:v>
                </c:pt>
                <c:pt idx="8" formatCode="0.00%">
                  <c:v>9.9000000000000019E-2</c:v>
                </c:pt>
                <c:pt idx="9" formatCode="0.00%">
                  <c:v>8.7200000000000014E-2</c:v>
                </c:pt>
                <c:pt idx="10" formatCode="0.00%">
                  <c:v>7.8800000000000009E-2</c:v>
                </c:pt>
                <c:pt idx="11" formatCode="0.00%">
                  <c:v>9.240000000000001E-2</c:v>
                </c:pt>
                <c:pt idx="12" formatCode="0.00%">
                  <c:v>9.4200000000000006E-2</c:v>
                </c:pt>
                <c:pt idx="13" formatCode="0.00%">
                  <c:v>9.3900000000000011E-2</c:v>
                </c:pt>
                <c:pt idx="14" formatCode="0.00%">
                  <c:v>9.2700000000000005E-2</c:v>
                </c:pt>
                <c:pt idx="15" formatCode="0.00%">
                  <c:v>7.9899999999999999E-2</c:v>
                </c:pt>
                <c:pt idx="16" formatCode="0.00%">
                  <c:v>7.3800000000000004E-2</c:v>
                </c:pt>
                <c:pt idx="17" formatCode="0.00%">
                  <c:v>7.0199999999999999E-2</c:v>
                </c:pt>
                <c:pt idx="18" formatCode="0.00%">
                  <c:v>5.8899999999999994E-2</c:v>
                </c:pt>
                <c:pt idx="19" formatCode="0.00%">
                  <c:v>5.7399999999999993E-2</c:v>
                </c:pt>
                <c:pt idx="20" formatCode="0.00%">
                  <c:v>3.8199999999999998E-2</c:v>
                </c:pt>
                <c:pt idx="21" formatCode="0.00%">
                  <c:v>3.6999999999999998E-2</c:v>
                </c:pt>
                <c:pt idx="22" formatCode="0.00%">
                  <c:v>3.1E-2</c:v>
                </c:pt>
                <c:pt idx="23" formatCode="0.00%">
                  <c:v>4.3999999999999997E-2</c:v>
                </c:pt>
                <c:pt idx="24" formatCode="0.00%">
                  <c:v>4.1799999999999997E-2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08767"/>
        <c:axId val="411674223"/>
      </c:lineChart>
      <c:catAx>
        <c:axId val="403308767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674223"/>
        <c:crosses val="autoZero"/>
        <c:auto val="0"/>
        <c:lblAlgn val="ctr"/>
        <c:lblOffset val="100"/>
        <c:noMultiLvlLbl val="1"/>
      </c:catAx>
      <c:valAx>
        <c:axId val="4116742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0330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812800</xdr:colOff>
      <xdr:row>1</xdr:row>
      <xdr:rowOff>12700</xdr:rowOff>
    </xdr:from>
    <xdr:to>
      <xdr:col>32</xdr:col>
      <xdr:colOff>133350</xdr:colOff>
      <xdr:row>21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653DB7-8FE1-B4DD-4D26-3277B3BAC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800100</xdr:colOff>
      <xdr:row>21</xdr:row>
      <xdr:rowOff>190500</xdr:rowOff>
    </xdr:from>
    <xdr:to>
      <xdr:col>34</xdr:col>
      <xdr:colOff>228600</xdr:colOff>
      <xdr:row>45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D2D3D9-433F-88D4-EC0F-B62F24EA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/>
      <sheetData sheetId="1"/>
      <sheetData sheetId="2"/>
      <sheetData sheetId="3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37350</v>
          </cell>
        </row>
        <row r="42">
          <cell r="A42" t="str">
            <v>VND</v>
          </cell>
          <cell r="B42">
            <v>23200</v>
          </cell>
        </row>
        <row r="43">
          <cell r="A43" t="str">
            <v>HCM</v>
          </cell>
          <cell r="B43">
            <v>28300</v>
          </cell>
        </row>
        <row r="44">
          <cell r="A44" t="str">
            <v>VCI</v>
          </cell>
          <cell r="B44">
            <v>46850</v>
          </cell>
        </row>
        <row r="45">
          <cell r="A45" t="str">
            <v>MBS</v>
          </cell>
          <cell r="B45">
            <v>28400</v>
          </cell>
        </row>
        <row r="46">
          <cell r="A46" t="str">
            <v>FTS</v>
          </cell>
          <cell r="B46">
            <v>58000</v>
          </cell>
        </row>
        <row r="47">
          <cell r="A47" t="str">
            <v>VIX</v>
          </cell>
          <cell r="B47">
            <v>18900</v>
          </cell>
        </row>
        <row r="48">
          <cell r="A48" t="str">
            <v>SHS</v>
          </cell>
          <cell r="B48">
            <v>18000</v>
          </cell>
        </row>
        <row r="49">
          <cell r="A49" t="str">
            <v>BSI</v>
          </cell>
          <cell r="B49">
            <v>58200</v>
          </cell>
        </row>
        <row r="50">
          <cell r="A50" t="str">
            <v>VCB</v>
          </cell>
          <cell r="B50">
            <v>97300</v>
          </cell>
        </row>
        <row r="51">
          <cell r="A51" t="str">
            <v>STB</v>
          </cell>
          <cell r="B51">
            <v>31950</v>
          </cell>
        </row>
        <row r="52">
          <cell r="A52" t="str">
            <v>CTG</v>
          </cell>
          <cell r="B52">
            <v>35600</v>
          </cell>
        </row>
        <row r="53">
          <cell r="A53" t="str">
            <v>MBB</v>
          </cell>
          <cell r="B53">
            <v>24000</v>
          </cell>
        </row>
        <row r="54">
          <cell r="A54" t="str">
            <v>TCB</v>
          </cell>
          <cell r="B54">
            <v>41850</v>
          </cell>
        </row>
        <row r="55">
          <cell r="A55" t="str">
            <v>ACB</v>
          </cell>
          <cell r="B55">
            <v>27800</v>
          </cell>
        </row>
        <row r="56">
          <cell r="A56" t="str">
            <v>VPB</v>
          </cell>
          <cell r="B56">
            <v>19650</v>
          </cell>
        </row>
        <row r="57">
          <cell r="A57" t="str">
            <v>VIB</v>
          </cell>
          <cell r="B57">
            <v>21900</v>
          </cell>
        </row>
        <row r="58">
          <cell r="A58" t="str">
            <v>LPB</v>
          </cell>
          <cell r="B58">
            <v>17050</v>
          </cell>
        </row>
        <row r="59">
          <cell r="A59" t="str">
            <v>MSB</v>
          </cell>
          <cell r="B59">
            <v>15750</v>
          </cell>
        </row>
        <row r="60">
          <cell r="A60" t="str">
            <v>HDB</v>
          </cell>
          <cell r="B60">
            <v>23300</v>
          </cell>
        </row>
        <row r="61">
          <cell r="A61" t="str">
            <v>TPB</v>
          </cell>
          <cell r="B61">
            <v>19850</v>
          </cell>
        </row>
        <row r="62">
          <cell r="A62" t="str">
            <v>EIB</v>
          </cell>
          <cell r="B62">
            <v>18250</v>
          </cell>
        </row>
        <row r="63">
          <cell r="A63" t="str">
            <v>PDR</v>
          </cell>
          <cell r="B63">
            <v>29000</v>
          </cell>
        </row>
        <row r="64">
          <cell r="A64" t="str">
            <v>DXG</v>
          </cell>
          <cell r="B64">
            <v>18450</v>
          </cell>
        </row>
        <row r="65">
          <cell r="A65" t="str">
            <v>NVL</v>
          </cell>
          <cell r="B65">
            <v>17300</v>
          </cell>
        </row>
        <row r="66">
          <cell r="A66" t="str">
            <v>VHM</v>
          </cell>
          <cell r="B66">
            <v>43950</v>
          </cell>
        </row>
        <row r="67">
          <cell r="A67" t="str">
            <v>NLG</v>
          </cell>
          <cell r="B67">
            <v>39900</v>
          </cell>
        </row>
        <row r="68">
          <cell r="A68" t="str">
            <v>KDH</v>
          </cell>
          <cell r="B68">
            <v>34950</v>
          </cell>
        </row>
        <row r="69">
          <cell r="A69" t="str">
            <v>DIG</v>
          </cell>
          <cell r="B69">
            <v>27550</v>
          </cell>
        </row>
        <row r="70">
          <cell r="A70" t="str">
            <v>CEO</v>
          </cell>
          <cell r="B70">
            <v>22600</v>
          </cell>
        </row>
        <row r="71">
          <cell r="A71" t="str">
            <v>HDC</v>
          </cell>
          <cell r="B71">
            <v>31050</v>
          </cell>
        </row>
        <row r="72">
          <cell r="A72" t="str">
            <v>NTL</v>
          </cell>
          <cell r="B72">
            <v>33400</v>
          </cell>
        </row>
        <row r="73">
          <cell r="A73" t="str">
            <v>CTD</v>
          </cell>
          <cell r="B73">
            <v>69000</v>
          </cell>
        </row>
        <row r="74">
          <cell r="A74" t="str">
            <v>VCG</v>
          </cell>
          <cell r="B74">
            <v>25100</v>
          </cell>
        </row>
        <row r="75">
          <cell r="A75" t="str">
            <v>FCN</v>
          </cell>
          <cell r="B75">
            <v>14550</v>
          </cell>
        </row>
        <row r="76">
          <cell r="A76" t="str">
            <v>HHV</v>
          </cell>
          <cell r="B76">
            <v>15700</v>
          </cell>
        </row>
        <row r="77">
          <cell r="A77" t="str">
            <v>CTR</v>
          </cell>
          <cell r="B77">
            <v>105000</v>
          </cell>
        </row>
        <row r="78">
          <cell r="A78" t="str">
            <v>THG</v>
          </cell>
          <cell r="B78">
            <v>41800</v>
          </cell>
        </row>
        <row r="79">
          <cell r="A79" t="str">
            <v>C4G</v>
          </cell>
          <cell r="B79">
            <v>11800</v>
          </cell>
        </row>
        <row r="80">
          <cell r="A80" t="str">
            <v>DTD</v>
          </cell>
          <cell r="B80">
            <v>29300</v>
          </cell>
        </row>
        <row r="81">
          <cell r="A81" t="str">
            <v>KBC</v>
          </cell>
          <cell r="B81">
            <v>31200</v>
          </cell>
        </row>
        <row r="82">
          <cell r="A82" t="str">
            <v>IDC</v>
          </cell>
          <cell r="B82">
            <v>58900</v>
          </cell>
        </row>
        <row r="83">
          <cell r="A83" t="str">
            <v>SZC</v>
          </cell>
          <cell r="B83">
            <v>43550</v>
          </cell>
        </row>
        <row r="84">
          <cell r="A84" t="str">
            <v>VGC</v>
          </cell>
          <cell r="B84">
            <v>55500</v>
          </cell>
        </row>
        <row r="85">
          <cell r="A85" t="str">
            <v>PHR</v>
          </cell>
          <cell r="B85">
            <v>56400</v>
          </cell>
        </row>
        <row r="86">
          <cell r="A86" t="str">
            <v>LHG</v>
          </cell>
          <cell r="B86">
            <v>35000</v>
          </cell>
        </row>
        <row r="87">
          <cell r="A87" t="str">
            <v>DPR</v>
          </cell>
          <cell r="B87">
            <v>35200</v>
          </cell>
        </row>
        <row r="88">
          <cell r="A88" t="str">
            <v>NTC</v>
          </cell>
          <cell r="B88">
            <v>207000</v>
          </cell>
        </row>
        <row r="89">
          <cell r="A89" t="str">
            <v>GVR</v>
          </cell>
          <cell r="B89">
            <v>29150</v>
          </cell>
        </row>
        <row r="90">
          <cell r="A90" t="str">
            <v>BCM</v>
          </cell>
          <cell r="B90">
            <v>63600</v>
          </cell>
        </row>
        <row r="91">
          <cell r="A91" t="str">
            <v>MWG</v>
          </cell>
          <cell r="B91">
            <v>46600</v>
          </cell>
        </row>
        <row r="92">
          <cell r="A92" t="str">
            <v>FRT</v>
          </cell>
          <cell r="B92">
            <v>141000</v>
          </cell>
        </row>
        <row r="93">
          <cell r="A93" t="str">
            <v>DGW</v>
          </cell>
          <cell r="B93">
            <v>59200</v>
          </cell>
        </row>
        <row r="94">
          <cell r="A94" t="str">
            <v>PET</v>
          </cell>
          <cell r="B94">
            <v>25800</v>
          </cell>
        </row>
        <row r="95">
          <cell r="A95" t="str">
            <v>VNM</v>
          </cell>
          <cell r="B95">
            <v>71500</v>
          </cell>
        </row>
        <row r="96">
          <cell r="A96" t="str">
            <v>VRE</v>
          </cell>
          <cell r="B96">
            <v>26650</v>
          </cell>
        </row>
        <row r="97">
          <cell r="A97" t="str">
            <v>PNJ</v>
          </cell>
          <cell r="B97">
            <v>95700</v>
          </cell>
        </row>
        <row r="98">
          <cell r="A98" t="str">
            <v>DGC</v>
          </cell>
          <cell r="B98">
            <v>114000</v>
          </cell>
        </row>
        <row r="99">
          <cell r="A99" t="str">
            <v>CSV</v>
          </cell>
          <cell r="B99">
            <v>58500</v>
          </cell>
        </row>
        <row r="100">
          <cell r="A100" t="str">
            <v>LAS</v>
          </cell>
          <cell r="B100">
            <v>19700</v>
          </cell>
        </row>
        <row r="101">
          <cell r="A101" t="str">
            <v>DDV</v>
          </cell>
          <cell r="B101">
            <v>11500</v>
          </cell>
        </row>
        <row r="102">
          <cell r="A102" t="str">
            <v>GMD</v>
          </cell>
          <cell r="B102">
            <v>80500</v>
          </cell>
        </row>
        <row r="103">
          <cell r="A103" t="str">
            <v>HAH</v>
          </cell>
          <cell r="B103">
            <v>42900</v>
          </cell>
        </row>
        <row r="104">
          <cell r="A104" t="str">
            <v>VOS</v>
          </cell>
          <cell r="B104">
            <v>12100</v>
          </cell>
        </row>
        <row r="105">
          <cell r="A105" t="str">
            <v>VSC</v>
          </cell>
          <cell r="B105">
            <v>22800</v>
          </cell>
        </row>
        <row r="106">
          <cell r="A106" t="str">
            <v>VTP</v>
          </cell>
          <cell r="B106">
            <v>69100</v>
          </cell>
        </row>
        <row r="107">
          <cell r="A107" t="str">
            <v>VHC</v>
          </cell>
          <cell r="B107">
            <v>73600</v>
          </cell>
        </row>
        <row r="108">
          <cell r="A108" t="str">
            <v>ANV</v>
          </cell>
          <cell r="B108">
            <v>34400</v>
          </cell>
        </row>
        <row r="109">
          <cell r="A109" t="str">
            <v>FMC</v>
          </cell>
          <cell r="B109">
            <v>47800</v>
          </cell>
        </row>
        <row r="110">
          <cell r="A110" t="str">
            <v>IDI</v>
          </cell>
          <cell r="B110">
            <v>12600</v>
          </cell>
        </row>
        <row r="111">
          <cell r="A111" t="str">
            <v>PC1</v>
          </cell>
          <cell r="B111">
            <v>28400</v>
          </cell>
        </row>
        <row r="112">
          <cell r="A112" t="str">
            <v>TV2</v>
          </cell>
          <cell r="B112">
            <v>40900</v>
          </cell>
        </row>
        <row r="113">
          <cell r="A113" t="str">
            <v>NT2</v>
          </cell>
          <cell r="B113">
            <v>26000</v>
          </cell>
        </row>
        <row r="114">
          <cell r="A114" t="str">
            <v>QTP</v>
          </cell>
          <cell r="B114">
            <v>15000</v>
          </cell>
        </row>
        <row r="115">
          <cell r="A115" t="str">
            <v>GEG</v>
          </cell>
          <cell r="B115">
            <v>13200</v>
          </cell>
        </row>
        <row r="116">
          <cell r="A116" t="str">
            <v>HPG</v>
          </cell>
          <cell r="B116">
            <v>30850</v>
          </cell>
        </row>
        <row r="117">
          <cell r="A117" t="str">
            <v>NKG</v>
          </cell>
          <cell r="B117">
            <v>24150</v>
          </cell>
        </row>
        <row r="118">
          <cell r="A118" t="str">
            <v>HSG</v>
          </cell>
          <cell r="B118">
            <v>23050</v>
          </cell>
        </row>
        <row r="119">
          <cell r="A119" t="str">
            <v>BSR</v>
          </cell>
          <cell r="B119">
            <v>20000</v>
          </cell>
        </row>
        <row r="120">
          <cell r="A120" t="str">
            <v>PVD</v>
          </cell>
          <cell r="B120">
            <v>31800</v>
          </cell>
        </row>
        <row r="121">
          <cell r="A121" t="str">
            <v>PVS</v>
          </cell>
          <cell r="B121">
            <v>36900</v>
          </cell>
        </row>
        <row r="122">
          <cell r="A122" t="str">
            <v>PVT</v>
          </cell>
          <cell r="B122">
            <v>27100</v>
          </cell>
        </row>
        <row r="123">
          <cell r="A123" t="str">
            <v>PLX</v>
          </cell>
          <cell r="B123">
            <v>35900</v>
          </cell>
        </row>
        <row r="124">
          <cell r="A124" t="str">
            <v>GAS</v>
          </cell>
          <cell r="B124">
            <v>77600</v>
          </cell>
        </row>
        <row r="125">
          <cell r="A125" t="str">
            <v>KSB</v>
          </cell>
          <cell r="B125">
            <v>26800</v>
          </cell>
        </row>
        <row r="126">
          <cell r="A126" t="str">
            <v>DHA</v>
          </cell>
          <cell r="B126">
            <v>50300</v>
          </cell>
        </row>
        <row r="127">
          <cell r="A127" t="str">
            <v>VLB</v>
          </cell>
          <cell r="B127">
            <v>35400</v>
          </cell>
        </row>
        <row r="128">
          <cell r="A128" t="str">
            <v>HT1</v>
          </cell>
          <cell r="B128">
            <v>13300</v>
          </cell>
        </row>
        <row r="129">
          <cell r="A129" t="str">
            <v>BMP</v>
          </cell>
          <cell r="B129">
            <v>115000</v>
          </cell>
        </row>
        <row r="130">
          <cell r="A130" t="str">
            <v>NTP</v>
          </cell>
          <cell r="B130">
            <v>46600</v>
          </cell>
        </row>
        <row r="131">
          <cell r="A131" t="str">
            <v>DCM</v>
          </cell>
          <cell r="B131">
            <v>34200</v>
          </cell>
        </row>
        <row r="132">
          <cell r="A132" t="str">
            <v>DPM</v>
          </cell>
          <cell r="B132">
            <v>35100</v>
          </cell>
        </row>
        <row r="133">
          <cell r="A133" t="str">
            <v>PAN</v>
          </cell>
          <cell r="B133">
            <v>23500</v>
          </cell>
        </row>
        <row r="134">
          <cell r="A134" t="str">
            <v>LTG</v>
          </cell>
          <cell r="B134">
            <v>28000</v>
          </cell>
        </row>
        <row r="135">
          <cell r="A135" t="str">
            <v>PTB</v>
          </cell>
          <cell r="B135">
            <v>59800</v>
          </cell>
        </row>
        <row r="136">
          <cell r="A136" t="str">
            <v>VCS</v>
          </cell>
          <cell r="B136">
            <v>66000</v>
          </cell>
        </row>
        <row r="137">
          <cell r="A137" t="str">
            <v>DBC</v>
          </cell>
          <cell r="B137">
            <v>29700</v>
          </cell>
        </row>
        <row r="138">
          <cell r="A138" t="str">
            <v>HAG</v>
          </cell>
          <cell r="B138">
            <v>12700</v>
          </cell>
        </row>
        <row r="139">
          <cell r="A139" t="str">
            <v>BAF</v>
          </cell>
          <cell r="B139">
            <v>27000</v>
          </cell>
        </row>
        <row r="140">
          <cell r="A140" t="str">
            <v>TNG</v>
          </cell>
          <cell r="B140">
            <v>21400</v>
          </cell>
        </row>
        <row r="141">
          <cell r="A141" t="str">
            <v>VGT</v>
          </cell>
          <cell r="B141">
            <v>12400</v>
          </cell>
        </row>
        <row r="142">
          <cell r="A142" t="str">
            <v>STK</v>
          </cell>
          <cell r="B142">
            <v>28200</v>
          </cell>
        </row>
        <row r="143">
          <cell r="A143" t="str">
            <v>MSH</v>
          </cell>
          <cell r="B143">
            <v>40350</v>
          </cell>
        </row>
        <row r="144">
          <cell r="A144" t="str">
            <v>ADS</v>
          </cell>
          <cell r="B144">
            <v>13000</v>
          </cell>
        </row>
        <row r="145">
          <cell r="A145" t="str">
            <v>GIL</v>
          </cell>
          <cell r="B145">
            <v>31950</v>
          </cell>
        </row>
        <row r="146">
          <cell r="A146" t="str">
            <v>QNS</v>
          </cell>
          <cell r="B146">
            <v>48700</v>
          </cell>
        </row>
        <row r="147">
          <cell r="A147" t="str">
            <v>SBT</v>
          </cell>
          <cell r="B147">
            <v>13400</v>
          </cell>
        </row>
        <row r="148">
          <cell r="A148" t="str">
            <v>LSS</v>
          </cell>
          <cell r="B148">
            <v>12150</v>
          </cell>
        </row>
        <row r="149">
          <cell r="A149" t="str">
            <v>SLS</v>
          </cell>
          <cell r="B149">
            <v>152400</v>
          </cell>
        </row>
        <row r="150">
          <cell r="A150" t="str">
            <v>DHG</v>
          </cell>
          <cell r="B150">
            <v>108900</v>
          </cell>
        </row>
        <row r="151">
          <cell r="A151" t="str">
            <v>IMP</v>
          </cell>
          <cell r="B151">
            <v>66800</v>
          </cell>
        </row>
        <row r="152">
          <cell r="A152" t="str">
            <v>AMV</v>
          </cell>
          <cell r="B152">
            <v>3900</v>
          </cell>
        </row>
        <row r="153">
          <cell r="A153" t="str">
            <v>FPT</v>
          </cell>
          <cell r="B153">
            <v>110800</v>
          </cell>
        </row>
        <row r="154">
          <cell r="A154" t="str">
            <v>HAX</v>
          </cell>
          <cell r="B154">
            <v>14600</v>
          </cell>
        </row>
        <row r="155">
          <cell r="A155" t="str">
            <v>VEA</v>
          </cell>
          <cell r="B155">
            <v>36200</v>
          </cell>
        </row>
        <row r="156">
          <cell r="A156" t="str">
            <v>HUT</v>
          </cell>
          <cell r="B156">
            <v>19100</v>
          </cell>
        </row>
        <row r="157">
          <cell r="A157" t="str">
            <v>DHC</v>
          </cell>
          <cell r="B157">
            <v>42100</v>
          </cell>
        </row>
        <row r="158">
          <cell r="A158" t="str">
            <v>DRC</v>
          </cell>
          <cell r="B158">
            <v>32700</v>
          </cell>
        </row>
        <row r="159">
          <cell r="A159" t="str">
            <v>REE</v>
          </cell>
          <cell r="B159">
            <v>62300</v>
          </cell>
        </row>
        <row r="160">
          <cell r="A160" t="str">
            <v>HDG</v>
          </cell>
          <cell r="B160">
            <v>28400</v>
          </cell>
        </row>
        <row r="161">
          <cell r="A161" t="str">
            <v>GEX</v>
          </cell>
          <cell r="B161">
            <v>23200</v>
          </cell>
        </row>
        <row r="162">
          <cell r="A162" t="str">
            <v>MSN</v>
          </cell>
          <cell r="B162">
            <v>70500</v>
          </cell>
        </row>
        <row r="163">
          <cell r="A163" t="str">
            <v>VIC</v>
          </cell>
          <cell r="B163">
            <v>45250</v>
          </cell>
        </row>
        <row r="164">
          <cell r="A164" t="str">
            <v>VGS</v>
          </cell>
          <cell r="B164">
            <v>24900</v>
          </cell>
        </row>
        <row r="165">
          <cell r="A165" t="str">
            <v>SMC</v>
          </cell>
          <cell r="B165">
            <v>10600</v>
          </cell>
        </row>
        <row r="166">
          <cell r="A166" t="str">
            <v>BFC</v>
          </cell>
          <cell r="B166">
            <v>27200</v>
          </cell>
        </row>
        <row r="167">
          <cell r="A167" t="str">
            <v>BCG</v>
          </cell>
          <cell r="B167">
            <v>8610</v>
          </cell>
        </row>
        <row r="168">
          <cell r="A168" t="str">
            <v>MIG</v>
          </cell>
          <cell r="B168">
            <v>18100</v>
          </cell>
        </row>
        <row r="169">
          <cell r="A169" t="str">
            <v>HQC</v>
          </cell>
          <cell r="B169">
            <v>4220</v>
          </cell>
        </row>
        <row r="170">
          <cell r="A170" t="str">
            <v>SCR</v>
          </cell>
          <cell r="B170">
            <v>7220</v>
          </cell>
        </row>
        <row r="171">
          <cell r="A171" t="str">
            <v>DXS</v>
          </cell>
          <cell r="B171">
            <v>7010</v>
          </cell>
        </row>
        <row r="172">
          <cell r="A172" t="str">
            <v>HBC</v>
          </cell>
          <cell r="B172">
            <v>8600</v>
          </cell>
        </row>
        <row r="173">
          <cell r="A173" t="str">
            <v>ACL</v>
          </cell>
          <cell r="B173">
            <v>13200</v>
          </cell>
        </row>
        <row r="174">
          <cell r="A174" t="str">
            <v>TTF</v>
          </cell>
          <cell r="B174">
            <v>4700</v>
          </cell>
        </row>
        <row r="175">
          <cell r="A175" t="str">
            <v>LCG</v>
          </cell>
          <cell r="B175">
            <v>13900</v>
          </cell>
        </row>
        <row r="176">
          <cell r="A176" t="str">
            <v>FIT</v>
          </cell>
          <cell r="B176">
            <v>4970</v>
          </cell>
        </row>
        <row r="177">
          <cell r="A177" t="str">
            <v>PSH</v>
          </cell>
          <cell r="B177">
            <v>8100</v>
          </cell>
        </row>
        <row r="178">
          <cell r="A178" t="str">
            <v>HHS</v>
          </cell>
          <cell r="B178">
            <v>8560</v>
          </cell>
        </row>
        <row r="179">
          <cell r="A179" t="str">
            <v>CRE</v>
          </cell>
          <cell r="B179">
            <v>8650</v>
          </cell>
        </row>
        <row r="180">
          <cell r="A180" t="str">
            <v>SIP</v>
          </cell>
          <cell r="B180">
            <v>85000</v>
          </cell>
        </row>
        <row r="181">
          <cell r="A181" t="str">
            <v>TIG</v>
          </cell>
          <cell r="B181">
            <v>12500</v>
          </cell>
        </row>
        <row r="182">
          <cell r="A182" t="str">
            <v>BVH</v>
          </cell>
          <cell r="B182">
            <v>42800</v>
          </cell>
        </row>
        <row r="183">
          <cell r="A183" t="str">
            <v>CTS</v>
          </cell>
          <cell r="B183">
            <v>33250</v>
          </cell>
        </row>
        <row r="184">
          <cell r="A184" t="str">
            <v>IJC</v>
          </cell>
          <cell r="B184">
            <v>15200</v>
          </cell>
        </row>
        <row r="185">
          <cell r="A185" t="str">
            <v>EVF</v>
          </cell>
          <cell r="B185">
            <v>19250</v>
          </cell>
        </row>
        <row r="186">
          <cell r="A186" t="str">
            <v>BCC</v>
          </cell>
          <cell r="B186">
            <v>9800</v>
          </cell>
        </row>
        <row r="187">
          <cell r="A187" t="str">
            <v>EVE</v>
          </cell>
          <cell r="B187">
            <v>14450</v>
          </cell>
        </row>
        <row r="188">
          <cell r="A188" t="str">
            <v>SGP</v>
          </cell>
          <cell r="B188">
            <v>19500</v>
          </cell>
        </row>
        <row r="189">
          <cell r="A189" t="str">
            <v>DVP</v>
          </cell>
          <cell r="B189">
            <v>71000</v>
          </cell>
        </row>
        <row r="190">
          <cell r="A190" t="str">
            <v>PLC</v>
          </cell>
          <cell r="B190">
            <v>33200</v>
          </cell>
        </row>
        <row r="191">
          <cell r="A191" t="str">
            <v>GDT</v>
          </cell>
          <cell r="B191">
            <v>25650</v>
          </cell>
        </row>
        <row r="192">
          <cell r="A192" t="str">
            <v>VPG</v>
          </cell>
          <cell r="B192">
            <v>16950</v>
          </cell>
        </row>
        <row r="193">
          <cell r="A193" t="str">
            <v>OIL</v>
          </cell>
          <cell r="B193">
            <v>10100</v>
          </cell>
        </row>
        <row r="194">
          <cell r="A194" t="str">
            <v>VGI</v>
          </cell>
          <cell r="B194">
            <v>34100</v>
          </cell>
        </row>
        <row r="195">
          <cell r="A195" t="str">
            <v>MCH</v>
          </cell>
          <cell r="B195">
            <v>123000</v>
          </cell>
        </row>
        <row r="196">
          <cell r="A196" t="str">
            <v>ORS</v>
          </cell>
          <cell r="B196">
            <v>17000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41300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11700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11800</v>
          </cell>
        </row>
        <row r="206">
          <cell r="A206" t="str">
            <v>TCH</v>
          </cell>
          <cell r="B206">
            <v>13200</v>
          </cell>
        </row>
        <row r="207">
          <cell r="A207" t="str">
            <v>AAA</v>
          </cell>
          <cell r="B207">
            <v>11250</v>
          </cell>
        </row>
        <row r="208">
          <cell r="A208" t="str">
            <v>BWE</v>
          </cell>
          <cell r="B208">
            <v>42500</v>
          </cell>
        </row>
        <row r="209">
          <cell r="A209" t="str">
            <v>NAB</v>
          </cell>
          <cell r="B209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500C1-A977-B342-835F-757AA1BA2330}">
  <sheetPr codeName="Sheet10"/>
  <dimension ref="A1:T47"/>
  <sheetViews>
    <sheetView workbookViewId="0">
      <selection activeCell="E30" sqref="E30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4" width="21.1640625" customWidth="1"/>
    <col min="5" max="5" width="20.33203125" customWidth="1"/>
    <col min="6" max="7" width="19.6640625" customWidth="1"/>
    <col min="8" max="9" width="21" customWidth="1"/>
    <col min="10" max="10" width="21.6640625" customWidth="1"/>
    <col min="11" max="11" width="19.83203125" customWidth="1"/>
    <col min="12" max="12" width="21.33203125" customWidth="1"/>
    <col min="13" max="13" width="21.1640625" customWidth="1"/>
    <col min="14" max="14" width="19.5" customWidth="1"/>
    <col min="15" max="15" width="21.5" customWidth="1"/>
    <col min="16" max="16" width="18.33203125" customWidth="1"/>
    <col min="17" max="17" width="19.83203125" customWidth="1"/>
    <col min="18" max="18" width="20.1640625" customWidth="1"/>
    <col min="19" max="19" width="18.1640625" customWidth="1"/>
    <col min="20" max="20" width="21.832031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30">
        <v>-2366312217119</v>
      </c>
      <c r="C3" s="30">
        <v>-3294901162400</v>
      </c>
    </row>
    <row r="5" spans="1:20" x14ac:dyDescent="0.2">
      <c r="A5" s="31" t="s">
        <v>23</v>
      </c>
      <c r="B5" s="31"/>
      <c r="C5" s="31"/>
      <c r="D5" s="31"/>
      <c r="E5" s="31"/>
      <c r="F5" s="31"/>
      <c r="G5" s="31"/>
      <c r="H5" s="31"/>
      <c r="I5" s="31"/>
      <c r="J5" s="31"/>
    </row>
    <row r="6" spans="1:20" x14ac:dyDescent="0.2">
      <c r="A6" s="5" t="s">
        <v>66</v>
      </c>
      <c r="B6" s="6" t="s">
        <v>29</v>
      </c>
      <c r="C6" s="7" t="s">
        <v>16</v>
      </c>
      <c r="D6" s="8" t="s">
        <v>5</v>
      </c>
      <c r="E6" s="1" t="s">
        <v>44</v>
      </c>
      <c r="F6" s="9" t="s">
        <v>22</v>
      </c>
      <c r="G6" s="9" t="s">
        <v>20</v>
      </c>
      <c r="H6" s="9" t="s">
        <v>62</v>
      </c>
      <c r="I6" s="9" t="s">
        <v>32</v>
      </c>
      <c r="J6" s="9" t="s">
        <v>43</v>
      </c>
      <c r="K6" s="9" t="s">
        <v>196</v>
      </c>
      <c r="L6" s="9" t="s">
        <v>71</v>
      </c>
      <c r="M6" s="9" t="s">
        <v>222</v>
      </c>
      <c r="N6" s="9" t="s">
        <v>68</v>
      </c>
      <c r="O6" s="9" t="s">
        <v>130</v>
      </c>
      <c r="P6" s="9" t="s">
        <v>10</v>
      </c>
      <c r="Q6" s="9" t="s">
        <v>128</v>
      </c>
      <c r="R6" s="9" t="s">
        <v>80</v>
      </c>
      <c r="S6" s="9" t="s">
        <v>40</v>
      </c>
      <c r="T6" s="9" t="s">
        <v>102</v>
      </c>
    </row>
    <row r="7" spans="1:20" x14ac:dyDescent="0.2">
      <c r="A7" s="4">
        <v>823974113845</v>
      </c>
      <c r="B7" s="4">
        <v>591487410785</v>
      </c>
      <c r="C7" s="4">
        <v>557459728676</v>
      </c>
      <c r="D7" s="4">
        <v>425198586840</v>
      </c>
      <c r="E7" s="4">
        <v>292932143592</v>
      </c>
      <c r="F7" s="4">
        <v>281858216735</v>
      </c>
      <c r="G7" s="4">
        <v>151019218874</v>
      </c>
      <c r="H7" s="4">
        <v>141231825559</v>
      </c>
      <c r="I7" s="4">
        <v>138704370000</v>
      </c>
      <c r="J7" s="4">
        <v>120739150000</v>
      </c>
      <c r="K7" s="4">
        <v>118916620000</v>
      </c>
      <c r="L7" s="15">
        <v>90419918849</v>
      </c>
      <c r="M7" s="15">
        <v>84449769008</v>
      </c>
      <c r="N7" s="15">
        <v>80138679596</v>
      </c>
      <c r="O7" s="15">
        <v>76372801024</v>
      </c>
      <c r="P7" s="15">
        <v>75956686995</v>
      </c>
      <c r="Q7" s="15">
        <v>74063504120</v>
      </c>
      <c r="R7" s="15">
        <v>69738850000</v>
      </c>
      <c r="S7" s="15">
        <v>59064897988</v>
      </c>
      <c r="T7" s="15">
        <v>49562867909</v>
      </c>
    </row>
    <row r="8" spans="1:20" x14ac:dyDescent="0.2">
      <c r="A8" s="15">
        <f>VLOOKUP(A6,[1]PriceValue!A40:B194,2,FALSE)*VLOOKUP(A6,'[1]2023'!A41:F200,4,FALSE)</f>
        <v>31500000000000</v>
      </c>
      <c r="B8" s="15">
        <f>VLOOKUP(B6,[1]PriceValue!A40:B194,2,FALSE)*VLOOKUP(B6,'[1]2023'!A41:F200,4,FALSE)</f>
        <v>43294838604000</v>
      </c>
      <c r="C8" s="15">
        <f>VLOOKUP(C6,[1]PriceValue!A40:B194,2,FALSE)*VLOOKUP(C6,'[1]2023'!A41:F200,4,FALSE)</f>
        <v>179386138845000</v>
      </c>
      <c r="D8" s="15">
        <f>VLOOKUP(D6,[1]PriceValue!A40:B194,2,FALSE)*VLOOKUP(D6,'[1]2023'!A41:F200,4,FALSE)</f>
        <v>56067210616950</v>
      </c>
      <c r="E8" s="15">
        <f>VLOOKUP(E6,[1]PriceValue!A40:B194,2,FALSE)*VLOOKUP(E6,'[1]2023'!A41:F200,4,FALSE)</f>
        <v>31405791291600</v>
      </c>
      <c r="F8" s="15">
        <f>VLOOKUP(F6,[1]PriceValue!A40:B194,2,FALSE)*VLOOKUP(F6,'[1]2023'!A41:F200,4,FALSE)</f>
        <v>19436995818100</v>
      </c>
      <c r="G8" s="15">
        <f>VLOOKUP(G6,[1]PriceValue!A40:B194,2,FALSE)*VLOOKUP(G6,'[1]2023'!A41:F200,4,FALSE)</f>
        <v>191171704520000</v>
      </c>
      <c r="H8" s="15">
        <f>VLOOKUP(H6,[1]PriceValue!A40:B194,2,FALSE)*VLOOKUP(H6,'[1]2023'!A41:F200,4,FALSE)</f>
        <v>15352621092900</v>
      </c>
      <c r="I8" s="15">
        <f>VLOOKUP(I6,[1]PriceValue!A40:B194,2,FALSE)*VLOOKUP(I6,'[1]2023'!A41:F200,4,FALSE)</f>
        <v>19210176849000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>
        <f>VLOOKUP(L6,[1]PriceValue!A40:B194,2,FALSE)*VLOOKUP(L6,'[1]2023'!A41:F200,4,FALSE)</f>
        <v>27935953386450</v>
      </c>
      <c r="M8" s="15">
        <f>VLOOKUP(M6,[1]PriceValue!A40:B194,2,FALSE)*VLOOKUP(M6,'[1]2023'!A41:F200,4,FALSE)</f>
        <v>13766474832000</v>
      </c>
      <c r="N8" s="15">
        <f>VLOOKUP(N6,[1]PriceValue!A40:B194,2,FALSE)*VLOOKUP(N6,'[1]2023'!A41:F200,4,FALSE)</f>
        <v>175505894325000</v>
      </c>
      <c r="O8" s="15">
        <f>VLOOKUP(O6,[1]PriceValue!A40:B194,2,FALSE)*VLOOKUP(O6,'[1]2023'!A41:F200,4,FALSE)</f>
        <v>23949268480800</v>
      </c>
      <c r="P8" s="15">
        <f>VLOOKUP(P6,[1]PriceValue!A40:B194,2,FALSE)*VLOOKUP(P6,'[1]2023'!A41:F200,4,FALSE)</f>
        <v>20496875000000</v>
      </c>
      <c r="Q8" s="15">
        <f>VLOOKUP(Q6,[1]PriceValue!A40:B194,2,FALSE)*VLOOKUP(Q6,'[1]2023'!A41:F200,4,FALSE)</f>
        <v>13556779775000</v>
      </c>
      <c r="R8" s="15" t="e">
        <f>VLOOKUP(R6,[1]PriceValue!A40:B194,2,FALSE)*VLOOKUP(R6,'[1]2023'!A41:F200,4,FALSE)</f>
        <v>#N/A</v>
      </c>
      <c r="S8" s="15">
        <f>VLOOKUP(S6,[1]PriceValue!A40:B194,2,FALSE)*VLOOKUP(S6,'[1]2023'!A41:F200,4,FALSE)</f>
        <v>24624833838500</v>
      </c>
      <c r="T8" s="15">
        <f>VLOOKUP(T6,[1]PriceValue!A40:B194,2,FALSE)*VLOOKUP(T6,'[1]2023'!A41:F200,4,FALSE)</f>
        <v>16801422462250</v>
      </c>
    </row>
    <row r="9" spans="1:20" x14ac:dyDescent="0.2">
      <c r="A9" s="18">
        <f>A7/A8</f>
        <v>2.6157908376031744E-2</v>
      </c>
      <c r="B9" s="18">
        <f>B7/B8</f>
        <v>1.3661845842528504E-2</v>
      </c>
      <c r="C9" s="18">
        <f t="shared" ref="C9:T9" si="0">C7/C8</f>
        <v>3.1075964523528624E-3</v>
      </c>
      <c r="D9" s="18">
        <f t="shared" si="0"/>
        <v>7.5837299940770689E-3</v>
      </c>
      <c r="E9" s="18">
        <f t="shared" si="0"/>
        <v>9.3273288633981839E-3</v>
      </c>
      <c r="F9" s="18">
        <f t="shared" si="0"/>
        <v>1.4501120408357021E-2</v>
      </c>
      <c r="G9" s="18">
        <f t="shared" si="0"/>
        <v>7.8996637736313468E-4</v>
      </c>
      <c r="H9" s="18">
        <f t="shared" si="0"/>
        <v>9.1991995832108632E-3</v>
      </c>
      <c r="I9" s="18">
        <f t="shared" si="0"/>
        <v>7.2203588280458936E-3</v>
      </c>
      <c r="J9" s="18" t="e">
        <f t="shared" si="0"/>
        <v>#N/A</v>
      </c>
      <c r="K9" s="18" t="e">
        <f t="shared" si="0"/>
        <v>#N/A</v>
      </c>
      <c r="L9" s="18">
        <f t="shared" si="0"/>
        <v>3.2366863445890876E-3</v>
      </c>
      <c r="M9" s="18">
        <f t="shared" si="0"/>
        <v>6.1344512693763519E-3</v>
      </c>
      <c r="N9" s="18">
        <f t="shared" si="0"/>
        <v>4.5661531713345205E-4</v>
      </c>
      <c r="O9" s="18">
        <f t="shared" si="0"/>
        <v>3.1889408682869652E-3</v>
      </c>
      <c r="P9" s="18">
        <f t="shared" si="0"/>
        <v>3.7057691474919959E-3</v>
      </c>
      <c r="Q9" s="18">
        <f t="shared" si="0"/>
        <v>5.4632077343751053E-3</v>
      </c>
      <c r="R9" s="18" t="e">
        <f t="shared" si="0"/>
        <v>#N/A</v>
      </c>
      <c r="S9" s="18">
        <f t="shared" si="0"/>
        <v>2.3985907224947142E-3</v>
      </c>
      <c r="T9" s="18">
        <f t="shared" si="0"/>
        <v>2.9499209379657892E-3</v>
      </c>
    </row>
    <row r="10" spans="1:20" x14ac:dyDescent="0.2">
      <c r="A10" s="18"/>
    </row>
    <row r="11" spans="1:20" x14ac:dyDescent="0.2">
      <c r="A11" s="32" t="s">
        <v>87</v>
      </c>
      <c r="B11" s="32"/>
      <c r="C11" s="32"/>
      <c r="D11" s="32"/>
      <c r="E11" s="32"/>
      <c r="F11" s="32"/>
      <c r="G11" s="32"/>
      <c r="H11" s="32"/>
      <c r="I11" s="32"/>
      <c r="J11" s="32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128</v>
      </c>
      <c r="B12" s="6" t="s">
        <v>99</v>
      </c>
      <c r="C12" s="7" t="s">
        <v>9</v>
      </c>
      <c r="D12" s="8" t="s">
        <v>12</v>
      </c>
      <c r="E12" s="1" t="s">
        <v>8</v>
      </c>
      <c r="F12" s="9" t="s">
        <v>293</v>
      </c>
      <c r="G12" s="9" t="s">
        <v>46</v>
      </c>
      <c r="H12" s="9" t="s">
        <v>233</v>
      </c>
      <c r="I12" s="9" t="s">
        <v>41</v>
      </c>
      <c r="J12" s="9" t="s">
        <v>102</v>
      </c>
      <c r="K12" s="9" t="s">
        <v>81</v>
      </c>
      <c r="L12" s="9" t="s">
        <v>294</v>
      </c>
      <c r="M12" s="9" t="s">
        <v>61</v>
      </c>
      <c r="N12" s="9" t="s">
        <v>105</v>
      </c>
      <c r="O12" s="9" t="s">
        <v>130</v>
      </c>
      <c r="P12" s="9" t="s">
        <v>26</v>
      </c>
      <c r="Q12" s="9" t="s">
        <v>270</v>
      </c>
      <c r="R12" s="9" t="s">
        <v>248</v>
      </c>
      <c r="S12" s="9" t="s">
        <v>106</v>
      </c>
      <c r="T12" s="9" t="s">
        <v>73</v>
      </c>
    </row>
    <row r="13" spans="1:20" x14ac:dyDescent="0.2">
      <c r="A13" s="4">
        <v>236204979000</v>
      </c>
      <c r="B13" s="4">
        <v>82089960000</v>
      </c>
      <c r="C13" s="4">
        <v>57646176000</v>
      </c>
      <c r="D13" s="4">
        <v>56063907000</v>
      </c>
      <c r="E13" s="4">
        <v>51202270000</v>
      </c>
      <c r="F13" s="4">
        <v>50000000000</v>
      </c>
      <c r="G13" s="4">
        <v>34383774000</v>
      </c>
      <c r="H13" s="4">
        <v>27836405000</v>
      </c>
      <c r="I13" s="4">
        <v>27816980000</v>
      </c>
      <c r="J13" s="4">
        <v>24949110000</v>
      </c>
      <c r="K13" s="4">
        <v>19500295000</v>
      </c>
      <c r="L13" s="15">
        <v>19050200000</v>
      </c>
      <c r="M13" s="15">
        <v>18991240000</v>
      </c>
      <c r="N13" s="15">
        <v>16978795000</v>
      </c>
      <c r="O13" s="15">
        <v>16346070000</v>
      </c>
      <c r="P13" s="15">
        <v>16122078000</v>
      </c>
      <c r="Q13" s="15">
        <v>15305430000</v>
      </c>
      <c r="R13" s="15">
        <v>14607185000</v>
      </c>
      <c r="S13" s="15">
        <v>14597320000</v>
      </c>
      <c r="T13" s="15">
        <v>14112015000</v>
      </c>
    </row>
    <row r="14" spans="1:20" x14ac:dyDescent="0.2">
      <c r="A14" s="4">
        <f>VLOOKUP(A12,[1]PriceValue!A46:B226,2,FALSE)*VLOOKUP(A12,'[1]2023'!A47:F206,4,FALSE)</f>
        <v>13556779775000</v>
      </c>
      <c r="B14" s="4">
        <f>VLOOKUP(B12,[1]PriceValue!A46:B226,2,FALSE)*VLOOKUP(B12,'[1]2023'!A47:F206,4,FALSE)</f>
        <v>19754702397600</v>
      </c>
      <c r="C14" s="4">
        <f>VLOOKUP(C12,[1]PriceValue!A41:B226,2,FALSE)*VLOOKUP(C12,'[1]2023'!A47:F206,4,FALSE)</f>
        <v>12962881986100</v>
      </c>
      <c r="D14" s="4">
        <f>VLOOKUP(D12,[1]PriceValue!A46:B226,2,FALSE)*VLOOKUP(D12,'[1]2023'!A47:F206,4,FALSE)</f>
        <v>12652505302500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14198392222450</v>
      </c>
      <c r="H14" s="4">
        <f>VLOOKUP(H12,[1]PriceValue!A46:B226,2,FALSE)*VLOOKUP(H12,'[1]2023'!A47:F206,4,FALSE)</f>
        <v>5075145816300</v>
      </c>
      <c r="I14" s="4" t="e">
        <f>VLOOKUP(I12,[1]PriceValue!A46:B226,2,FALSE)*VLOOKUP(I12,'[1]2023'!A47:F206,4,FALSE)</f>
        <v>#N/A</v>
      </c>
      <c r="J14" s="4">
        <f>VLOOKUP(J12,[1]PriceValue!A46:B226,2,FALSE)*VLOOKUP(J12,'[1]2023'!A47:F206,4,FALSE)</f>
        <v>16801422462250</v>
      </c>
      <c r="K14" s="4">
        <f>VLOOKUP(K12,[1]PriceValue!A46:B226,2,FALSE)*VLOOKUP(K12,'[1]2023'!A47:F206,4,FALSE)</f>
        <v>1694000000000</v>
      </c>
      <c r="L14" s="4" t="e">
        <f>VLOOKUP(L12,[1]PriceValue!A46:B226,2,FALSE)*VLOOKUP(L12,'[1]2023'!A47:F206,4,FALSE)</f>
        <v>#N/A</v>
      </c>
      <c r="M14" s="4">
        <f>VLOOKUP(M12,[1]PriceValue!A46:B226,2,FALSE)*VLOOKUP(M12,'[1]2023'!A47:F206,4,FALSE)</f>
        <v>62009992320000</v>
      </c>
      <c r="N14" s="4">
        <f>VLOOKUP(N12,[1]PriceValue!A46:B226,2,FALSE)*VLOOKUP(N12,'[1]2023'!A47:F206,4,FALSE)</f>
        <v>3884518183500</v>
      </c>
      <c r="O14" s="4">
        <f>VLOOKUP(O12,[1]PriceValue!A46:B226,2,FALSE)*VLOOKUP(O12,'[1]2023'!A47:F206,4,FALSE)</f>
        <v>23949268480800</v>
      </c>
      <c r="P14" s="4">
        <f>VLOOKUP(P12,[1]PriceValue!A46:B226,2,FALSE)*VLOOKUP(P12,'[1]2023'!A47:F206,4,FALSE)</f>
        <v>62063010360000</v>
      </c>
      <c r="Q14" s="4" t="e">
        <f>VLOOKUP(Q12,[1]PriceValue!A46:B226,2,FALSE)*VLOOKUP(Q12,'[1]2023'!A47:F206,4,FALSE)</f>
        <v>#N/A</v>
      </c>
      <c r="R14" s="4">
        <f>VLOOKUP(R12,[1]PriceValue!A46:B226,2,FALSE)*VLOOKUP(R12,'[1]2023'!A47:F206,4,FALSE)</f>
        <v>21425514360000</v>
      </c>
      <c r="S14" s="4">
        <f>VLOOKUP(S12,[1]PriceValue!A46:B226,2,FALSE)*VLOOKUP(S12,'[1]2023'!A47:F206,4,FALSE)</f>
        <v>2223271080000</v>
      </c>
      <c r="T14" s="4">
        <f>VLOOKUP(T12,[1]PriceValue!A46:B226,2,FALSE)*VLOOKUP(T12,'[1]2023'!A47:F206,4,FALSE)</f>
        <v>18105480000000</v>
      </c>
    </row>
    <row r="15" spans="1:20" x14ac:dyDescent="0.2">
      <c r="A15" s="18">
        <f>A13/A14</f>
        <v>1.7423383939273292E-2</v>
      </c>
      <c r="B15" s="18">
        <f t="shared" ref="B15:T15" si="1">B13/B14</f>
        <v>4.1554642711283318E-3</v>
      </c>
      <c r="C15" s="18">
        <f t="shared" si="1"/>
        <v>4.4470184995754457E-3</v>
      </c>
      <c r="D15" s="18">
        <f t="shared" si="1"/>
        <v>4.4310518478045905E-3</v>
      </c>
      <c r="E15" s="18" t="e">
        <f t="shared" si="1"/>
        <v>#N/A</v>
      </c>
      <c r="F15" s="18" t="e">
        <f t="shared" si="1"/>
        <v>#N/A</v>
      </c>
      <c r="G15" s="18">
        <f t="shared" si="1"/>
        <v>2.4216667254503355E-3</v>
      </c>
      <c r="H15" s="18">
        <f t="shared" si="1"/>
        <v>5.4848483191550813E-3</v>
      </c>
      <c r="I15" s="18" t="e">
        <f t="shared" si="1"/>
        <v>#N/A</v>
      </c>
      <c r="J15" s="18">
        <f t="shared" si="1"/>
        <v>1.4849403409774677E-3</v>
      </c>
      <c r="K15" s="18">
        <f t="shared" si="1"/>
        <v>1.1511390200708382E-2</v>
      </c>
      <c r="L15" s="18" t="e">
        <f t="shared" si="1"/>
        <v>#N/A</v>
      </c>
      <c r="M15" s="18">
        <f t="shared" si="1"/>
        <v>3.0626096358787614E-4</v>
      </c>
      <c r="N15" s="18">
        <f t="shared" si="1"/>
        <v>4.3708882795605534E-3</v>
      </c>
      <c r="O15" s="18">
        <f t="shared" si="1"/>
        <v>6.8252898885427576E-4</v>
      </c>
      <c r="P15" s="18">
        <f t="shared" si="1"/>
        <v>2.5976951337814547E-4</v>
      </c>
      <c r="Q15" s="18" t="e">
        <f t="shared" si="1"/>
        <v>#N/A</v>
      </c>
      <c r="R15" s="18">
        <f t="shared" si="1"/>
        <v>6.8176589623774144E-4</v>
      </c>
      <c r="S15" s="18">
        <f t="shared" si="1"/>
        <v>6.5656950838401586E-3</v>
      </c>
      <c r="T15" s="18">
        <f t="shared" si="1"/>
        <v>7.7943335387959886E-4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3" t="s">
        <v>88</v>
      </c>
      <c r="B17" s="33"/>
      <c r="C17" s="33"/>
      <c r="D17" s="33"/>
      <c r="E17" s="33"/>
      <c r="F17" s="33"/>
      <c r="G17" s="33"/>
      <c r="H17" s="33"/>
      <c r="I17" s="33"/>
      <c r="J17" s="33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16</v>
      </c>
      <c r="B18" s="18" t="s">
        <v>69</v>
      </c>
      <c r="C18" s="18" t="s">
        <v>84</v>
      </c>
      <c r="D18" s="18" t="s">
        <v>26</v>
      </c>
      <c r="E18" s="18" t="s">
        <v>29</v>
      </c>
      <c r="F18" s="18" t="s">
        <v>75</v>
      </c>
      <c r="G18" s="18" t="s">
        <v>11</v>
      </c>
      <c r="H18" s="18" t="s">
        <v>10</v>
      </c>
      <c r="I18" s="18" t="s">
        <v>128</v>
      </c>
      <c r="J18" s="18" t="s">
        <v>5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3" t="s">
        <v>91</v>
      </c>
      <c r="B20" s="33"/>
      <c r="C20" s="33"/>
      <c r="D20" s="33"/>
      <c r="E20" s="33"/>
      <c r="F20" s="33"/>
      <c r="G20" s="33"/>
      <c r="H20" s="33"/>
      <c r="I20" s="33"/>
      <c r="J20" s="33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69</v>
      </c>
      <c r="B21" s="18" t="s">
        <v>16</v>
      </c>
      <c r="C21" s="18" t="s">
        <v>75</v>
      </c>
      <c r="D21" s="18" t="s">
        <v>26</v>
      </c>
      <c r="E21" s="18" t="s">
        <v>20</v>
      </c>
      <c r="F21" s="18" t="s">
        <v>66</v>
      </c>
      <c r="G21" s="18" t="s">
        <v>92</v>
      </c>
      <c r="H21" s="18" t="s">
        <v>36</v>
      </c>
      <c r="I21" s="18" t="s">
        <v>29</v>
      </c>
      <c r="J21" s="18" t="s">
        <v>5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3" t="s">
        <v>94</v>
      </c>
      <c r="B23" s="33"/>
      <c r="C23" s="33"/>
      <c r="D23" s="33"/>
      <c r="E23" s="33"/>
      <c r="F23" s="33"/>
      <c r="G23" s="33"/>
      <c r="H23" s="33"/>
      <c r="I23" s="33"/>
      <c r="J23" s="33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69</v>
      </c>
      <c r="B24" s="18" t="s">
        <v>16</v>
      </c>
      <c r="C24" s="18" t="s">
        <v>29</v>
      </c>
      <c r="D24" s="18" t="s">
        <v>75</v>
      </c>
      <c r="E24" s="18" t="s">
        <v>26</v>
      </c>
      <c r="F24" s="18" t="s">
        <v>5</v>
      </c>
      <c r="G24" s="18" t="s">
        <v>66</v>
      </c>
      <c r="H24" s="18" t="s">
        <v>128</v>
      </c>
      <c r="I24" s="18" t="s">
        <v>84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1" t="s">
        <v>24</v>
      </c>
      <c r="B28" s="31"/>
      <c r="C28" s="31"/>
      <c r="D28" s="31"/>
      <c r="E28" s="31"/>
      <c r="F28" s="31"/>
      <c r="G28" s="31"/>
      <c r="H28" s="31"/>
      <c r="I28" s="31"/>
      <c r="J28" s="31"/>
    </row>
    <row r="29" spans="1:20" x14ac:dyDescent="0.2">
      <c r="A29" s="10" t="s">
        <v>19</v>
      </c>
      <c r="B29" s="11" t="s">
        <v>25</v>
      </c>
      <c r="C29" s="12" t="s">
        <v>17</v>
      </c>
      <c r="D29" s="2" t="s">
        <v>99</v>
      </c>
      <c r="E29" s="13" t="s">
        <v>27</v>
      </c>
      <c r="F29" s="14" t="s">
        <v>11</v>
      </c>
      <c r="G29" s="14" t="s">
        <v>69</v>
      </c>
      <c r="H29" s="14" t="s">
        <v>18</v>
      </c>
      <c r="I29" s="14" t="s">
        <v>15</v>
      </c>
      <c r="J29" s="14" t="s">
        <v>33</v>
      </c>
      <c r="K29" s="14" t="s">
        <v>14</v>
      </c>
      <c r="L29" s="14" t="s">
        <v>26</v>
      </c>
      <c r="M29" s="14" t="s">
        <v>34</v>
      </c>
      <c r="N29" s="14" t="s">
        <v>227</v>
      </c>
      <c r="O29" s="14" t="s">
        <v>63</v>
      </c>
      <c r="P29" s="14" t="s">
        <v>42</v>
      </c>
      <c r="Q29" s="14" t="s">
        <v>31</v>
      </c>
      <c r="R29" s="14" t="s">
        <v>30</v>
      </c>
      <c r="S29" s="14" t="s">
        <v>9</v>
      </c>
      <c r="T29" s="14" t="s">
        <v>46</v>
      </c>
    </row>
    <row r="30" spans="1:20" x14ac:dyDescent="0.2">
      <c r="A30" s="16">
        <v>-760188624309</v>
      </c>
      <c r="B30" s="16">
        <v>-692491684208</v>
      </c>
      <c r="C30" s="16">
        <v>-667387308463</v>
      </c>
      <c r="D30" s="16">
        <v>-510425559363</v>
      </c>
      <c r="E30" s="16">
        <v>-424627786984</v>
      </c>
      <c r="F30" s="16">
        <v>-364723673034</v>
      </c>
      <c r="G30" s="16">
        <v>-331404581688</v>
      </c>
      <c r="H30" s="16">
        <v>-321119813454</v>
      </c>
      <c r="I30" s="16">
        <v>-303045254979</v>
      </c>
      <c r="J30" s="16">
        <v>-273860197289</v>
      </c>
      <c r="K30" s="16">
        <v>-255678591616</v>
      </c>
      <c r="L30" s="16">
        <v>-238806837197</v>
      </c>
      <c r="M30" s="16">
        <v>-210471519829</v>
      </c>
      <c r="N30" s="16">
        <v>-179212629747</v>
      </c>
      <c r="O30" s="16">
        <v>-151084293685</v>
      </c>
      <c r="P30" s="16">
        <v>-148557503469</v>
      </c>
      <c r="Q30" s="16">
        <v>-135750691857</v>
      </c>
      <c r="R30" s="16">
        <v>-122002884045</v>
      </c>
      <c r="S30" s="16">
        <v>-94934318368</v>
      </c>
      <c r="T30" s="16">
        <v>-93324485305</v>
      </c>
    </row>
    <row r="31" spans="1:20" x14ac:dyDescent="0.2">
      <c r="A31" s="4">
        <f>VLOOKUP(A29,[1]PriceValue!A40:B194,2,FALSE)*VLOOKUP(A29,'[1]2023'!A41:F200,4,FALSE)</f>
        <v>68193354965600</v>
      </c>
      <c r="B31" s="4">
        <f>VLOOKUP(B29,[1]PriceValue!A40:B194,2,FALSE)*VLOOKUP(B29,'[1]2023'!A41:F200,4,FALSE)</f>
        <v>149431814317500</v>
      </c>
      <c r="C31" s="4">
        <f>VLOOKUP(C29,[1]PriceValue!A40:B194,2,FALSE)*VLOOKUP(C29,'[1]2023'!A41:F200,4,FALSE)</f>
        <v>155901598740000</v>
      </c>
      <c r="D31" s="4">
        <f>VLOOKUP(D29,[1]PriceValue!A40:B194,2,FALSE)*VLOOKUP(D29,'[1]2023'!A41:F200,4,FALSE)</f>
        <v>19754702397600</v>
      </c>
      <c r="E31" s="4">
        <f>VLOOKUP(E29,[1]PriceValue!A40:B194,2,FALSE)*VLOOKUP(E29,'[1]2023'!A41:F200,4,FALSE)</f>
        <v>100874459700000</v>
      </c>
      <c r="F31" s="4">
        <f>VLOOKUP(F29,[1]PriceValue!A40:B194,2,FALSE)*VLOOKUP(F29,'[1]2023'!A41:F200,4,FALSE)</f>
        <v>14636821464000</v>
      </c>
      <c r="G31" s="4">
        <f>VLOOKUP(G29,[1]PriceValue!A40:B194,2,FALSE)*VLOOKUP(G29,'[1]2023'!A41:F200,4,FALSE)</f>
        <v>43702454750000</v>
      </c>
      <c r="H31" s="4">
        <f>VLOOKUP(H29,[1]PriceValue!A40:B194,2,FALSE)*VLOOKUP(H29,'[1]2023'!A41:F200,4,FALSE)</f>
        <v>13415084401400</v>
      </c>
      <c r="I31" s="4">
        <f>VLOOKUP(I29,[1]PriceValue!A40:B194,2,FALSE)*VLOOKUP(I29,'[1]2023'!A41:F200,4,FALSE)</f>
        <v>60232641615000</v>
      </c>
      <c r="J31" s="4">
        <f>VLOOKUP(J29,[1]PriceValue!A40:B194,2,FALSE)*VLOOKUP(J29,'[1]2023'!A41:F200,4,FALSE)</f>
        <v>17636956101000</v>
      </c>
      <c r="K31" s="4">
        <f>VLOOKUP(K29,[1]PriceValue!A40:B194,2,FALSE)*VLOOKUP(K29,'[1]2023'!A41:F200,4,FALSE)</f>
        <v>543818583490000</v>
      </c>
      <c r="L31" s="4">
        <f>VLOOKUP(L29,[1]PriceValue!A40:B194,2,FALSE)*VLOOKUP(L29,'[1]2023'!A41:F200,4,FALSE)</f>
        <v>62063010360000</v>
      </c>
      <c r="M31" s="4">
        <f>VLOOKUP(M29,[1]PriceValue!A40:B194,2,FALSE)*VLOOKUP(M29,'[1]2023'!A41:F200,4,FALSE)</f>
        <v>178227012127200</v>
      </c>
      <c r="N31" s="4">
        <f>VLOOKUP(N29,[1]PriceValue!A40:B194,2,FALSE)*VLOOKUP(N29,'[1]2023'!A41:F200,4,FALSE)</f>
        <v>65826000000000</v>
      </c>
      <c r="O31" s="4">
        <f>VLOOKUP(O29,[1]PriceValue!A40:B194,2,FALSE)*VLOOKUP(O29,'[1]2023'!A41:F200,4,FALSE)</f>
        <v>67747827930000</v>
      </c>
      <c r="P31" s="4">
        <f>VLOOKUP(P29,[1]PriceValue!A40:B194,2,FALSE)*VLOOKUP(P29,'[1]2023'!A41:F200,4,FALSE)</f>
        <v>8832273847200</v>
      </c>
      <c r="Q31" s="4">
        <f>VLOOKUP(Q29,[1]PriceValue!A40:B194,2,FALSE)*VLOOKUP(Q29,'[1]2023'!A41:F200,4,FALSE)</f>
        <v>43607359620000</v>
      </c>
      <c r="R31" s="4">
        <f>VLOOKUP(R29,[1]PriceValue!A40:B194,2,FALSE)*VLOOKUP(R29,'[1]2023'!A41:F200,4,FALSE)</f>
        <v>8683494284400</v>
      </c>
      <c r="S31" s="4">
        <f>VLOOKUP(S29,[1]PriceValue!A40:B194,2,FALSE)*VLOOKUP(S29,'[1]2023'!A41:F200,4,FALSE)</f>
        <v>12962881986100</v>
      </c>
      <c r="T31" s="4">
        <f>VLOOKUP(T29,[1]PriceValue!A40:B194,2,FALSE)*VLOOKUP(T29,'[1]2023'!A41:F200,4,FALSE)</f>
        <v>14198392222450</v>
      </c>
    </row>
    <row r="32" spans="1:20" x14ac:dyDescent="0.2">
      <c r="A32" s="18">
        <f>-(A30/A31)</f>
        <v>1.1147546922899975E-2</v>
      </c>
      <c r="B32" s="18">
        <f t="shared" ref="B32:T32" si="2">-(B30/B31)</f>
        <v>4.6341650027527112E-3</v>
      </c>
      <c r="C32" s="18">
        <f t="shared" si="2"/>
        <v>4.2808240188480316E-3</v>
      </c>
      <c r="D32" s="18">
        <f t="shared" si="2"/>
        <v>2.5838180150211304E-2</v>
      </c>
      <c r="E32" s="18">
        <f t="shared" si="2"/>
        <v>4.2094677706016005E-3</v>
      </c>
      <c r="F32" s="18">
        <f t="shared" si="2"/>
        <v>2.4918229270682591E-2</v>
      </c>
      <c r="G32" s="18">
        <f t="shared" si="2"/>
        <v>7.5832029020749684E-3</v>
      </c>
      <c r="H32" s="18">
        <f t="shared" si="2"/>
        <v>2.3937219017458281E-2</v>
      </c>
      <c r="I32" s="18">
        <f t="shared" si="2"/>
        <v>5.0312462952568117E-3</v>
      </c>
      <c r="J32" s="18">
        <f t="shared" si="2"/>
        <v>1.552763389105858E-2</v>
      </c>
      <c r="K32" s="18">
        <f t="shared" si="2"/>
        <v>4.7015420101159807E-4</v>
      </c>
      <c r="L32" s="18">
        <f t="shared" si="2"/>
        <v>3.8478126634816363E-3</v>
      </c>
      <c r="M32" s="18">
        <f t="shared" si="2"/>
        <v>1.1809181858403552E-3</v>
      </c>
      <c r="N32" s="18">
        <f t="shared" si="2"/>
        <v>2.7225204288123233E-3</v>
      </c>
      <c r="O32" s="18">
        <f t="shared" si="2"/>
        <v>2.2300979721609211E-3</v>
      </c>
      <c r="P32" s="18">
        <f t="shared" si="2"/>
        <v>1.6819847984683535E-2</v>
      </c>
      <c r="Q32" s="18">
        <f t="shared" si="2"/>
        <v>3.1130225044567832E-3</v>
      </c>
      <c r="R32" s="18">
        <f t="shared" si="2"/>
        <v>1.4049975741238134E-2</v>
      </c>
      <c r="S32" s="18">
        <f t="shared" si="2"/>
        <v>7.3235503084728652E-3</v>
      </c>
      <c r="T32" s="18">
        <f t="shared" si="2"/>
        <v>6.5728910599778048E-3</v>
      </c>
    </row>
    <row r="34" spans="1:20" x14ac:dyDescent="0.2">
      <c r="A34" s="32" t="s">
        <v>295</v>
      </c>
      <c r="B34" s="32"/>
      <c r="C34" s="32"/>
      <c r="D34" s="32"/>
      <c r="E34" s="32"/>
      <c r="F34" s="32"/>
      <c r="G34" s="32"/>
      <c r="H34" s="32"/>
      <c r="I34" s="32"/>
      <c r="J34" s="32"/>
    </row>
    <row r="35" spans="1:20" x14ac:dyDescent="0.2">
      <c r="A35" s="10" t="s">
        <v>76</v>
      </c>
      <c r="B35" s="11" t="s">
        <v>42</v>
      </c>
      <c r="C35" s="12" t="s">
        <v>39</v>
      </c>
      <c r="D35" s="2" t="s">
        <v>44</v>
      </c>
      <c r="E35" s="13" t="s">
        <v>16</v>
      </c>
      <c r="F35" s="14" t="s">
        <v>296</v>
      </c>
      <c r="G35" s="14" t="s">
        <v>5</v>
      </c>
      <c r="H35" s="14" t="s">
        <v>19</v>
      </c>
      <c r="I35" s="14" t="s">
        <v>84</v>
      </c>
      <c r="J35" s="14" t="s">
        <v>36</v>
      </c>
      <c r="K35" s="14" t="s">
        <v>220</v>
      </c>
      <c r="L35" s="14" t="s">
        <v>21</v>
      </c>
      <c r="M35" s="14" t="s">
        <v>15</v>
      </c>
      <c r="N35" s="14" t="s">
        <v>43</v>
      </c>
      <c r="O35" s="14" t="s">
        <v>28</v>
      </c>
      <c r="P35" s="14" t="s">
        <v>40</v>
      </c>
      <c r="Q35" s="14" t="s">
        <v>6</v>
      </c>
      <c r="R35" s="14" t="s">
        <v>82</v>
      </c>
      <c r="S35" s="14" t="s">
        <v>63</v>
      </c>
      <c r="T35" s="14" t="s">
        <v>297</v>
      </c>
    </row>
    <row r="36" spans="1:20" x14ac:dyDescent="0.2">
      <c r="A36" s="16">
        <v>-472694475000</v>
      </c>
      <c r="B36" s="16">
        <v>-288931361000</v>
      </c>
      <c r="C36" s="16">
        <v>-271916014000</v>
      </c>
      <c r="D36" s="16">
        <v>-264370246000</v>
      </c>
      <c r="E36" s="16">
        <v>-259531183000</v>
      </c>
      <c r="F36" s="16">
        <v>-216638304400</v>
      </c>
      <c r="G36" s="16">
        <v>-207400377000</v>
      </c>
      <c r="H36" s="16">
        <v>-190039882000</v>
      </c>
      <c r="I36" s="16">
        <v>-146895378000</v>
      </c>
      <c r="J36" s="16">
        <v>-133817956000</v>
      </c>
      <c r="K36" s="16">
        <v>-116314200000</v>
      </c>
      <c r="L36" s="17">
        <v>-110831994000</v>
      </c>
      <c r="M36" s="17">
        <v>-108187815000</v>
      </c>
      <c r="N36" s="17">
        <v>-89734459000</v>
      </c>
      <c r="O36" s="17">
        <v>-85164935000</v>
      </c>
      <c r="P36" s="17">
        <v>-67757861000</v>
      </c>
      <c r="Q36" s="17">
        <v>-64764210000</v>
      </c>
      <c r="R36" s="17">
        <v>-63614206000</v>
      </c>
      <c r="S36" s="17">
        <v>-59221977000</v>
      </c>
      <c r="T36" s="17">
        <v>-59090360000</v>
      </c>
    </row>
    <row r="37" spans="1:20" x14ac:dyDescent="0.2">
      <c r="A37" s="4">
        <f>VLOOKUP(A35,[1]PriceValue!A52:B206,2,FALSE)*VLOOKUP(A35,'[1]2023'!A53:F212,4,FALSE)</f>
        <v>33736808507400</v>
      </c>
      <c r="B37" s="4">
        <f>VLOOKUP(B35,[1]PriceValue!A52:B206,2,FALSE)*VLOOKUP(B35,'[1]2023'!A53:F212,4,FALSE)</f>
        <v>8832273847200</v>
      </c>
      <c r="C37" s="4">
        <f>VLOOKUP(C35,[1]PriceValue!A52:B206,2,FALSE)*VLOOKUP(C35,'[1]2023'!A53:F212,4,FALSE)</f>
        <v>125138018400000</v>
      </c>
      <c r="D37" s="4">
        <f>VLOOKUP(D35,[1]PriceValue!A52:B206,2,FALSE)*VLOOKUP(D35,'[1]2023'!A53:F212,4,FALSE)</f>
        <v>31405791291600</v>
      </c>
      <c r="E37" s="4">
        <f>VLOOKUP(E35,[1]PriceValue!A52:B206,2,FALSE)*VLOOKUP(E35,'[1]2023'!A53:F212,4,FALSE)</f>
        <v>179386138845000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>
        <f>VLOOKUP(H35,[1]PriceValue!A52:B206,2,FALSE)*VLOOKUP(H35,'[1]2023'!A53:F212,4,FALSE)</f>
        <v>68193354965600</v>
      </c>
      <c r="I37" s="4">
        <f>VLOOKUP(I35,[1]PriceValue!A52:B206,2,FALSE)*VLOOKUP(I35,'[1]2023'!A53:F212,4,FALSE)</f>
        <v>147417076980000</v>
      </c>
      <c r="J37" s="4">
        <f>VLOOKUP(J35,[1]PriceValue!A52:B250,2,FALSE)*VLOOKUP(J35,'[1]2023'!A53:F212,4,FALSE)</f>
        <v>107976601120000</v>
      </c>
      <c r="K37" s="4" t="e">
        <f>VLOOKUP(K35,[1]PriceValue!A52:B206,2,FALSE)*VLOOKUP(K35,'[1]2023'!A53:F212,4,FALSE)</f>
        <v>#N/A</v>
      </c>
      <c r="L37" s="4">
        <f>VLOOKUP(L35,[1]PriceValue!A52:B206,2,FALSE)*VLOOKUP(L35,'[1]2023'!A53:F212,4,FALSE)</f>
        <v>31881948825000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>
        <f>VLOOKUP(O35,[1]PriceValue!A52:B206,2,FALSE)*VLOOKUP(O35,'[1]2023'!A53:F212,4,FALSE)</f>
        <v>191374451625000</v>
      </c>
      <c r="P37" s="4">
        <f>VLOOKUP(P35,[1]PriceValue!A52:B206,2,FALSE)*VLOOKUP(P35,'[1]2023'!A53:F212,4,FALSE)</f>
        <v>24624833838500</v>
      </c>
      <c r="Q37" s="4" t="e">
        <f>VLOOKUP(Q35,[1]PriceValue!A52:B206,2,FALSE)*VLOOKUP(Q35,'[1]2023'!A53:F212,4,FALSE)</f>
        <v>#N/A</v>
      </c>
      <c r="R37" s="4">
        <f>VLOOKUP(R35,[1]PriceValue!A52:B206,2,FALSE)*VLOOKUP(R35,'[1]2023'!A53:F212,4,FALSE)</f>
        <v>41442130000000</v>
      </c>
      <c r="S37" s="4">
        <f>VLOOKUP(S35,[1]PriceValue!A52:B206,2,FALSE)*VLOOKUP(S35,'[1]2023'!A53:F212,4,FALSE)</f>
        <v>67747827930000</v>
      </c>
      <c r="T37" s="4">
        <f>VLOOKUP(T35,[1]PriceValue!A52:B206,2,FALSE)*VLOOKUP(T35,'[1]2023'!A53:F212,4,FALSE)</f>
        <v>3041420637600</v>
      </c>
    </row>
    <row r="38" spans="1:20" x14ac:dyDescent="0.2">
      <c r="A38" s="18">
        <f>-(A36/A37)</f>
        <v>1.4011238641506853E-2</v>
      </c>
      <c r="B38" s="18">
        <f t="shared" ref="B38:T38" si="3">-(B36/B37)</f>
        <v>3.2713134352327262E-2</v>
      </c>
      <c r="C38" s="18">
        <f t="shared" si="3"/>
        <v>2.1729288786628254E-3</v>
      </c>
      <c r="D38" s="18">
        <f t="shared" si="3"/>
        <v>8.4178820251763625E-3</v>
      </c>
      <c r="E38" s="18">
        <f t="shared" si="3"/>
        <v>1.4467738960826286E-3</v>
      </c>
      <c r="F38" s="18" t="e">
        <f t="shared" si="3"/>
        <v>#N/A</v>
      </c>
      <c r="G38" s="18" t="e">
        <f t="shared" si="3"/>
        <v>#N/A</v>
      </c>
      <c r="H38" s="18">
        <f t="shared" si="3"/>
        <v>2.7867800623076139E-3</v>
      </c>
      <c r="I38" s="18">
        <f t="shared" si="3"/>
        <v>9.964610682107692E-4</v>
      </c>
      <c r="J38" s="18">
        <f t="shared" si="3"/>
        <v>1.239323655421244E-3</v>
      </c>
      <c r="K38" s="18" t="e">
        <f t="shared" si="3"/>
        <v>#N/A</v>
      </c>
      <c r="L38" s="18">
        <f t="shared" si="3"/>
        <v>3.4763243178250101E-3</v>
      </c>
      <c r="M38" s="18" t="e">
        <f t="shared" si="3"/>
        <v>#N/A</v>
      </c>
      <c r="N38" s="18" t="e">
        <f t="shared" si="3"/>
        <v>#N/A</v>
      </c>
      <c r="O38" s="18">
        <f t="shared" si="3"/>
        <v>4.4501726472288725E-4</v>
      </c>
      <c r="P38" s="18">
        <f t="shared" si="3"/>
        <v>2.7516068309083627E-3</v>
      </c>
      <c r="Q38" s="18" t="e">
        <f t="shared" si="3"/>
        <v>#N/A</v>
      </c>
      <c r="R38" s="18">
        <f t="shared" si="3"/>
        <v>1.5350129445566626E-3</v>
      </c>
      <c r="S38" s="18">
        <f t="shared" si="3"/>
        <v>8.7415314718562959E-4</v>
      </c>
      <c r="T38" s="18">
        <f t="shared" si="3"/>
        <v>1.9428539173268877E-2</v>
      </c>
    </row>
    <row r="40" spans="1:20" x14ac:dyDescent="0.2">
      <c r="A40" s="34" t="s">
        <v>96</v>
      </c>
      <c r="B40" s="34"/>
      <c r="C40" s="34"/>
      <c r="D40" s="34"/>
      <c r="E40" s="34"/>
      <c r="F40" s="34"/>
      <c r="G40" s="34"/>
      <c r="H40" s="34"/>
      <c r="I40" s="34"/>
      <c r="J40" s="34"/>
    </row>
    <row r="41" spans="1:20" x14ac:dyDescent="0.2">
      <c r="A41" s="18" t="s">
        <v>19</v>
      </c>
      <c r="B41" s="18" t="s">
        <v>100</v>
      </c>
      <c r="C41" s="18" t="s">
        <v>42</v>
      </c>
      <c r="D41" s="18" t="s">
        <v>46</v>
      </c>
      <c r="E41" s="18" t="s">
        <v>93</v>
      </c>
      <c r="F41" s="18" t="s">
        <v>18</v>
      </c>
      <c r="G41" s="18" t="s">
        <v>248</v>
      </c>
      <c r="H41" s="18" t="s">
        <v>6</v>
      </c>
      <c r="I41" s="18" t="s">
        <v>102</v>
      </c>
      <c r="J41" s="18" t="s">
        <v>31</v>
      </c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4" t="s">
        <v>97</v>
      </c>
      <c r="B43" s="34"/>
      <c r="C43" s="34"/>
      <c r="D43" s="34"/>
      <c r="E43" s="34"/>
      <c r="F43" s="34"/>
      <c r="G43" s="34"/>
      <c r="H43" s="34"/>
      <c r="I43" s="34"/>
      <c r="J43" s="34"/>
    </row>
    <row r="44" spans="1:20" x14ac:dyDescent="0.2">
      <c r="A44" s="18" t="s">
        <v>93</v>
      </c>
      <c r="B44" s="18" t="s">
        <v>42</v>
      </c>
      <c r="C44" s="18" t="s">
        <v>76</v>
      </c>
      <c r="D44" s="18" t="s">
        <v>99</v>
      </c>
      <c r="E44" s="18" t="s">
        <v>18</v>
      </c>
      <c r="F44" s="18" t="s">
        <v>11</v>
      </c>
      <c r="G44" s="18" t="s">
        <v>19</v>
      </c>
      <c r="H44" s="18" t="s">
        <v>21</v>
      </c>
      <c r="I44" s="18" t="s">
        <v>46</v>
      </c>
      <c r="J44" s="18" t="s">
        <v>6</v>
      </c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4" t="s">
        <v>98</v>
      </c>
      <c r="B46" s="34"/>
      <c r="C46" s="34"/>
      <c r="D46" s="34"/>
      <c r="E46" s="34"/>
      <c r="F46" s="34"/>
      <c r="G46" s="34"/>
      <c r="H46" s="34"/>
      <c r="I46" s="34"/>
      <c r="J46" s="34"/>
    </row>
    <row r="47" spans="1:20" x14ac:dyDescent="0.2">
      <c r="A47" s="18" t="s">
        <v>42</v>
      </c>
      <c r="B47" s="18" t="s">
        <v>19</v>
      </c>
      <c r="C47" s="18" t="s">
        <v>99</v>
      </c>
      <c r="D47" s="18" t="s">
        <v>93</v>
      </c>
      <c r="E47" s="18" t="s">
        <v>18</v>
      </c>
      <c r="F47" s="18" t="s">
        <v>102</v>
      </c>
      <c r="G47" s="18" t="s">
        <v>6</v>
      </c>
      <c r="H47" s="18" t="s">
        <v>100</v>
      </c>
      <c r="I47" s="18" t="s">
        <v>46</v>
      </c>
      <c r="J47" s="18" t="s">
        <v>76</v>
      </c>
    </row>
  </sheetData>
  <mergeCells count="10">
    <mergeCell ref="A28:J28"/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287F-F156-594D-806D-8B2150A13712}">
  <sheetPr codeName="Sheet7"/>
  <dimension ref="A1:T52"/>
  <sheetViews>
    <sheetView workbookViewId="0">
      <selection activeCell="E2" sqref="E2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8.6640625" bestFit="1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19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>
        <v>1124682949376</v>
      </c>
      <c r="C3" s="19">
        <v>430480795655</v>
      </c>
    </row>
    <row r="5" spans="1:20" x14ac:dyDescent="0.2">
      <c r="A5" s="31" t="s">
        <v>114</v>
      </c>
      <c r="B5" s="31"/>
      <c r="C5" s="31"/>
      <c r="D5" s="31"/>
      <c r="E5" s="31"/>
      <c r="F5" s="31"/>
      <c r="G5" s="31"/>
      <c r="H5" s="31"/>
      <c r="I5" s="31"/>
      <c r="J5" s="31"/>
    </row>
    <row r="6" spans="1:20" x14ac:dyDescent="0.2">
      <c r="A6" s="5" t="s">
        <v>14</v>
      </c>
      <c r="B6" s="6" t="s">
        <v>15</v>
      </c>
      <c r="C6" s="7" t="s">
        <v>16</v>
      </c>
      <c r="D6" s="8" t="s">
        <v>17</v>
      </c>
      <c r="E6" s="1" t="s">
        <v>18</v>
      </c>
      <c r="F6" s="9" t="s">
        <v>19</v>
      </c>
      <c r="G6" s="9" t="s">
        <v>20</v>
      </c>
      <c r="H6" s="9" t="s">
        <v>21</v>
      </c>
      <c r="I6" s="9" t="s">
        <v>22</v>
      </c>
      <c r="J6" s="9" t="s">
        <v>9</v>
      </c>
      <c r="K6" s="9" t="s">
        <v>46</v>
      </c>
      <c r="L6" s="9" t="s">
        <v>61</v>
      </c>
      <c r="M6" s="9" t="s">
        <v>10</v>
      </c>
      <c r="N6" s="9" t="s">
        <v>62</v>
      </c>
      <c r="O6" s="9" t="s">
        <v>63</v>
      </c>
      <c r="P6" s="9" t="s">
        <v>12</v>
      </c>
      <c r="Q6" s="9" t="s">
        <v>64</v>
      </c>
      <c r="R6" s="9" t="s">
        <v>65</v>
      </c>
      <c r="S6" s="9" t="s">
        <v>66</v>
      </c>
      <c r="T6" s="9" t="s">
        <v>67</v>
      </c>
    </row>
    <row r="7" spans="1:20" x14ac:dyDescent="0.2">
      <c r="A7" s="4">
        <v>899260850297</v>
      </c>
      <c r="B7" s="4">
        <v>771038086699</v>
      </c>
      <c r="C7" s="4">
        <v>738110518553</v>
      </c>
      <c r="D7" s="4">
        <v>663457500000</v>
      </c>
      <c r="E7" s="4">
        <v>513927679396</v>
      </c>
      <c r="F7" s="4">
        <v>443447598756</v>
      </c>
      <c r="G7" s="4">
        <v>402910154860</v>
      </c>
      <c r="H7" s="4">
        <v>322294360456</v>
      </c>
      <c r="I7" s="4">
        <v>313495062238</v>
      </c>
      <c r="J7" s="4">
        <v>258576450401</v>
      </c>
      <c r="K7" s="4">
        <v>244950918936</v>
      </c>
      <c r="L7" s="15">
        <v>215415865653</v>
      </c>
      <c r="M7" s="15">
        <v>186043110619</v>
      </c>
      <c r="N7" s="15">
        <v>167756730000</v>
      </c>
      <c r="O7" s="15">
        <v>143876680000</v>
      </c>
      <c r="P7" s="15">
        <v>133193410000</v>
      </c>
      <c r="Q7" s="15">
        <v>104102500000</v>
      </c>
      <c r="R7" s="15">
        <v>78027473524</v>
      </c>
      <c r="S7" s="15">
        <v>72620478720</v>
      </c>
      <c r="T7" s="15">
        <v>60057620570</v>
      </c>
    </row>
    <row r="8" spans="1:20" x14ac:dyDescent="0.2">
      <c r="A8" s="15">
        <f>VLOOKUP(A6,[1]PriceValue!A40:B194,2,FALSE)*VLOOKUP(A6,'[1]2023'!A41:F200,4,FALSE)</f>
        <v>543818583490000</v>
      </c>
      <c r="B8" s="15">
        <f>VLOOKUP(B6,[1]PriceValue!A40:B194,2,FALSE)*VLOOKUP(B6,'[1]2023'!A41:F200,4,FALSE)</f>
        <v>60232641615000</v>
      </c>
      <c r="C8" s="15">
        <f>VLOOKUP(C6,[1]PriceValue!A40:B194,2,FALSE)*VLOOKUP(C6,'[1]2023'!A41:F200,4,FALSE)</f>
        <v>179386138845000</v>
      </c>
      <c r="D8" s="15">
        <f>VLOOKUP(D6,[1]PriceValue!A40:B194,2,FALSE)*VLOOKUP(D6,'[1]2023'!A41:F200,4,FALSE)</f>
        <v>155901598740000</v>
      </c>
      <c r="E8" s="15">
        <f>VLOOKUP(E6,[1]PriceValue!A40:B194,2,FALSE)*VLOOKUP(E6,'[1]2023'!A41:F200,4,FALSE)</f>
        <v>13415084401400</v>
      </c>
      <c r="F8" s="15">
        <f>VLOOKUP(F6,[1]PriceValue!A40:B194,2,FALSE)*VLOOKUP(F6,'[1]2023'!A41:F200,4,FALSE)</f>
        <v>68193354965600</v>
      </c>
      <c r="G8" s="15">
        <f>VLOOKUP(G6,[1]PriceValue!A40:B194,2,FALSE)*VLOOKUP(G6,'[1]2023'!A41:F200,4,FALSE)</f>
        <v>191171704520000</v>
      </c>
      <c r="H8" s="15">
        <f>VLOOKUP(H6,[1]PriceValue!A40:B194,2,FALSE)*VLOOKUP(H6,'[1]2023'!A41:F200,4,FALSE)</f>
        <v>31881948825000</v>
      </c>
      <c r="I8" s="15">
        <f>VLOOKUP(I6,[1]PriceValue!A40:B194,2,FALSE)*VLOOKUP(I6,'[1]2023'!A41:F200,4,FALSE)</f>
        <v>19436995818100</v>
      </c>
      <c r="J8" s="15">
        <f>VLOOKUP(J6,[1]PriceValue!A40:B194,2,FALSE)*VLOOKUP(J6,'[1]2023'!A41:F200,4,FALSE)</f>
        <v>12962881986100</v>
      </c>
      <c r="K8" s="15">
        <f>VLOOKUP(K6,[1]PriceValue!A40:B194,2,FALSE)*VLOOKUP(K6,'[1]2023'!A41:F200,4,FALSE)</f>
        <v>14198392222450</v>
      </c>
      <c r="L8" s="15">
        <f>VLOOKUP(L6,[1]PriceValue!A40:B194,2,FALSE)*VLOOKUP(L6,'[1]2023'!A41:F200,4,FALSE)</f>
        <v>62009992320000</v>
      </c>
      <c r="M8" s="15">
        <f>VLOOKUP(M6,[1]PriceValue!A40:B194,2,FALSE)*VLOOKUP(M6,'[1]2023'!A41:F200,4,FALSE)</f>
        <v>20496875000000</v>
      </c>
      <c r="N8" s="15">
        <f>VLOOKUP(N6,[1]PriceValue!A40:B194,2,FALSE)*VLOOKUP(N6,'[1]2023'!A41:F200,4,FALSE)</f>
        <v>15352621092900</v>
      </c>
      <c r="O8" s="15">
        <f>VLOOKUP(O6,[1]PriceValue!A40:B194,2,FALSE)*VLOOKUP(O6,'[1]2023'!A41:F200,4,FALSE)</f>
        <v>67747827930000</v>
      </c>
      <c r="P8" s="15">
        <f>VLOOKUP(P6,[1]PriceValue!A40:B194,2,FALSE)*VLOOKUP(P6,'[1]2023'!A41:F200,4,FALSE)</f>
        <v>12652505302500</v>
      </c>
      <c r="Q8" s="15">
        <f>VLOOKUP(Q6,[1]PriceValue!A40:B194,2,FALSE)*VLOOKUP(Q6,'[1]2023'!A41:F200,4,FALSE)</f>
        <v>3388757320800</v>
      </c>
      <c r="R8" s="15">
        <f>VLOOKUP(R6,[1]PriceValue!A40:B194,2,FALSE)*VLOOKUP(R6,'[1]2023'!A41:F200,4,FALSE)</f>
        <v>46450223107900</v>
      </c>
      <c r="S8" s="15">
        <f>VLOOKUP(S6,[1]PriceValue!A40:B194,2,FALSE)*VLOOKUP(S6,'[1]2023'!A41:F200,4,FALSE)</f>
        <v>31500000000000</v>
      </c>
      <c r="T8" s="15">
        <f>VLOOKUP(T6,[1]PriceValue!A40:B194,2,FALSE)*VLOOKUP(T6,'[1]2023'!A41:F200,4,FALSE)</f>
        <v>48102560000000</v>
      </c>
    </row>
    <row r="9" spans="1:20" x14ac:dyDescent="0.2">
      <c r="A9" s="18">
        <f>A7/A8</f>
        <v>1.6536044879634682E-3</v>
      </c>
      <c r="B9" s="18">
        <f>B7/B8</f>
        <v>1.2801000687092312E-2</v>
      </c>
      <c r="C9" s="18">
        <f t="shared" ref="C9:J9" si="0">C7/C8</f>
        <v>4.1146463339108387E-3</v>
      </c>
      <c r="D9" s="18">
        <f t="shared" si="0"/>
        <v>4.2556170389661009E-3</v>
      </c>
      <c r="E9" s="18">
        <f t="shared" si="0"/>
        <v>3.8309686619814813E-2</v>
      </c>
      <c r="F9" s="18">
        <f t="shared" si="0"/>
        <v>6.5027978016288573E-3</v>
      </c>
      <c r="G9" s="18">
        <f t="shared" si="0"/>
        <v>2.1075825832679563E-3</v>
      </c>
      <c r="H9" s="18">
        <f t="shared" si="0"/>
        <v>1.0108991838142442E-2</v>
      </c>
      <c r="I9" s="18">
        <f t="shared" si="0"/>
        <v>1.6128781688889857E-2</v>
      </c>
      <c r="J9" s="18">
        <f t="shared" si="0"/>
        <v>1.9947450781259105E-2</v>
      </c>
      <c r="K9" s="18">
        <f t="shared" ref="K9" si="1">K7/K8</f>
        <v>1.725201805234625E-2</v>
      </c>
      <c r="L9" s="18">
        <f t="shared" ref="L9" si="2">L7/L8</f>
        <v>3.4738895715605857E-3</v>
      </c>
      <c r="M9" s="18">
        <f t="shared" ref="M9" si="3">M7/M8</f>
        <v>9.0766573255191343E-3</v>
      </c>
      <c r="N9" s="18">
        <f t="shared" ref="N9" si="4">N7/N8</f>
        <v>1.0926911371347598E-2</v>
      </c>
      <c r="O9" s="18">
        <f t="shared" ref="O9" si="5">O7/O8</f>
        <v>2.123709119481434E-3</v>
      </c>
      <c r="P9" s="18">
        <f t="shared" ref="P9" si="6">P7/P8</f>
        <v>1.0527038465155387E-2</v>
      </c>
      <c r="Q9" s="18">
        <f t="shared" ref="Q9" si="7">Q7/Q8</f>
        <v>3.0719963144313925E-2</v>
      </c>
      <c r="R9" s="18">
        <f t="shared" ref="R9" si="8">R7/R8</f>
        <v>1.6798083691169508E-3</v>
      </c>
      <c r="S9" s="18">
        <f t="shared" ref="S9" si="9">S7/S8</f>
        <v>2.305412022857143E-3</v>
      </c>
      <c r="T9" s="18">
        <f t="shared" ref="T9" si="10">T7/T8</f>
        <v>1.2485327302746464E-3</v>
      </c>
    </row>
    <row r="10" spans="1:20" x14ac:dyDescent="0.2">
      <c r="A10" s="18"/>
    </row>
    <row r="11" spans="1:20" x14ac:dyDescent="0.2">
      <c r="A11" s="32" t="s">
        <v>115</v>
      </c>
      <c r="B11" s="32"/>
      <c r="C11" s="32"/>
      <c r="D11" s="32"/>
      <c r="E11" s="32"/>
      <c r="F11" s="32"/>
      <c r="G11" s="32"/>
      <c r="H11" s="32"/>
      <c r="I11" s="32"/>
      <c r="J11" s="32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42</v>
      </c>
      <c r="B12" s="6" t="s">
        <v>12</v>
      </c>
      <c r="C12" s="7" t="s">
        <v>5</v>
      </c>
      <c r="D12" s="8" t="s">
        <v>43</v>
      </c>
      <c r="E12" s="1" t="s">
        <v>44</v>
      </c>
      <c r="F12" s="9" t="s">
        <v>45</v>
      </c>
      <c r="G12" s="9" t="s">
        <v>46</v>
      </c>
      <c r="H12" s="9" t="s">
        <v>16</v>
      </c>
      <c r="I12" s="9" t="s">
        <v>28</v>
      </c>
      <c r="J12" s="9" t="s">
        <v>15</v>
      </c>
      <c r="K12" s="9" t="s">
        <v>18</v>
      </c>
      <c r="L12" s="9" t="s">
        <v>27</v>
      </c>
      <c r="M12" s="9" t="s">
        <v>81</v>
      </c>
      <c r="N12" s="9" t="s">
        <v>29</v>
      </c>
      <c r="O12" s="9" t="s">
        <v>82</v>
      </c>
      <c r="P12" s="9" t="s">
        <v>83</v>
      </c>
      <c r="Q12" s="9" t="s">
        <v>31</v>
      </c>
      <c r="R12" s="9" t="s">
        <v>26</v>
      </c>
      <c r="S12" s="9" t="s">
        <v>25</v>
      </c>
      <c r="T12" s="9" t="s">
        <v>84</v>
      </c>
    </row>
    <row r="13" spans="1:20" x14ac:dyDescent="0.2">
      <c r="A13" s="4">
        <v>265716015000</v>
      </c>
      <c r="B13" s="4">
        <v>201188317000</v>
      </c>
      <c r="C13" s="4">
        <v>98161722000</v>
      </c>
      <c r="D13" s="4">
        <v>94766652000</v>
      </c>
      <c r="E13" s="4">
        <v>83529260000</v>
      </c>
      <c r="F13" s="4">
        <v>73296570000</v>
      </c>
      <c r="G13" s="4">
        <v>72822631000</v>
      </c>
      <c r="H13" s="4">
        <v>71487265000</v>
      </c>
      <c r="I13" s="4">
        <v>59729560000</v>
      </c>
      <c r="J13" s="4">
        <v>55599245000</v>
      </c>
      <c r="K13" s="4">
        <v>37807506000</v>
      </c>
      <c r="L13" s="15">
        <v>37384190000</v>
      </c>
      <c r="M13" s="15">
        <v>30439320000</v>
      </c>
      <c r="N13" s="15">
        <v>29528936000</v>
      </c>
      <c r="O13" s="15">
        <v>29211907000</v>
      </c>
      <c r="P13" s="15">
        <v>28222785000</v>
      </c>
      <c r="Q13" s="15">
        <v>27416208000</v>
      </c>
      <c r="R13" s="15">
        <v>25473040000</v>
      </c>
      <c r="S13" s="15">
        <v>24871930000</v>
      </c>
      <c r="T13" s="15">
        <v>24569913000</v>
      </c>
    </row>
    <row r="14" spans="1:20" x14ac:dyDescent="0.2">
      <c r="A14" s="4">
        <f>VLOOKUP(A12,[1]PriceValue!A46:B226,2,FALSE)*VLOOKUP(A12,'[1]2023'!A47:F206,4,FALSE)</f>
        <v>8832273847200</v>
      </c>
      <c r="B14" s="4">
        <f>VLOOKUP(B12,[1]PriceValue!A46:B226,2,FALSE)*VLOOKUP(B12,'[1]2023'!A47:F206,4,FALSE)</f>
        <v>12652505302500</v>
      </c>
      <c r="C14" s="4">
        <f>VLOOKUP(C12,[1]PriceValue!A41:B226,2,FALSE)*VLOOKUP(C12,'[1]2023'!A47:F206,4,FALSE)</f>
        <v>56067210616950</v>
      </c>
      <c r="D14" s="4" t="e">
        <f>VLOOKUP(D12,[1]PriceValue!A46:B226,2,FALSE)*VLOOKUP(D12,'[1]2023'!A47:F206,4,FALSE)</f>
        <v>#N/A</v>
      </c>
      <c r="E14" s="4">
        <f>VLOOKUP(E12,[1]PriceValue!A46:B226,2,FALSE)*VLOOKUP(E12,'[1]2023'!A47:F206,4,FALSE)</f>
        <v>31405791291600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14198392222450</v>
      </c>
      <c r="H14" s="4">
        <f>VLOOKUP(H12,[1]PriceValue!A46:B226,2,FALSE)*VLOOKUP(H12,'[1]2023'!A47:F206,4,FALSE)</f>
        <v>179386138845000</v>
      </c>
      <c r="I14" s="4">
        <f>VLOOKUP(I12,[1]PriceValue!A46:B226,2,FALSE)*VLOOKUP(I12,'[1]2023'!A47:F206,4,FALSE)</f>
        <v>191374451625000</v>
      </c>
      <c r="J14" s="4">
        <f>VLOOKUP(J12,[1]PriceValue!A46:B226,2,FALSE)*VLOOKUP(J12,'[1]2023'!A47:F206,4,FALSE)</f>
        <v>60232641615000</v>
      </c>
      <c r="K14" s="4">
        <f>VLOOKUP(K12,[1]PriceValue!A46:B226,2,FALSE)*VLOOKUP(K12,'[1]2023'!A47:F206,4,FALSE)</f>
        <v>13415084401400</v>
      </c>
      <c r="L14" s="4">
        <f>VLOOKUP(L12,[1]PriceValue!A46:B226,2,FALSE)*VLOOKUP(L12,'[1]2023'!A47:F206,4,FALSE)</f>
        <v>100874459700000</v>
      </c>
      <c r="M14" s="4">
        <f>VLOOKUP(M12,[1]PriceValue!A46:B226,2,FALSE)*VLOOKUP(M12,'[1]2023'!A47:F206,4,FALSE)</f>
        <v>1694000000000</v>
      </c>
      <c r="N14" s="4">
        <f>VLOOKUP(N12,[1]PriceValue!A46:B226,2,FALSE)*VLOOKUP(N12,'[1]2023'!A47:F206,4,FALSE)</f>
        <v>43294838604000</v>
      </c>
      <c r="O14" s="4">
        <f>VLOOKUP(O12,[1]PriceValue!A46:B226,2,FALSE)*VLOOKUP(O12,'[1]2023'!A47:F206,4,FALSE)</f>
        <v>41442130000000</v>
      </c>
      <c r="P14" s="4">
        <f>VLOOKUP(P12,[1]PriceValue!A46:B226,2,FALSE)*VLOOKUP(P12,'[1]2023'!A47:F206,4,FALSE)</f>
        <v>24883425000000</v>
      </c>
      <c r="Q14" s="4">
        <f>VLOOKUP(Q12,[1]PriceValue!A46:B226,2,FALSE)*VLOOKUP(Q12,'[1]2023'!A47:F206,4,FALSE)</f>
        <v>43607359620000</v>
      </c>
      <c r="R14" s="4">
        <f>VLOOKUP(R12,[1]PriceValue!A46:B226,2,FALSE)*VLOOKUP(R12,'[1]2023'!A47:F206,4,FALSE)</f>
        <v>62063010360000</v>
      </c>
      <c r="S14" s="4">
        <f>VLOOKUP(S12,[1]PriceValue!A46:B226,2,FALSE)*VLOOKUP(S12,'[1]2023'!A47:F206,4,FALSE)</f>
        <v>149431814317500</v>
      </c>
      <c r="T14" s="4">
        <f>VLOOKUP(T12,[1]PriceValue!A46:B226,2,FALSE)*VLOOKUP(T12,'[1]2023'!A47:F206,4,FALSE)</f>
        <v>147417076980000</v>
      </c>
    </row>
    <row r="15" spans="1:20" x14ac:dyDescent="0.2">
      <c r="A15" s="18">
        <f>A13/A14</f>
        <v>3.008466671175929E-2</v>
      </c>
      <c r="B15" s="18">
        <f t="shared" ref="B15:T15" si="11">B13/B14</f>
        <v>1.5901065614273825E-2</v>
      </c>
      <c r="C15" s="18">
        <f t="shared" si="11"/>
        <v>1.7507866169879365E-3</v>
      </c>
      <c r="D15" s="18" t="e">
        <f t="shared" si="11"/>
        <v>#N/A</v>
      </c>
      <c r="E15" s="18">
        <f t="shared" si="11"/>
        <v>2.659676975639244E-3</v>
      </c>
      <c r="F15" s="18" t="e">
        <f t="shared" si="11"/>
        <v>#N/A</v>
      </c>
      <c r="G15" s="18">
        <f t="shared" si="11"/>
        <v>5.1289350131386996E-3</v>
      </c>
      <c r="H15" s="18">
        <f t="shared" si="11"/>
        <v>3.9851052851842209E-4</v>
      </c>
      <c r="I15" s="18">
        <f t="shared" si="11"/>
        <v>3.1210832738029536E-4</v>
      </c>
      <c r="J15" s="18">
        <f t="shared" si="11"/>
        <v>9.2307498906297135E-4</v>
      </c>
      <c r="K15" s="18">
        <f t="shared" si="11"/>
        <v>2.8182831258262084E-3</v>
      </c>
      <c r="L15" s="18">
        <f t="shared" si="11"/>
        <v>3.7060114236230204E-4</v>
      </c>
      <c r="M15" s="18">
        <f t="shared" si="11"/>
        <v>1.7968902007083825E-2</v>
      </c>
      <c r="N15" s="18">
        <f t="shared" si="11"/>
        <v>6.8204287051602103E-4</v>
      </c>
      <c r="O15" s="18">
        <f t="shared" si="11"/>
        <v>7.0488430493316826E-4</v>
      </c>
      <c r="P15" s="18">
        <f t="shared" si="11"/>
        <v>1.1342001754179739E-3</v>
      </c>
      <c r="Q15" s="18">
        <f t="shared" si="11"/>
        <v>6.2870598538660154E-4</v>
      </c>
      <c r="R15" s="18">
        <f t="shared" si="11"/>
        <v>4.104383569575854E-4</v>
      </c>
      <c r="S15" s="18">
        <f t="shared" si="11"/>
        <v>1.6644333814454156E-4</v>
      </c>
      <c r="T15" s="18">
        <f t="shared" si="11"/>
        <v>1.6666938120970469E-4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3" t="s">
        <v>88</v>
      </c>
      <c r="B17" s="33"/>
      <c r="C17" s="33"/>
      <c r="D17" s="33"/>
      <c r="E17" s="33"/>
      <c r="F17" s="33"/>
      <c r="G17" s="33"/>
      <c r="H17" s="33"/>
      <c r="I17" s="33"/>
      <c r="J17" s="33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14</v>
      </c>
      <c r="B18" s="18" t="s">
        <v>39</v>
      </c>
      <c r="C18" s="18" t="s">
        <v>15</v>
      </c>
      <c r="D18" s="18" t="s">
        <v>89</v>
      </c>
      <c r="E18" s="18" t="s">
        <v>20</v>
      </c>
      <c r="F18" s="18" t="s">
        <v>90</v>
      </c>
      <c r="G18" s="18" t="s">
        <v>44</v>
      </c>
      <c r="H18" s="18" t="s">
        <v>63</v>
      </c>
      <c r="I18" s="18" t="s">
        <v>18</v>
      </c>
      <c r="J18" s="18" t="s">
        <v>22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3" t="s">
        <v>91</v>
      </c>
      <c r="B20" s="33"/>
      <c r="C20" s="33"/>
      <c r="D20" s="33"/>
      <c r="E20" s="33"/>
      <c r="F20" s="33"/>
      <c r="G20" s="33"/>
      <c r="H20" s="33"/>
      <c r="I20" s="33"/>
      <c r="J20" s="33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63</v>
      </c>
      <c r="B21" s="18" t="s">
        <v>69</v>
      </c>
      <c r="C21" s="18" t="s">
        <v>14</v>
      </c>
      <c r="D21" s="18" t="s">
        <v>18</v>
      </c>
      <c r="E21" s="18" t="s">
        <v>92</v>
      </c>
      <c r="F21" s="18" t="s">
        <v>93</v>
      </c>
      <c r="G21" s="18" t="s">
        <v>20</v>
      </c>
      <c r="H21" s="18" t="s">
        <v>44</v>
      </c>
      <c r="I21" s="18" t="s">
        <v>75</v>
      </c>
      <c r="J21" s="18" t="s">
        <v>38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3" t="s">
        <v>94</v>
      </c>
      <c r="B23" s="33"/>
      <c r="C23" s="33"/>
      <c r="D23" s="33"/>
      <c r="E23" s="33"/>
      <c r="F23" s="33"/>
      <c r="G23" s="33"/>
      <c r="H23" s="33"/>
      <c r="I23" s="33"/>
      <c r="J23" s="33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14</v>
      </c>
      <c r="B24" s="18" t="s">
        <v>63</v>
      </c>
      <c r="C24" s="18" t="s">
        <v>44</v>
      </c>
      <c r="D24" s="18" t="s">
        <v>95</v>
      </c>
      <c r="E24" s="18" t="s">
        <v>61</v>
      </c>
      <c r="F24" s="18" t="s">
        <v>75</v>
      </c>
      <c r="G24" s="18" t="s">
        <v>12</v>
      </c>
      <c r="H24" s="18" t="s">
        <v>18</v>
      </c>
      <c r="I24" s="18" t="s">
        <v>42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33" t="s">
        <v>117</v>
      </c>
      <c r="B26" s="33"/>
      <c r="C26" s="33"/>
      <c r="D26" s="33"/>
      <c r="E26" s="33"/>
      <c r="F26" s="33"/>
      <c r="G26" s="33"/>
      <c r="H26" s="33"/>
      <c r="I26" s="33"/>
      <c r="J26" s="33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 t="s">
        <v>103</v>
      </c>
      <c r="B27" s="18" t="s">
        <v>104</v>
      </c>
      <c r="C27" s="18" t="s">
        <v>105</v>
      </c>
      <c r="D27" s="18" t="s">
        <v>106</v>
      </c>
      <c r="E27" s="18" t="s">
        <v>72</v>
      </c>
      <c r="F27" s="18" t="s">
        <v>39</v>
      </c>
      <c r="G27" s="18" t="s">
        <v>20</v>
      </c>
      <c r="H27" s="18" t="s">
        <v>107</v>
      </c>
      <c r="I27" s="18" t="s">
        <v>108</v>
      </c>
      <c r="J27" s="18" t="s">
        <v>109</v>
      </c>
      <c r="K27" s="18" t="s">
        <v>8</v>
      </c>
      <c r="L27" s="18" t="s">
        <v>110</v>
      </c>
      <c r="M27" s="18" t="s">
        <v>31</v>
      </c>
      <c r="N27" s="18" t="s">
        <v>9</v>
      </c>
      <c r="O27" s="18" t="s">
        <v>64</v>
      </c>
      <c r="P27" s="18" t="s">
        <v>7</v>
      </c>
      <c r="Q27" s="18" t="s">
        <v>111</v>
      </c>
      <c r="R27" s="18" t="s">
        <v>14</v>
      </c>
      <c r="S27" s="18" t="s">
        <v>112</v>
      </c>
      <c r="T27" s="18" t="s">
        <v>113</v>
      </c>
    </row>
    <row r="28" spans="1:20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2">
      <c r="A29" s="18"/>
    </row>
    <row r="30" spans="1:20" x14ac:dyDescent="0.2">
      <c r="A30" s="31" t="s">
        <v>273</v>
      </c>
      <c r="B30" s="31"/>
      <c r="C30" s="31"/>
      <c r="D30" s="31"/>
      <c r="E30" s="31"/>
      <c r="F30" s="31"/>
      <c r="G30" s="31"/>
      <c r="H30" s="31"/>
      <c r="I30" s="31"/>
      <c r="J30" s="31"/>
    </row>
    <row r="31" spans="1:20" x14ac:dyDescent="0.2">
      <c r="A31" s="10" t="s">
        <v>25</v>
      </c>
      <c r="B31" s="11" t="s">
        <v>26</v>
      </c>
      <c r="C31" s="12" t="s">
        <v>27</v>
      </c>
      <c r="D31" s="2" t="s">
        <v>28</v>
      </c>
      <c r="E31" s="13" t="s">
        <v>29</v>
      </c>
      <c r="F31" s="14" t="s">
        <v>30</v>
      </c>
      <c r="G31" s="14" t="s">
        <v>31</v>
      </c>
      <c r="H31" s="14" t="s">
        <v>32</v>
      </c>
      <c r="I31" s="14" t="s">
        <v>33</v>
      </c>
      <c r="J31" s="14" t="s">
        <v>34</v>
      </c>
      <c r="K31" s="14" t="s">
        <v>11</v>
      </c>
      <c r="L31" s="14" t="s">
        <v>68</v>
      </c>
      <c r="M31" s="14" t="s">
        <v>69</v>
      </c>
      <c r="N31" s="14" t="s">
        <v>70</v>
      </c>
      <c r="O31" s="14" t="s">
        <v>6</v>
      </c>
      <c r="P31" s="14" t="s">
        <v>71</v>
      </c>
      <c r="Q31" s="14" t="s">
        <v>72</v>
      </c>
      <c r="R31" s="14" t="s">
        <v>73</v>
      </c>
      <c r="S31" s="14" t="s">
        <v>74</v>
      </c>
      <c r="T31" s="14" t="s">
        <v>75</v>
      </c>
    </row>
    <row r="32" spans="1:20" x14ac:dyDescent="0.2">
      <c r="A32" s="16">
        <v>-956073459293</v>
      </c>
      <c r="B32" s="16">
        <v>-790349870000</v>
      </c>
      <c r="C32" s="16">
        <v>-401260743862</v>
      </c>
      <c r="D32" s="16">
        <v>-378547190000</v>
      </c>
      <c r="E32" s="16">
        <v>-370536940000</v>
      </c>
      <c r="F32" s="16">
        <v>-312050819171</v>
      </c>
      <c r="G32" s="16">
        <v>-275955182845</v>
      </c>
      <c r="H32" s="16">
        <v>-243177580000</v>
      </c>
      <c r="I32" s="16">
        <v>-240329185624</v>
      </c>
      <c r="J32" s="16">
        <v>-222875431655</v>
      </c>
      <c r="K32" s="16">
        <v>-209872913405</v>
      </c>
      <c r="L32" s="16">
        <v>-179047931909</v>
      </c>
      <c r="M32" s="16">
        <v>-177021486358</v>
      </c>
      <c r="N32" s="16">
        <v>-158227510000</v>
      </c>
      <c r="O32" s="16">
        <v>-157646130000</v>
      </c>
      <c r="P32" s="16">
        <v>-155115890000</v>
      </c>
      <c r="Q32" s="16">
        <v>-148729067216</v>
      </c>
      <c r="R32" s="16">
        <v>-130111545140</v>
      </c>
      <c r="S32" s="16">
        <v>-88796990000</v>
      </c>
      <c r="T32" s="16">
        <v>-72195569880</v>
      </c>
    </row>
    <row r="33" spans="1:20" x14ac:dyDescent="0.2">
      <c r="A33" s="4">
        <f>VLOOKUP(A31,[1]PriceValue!A40:B194,2,FALSE)*VLOOKUP(A31,'[1]2023'!A41:F200,4,FALSE)</f>
        <v>149431814317500</v>
      </c>
      <c r="B33" s="4">
        <f>VLOOKUP(B31,[1]PriceValue!A40:B194,2,FALSE)*VLOOKUP(B31,'[1]2023'!A41:F200,4,FALSE)</f>
        <v>62063010360000</v>
      </c>
      <c r="C33" s="4">
        <f>VLOOKUP(C31,[1]PriceValue!A40:B194,2,FALSE)*VLOOKUP(C31,'[1]2023'!A41:F200,4,FALSE)</f>
        <v>100874459700000</v>
      </c>
      <c r="D33" s="4">
        <f>VLOOKUP(D31,[1]PriceValue!A40:B194,2,FALSE)*VLOOKUP(D31,'[1]2023'!A41:F200,4,FALSE)</f>
        <v>191374451625000</v>
      </c>
      <c r="E33" s="4">
        <f>VLOOKUP(E31,[1]PriceValue!A40:B194,2,FALSE)*VLOOKUP(E31,'[1]2023'!A41:F200,4,FALSE)</f>
        <v>43294838604000</v>
      </c>
      <c r="F33" s="4">
        <f>VLOOKUP(F31,[1]PriceValue!A40:B194,2,FALSE)*VLOOKUP(F31,'[1]2023'!A41:F200,4,FALSE)</f>
        <v>8683494284400</v>
      </c>
      <c r="G33" s="4">
        <f>VLOOKUP(G31,[1]PriceValue!A40:B194,2,FALSE)*VLOOKUP(G31,'[1]2023'!A41:F200,4,FALSE)</f>
        <v>43607359620000</v>
      </c>
      <c r="H33" s="4">
        <f>VLOOKUP(H31,[1]PriceValue!A40:B194,2,FALSE)*VLOOKUP(H31,'[1]2023'!A41:F200,4,FALSE)</f>
        <v>19210176849000</v>
      </c>
      <c r="I33" s="4">
        <f>VLOOKUP(I31,[1]PriceValue!A40:B194,2,FALSE)*VLOOKUP(I31,'[1]2023'!A41:F200,4,FALSE)</f>
        <v>17636956101000</v>
      </c>
      <c r="J33" s="4">
        <f>VLOOKUP(J31,[1]PriceValue!A40:B194,2,FALSE)*VLOOKUP(J31,'[1]2023'!A41:F200,4,FALSE)</f>
        <v>178227012127200</v>
      </c>
      <c r="K33" s="4">
        <f>VLOOKUP(K31,[1]PriceValue!A40:B194,2,FALSE)*VLOOKUP(K31,'[1]2023'!A41:F200,4,FALSE)</f>
        <v>14636821464000</v>
      </c>
      <c r="L33" s="4">
        <f>VLOOKUP(L31,[1]PriceValue!A40:B194,2,FALSE)*VLOOKUP(L31,'[1]2023'!A41:F200,4,FALSE)</f>
        <v>175505894325000</v>
      </c>
      <c r="M33" s="4">
        <f>VLOOKUP(M31,[1]PriceValue!A40:B194,2,FALSE)*VLOOKUP(M31,'[1]2023'!A41:F200,4,FALSE)</f>
        <v>43702454750000</v>
      </c>
      <c r="N33" s="4">
        <f>VLOOKUP(N31,[1]PriceValue!A40:B194,2,FALSE)*VLOOKUP(N31,'[1]2023'!A41:F200,4,FALSE)</f>
        <v>13738140000000</v>
      </c>
      <c r="O33" s="4">
        <f>VLOOKUP(O31,[1]PriceValue!A40:B194,2,FALSE)*VLOOKUP(O31,'[1]2023'!A41:F200,4,FALSE)</f>
        <v>28253981008800</v>
      </c>
      <c r="P33" s="4">
        <f>VLOOKUP(P31,[1]PriceValue!A40:B194,2,FALSE)*VLOOKUP(P31,'[1]2023'!A41:F200,4,FALSE)</f>
        <v>27935953386450</v>
      </c>
      <c r="Q33" s="4">
        <f>VLOOKUP(Q31,[1]PriceValue!A40:B194,2,FALSE)*VLOOKUP(Q31,'[1]2023'!A41:F200,4,FALSE)</f>
        <v>8415208202200</v>
      </c>
      <c r="R33" s="4">
        <f>VLOOKUP(R31,[1]PriceValue!A40:B194,2,FALSE)*VLOOKUP(R31,'[1]2023'!A41:F200,4,FALSE)</f>
        <v>18105480000000</v>
      </c>
      <c r="S33" s="4">
        <f>VLOOKUP(S31,[1]PriceValue!A40:B194,2,FALSE)*VLOOKUP(S31,'[1]2023'!A41:F200,4,FALSE)</f>
        <v>17690212990800</v>
      </c>
      <c r="T33" s="4">
        <f>VLOOKUP(T31,[1]PriceValue!A40:B194,2,FALSE)*VLOOKUP(T31,'[1]2023'!A41:F200,4,FALSE)</f>
        <v>7187455212300</v>
      </c>
    </row>
    <row r="34" spans="1:20" x14ac:dyDescent="0.2">
      <c r="A34" s="18">
        <f>-(A32/A33)</f>
        <v>6.398058296084236E-3</v>
      </c>
      <c r="B34" s="18">
        <f t="shared" ref="B34:J34" si="12">-(B32/B33)</f>
        <v>1.2734636386722637E-2</v>
      </c>
      <c r="C34" s="18">
        <f t="shared" si="12"/>
        <v>3.9778229797249659E-3</v>
      </c>
      <c r="D34" s="18">
        <f t="shared" si="12"/>
        <v>1.9780445445339106E-3</v>
      </c>
      <c r="E34" s="18">
        <f t="shared" si="12"/>
        <v>8.5584552789109182E-3</v>
      </c>
      <c r="F34" s="18">
        <f t="shared" si="12"/>
        <v>3.5936088508931589E-2</v>
      </c>
      <c r="G34" s="18">
        <f t="shared" si="12"/>
        <v>6.3281791250309142E-3</v>
      </c>
      <c r="H34" s="18">
        <f t="shared" si="12"/>
        <v>1.2658789240280148E-2</v>
      </c>
      <c r="I34" s="18">
        <f t="shared" si="12"/>
        <v>1.3626454828584256E-2</v>
      </c>
      <c r="J34" s="18">
        <f t="shared" si="12"/>
        <v>1.2505143243715189E-3</v>
      </c>
      <c r="K34" s="18">
        <f t="shared" ref="K34" si="13">-(K32/K33)</f>
        <v>1.433869463538877E-2</v>
      </c>
      <c r="L34" s="18">
        <f t="shared" ref="L34" si="14">-(L32/L33)</f>
        <v>1.020181872509882E-3</v>
      </c>
      <c r="M34" s="18">
        <f t="shared" ref="M34" si="15">-(M32/M33)</f>
        <v>4.05060739426771E-3</v>
      </c>
      <c r="N34" s="18">
        <f t="shared" ref="N34" si="16">-(N32/N33)</f>
        <v>1.1517389544727306E-2</v>
      </c>
      <c r="O34" s="18">
        <f t="shared" ref="O34" si="17">-(O32/O33)</f>
        <v>5.5796077002706083E-3</v>
      </c>
      <c r="P34" s="18">
        <f t="shared" ref="P34" si="18">-(P32/P33)</f>
        <v>5.5525540100320007E-3</v>
      </c>
      <c r="Q34" s="18">
        <f t="shared" ref="Q34" si="19">-(Q32/Q33)</f>
        <v>1.7673842838150759E-2</v>
      </c>
      <c r="R34" s="18">
        <f t="shared" ref="R34" si="20">-(R32/R33)</f>
        <v>7.1863074130042396E-3</v>
      </c>
      <c r="S34" s="18">
        <f t="shared" ref="S34" si="21">-(S32/S33)</f>
        <v>5.0195546003985311E-3</v>
      </c>
      <c r="T34" s="18">
        <f t="shared" ref="T34" si="22">-(T32/T33)</f>
        <v>1.004466361841819E-2</v>
      </c>
    </row>
    <row r="36" spans="1:20" x14ac:dyDescent="0.2">
      <c r="A36" s="32" t="s">
        <v>273</v>
      </c>
      <c r="B36" s="32"/>
      <c r="C36" s="32"/>
      <c r="D36" s="32"/>
      <c r="E36" s="32"/>
      <c r="F36" s="32"/>
      <c r="G36" s="32"/>
      <c r="H36" s="32"/>
      <c r="I36" s="32"/>
      <c r="J36" s="32"/>
    </row>
    <row r="37" spans="1:20" x14ac:dyDescent="0.2">
      <c r="A37" s="10" t="s">
        <v>20</v>
      </c>
      <c r="B37" s="11" t="s">
        <v>35</v>
      </c>
      <c r="C37" s="12" t="s">
        <v>36</v>
      </c>
      <c r="D37" s="2" t="s">
        <v>17</v>
      </c>
      <c r="E37" s="13" t="s">
        <v>37</v>
      </c>
      <c r="F37" s="14" t="s">
        <v>38</v>
      </c>
      <c r="G37" s="14" t="s">
        <v>39</v>
      </c>
      <c r="H37" s="14" t="s">
        <v>21</v>
      </c>
      <c r="I37" s="14" t="s">
        <v>40</v>
      </c>
      <c r="J37" s="14" t="s">
        <v>41</v>
      </c>
      <c r="K37" s="14" t="s">
        <v>76</v>
      </c>
      <c r="L37" s="14" t="s">
        <v>77</v>
      </c>
      <c r="M37" s="14" t="s">
        <v>19</v>
      </c>
      <c r="N37" s="14" t="s">
        <v>78</v>
      </c>
      <c r="O37" s="14" t="s">
        <v>65</v>
      </c>
      <c r="P37" s="14" t="s">
        <v>79</v>
      </c>
      <c r="Q37" s="14" t="s">
        <v>80</v>
      </c>
      <c r="R37" s="14" t="s">
        <v>63</v>
      </c>
      <c r="S37" s="14" t="s">
        <v>66</v>
      </c>
      <c r="T37" s="14" t="s">
        <v>69</v>
      </c>
    </row>
    <row r="38" spans="1:20" x14ac:dyDescent="0.2">
      <c r="A38" s="16">
        <v>-254022663000</v>
      </c>
      <c r="B38" s="16">
        <v>-139840000000</v>
      </c>
      <c r="C38" s="16">
        <v>-91489197000</v>
      </c>
      <c r="D38" s="16">
        <v>-87705560000</v>
      </c>
      <c r="E38" s="16">
        <v>-78952430000</v>
      </c>
      <c r="F38" s="16">
        <v>-75288077000</v>
      </c>
      <c r="G38" s="16">
        <v>-69099374000</v>
      </c>
      <c r="H38" s="16">
        <v>-49988695000</v>
      </c>
      <c r="I38" s="16">
        <v>-38185200000</v>
      </c>
      <c r="J38" s="16">
        <v>-32211512000</v>
      </c>
      <c r="K38" s="16">
        <v>-28250782000</v>
      </c>
      <c r="L38" s="17">
        <v>-26115100000</v>
      </c>
      <c r="M38" s="17">
        <v>-23192275000</v>
      </c>
      <c r="N38" s="17">
        <v>-19532268000</v>
      </c>
      <c r="O38" s="17">
        <v>-17594612000</v>
      </c>
      <c r="P38" s="17">
        <v>-15612673000</v>
      </c>
      <c r="Q38" s="17">
        <v>-14950785000</v>
      </c>
      <c r="R38" s="17">
        <v>-14269861000</v>
      </c>
      <c r="S38" s="17">
        <v>-11950419000</v>
      </c>
      <c r="T38" s="17">
        <v>-10323793000</v>
      </c>
    </row>
    <row r="39" spans="1:20" x14ac:dyDescent="0.2">
      <c r="A39" s="4">
        <f>VLOOKUP(A37,[1]PriceValue!A52:B206,2,FALSE)*VLOOKUP(A37,'[1]2023'!A53:F212,4,FALSE)</f>
        <v>191171704520000</v>
      </c>
      <c r="B39" s="4" t="e">
        <f>VLOOKUP(B37,[1]PriceValue!A52:B206,2,FALSE)*VLOOKUP(B37,'[1]2023'!A53:F212,4,FALSE)</f>
        <v>#N/A</v>
      </c>
      <c r="C39" s="4">
        <f>VLOOKUP(C37,[1]PriceValue!A52:B206,2,FALSE)*VLOOKUP(C37,'[1]2023'!A53:F212,4,FALSE)</f>
        <v>107976601120000</v>
      </c>
      <c r="D39" s="4">
        <f>VLOOKUP(D37,[1]PriceValue!A52:B206,2,FALSE)*VLOOKUP(D37,'[1]2023'!A53:F212,4,FALSE)</f>
        <v>155901598740000</v>
      </c>
      <c r="E39" s="4">
        <f>VLOOKUP(E37,[1]PriceValue!A52:B206,2,FALSE)*VLOOKUP(E37,'[1]2023'!A53:F212,4,FALSE)</f>
        <v>140712551350000</v>
      </c>
      <c r="F39" s="4">
        <f>VLOOKUP(F37,[1]PriceValue!A52:B206,2,FALSE)*VLOOKUP(F37,'[1]2023'!A53:F212,4,FALSE)</f>
        <v>55556084250000</v>
      </c>
      <c r="G39" s="4">
        <f>VLOOKUP(G37,[1]PriceValue!A52:B206,2,FALSE)*VLOOKUP(G37,'[1]2023'!A53:F212,4,FALSE)</f>
        <v>125138018400000</v>
      </c>
      <c r="H39" s="4">
        <f>VLOOKUP(H37,[1]PriceValue!A52:B206,2,FALSE)*VLOOKUP(H37,'[1]2023'!A53:F212,4,FALSE)</f>
        <v>31881948825000</v>
      </c>
      <c r="I39" s="4">
        <f>VLOOKUP(I37,[1]PriceValue!A52:B206,2,FALSE)*VLOOKUP(I37,'[1]2023'!A53:F212,4,FALSE)</f>
        <v>24624833838500</v>
      </c>
      <c r="J39" s="4" t="e">
        <f>VLOOKUP(J37,[1]PriceValue!A52:B250,2,FALSE)*VLOOKUP(J37,'[1]2023'!A53:F212,4,FALSE)</f>
        <v>#N/A</v>
      </c>
      <c r="K39" s="4">
        <f>VLOOKUP(K37,[1]PriceValue!A52:B206,2,FALSE)*VLOOKUP(K37,'[1]2023'!A53:F212,4,FALSE)</f>
        <v>33736808507400</v>
      </c>
      <c r="L39" s="4" t="e">
        <f>VLOOKUP(L37,[1]PriceValue!A52:B206,2,FALSE)*VLOOKUP(L37,'[1]2023'!A53:F212,4,FALSE)</f>
        <v>#N/A</v>
      </c>
      <c r="M39" s="4">
        <f>VLOOKUP(M37,[1]PriceValue!A52:B206,2,FALSE)*VLOOKUP(M37,'[1]2023'!A53:F212,4,FALSE)</f>
        <v>68193354965600</v>
      </c>
      <c r="N39" s="4">
        <f>VLOOKUP(N37,[1]PriceValue!A52:B206,2,FALSE)*VLOOKUP(N37,'[1]2023'!A53:F212,4,FALSE)</f>
        <v>4024462899240</v>
      </c>
      <c r="O39" s="4">
        <f>VLOOKUP(O37,[1]PriceValue!A52:B206,2,FALSE)*VLOOKUP(O37,'[1]2023'!A53:F212,4,FALSE)</f>
        <v>46450223107900</v>
      </c>
      <c r="P39" s="4" t="e">
        <f>VLOOKUP(P37,[1]PriceValue!A52:B206,2,FALSE)*VLOOKUP(P37,'[1]2023'!A53:F212,4,FALSE)</f>
        <v>#N/A</v>
      </c>
      <c r="Q39" s="4" t="e">
        <f>VLOOKUP(Q37,[1]PriceValue!A52:B206,2,FALSE)*VLOOKUP(Q37,'[1]2023'!A53:F212,4,FALSE)</f>
        <v>#N/A</v>
      </c>
      <c r="R39" s="4">
        <f>VLOOKUP(R37,[1]PriceValue!A52:B206,2,FALSE)*VLOOKUP(R37,'[1]2023'!A53:F212,4,FALSE)</f>
        <v>67747827930000</v>
      </c>
      <c r="S39" s="4">
        <f>VLOOKUP(S37,[1]PriceValue!A52:B206,2,FALSE)*VLOOKUP(S37,'[1]2023'!A53:F212,4,FALSE)</f>
        <v>31500000000000</v>
      </c>
      <c r="T39" s="4">
        <f>VLOOKUP(T37,[1]PriceValue!A52:B206,2,FALSE)*VLOOKUP(T37,'[1]2023'!A53:F212,4,FALSE)</f>
        <v>43702454750000</v>
      </c>
    </row>
    <row r="40" spans="1:20" x14ac:dyDescent="0.2">
      <c r="A40" s="18">
        <f>-(A38/A39)</f>
        <v>1.3287670559710089E-3</v>
      </c>
      <c r="B40" s="18" t="e">
        <f t="shared" ref="B40:T40" si="23">-(B38/B39)</f>
        <v>#N/A</v>
      </c>
      <c r="C40" s="18">
        <f t="shared" si="23"/>
        <v>8.4730576857409414E-4</v>
      </c>
      <c r="D40" s="18">
        <f t="shared" si="23"/>
        <v>5.6256998458539354E-4</v>
      </c>
      <c r="E40" s="18">
        <f t="shared" si="23"/>
        <v>5.6109017456174492E-4</v>
      </c>
      <c r="F40" s="18">
        <f t="shared" si="23"/>
        <v>1.3551724895010037E-3</v>
      </c>
      <c r="G40" s="18">
        <f t="shared" si="23"/>
        <v>5.5218529814916742E-4</v>
      </c>
      <c r="H40" s="18">
        <f t="shared" si="23"/>
        <v>1.5679309716726516E-3</v>
      </c>
      <c r="I40" s="18">
        <f t="shared" si="23"/>
        <v>1.5506784837792033E-3</v>
      </c>
      <c r="J40" s="18" t="e">
        <f t="shared" si="23"/>
        <v>#N/A</v>
      </c>
      <c r="K40" s="18">
        <f t="shared" si="23"/>
        <v>8.3738750788484723E-4</v>
      </c>
      <c r="L40" s="18" t="e">
        <f t="shared" si="23"/>
        <v>#N/A</v>
      </c>
      <c r="M40" s="18">
        <f t="shared" si="23"/>
        <v>3.4009582035814627E-4</v>
      </c>
      <c r="N40" s="18">
        <f t="shared" si="23"/>
        <v>4.853385032742772E-3</v>
      </c>
      <c r="O40" s="18">
        <f t="shared" si="23"/>
        <v>3.7878423014522841E-4</v>
      </c>
      <c r="P40" s="18" t="e">
        <f t="shared" si="23"/>
        <v>#N/A</v>
      </c>
      <c r="Q40" s="18" t="e">
        <f t="shared" si="23"/>
        <v>#N/A</v>
      </c>
      <c r="R40" s="18">
        <f t="shared" si="23"/>
        <v>2.1063200749025105E-4</v>
      </c>
      <c r="S40" s="18">
        <f t="shared" si="23"/>
        <v>3.7937838095238095E-4</v>
      </c>
      <c r="T40" s="18">
        <f t="shared" si="23"/>
        <v>2.362291331014993E-4</v>
      </c>
    </row>
    <row r="42" spans="1:20" x14ac:dyDescent="0.2">
      <c r="A42" s="34" t="s">
        <v>96</v>
      </c>
      <c r="B42" s="34"/>
      <c r="C42" s="34"/>
      <c r="D42" s="34"/>
      <c r="E42" s="34"/>
      <c r="F42" s="34"/>
      <c r="G42" s="34"/>
      <c r="H42" s="34"/>
      <c r="I42" s="34"/>
      <c r="J42" s="34"/>
    </row>
    <row r="43" spans="1:20" x14ac:dyDescent="0.2">
      <c r="A43" s="18" t="s">
        <v>6</v>
      </c>
      <c r="B43" s="18" t="s">
        <v>99</v>
      </c>
      <c r="C43" s="18" t="s">
        <v>76</v>
      </c>
      <c r="D43" s="18" t="s">
        <v>100</v>
      </c>
      <c r="E43" s="18" t="s">
        <v>31</v>
      </c>
      <c r="F43" s="18" t="s">
        <v>46</v>
      </c>
      <c r="G43" s="18" t="s">
        <v>25</v>
      </c>
      <c r="H43" s="18" t="s">
        <v>101</v>
      </c>
      <c r="I43" s="18" t="s">
        <v>29</v>
      </c>
      <c r="J43" s="18" t="s">
        <v>28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4" t="s">
        <v>97</v>
      </c>
      <c r="B45" s="34"/>
      <c r="C45" s="34"/>
      <c r="D45" s="34"/>
      <c r="E45" s="34"/>
      <c r="F45" s="34"/>
      <c r="G45" s="34"/>
      <c r="H45" s="34"/>
      <c r="I45" s="34"/>
      <c r="J45" s="34"/>
    </row>
    <row r="46" spans="1:20" x14ac:dyDescent="0.2">
      <c r="A46" s="18" t="s">
        <v>99</v>
      </c>
      <c r="B46" s="18" t="s">
        <v>6</v>
      </c>
      <c r="C46" s="18" t="s">
        <v>11</v>
      </c>
      <c r="D46" s="18" t="s">
        <v>76</v>
      </c>
      <c r="E46" s="18" t="s">
        <v>100</v>
      </c>
      <c r="F46" s="18" t="s">
        <v>46</v>
      </c>
      <c r="G46" s="18" t="s">
        <v>102</v>
      </c>
      <c r="H46" s="18" t="s">
        <v>16</v>
      </c>
      <c r="I46" s="18" t="s">
        <v>90</v>
      </c>
      <c r="J46" s="18" t="s">
        <v>101</v>
      </c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  <row r="48" spans="1:20" x14ac:dyDescent="0.2">
      <c r="A48" s="34" t="s">
        <v>98</v>
      </c>
      <c r="B48" s="34"/>
      <c r="C48" s="34"/>
      <c r="D48" s="34"/>
      <c r="E48" s="34"/>
      <c r="F48" s="34"/>
      <c r="G48" s="34"/>
      <c r="H48" s="34"/>
      <c r="I48" s="34"/>
      <c r="J48" s="34"/>
    </row>
    <row r="49" spans="1:20" x14ac:dyDescent="0.2">
      <c r="A49" s="18" t="s">
        <v>99</v>
      </c>
      <c r="B49" s="18" t="s">
        <v>6</v>
      </c>
      <c r="C49" s="18" t="s">
        <v>29</v>
      </c>
      <c r="D49" s="18" t="s">
        <v>100</v>
      </c>
      <c r="E49" s="18" t="s">
        <v>25</v>
      </c>
      <c r="F49" s="18" t="s">
        <v>46</v>
      </c>
      <c r="G49" s="18" t="s">
        <v>102</v>
      </c>
      <c r="H49" s="18" t="s">
        <v>27</v>
      </c>
      <c r="I49" s="18" t="s">
        <v>11</v>
      </c>
      <c r="J49" s="18" t="s">
        <v>36</v>
      </c>
    </row>
    <row r="51" spans="1:20" x14ac:dyDescent="0.2">
      <c r="A51" s="34" t="s">
        <v>116</v>
      </c>
      <c r="B51" s="34"/>
      <c r="C51" s="34"/>
      <c r="D51" s="34"/>
      <c r="E51" s="34"/>
      <c r="F51" s="34"/>
      <c r="G51" s="34"/>
      <c r="H51" s="34"/>
      <c r="I51" s="34"/>
      <c r="J51" s="34"/>
    </row>
    <row r="52" spans="1:20" x14ac:dyDescent="0.2">
      <c r="A52" t="s">
        <v>118</v>
      </c>
      <c r="B52" t="s">
        <v>99</v>
      </c>
      <c r="C52" t="s">
        <v>119</v>
      </c>
      <c r="D52" t="s">
        <v>120</v>
      </c>
      <c r="E52" t="s">
        <v>78</v>
      </c>
      <c r="F52" t="s">
        <v>121</v>
      </c>
      <c r="G52" t="s">
        <v>122</v>
      </c>
      <c r="H52" t="s">
        <v>123</v>
      </c>
      <c r="I52" t="s">
        <v>124</v>
      </c>
      <c r="J52" t="s">
        <v>90</v>
      </c>
      <c r="K52" t="s">
        <v>125</v>
      </c>
      <c r="L52" t="s">
        <v>126</v>
      </c>
      <c r="M52" t="s">
        <v>127</v>
      </c>
      <c r="N52" t="s">
        <v>128</v>
      </c>
      <c r="O52" t="s">
        <v>129</v>
      </c>
      <c r="P52" t="s">
        <v>89</v>
      </c>
      <c r="Q52" t="s">
        <v>30</v>
      </c>
      <c r="R52" t="s">
        <v>68</v>
      </c>
      <c r="S52" t="s">
        <v>130</v>
      </c>
      <c r="T52" t="s">
        <v>131</v>
      </c>
    </row>
  </sheetData>
  <mergeCells count="12">
    <mergeCell ref="A51:J51"/>
    <mergeCell ref="A42:J42"/>
    <mergeCell ref="A45:J45"/>
    <mergeCell ref="A48:J48"/>
    <mergeCell ref="A26:J26"/>
    <mergeCell ref="A5:J5"/>
    <mergeCell ref="A30:J30"/>
    <mergeCell ref="A11:J11"/>
    <mergeCell ref="A36:J36"/>
    <mergeCell ref="A17:J17"/>
    <mergeCell ref="A20:J20"/>
    <mergeCell ref="A23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M4"/>
  <sheetViews>
    <sheetView workbookViewId="0">
      <selection activeCell="I23" sqref="I23"/>
    </sheetView>
  </sheetViews>
  <sheetFormatPr baseColWidth="10" defaultRowHeight="16" x14ac:dyDescent="0.2"/>
  <cols>
    <col min="2" max="2" width="17.6640625" bestFit="1" customWidth="1"/>
    <col min="3" max="3" width="19.6640625" customWidth="1"/>
  </cols>
  <sheetData>
    <row r="1" spans="1:13" x14ac:dyDescent="0.2">
      <c r="B1" s="35">
        <v>2024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x14ac:dyDescent="0.2">
      <c r="B2" t="s">
        <v>48</v>
      </c>
      <c r="C2" t="s">
        <v>49</v>
      </c>
      <c r="D2" t="s">
        <v>50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  <c r="M2" t="s">
        <v>60</v>
      </c>
    </row>
    <row r="3" spans="1:13" x14ac:dyDescent="0.2">
      <c r="A3" t="s">
        <v>47</v>
      </c>
      <c r="B3" s="15">
        <f>'T1-2024'!A3</f>
        <v>1124682949376</v>
      </c>
      <c r="C3" s="17">
        <v>-2366312217119</v>
      </c>
      <c r="D3" s="15"/>
      <c r="E3" s="15"/>
      <c r="F3" s="15"/>
      <c r="G3" s="15"/>
      <c r="H3" s="15"/>
      <c r="I3" s="15"/>
      <c r="J3" s="15"/>
      <c r="K3" s="15"/>
      <c r="L3" s="15"/>
      <c r="M3" s="15"/>
    </row>
    <row r="4" spans="1:13" x14ac:dyDescent="0.2">
      <c r="A4" t="s">
        <v>51</v>
      </c>
      <c r="B4" s="15">
        <f>'T1-2024'!C3</f>
        <v>430480795655</v>
      </c>
      <c r="C4" s="17">
        <v>-3294901162400</v>
      </c>
      <c r="D4" s="15"/>
      <c r="E4" s="15"/>
      <c r="F4" s="15"/>
      <c r="G4" s="15"/>
      <c r="H4" s="15"/>
      <c r="I4" s="15"/>
      <c r="J4" s="15"/>
      <c r="K4" s="15"/>
      <c r="L4" s="15"/>
      <c r="M4" s="15"/>
    </row>
  </sheetData>
  <mergeCells count="1">
    <mergeCell ref="B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workbookViewId="0">
      <selection activeCell="F63" sqref="F63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31" t="s">
        <v>23</v>
      </c>
      <c r="B5" s="31"/>
      <c r="C5" s="31"/>
      <c r="D5" s="31"/>
      <c r="E5" s="31"/>
      <c r="F5" s="31"/>
      <c r="G5" s="31"/>
      <c r="H5" s="31"/>
      <c r="I5" s="31"/>
      <c r="J5" s="31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32" t="s">
        <v>87</v>
      </c>
      <c r="B11" s="32"/>
      <c r="C11" s="32"/>
      <c r="D11" s="32"/>
      <c r="E11" s="32"/>
      <c r="F11" s="32"/>
      <c r="G11" s="32"/>
      <c r="H11" s="32"/>
      <c r="I11" s="32"/>
      <c r="J11" s="32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3" t="s">
        <v>88</v>
      </c>
      <c r="B17" s="33"/>
      <c r="C17" s="33"/>
      <c r="D17" s="33"/>
      <c r="E17" s="33"/>
      <c r="F17" s="33"/>
      <c r="G17" s="33"/>
      <c r="H17" s="33"/>
      <c r="I17" s="33"/>
      <c r="J17" s="33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3" t="s">
        <v>91</v>
      </c>
      <c r="B20" s="33"/>
      <c r="C20" s="33"/>
      <c r="D20" s="33"/>
      <c r="E20" s="33"/>
      <c r="F20" s="33"/>
      <c r="G20" s="33"/>
      <c r="H20" s="33"/>
      <c r="I20" s="33"/>
      <c r="J20" s="33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3" t="s">
        <v>94</v>
      </c>
      <c r="B23" s="33"/>
      <c r="C23" s="33"/>
      <c r="D23" s="33"/>
      <c r="E23" s="33"/>
      <c r="F23" s="33"/>
      <c r="G23" s="33"/>
      <c r="H23" s="33"/>
      <c r="I23" s="33"/>
      <c r="J23" s="33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1" t="s">
        <v>24</v>
      </c>
      <c r="B28" s="31"/>
      <c r="C28" s="31"/>
      <c r="D28" s="31"/>
      <c r="E28" s="31"/>
      <c r="F28" s="31"/>
      <c r="G28" s="31"/>
      <c r="H28" s="31"/>
      <c r="I28" s="31"/>
      <c r="J28" s="31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32" t="s">
        <v>24</v>
      </c>
      <c r="B34" s="32"/>
      <c r="C34" s="32"/>
      <c r="D34" s="32"/>
      <c r="E34" s="32"/>
      <c r="F34" s="32"/>
      <c r="G34" s="32"/>
      <c r="H34" s="32"/>
      <c r="I34" s="32"/>
      <c r="J34" s="32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34" t="s">
        <v>96</v>
      </c>
      <c r="B40" s="34"/>
      <c r="C40" s="34"/>
      <c r="D40" s="34"/>
      <c r="E40" s="34"/>
      <c r="F40" s="34"/>
      <c r="G40" s="34"/>
      <c r="H40" s="34"/>
      <c r="I40" s="34"/>
      <c r="J40" s="34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4" t="s">
        <v>97</v>
      </c>
      <c r="B43" s="34"/>
      <c r="C43" s="34"/>
      <c r="D43" s="34"/>
      <c r="E43" s="34"/>
      <c r="F43" s="34"/>
      <c r="G43" s="34"/>
      <c r="H43" s="34"/>
      <c r="I43" s="34"/>
      <c r="J43" s="34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4" t="s">
        <v>98</v>
      </c>
      <c r="B46" s="34"/>
      <c r="C46" s="34"/>
      <c r="D46" s="34"/>
      <c r="E46" s="34"/>
      <c r="F46" s="34"/>
      <c r="G46" s="34"/>
      <c r="H46" s="34"/>
      <c r="I46" s="34"/>
      <c r="J46" s="34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U62"/>
  <sheetViews>
    <sheetView topLeftCell="B1" workbookViewId="0">
      <selection activeCell="T14" sqref="T14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3" width="10.83203125" customWidth="1"/>
    <col min="14" max="14" width="8.5" bestFit="1" customWidth="1"/>
    <col min="15" max="16" width="19.33203125" customWidth="1"/>
    <col min="17" max="19" width="10.83203125" customWidth="1"/>
    <col min="20" max="20" width="15.6640625" customWidth="1"/>
    <col min="21" max="21" width="17.83203125" customWidth="1"/>
  </cols>
  <sheetData>
    <row r="1" spans="1:21" x14ac:dyDescent="0.2">
      <c r="A1" s="3"/>
      <c r="B1" s="36" t="s">
        <v>0</v>
      </c>
      <c r="C1" s="36"/>
      <c r="D1" s="36"/>
      <c r="E1" s="36"/>
      <c r="F1" s="36"/>
      <c r="G1" s="37" t="s">
        <v>4</v>
      </c>
      <c r="H1" s="37"/>
      <c r="I1" s="37"/>
      <c r="J1" s="37"/>
      <c r="K1" s="37"/>
      <c r="L1" s="38" t="s">
        <v>85</v>
      </c>
      <c r="M1" s="38"/>
      <c r="N1" s="38"/>
      <c r="O1" s="38"/>
      <c r="P1" s="38"/>
      <c r="Q1" s="39" t="s">
        <v>86</v>
      </c>
      <c r="R1" s="39"/>
      <c r="S1" s="39"/>
      <c r="T1" s="39"/>
      <c r="U1" s="39"/>
    </row>
    <row r="2" spans="1:21" x14ac:dyDescent="0.2">
      <c r="A2" s="22" t="s">
        <v>137</v>
      </c>
      <c r="B2" s="22" t="s">
        <v>134</v>
      </c>
      <c r="C2" s="22" t="s">
        <v>138</v>
      </c>
      <c r="D2" t="s">
        <v>1</v>
      </c>
      <c r="E2" t="s">
        <v>2</v>
      </c>
      <c r="F2" t="s">
        <v>3</v>
      </c>
      <c r="G2" s="22" t="s">
        <v>134</v>
      </c>
      <c r="H2" s="22" t="s">
        <v>138</v>
      </c>
      <c r="I2" t="s">
        <v>1</v>
      </c>
      <c r="J2" t="s">
        <v>2</v>
      </c>
      <c r="K2" t="s">
        <v>3</v>
      </c>
      <c r="L2" t="s">
        <v>132</v>
      </c>
      <c r="M2" t="s">
        <v>2</v>
      </c>
      <c r="N2" t="s">
        <v>133</v>
      </c>
      <c r="O2" t="s">
        <v>135</v>
      </c>
      <c r="P2" t="s">
        <v>136</v>
      </c>
      <c r="Q2" t="s">
        <v>132</v>
      </c>
      <c r="R2" t="s">
        <v>2</v>
      </c>
      <c r="S2" t="s">
        <v>133</v>
      </c>
      <c r="T2" t="s">
        <v>135</v>
      </c>
      <c r="U2" t="s">
        <v>136</v>
      </c>
    </row>
    <row r="3" spans="1:21" x14ac:dyDescent="0.2">
      <c r="A3" s="26" t="s">
        <v>318</v>
      </c>
      <c r="B3" s="27">
        <v>-1.66E-2</v>
      </c>
      <c r="D3" s="17">
        <v>89</v>
      </c>
      <c r="E3" s="17">
        <v>55</v>
      </c>
      <c r="F3" s="17">
        <v>408</v>
      </c>
      <c r="G3" s="27">
        <v>-2.06E-2</v>
      </c>
      <c r="I3" s="17">
        <v>1</v>
      </c>
      <c r="J3" s="17">
        <v>0</v>
      </c>
      <c r="K3" s="17">
        <v>29</v>
      </c>
      <c r="L3" s="17">
        <v>59</v>
      </c>
      <c r="M3" s="17">
        <v>3</v>
      </c>
      <c r="N3" s="17">
        <v>88</v>
      </c>
      <c r="O3" s="17">
        <v>-524846354609</v>
      </c>
      <c r="Q3" s="17">
        <v>29</v>
      </c>
      <c r="R3" s="17">
        <v>0</v>
      </c>
      <c r="S3" s="17">
        <v>15</v>
      </c>
      <c r="T3" s="17">
        <v>308522557000</v>
      </c>
    </row>
    <row r="4" spans="1:21" x14ac:dyDescent="0.2">
      <c r="A4" s="26" t="s">
        <v>314</v>
      </c>
      <c r="B4" s="27">
        <v>4.5000000000000005E-3</v>
      </c>
      <c r="D4" s="17">
        <v>253</v>
      </c>
      <c r="E4" s="17">
        <v>85</v>
      </c>
      <c r="F4" s="17">
        <v>219</v>
      </c>
      <c r="G4" s="27">
        <v>4.3E-3</v>
      </c>
      <c r="I4" s="17">
        <v>18</v>
      </c>
      <c r="J4" s="17">
        <v>2</v>
      </c>
      <c r="K4" s="17">
        <v>10</v>
      </c>
      <c r="L4" s="17">
        <v>62</v>
      </c>
      <c r="M4" s="17">
        <v>1</v>
      </c>
      <c r="N4" s="17">
        <v>83</v>
      </c>
      <c r="O4" s="17">
        <v>144525221748</v>
      </c>
      <c r="Q4" s="17">
        <v>51</v>
      </c>
      <c r="R4" s="17">
        <v>0</v>
      </c>
      <c r="S4" s="17">
        <v>79</v>
      </c>
      <c r="T4" s="17">
        <v>90006913000</v>
      </c>
    </row>
    <row r="5" spans="1:21" x14ac:dyDescent="0.2">
      <c r="A5" s="26" t="s">
        <v>305</v>
      </c>
      <c r="B5" s="27">
        <v>-5.6999999999999993E-3</v>
      </c>
      <c r="D5" s="17">
        <v>130</v>
      </c>
      <c r="E5" s="17">
        <v>67</v>
      </c>
      <c r="F5" s="17">
        <v>356</v>
      </c>
      <c r="G5" s="27">
        <v>-7.0999999999999995E-3</v>
      </c>
      <c r="I5" s="17">
        <v>8</v>
      </c>
      <c r="J5" s="17">
        <v>4</v>
      </c>
      <c r="K5" s="17">
        <v>18</v>
      </c>
      <c r="L5" s="17">
        <v>68</v>
      </c>
      <c r="M5" s="17">
        <v>1</v>
      </c>
      <c r="N5" s="17">
        <v>79</v>
      </c>
      <c r="O5" s="17">
        <v>-196891375040</v>
      </c>
      <c r="Q5" s="17">
        <v>62</v>
      </c>
      <c r="R5" s="17">
        <v>0</v>
      </c>
      <c r="S5" s="17">
        <v>65</v>
      </c>
      <c r="T5" s="17">
        <v>-551504761000</v>
      </c>
    </row>
    <row r="6" spans="1:21" x14ac:dyDescent="0.2">
      <c r="A6" s="26" t="s">
        <v>302</v>
      </c>
      <c r="B6" s="27">
        <v>6.8000000000000005E-3</v>
      </c>
      <c r="D6" s="17">
        <v>258</v>
      </c>
      <c r="E6" s="17">
        <v>80</v>
      </c>
      <c r="F6" s="17">
        <v>212</v>
      </c>
      <c r="G6" s="27">
        <v>9.1999999999999998E-3</v>
      </c>
      <c r="I6" s="17">
        <v>20</v>
      </c>
      <c r="J6" s="17">
        <v>4</v>
      </c>
      <c r="K6" s="17">
        <v>6</v>
      </c>
      <c r="L6" s="17">
        <v>70</v>
      </c>
      <c r="M6" s="17">
        <v>2</v>
      </c>
      <c r="N6" s="17">
        <v>69</v>
      </c>
      <c r="O6" s="17">
        <v>192448049623</v>
      </c>
      <c r="Q6" s="17">
        <v>63</v>
      </c>
      <c r="R6" s="17">
        <v>0</v>
      </c>
      <c r="S6" s="17">
        <v>45</v>
      </c>
      <c r="T6" s="17">
        <v>-362678957000</v>
      </c>
    </row>
    <row r="7" spans="1:21" x14ac:dyDescent="0.2">
      <c r="A7" s="26" t="s">
        <v>298</v>
      </c>
      <c r="B7" s="27">
        <v>2.5000000000000001E-3</v>
      </c>
      <c r="C7" s="24">
        <f t="shared" ref="C7:C44" si="0">B7+C8</f>
        <v>0.11090000000000001</v>
      </c>
      <c r="D7" s="17">
        <v>276</v>
      </c>
      <c r="E7" s="17">
        <v>90</v>
      </c>
      <c r="F7" s="17">
        <v>190</v>
      </c>
      <c r="G7" s="27">
        <v>1.1999999999999999E-3</v>
      </c>
      <c r="I7" s="17">
        <v>15</v>
      </c>
      <c r="J7" s="17">
        <v>6</v>
      </c>
      <c r="K7" s="17">
        <v>9</v>
      </c>
      <c r="L7" s="17">
        <v>62</v>
      </c>
      <c r="M7" s="17">
        <v>3</v>
      </c>
      <c r="N7" s="17">
        <v>86</v>
      </c>
      <c r="O7" s="17">
        <v>233287666818</v>
      </c>
      <c r="P7" s="16">
        <f t="shared" ref="P7:P44" si="1">O7+P8</f>
        <v>-644026209298</v>
      </c>
      <c r="Q7" s="17">
        <v>22</v>
      </c>
      <c r="R7" s="17">
        <v>0</v>
      </c>
      <c r="S7" s="17">
        <v>91</v>
      </c>
      <c r="T7" s="17">
        <v>-195967555000</v>
      </c>
      <c r="U7" s="17">
        <f t="shared" ref="U7:U44" si="2">T7+U8</f>
        <v>-3099477720745</v>
      </c>
    </row>
    <row r="8" spans="1:21" x14ac:dyDescent="0.2">
      <c r="A8" s="26" t="s">
        <v>285</v>
      </c>
      <c r="B8" s="27">
        <v>4.4000000000000003E-3</v>
      </c>
      <c r="C8" s="24">
        <f t="shared" si="0"/>
        <v>0.10840000000000001</v>
      </c>
      <c r="D8" s="17">
        <v>203</v>
      </c>
      <c r="E8" s="17">
        <v>82</v>
      </c>
      <c r="F8" s="17">
        <v>182</v>
      </c>
      <c r="G8" s="27">
        <v>1E-3</v>
      </c>
      <c r="H8" s="24">
        <f t="shared" ref="H8:H44" si="3">G8+H9</f>
        <v>0.11430000000000001</v>
      </c>
      <c r="I8" s="17">
        <v>19</v>
      </c>
      <c r="J8" s="17">
        <v>4</v>
      </c>
      <c r="K8" s="17">
        <v>7</v>
      </c>
      <c r="L8" s="17">
        <v>64</v>
      </c>
      <c r="M8" s="17">
        <v>3</v>
      </c>
      <c r="N8" s="17">
        <v>83</v>
      </c>
      <c r="O8" s="17">
        <v>415333352293</v>
      </c>
      <c r="P8" s="16">
        <f t="shared" si="1"/>
        <v>-877313876116</v>
      </c>
      <c r="Q8" s="17">
        <v>53</v>
      </c>
      <c r="R8" s="17">
        <v>0</v>
      </c>
      <c r="S8" s="17">
        <v>68</v>
      </c>
      <c r="T8" s="17">
        <v>85544066600</v>
      </c>
      <c r="U8" s="17">
        <f t="shared" si="2"/>
        <v>-2903510165745</v>
      </c>
    </row>
    <row r="9" spans="1:21" x14ac:dyDescent="0.2">
      <c r="A9" s="26" t="s">
        <v>274</v>
      </c>
      <c r="B9" s="27">
        <v>-1.5E-3</v>
      </c>
      <c r="C9" s="24">
        <f t="shared" si="0"/>
        <v>0.10400000000000001</v>
      </c>
      <c r="D9" s="17">
        <v>214</v>
      </c>
      <c r="E9" s="17">
        <v>80</v>
      </c>
      <c r="F9" s="17">
        <v>262</v>
      </c>
      <c r="G9" s="27">
        <v>2.9999999999999997E-4</v>
      </c>
      <c r="H9" s="24">
        <f t="shared" si="3"/>
        <v>0.11330000000000001</v>
      </c>
      <c r="I9" s="17">
        <v>9</v>
      </c>
      <c r="J9" s="17">
        <v>3</v>
      </c>
      <c r="K9" s="17">
        <v>18</v>
      </c>
      <c r="L9" s="17">
        <v>64</v>
      </c>
      <c r="M9" s="17">
        <v>1</v>
      </c>
      <c r="N9" s="17">
        <v>87</v>
      </c>
      <c r="O9" s="17">
        <v>-283682679192</v>
      </c>
      <c r="P9" s="16">
        <f t="shared" si="1"/>
        <v>-1292647228409</v>
      </c>
      <c r="Q9" s="17">
        <v>48</v>
      </c>
      <c r="R9" s="17">
        <v>0</v>
      </c>
      <c r="S9" s="17">
        <v>65</v>
      </c>
      <c r="T9" s="17">
        <v>12773172000</v>
      </c>
      <c r="U9" s="17">
        <f t="shared" si="2"/>
        <v>-2989054232345</v>
      </c>
    </row>
    <row r="10" spans="1:21" x14ac:dyDescent="0.2">
      <c r="A10" s="26" t="s">
        <v>254</v>
      </c>
      <c r="B10" s="27">
        <v>1.38E-2</v>
      </c>
      <c r="C10" s="24">
        <f t="shared" si="0"/>
        <v>0.10550000000000001</v>
      </c>
      <c r="D10" s="17">
        <v>309</v>
      </c>
      <c r="E10" s="17">
        <v>67</v>
      </c>
      <c r="F10" s="17">
        <v>180</v>
      </c>
      <c r="G10" s="27">
        <v>1.3999999999999999E-2</v>
      </c>
      <c r="H10" s="24">
        <f t="shared" si="3"/>
        <v>0.11300000000000002</v>
      </c>
      <c r="I10" s="17">
        <v>25</v>
      </c>
      <c r="J10" s="17">
        <v>3</v>
      </c>
      <c r="K10" s="17">
        <v>2</v>
      </c>
      <c r="L10" s="17">
        <v>65</v>
      </c>
      <c r="M10" s="17">
        <v>2</v>
      </c>
      <c r="N10" s="17">
        <v>86</v>
      </c>
      <c r="O10" s="17">
        <v>188033541882</v>
      </c>
      <c r="P10" s="16">
        <f t="shared" si="1"/>
        <v>-1008964549217</v>
      </c>
      <c r="Q10" s="17">
        <v>29</v>
      </c>
      <c r="R10" s="17">
        <v>0</v>
      </c>
      <c r="S10" s="17">
        <v>104</v>
      </c>
      <c r="T10" s="17">
        <v>-240537106200</v>
      </c>
      <c r="U10" s="17">
        <f t="shared" si="2"/>
        <v>-3001827404345</v>
      </c>
    </row>
    <row r="11" spans="1:21" x14ac:dyDescent="0.2">
      <c r="A11" s="26" t="s">
        <v>242</v>
      </c>
      <c r="B11" s="27">
        <v>1.09E-2</v>
      </c>
      <c r="C11" s="24">
        <f t="shared" si="0"/>
        <v>9.1700000000000004E-2</v>
      </c>
      <c r="D11" s="17">
        <v>380</v>
      </c>
      <c r="E11" s="17">
        <v>86</v>
      </c>
      <c r="F11" s="17">
        <v>98</v>
      </c>
      <c r="G11" s="27">
        <v>1.18E-2</v>
      </c>
      <c r="H11" s="24">
        <f t="shared" si="3"/>
        <v>9.9000000000000019E-2</v>
      </c>
      <c r="I11" s="17">
        <v>21</v>
      </c>
      <c r="J11" s="17">
        <v>5</v>
      </c>
      <c r="K11" s="17">
        <v>4</v>
      </c>
      <c r="L11" s="17">
        <v>59</v>
      </c>
      <c r="M11" s="17">
        <v>1</v>
      </c>
      <c r="N11" s="17">
        <v>94</v>
      </c>
      <c r="O11" s="17">
        <v>221541319150</v>
      </c>
      <c r="P11" s="16">
        <f t="shared" si="1"/>
        <v>-1196998091099</v>
      </c>
      <c r="Q11" s="17">
        <v>22</v>
      </c>
      <c r="R11" s="17">
        <v>0</v>
      </c>
      <c r="S11" s="17">
        <v>113</v>
      </c>
      <c r="T11" s="17">
        <v>-605445427200</v>
      </c>
      <c r="U11" s="17">
        <f t="shared" si="2"/>
        <v>-2761290298145</v>
      </c>
    </row>
    <row r="12" spans="1:21" x14ac:dyDescent="0.2">
      <c r="A12" s="26" t="s">
        <v>234</v>
      </c>
      <c r="B12" s="27">
        <v>0.01</v>
      </c>
      <c r="C12" s="24">
        <f t="shared" si="0"/>
        <v>8.0800000000000011E-2</v>
      </c>
      <c r="D12" s="17"/>
      <c r="E12" s="17"/>
      <c r="F12" s="17"/>
      <c r="G12" s="27">
        <v>8.3999999999999995E-3</v>
      </c>
      <c r="H12" s="24">
        <f t="shared" si="3"/>
        <v>8.7200000000000014E-2</v>
      </c>
      <c r="I12" s="17"/>
      <c r="J12" s="17"/>
      <c r="K12" s="17"/>
      <c r="L12" s="17">
        <v>80</v>
      </c>
      <c r="M12" s="17">
        <v>2</v>
      </c>
      <c r="N12" s="17">
        <v>70</v>
      </c>
      <c r="O12" s="17">
        <v>135599952356</v>
      </c>
      <c r="P12" s="16">
        <f t="shared" si="1"/>
        <v>-1418539410249</v>
      </c>
      <c r="Q12" s="17">
        <v>37</v>
      </c>
      <c r="R12" s="17">
        <v>0</v>
      </c>
      <c r="S12" s="17">
        <v>66</v>
      </c>
      <c r="T12" s="17">
        <v>69732196000</v>
      </c>
      <c r="U12" s="17">
        <f t="shared" si="2"/>
        <v>-2155844870945</v>
      </c>
    </row>
    <row r="13" spans="1:21" x14ac:dyDescent="0.2">
      <c r="A13" s="26" t="s">
        <v>143</v>
      </c>
      <c r="B13" s="27">
        <v>-1.2500000000000001E-2</v>
      </c>
      <c r="C13" s="24">
        <f t="shared" si="0"/>
        <v>7.0800000000000016E-2</v>
      </c>
      <c r="D13" s="17">
        <v>98</v>
      </c>
      <c r="E13" s="17">
        <v>45</v>
      </c>
      <c r="F13" s="17">
        <v>414</v>
      </c>
      <c r="G13" s="27">
        <v>-1.3600000000000001E-2</v>
      </c>
      <c r="H13" s="24">
        <f t="shared" si="3"/>
        <v>7.8800000000000009E-2</v>
      </c>
      <c r="I13" s="17">
        <v>2</v>
      </c>
      <c r="J13" s="17">
        <v>1</v>
      </c>
      <c r="K13" s="17">
        <v>27</v>
      </c>
      <c r="L13" s="17">
        <v>57</v>
      </c>
      <c r="M13" s="17">
        <v>15</v>
      </c>
      <c r="N13" s="17">
        <v>96</v>
      </c>
      <c r="O13" s="17">
        <v>-746396579742</v>
      </c>
      <c r="P13" s="16">
        <f t="shared" si="1"/>
        <v>-1554139362605</v>
      </c>
      <c r="Q13" s="17">
        <v>71</v>
      </c>
      <c r="R13" s="17">
        <v>0</v>
      </c>
      <c r="S13" s="17">
        <v>35</v>
      </c>
      <c r="T13" s="17">
        <v>70546609000</v>
      </c>
      <c r="U13" s="17">
        <f t="shared" si="2"/>
        <v>-2225577066945</v>
      </c>
    </row>
    <row r="14" spans="1:21" x14ac:dyDescent="0.2">
      <c r="A14" s="26" t="s">
        <v>142</v>
      </c>
      <c r="B14" s="27">
        <v>-2.2000000000000001E-3</v>
      </c>
      <c r="C14" s="24">
        <f t="shared" si="0"/>
        <v>8.3300000000000013E-2</v>
      </c>
      <c r="D14" s="17">
        <v>217</v>
      </c>
      <c r="E14" s="17">
        <v>77</v>
      </c>
      <c r="F14" s="17">
        <v>263</v>
      </c>
      <c r="G14" s="27">
        <v>-1.8E-3</v>
      </c>
      <c r="H14" s="24">
        <f t="shared" si="3"/>
        <v>9.240000000000001E-2</v>
      </c>
      <c r="I14" s="17">
        <v>13</v>
      </c>
      <c r="J14" s="17">
        <v>1</v>
      </c>
      <c r="K14" s="17">
        <v>16</v>
      </c>
      <c r="L14" s="17">
        <v>59</v>
      </c>
      <c r="M14" s="17">
        <v>17</v>
      </c>
      <c r="N14" s="17">
        <v>79</v>
      </c>
      <c r="O14" s="17">
        <v>-964850421523</v>
      </c>
      <c r="P14" s="16">
        <f t="shared" si="1"/>
        <v>-807742782863</v>
      </c>
      <c r="Q14" s="17">
        <v>24</v>
      </c>
      <c r="R14" s="17">
        <v>0</v>
      </c>
      <c r="S14" s="17">
        <v>91</v>
      </c>
      <c r="T14" s="17">
        <v>-332818912600</v>
      </c>
      <c r="U14" s="17">
        <f t="shared" si="2"/>
        <v>-2296123675945</v>
      </c>
    </row>
    <row r="15" spans="1:21" x14ac:dyDescent="0.2">
      <c r="A15" s="26" t="s">
        <v>141</v>
      </c>
      <c r="B15" s="27">
        <v>0</v>
      </c>
      <c r="C15" s="24">
        <f t="shared" si="0"/>
        <v>8.5500000000000007E-2</v>
      </c>
      <c r="D15" s="17">
        <v>239</v>
      </c>
      <c r="E15" s="17">
        <v>60</v>
      </c>
      <c r="F15" s="17">
        <v>262</v>
      </c>
      <c r="G15" s="27">
        <v>2.9999999999999997E-4</v>
      </c>
      <c r="H15" s="24">
        <f t="shared" si="3"/>
        <v>9.4200000000000006E-2</v>
      </c>
      <c r="I15" s="17">
        <v>13</v>
      </c>
      <c r="J15" s="17">
        <v>0</v>
      </c>
      <c r="K15" s="17">
        <v>17</v>
      </c>
      <c r="L15" s="17">
        <v>56</v>
      </c>
      <c r="M15" s="17">
        <v>18</v>
      </c>
      <c r="N15" s="17">
        <v>94</v>
      </c>
      <c r="O15" s="17">
        <v>61064252954</v>
      </c>
      <c r="P15" s="16">
        <f t="shared" si="1"/>
        <v>157107638660</v>
      </c>
      <c r="Q15" s="17">
        <v>46</v>
      </c>
      <c r="R15" s="17">
        <v>0</v>
      </c>
      <c r="S15" s="17">
        <v>68</v>
      </c>
      <c r="T15" s="17">
        <v>-614818417000</v>
      </c>
      <c r="U15" s="17">
        <f t="shared" si="2"/>
        <v>-1963304763345</v>
      </c>
    </row>
    <row r="16" spans="1:21" x14ac:dyDescent="0.2">
      <c r="A16" s="26" t="s">
        <v>140</v>
      </c>
      <c r="B16" s="27">
        <v>4.1999999999999997E-3</v>
      </c>
      <c r="C16" s="24">
        <f t="shared" si="0"/>
        <v>8.5500000000000007E-2</v>
      </c>
      <c r="D16" s="17">
        <v>245</v>
      </c>
      <c r="E16" s="17">
        <v>95</v>
      </c>
      <c r="F16" s="17">
        <v>231</v>
      </c>
      <c r="G16" s="27">
        <v>1.1999999999999999E-3</v>
      </c>
      <c r="H16" s="24">
        <f t="shared" si="3"/>
        <v>9.3900000000000011E-2</v>
      </c>
      <c r="I16" s="17">
        <v>10</v>
      </c>
      <c r="J16" s="17">
        <v>4</v>
      </c>
      <c r="K16" s="17">
        <v>16</v>
      </c>
      <c r="L16" s="17">
        <v>60</v>
      </c>
      <c r="M16" s="17">
        <v>18</v>
      </c>
      <c r="N16" s="17">
        <v>90</v>
      </c>
      <c r="O16" s="17">
        <v>204994329241</v>
      </c>
      <c r="P16" s="16">
        <f t="shared" si="1"/>
        <v>96043385706</v>
      </c>
      <c r="Q16" s="17">
        <v>32</v>
      </c>
      <c r="R16" s="17">
        <v>0</v>
      </c>
      <c r="S16" s="17">
        <v>46</v>
      </c>
      <c r="T16" s="17">
        <v>-470868857000</v>
      </c>
      <c r="U16" s="17">
        <f t="shared" si="2"/>
        <v>-1348486346345</v>
      </c>
    </row>
    <row r="17" spans="1:21" x14ac:dyDescent="0.2">
      <c r="A17" s="26" t="s">
        <v>139</v>
      </c>
      <c r="B17" s="27">
        <v>1.26E-2</v>
      </c>
      <c r="C17" s="24">
        <f t="shared" si="0"/>
        <v>8.1300000000000011E-2</v>
      </c>
      <c r="D17" s="17">
        <v>298</v>
      </c>
      <c r="E17" s="17">
        <v>52</v>
      </c>
      <c r="F17" s="17">
        <v>217</v>
      </c>
      <c r="G17" s="27">
        <v>1.2800000000000001E-2</v>
      </c>
      <c r="H17" s="24">
        <f t="shared" si="3"/>
        <v>9.2700000000000005E-2</v>
      </c>
      <c r="I17" s="17">
        <v>21</v>
      </c>
      <c r="J17" s="17">
        <v>0</v>
      </c>
      <c r="K17" s="17">
        <v>9</v>
      </c>
      <c r="L17" s="17">
        <v>78</v>
      </c>
      <c r="M17" s="17">
        <v>19</v>
      </c>
      <c r="N17" s="17">
        <v>71</v>
      </c>
      <c r="O17" s="17">
        <v>188930474831</v>
      </c>
      <c r="P17" s="16">
        <f t="shared" si="1"/>
        <v>-108950943535</v>
      </c>
      <c r="Q17" s="17">
        <v>58</v>
      </c>
      <c r="R17" s="17">
        <v>0</v>
      </c>
      <c r="S17" s="17">
        <v>51</v>
      </c>
      <c r="T17" s="17">
        <v>-623379316400</v>
      </c>
      <c r="U17" s="17">
        <f t="shared" si="2"/>
        <v>-877617489345</v>
      </c>
    </row>
    <row r="18" spans="1:21" x14ac:dyDescent="0.2">
      <c r="A18" s="23">
        <v>45338</v>
      </c>
      <c r="B18" s="24">
        <v>6.0000000000000001E-3</v>
      </c>
      <c r="C18" s="24">
        <f t="shared" si="0"/>
        <v>6.8700000000000011E-2</v>
      </c>
      <c r="D18">
        <v>288</v>
      </c>
      <c r="E18">
        <v>77</v>
      </c>
      <c r="F18">
        <v>201</v>
      </c>
      <c r="G18" s="24">
        <v>6.1000000000000004E-3</v>
      </c>
      <c r="H18" s="24">
        <f t="shared" si="3"/>
        <v>7.9899999999999999E-2</v>
      </c>
      <c r="I18">
        <v>17</v>
      </c>
      <c r="J18">
        <v>4</v>
      </c>
      <c r="K18">
        <v>9</v>
      </c>
      <c r="L18">
        <v>74</v>
      </c>
      <c r="M18">
        <v>24</v>
      </c>
      <c r="N18">
        <v>70</v>
      </c>
      <c r="O18" s="16">
        <v>-442481451217</v>
      </c>
      <c r="P18" s="16">
        <f t="shared" si="1"/>
        <v>-297881418366</v>
      </c>
      <c r="Q18">
        <v>80</v>
      </c>
      <c r="R18">
        <v>0</v>
      </c>
      <c r="S18">
        <v>29</v>
      </c>
      <c r="T18" s="16">
        <v>-83714826000</v>
      </c>
      <c r="U18" s="17">
        <f t="shared" si="2"/>
        <v>-254238172945</v>
      </c>
    </row>
    <row r="19" spans="1:21" x14ac:dyDescent="0.2">
      <c r="A19" s="23">
        <v>45337</v>
      </c>
      <c r="B19" s="24">
        <v>3.3E-3</v>
      </c>
      <c r="C19" s="24">
        <f t="shared" si="0"/>
        <v>6.2700000000000006E-2</v>
      </c>
      <c r="D19">
        <v>321</v>
      </c>
      <c r="E19">
        <v>81</v>
      </c>
      <c r="F19">
        <v>153</v>
      </c>
      <c r="G19" s="24">
        <v>3.5999999999999999E-3</v>
      </c>
      <c r="H19" s="24">
        <f t="shared" si="3"/>
        <v>7.3800000000000004E-2</v>
      </c>
      <c r="I19">
        <v>17</v>
      </c>
      <c r="J19">
        <v>5</v>
      </c>
      <c r="K19">
        <v>8</v>
      </c>
      <c r="L19">
        <v>71</v>
      </c>
      <c r="M19">
        <v>14</v>
      </c>
      <c r="N19">
        <v>83</v>
      </c>
      <c r="O19" s="16">
        <v>-389907696192</v>
      </c>
      <c r="P19" s="16">
        <f t="shared" si="1"/>
        <v>144600032851</v>
      </c>
      <c r="Q19">
        <v>67</v>
      </c>
      <c r="R19">
        <v>0</v>
      </c>
      <c r="S19">
        <v>41</v>
      </c>
      <c r="T19" s="16">
        <v>-431362028000</v>
      </c>
      <c r="U19" s="17">
        <f t="shared" si="2"/>
        <v>-170523346945</v>
      </c>
    </row>
    <row r="20" spans="1:21" x14ac:dyDescent="0.2">
      <c r="A20" s="23">
        <v>45329</v>
      </c>
      <c r="B20" s="24">
        <v>8.5000000000000006E-3</v>
      </c>
      <c r="C20" s="24">
        <f t="shared" si="0"/>
        <v>5.9400000000000001E-2</v>
      </c>
      <c r="D20">
        <v>356</v>
      </c>
      <c r="E20">
        <v>81</v>
      </c>
      <c r="F20">
        <v>110</v>
      </c>
      <c r="G20" s="24">
        <v>1.1299999999999999E-2</v>
      </c>
      <c r="H20" s="24">
        <f t="shared" si="3"/>
        <v>7.0199999999999999E-2</v>
      </c>
      <c r="I20">
        <v>26</v>
      </c>
      <c r="J20">
        <v>3</v>
      </c>
      <c r="K20">
        <v>1</v>
      </c>
      <c r="L20">
        <v>66</v>
      </c>
      <c r="M20">
        <v>1</v>
      </c>
      <c r="N20">
        <v>77</v>
      </c>
      <c r="O20" s="16">
        <v>-20426078171</v>
      </c>
      <c r="P20" s="16">
        <f t="shared" si="1"/>
        <v>534507729043</v>
      </c>
      <c r="Q20">
        <v>69</v>
      </c>
      <c r="R20">
        <v>0</v>
      </c>
      <c r="S20">
        <v>39</v>
      </c>
      <c r="T20" s="16">
        <v>55430821000</v>
      </c>
      <c r="U20" s="17">
        <f t="shared" si="2"/>
        <v>260838681055</v>
      </c>
    </row>
    <row r="21" spans="1:21" x14ac:dyDescent="0.2">
      <c r="A21" s="23">
        <v>45328</v>
      </c>
      <c r="B21" s="24">
        <v>2E-3</v>
      </c>
      <c r="C21" s="24">
        <f t="shared" si="0"/>
        <v>5.0900000000000001E-2</v>
      </c>
      <c r="D21">
        <v>244</v>
      </c>
      <c r="E21">
        <v>107</v>
      </c>
      <c r="F21">
        <v>212</v>
      </c>
      <c r="G21" s="24">
        <v>1.5E-3</v>
      </c>
      <c r="H21" s="24">
        <f t="shared" si="3"/>
        <v>5.8899999999999994E-2</v>
      </c>
      <c r="I21" s="3"/>
      <c r="J21" s="3"/>
      <c r="K21" s="3"/>
      <c r="L21">
        <v>65</v>
      </c>
      <c r="M21">
        <v>1</v>
      </c>
      <c r="N21">
        <v>78</v>
      </c>
      <c r="O21" s="16">
        <v>-454044753347</v>
      </c>
      <c r="P21" s="16">
        <f t="shared" si="1"/>
        <v>554933807214</v>
      </c>
      <c r="Q21">
        <v>62</v>
      </c>
      <c r="R21">
        <v>0</v>
      </c>
      <c r="S21">
        <v>50</v>
      </c>
      <c r="T21" s="16">
        <v>-718184911000</v>
      </c>
      <c r="U21" s="17">
        <f t="shared" si="2"/>
        <v>205407860055</v>
      </c>
    </row>
    <row r="22" spans="1:21" x14ac:dyDescent="0.2">
      <c r="A22" s="23">
        <v>45327</v>
      </c>
      <c r="B22" s="24">
        <v>1.15E-2</v>
      </c>
      <c r="C22" s="24">
        <f t="shared" si="0"/>
        <v>4.8899999999999999E-2</v>
      </c>
      <c r="D22">
        <v>270</v>
      </c>
      <c r="E22">
        <v>72</v>
      </c>
      <c r="F22">
        <v>212</v>
      </c>
      <c r="G22" s="24">
        <v>1.9199999999999998E-2</v>
      </c>
      <c r="H22" s="24">
        <f t="shared" si="3"/>
        <v>5.7399999999999993E-2</v>
      </c>
      <c r="L22">
        <v>71</v>
      </c>
      <c r="M22">
        <v>1</v>
      </c>
      <c r="N22">
        <v>72</v>
      </c>
      <c r="O22" s="16">
        <v>-47724190106</v>
      </c>
      <c r="P22" s="16">
        <f t="shared" si="1"/>
        <v>1008978560561</v>
      </c>
      <c r="Q22">
        <v>84</v>
      </c>
      <c r="R22">
        <v>0</v>
      </c>
      <c r="S22">
        <v>22</v>
      </c>
      <c r="T22" s="16">
        <v>17971390000</v>
      </c>
      <c r="U22" s="17">
        <f t="shared" si="2"/>
        <v>923592771055</v>
      </c>
    </row>
    <row r="23" spans="1:21" x14ac:dyDescent="0.2">
      <c r="A23" s="23">
        <v>45324</v>
      </c>
      <c r="B23" s="24">
        <v>-4.0000000000000002E-4</v>
      </c>
      <c r="C23" s="24">
        <f t="shared" si="0"/>
        <v>3.7400000000000003E-2</v>
      </c>
      <c r="D23">
        <v>199</v>
      </c>
      <c r="E23">
        <v>89</v>
      </c>
      <c r="F23">
        <v>267</v>
      </c>
      <c r="G23" s="24">
        <v>1.1999999999999999E-3</v>
      </c>
      <c r="H23" s="24">
        <f t="shared" si="3"/>
        <v>3.8199999999999998E-2</v>
      </c>
      <c r="L23">
        <v>44</v>
      </c>
      <c r="M23">
        <v>1</v>
      </c>
      <c r="N23">
        <v>90</v>
      </c>
      <c r="O23" s="16">
        <v>-235298007611</v>
      </c>
      <c r="P23" s="16">
        <f t="shared" si="1"/>
        <v>1056702750667</v>
      </c>
      <c r="Q23">
        <v>55</v>
      </c>
      <c r="R23">
        <v>0</v>
      </c>
      <c r="S23">
        <v>53</v>
      </c>
      <c r="T23" s="16">
        <v>499951149000</v>
      </c>
      <c r="U23" s="17">
        <f t="shared" si="2"/>
        <v>905621381055</v>
      </c>
    </row>
    <row r="24" spans="1:21" x14ac:dyDescent="0.2">
      <c r="A24" s="23">
        <v>45323</v>
      </c>
      <c r="B24" s="24">
        <v>7.4999999999999997E-3</v>
      </c>
      <c r="C24" s="24">
        <f t="shared" si="0"/>
        <v>3.78E-2</v>
      </c>
      <c r="D24">
        <v>270</v>
      </c>
      <c r="E24">
        <v>111</v>
      </c>
      <c r="F24">
        <v>177</v>
      </c>
      <c r="G24" s="24">
        <v>6.0000000000000001E-3</v>
      </c>
      <c r="H24" s="24">
        <f t="shared" si="3"/>
        <v>3.6999999999999998E-2</v>
      </c>
      <c r="I24">
        <v>17</v>
      </c>
      <c r="J24">
        <v>5</v>
      </c>
      <c r="K24">
        <v>8</v>
      </c>
      <c r="L24">
        <v>65</v>
      </c>
      <c r="M24">
        <v>1</v>
      </c>
      <c r="N24">
        <v>62</v>
      </c>
      <c r="O24" s="16">
        <v>167317808902</v>
      </c>
      <c r="P24" s="16">
        <f t="shared" si="1"/>
        <v>1292000758278</v>
      </c>
      <c r="Q24">
        <v>46</v>
      </c>
      <c r="R24">
        <v>0</v>
      </c>
      <c r="S24">
        <v>76</v>
      </c>
      <c r="T24" s="16">
        <v>99823302000</v>
      </c>
      <c r="U24" s="17">
        <f t="shared" si="2"/>
        <v>405670232055</v>
      </c>
    </row>
    <row r="25" spans="1:21" x14ac:dyDescent="0.2">
      <c r="A25" s="23">
        <v>45322</v>
      </c>
      <c r="B25" s="24">
        <v>-1.3000000000000001E-2</v>
      </c>
      <c r="C25" s="24">
        <f t="shared" si="0"/>
        <v>3.0299999999999997E-2</v>
      </c>
      <c r="D25">
        <v>101</v>
      </c>
      <c r="E25">
        <v>62</v>
      </c>
      <c r="F25">
        <v>393</v>
      </c>
      <c r="G25" s="24">
        <v>-1.2999999999999999E-2</v>
      </c>
      <c r="H25" s="24">
        <f t="shared" si="3"/>
        <v>3.1E-2</v>
      </c>
      <c r="I25">
        <v>3</v>
      </c>
      <c r="J25">
        <v>1</v>
      </c>
      <c r="K25">
        <v>26</v>
      </c>
      <c r="L25">
        <v>58</v>
      </c>
      <c r="M25">
        <v>1</v>
      </c>
      <c r="N25">
        <v>81</v>
      </c>
      <c r="O25" s="16">
        <v>39184647355</v>
      </c>
      <c r="P25" s="16">
        <f t="shared" si="1"/>
        <v>1124682949376</v>
      </c>
      <c r="Q25">
        <v>38</v>
      </c>
      <c r="R25">
        <v>0</v>
      </c>
      <c r="S25">
        <v>108</v>
      </c>
      <c r="T25" s="16">
        <v>69620718500</v>
      </c>
      <c r="U25" s="17">
        <f t="shared" si="2"/>
        <v>305846930055</v>
      </c>
    </row>
    <row r="26" spans="1:21" x14ac:dyDescent="0.2">
      <c r="A26" s="23">
        <v>45321</v>
      </c>
      <c r="B26" s="24">
        <v>3.3999999999999998E-3</v>
      </c>
      <c r="C26" s="24">
        <f t="shared" si="0"/>
        <v>4.3299999999999998E-2</v>
      </c>
      <c r="D26">
        <v>266</v>
      </c>
      <c r="E26">
        <v>112</v>
      </c>
      <c r="F26">
        <v>174</v>
      </c>
      <c r="G26" s="24">
        <v>2.2000000000000001E-3</v>
      </c>
      <c r="H26" s="24">
        <f t="shared" si="3"/>
        <v>4.3999999999999997E-2</v>
      </c>
      <c r="I26">
        <v>14</v>
      </c>
      <c r="J26">
        <v>4</v>
      </c>
      <c r="K26">
        <v>12</v>
      </c>
      <c r="L26">
        <v>81</v>
      </c>
      <c r="M26">
        <v>2</v>
      </c>
      <c r="N26">
        <v>56</v>
      </c>
      <c r="O26" s="16">
        <v>396711927017</v>
      </c>
      <c r="P26" s="16">
        <f t="shared" si="1"/>
        <v>1085498302021</v>
      </c>
      <c r="Q26">
        <v>41</v>
      </c>
      <c r="R26">
        <v>0</v>
      </c>
      <c r="S26">
        <v>103</v>
      </c>
      <c r="T26" s="16">
        <v>80613287900</v>
      </c>
      <c r="U26" s="17">
        <f t="shared" si="2"/>
        <v>236226211555</v>
      </c>
    </row>
    <row r="27" spans="1:21" x14ac:dyDescent="0.2">
      <c r="A27" s="23">
        <v>45320</v>
      </c>
      <c r="B27" s="24">
        <v>0</v>
      </c>
      <c r="C27" s="24">
        <f t="shared" si="0"/>
        <v>3.9899999999999998E-2</v>
      </c>
      <c r="D27">
        <v>187</v>
      </c>
      <c r="E27">
        <v>106</v>
      </c>
      <c r="F27">
        <v>283</v>
      </c>
      <c r="G27" s="24">
        <v>-3.0999999999999999E-3</v>
      </c>
      <c r="H27" s="24">
        <f t="shared" si="3"/>
        <v>4.1799999999999997E-2</v>
      </c>
      <c r="I27">
        <v>14</v>
      </c>
      <c r="J27">
        <v>5</v>
      </c>
      <c r="K27">
        <v>11</v>
      </c>
      <c r="L27">
        <v>60</v>
      </c>
      <c r="M27">
        <v>2</v>
      </c>
      <c r="N27">
        <v>77</v>
      </c>
      <c r="O27" s="16">
        <v>-137908844181</v>
      </c>
      <c r="P27" s="16">
        <f t="shared" si="1"/>
        <v>688786375004</v>
      </c>
      <c r="Q27">
        <v>42</v>
      </c>
      <c r="R27">
        <v>0</v>
      </c>
      <c r="S27">
        <v>62</v>
      </c>
      <c r="T27" s="16">
        <v>80072901000</v>
      </c>
      <c r="U27" s="17">
        <f t="shared" si="2"/>
        <v>155612923655</v>
      </c>
    </row>
    <row r="28" spans="1:21" x14ac:dyDescent="0.2">
      <c r="A28" s="23">
        <v>45317</v>
      </c>
      <c r="B28" s="24">
        <v>4.4999999999999997E-3</v>
      </c>
      <c r="C28" s="24">
        <f t="shared" si="0"/>
        <v>3.9899999999999998E-2</v>
      </c>
      <c r="D28">
        <v>253</v>
      </c>
      <c r="E28">
        <v>129</v>
      </c>
      <c r="F28">
        <v>193</v>
      </c>
      <c r="G28" s="24">
        <v>4.4999999999999997E-3</v>
      </c>
      <c r="H28" s="24">
        <f t="shared" si="3"/>
        <v>4.4899999999999995E-2</v>
      </c>
      <c r="I28">
        <v>19</v>
      </c>
      <c r="J28">
        <v>3</v>
      </c>
      <c r="K28">
        <v>8</v>
      </c>
      <c r="L28">
        <v>77</v>
      </c>
      <c r="M28">
        <v>0</v>
      </c>
      <c r="N28">
        <v>58</v>
      </c>
      <c r="O28" s="16">
        <v>361099360028</v>
      </c>
      <c r="P28" s="16">
        <f t="shared" si="1"/>
        <v>826695219185</v>
      </c>
      <c r="Q28">
        <v>96</v>
      </c>
      <c r="R28">
        <v>0</v>
      </c>
      <c r="S28">
        <v>11</v>
      </c>
      <c r="T28" s="16">
        <v>554819954000</v>
      </c>
      <c r="U28" s="17">
        <f t="shared" si="2"/>
        <v>75540022655</v>
      </c>
    </row>
    <row r="29" spans="1:21" x14ac:dyDescent="0.2">
      <c r="A29" s="23">
        <v>45316</v>
      </c>
      <c r="B29" s="24">
        <v>-2.2000000000000001E-3</v>
      </c>
      <c r="C29" s="24">
        <f t="shared" si="0"/>
        <v>3.5400000000000001E-2</v>
      </c>
      <c r="G29" s="24">
        <v>-1.6000000000000001E-3</v>
      </c>
      <c r="H29" s="24">
        <f t="shared" si="3"/>
        <v>4.0399999999999998E-2</v>
      </c>
      <c r="L29">
        <v>59</v>
      </c>
      <c r="M29">
        <v>2</v>
      </c>
      <c r="N29">
        <v>76</v>
      </c>
      <c r="O29" s="16">
        <v>-40176974807</v>
      </c>
      <c r="P29" s="16">
        <f t="shared" si="1"/>
        <v>465595859157</v>
      </c>
      <c r="Q29">
        <v>36</v>
      </c>
      <c r="R29">
        <v>0</v>
      </c>
      <c r="S29">
        <v>27</v>
      </c>
      <c r="T29" s="16">
        <v>-100337454345</v>
      </c>
      <c r="U29" s="17">
        <f t="shared" si="2"/>
        <v>-479279931345</v>
      </c>
    </row>
    <row r="30" spans="1:21" x14ac:dyDescent="0.2">
      <c r="A30" s="23">
        <v>45315</v>
      </c>
      <c r="B30" s="24">
        <v>-3.8E-3</v>
      </c>
      <c r="C30" s="24">
        <f t="shared" si="0"/>
        <v>3.7600000000000001E-2</v>
      </c>
      <c r="G30" s="24">
        <v>-3.7000000000000002E-3</v>
      </c>
      <c r="H30" s="24">
        <f t="shared" si="3"/>
        <v>4.1999999999999996E-2</v>
      </c>
      <c r="L30">
        <v>62</v>
      </c>
      <c r="M30">
        <v>4</v>
      </c>
      <c r="N30">
        <v>78</v>
      </c>
      <c r="O30" s="16">
        <v>153335591842</v>
      </c>
      <c r="P30" s="16">
        <f t="shared" si="1"/>
        <v>505772833964</v>
      </c>
      <c r="Q30">
        <v>37</v>
      </c>
      <c r="R30">
        <v>0</v>
      </c>
      <c r="S30">
        <v>71</v>
      </c>
      <c r="T30" s="16">
        <v>-60937057000</v>
      </c>
      <c r="U30" s="17">
        <f t="shared" si="2"/>
        <v>-378942477000</v>
      </c>
    </row>
    <row r="31" spans="1:21" x14ac:dyDescent="0.2">
      <c r="A31" s="23">
        <v>45314</v>
      </c>
      <c r="B31" s="24">
        <v>-4.4999999999999997E-3</v>
      </c>
      <c r="C31" s="24">
        <f t="shared" si="0"/>
        <v>4.1399999999999999E-2</v>
      </c>
      <c r="G31" s="24">
        <v>-4.7999999999999996E-3</v>
      </c>
      <c r="H31" s="24">
        <f t="shared" si="3"/>
        <v>4.5699999999999998E-2</v>
      </c>
      <c r="L31">
        <v>65</v>
      </c>
      <c r="M31">
        <v>2</v>
      </c>
      <c r="N31">
        <v>71</v>
      </c>
      <c r="O31" s="16">
        <v>249996770975</v>
      </c>
      <c r="P31" s="16">
        <f t="shared" si="1"/>
        <v>352437242122</v>
      </c>
      <c r="Q31">
        <v>21</v>
      </c>
      <c r="R31">
        <v>0</v>
      </c>
      <c r="S31">
        <v>85</v>
      </c>
      <c r="T31" s="16">
        <v>-926262619000</v>
      </c>
      <c r="U31" s="17">
        <f t="shared" si="2"/>
        <v>-318005420000</v>
      </c>
    </row>
    <row r="32" spans="1:21" x14ac:dyDescent="0.2">
      <c r="A32" s="23">
        <v>45313</v>
      </c>
      <c r="B32" s="24">
        <v>1.1999999999999999E-3</v>
      </c>
      <c r="C32" s="24">
        <f t="shared" si="0"/>
        <v>4.5899999999999996E-2</v>
      </c>
      <c r="G32" s="24">
        <v>3.7000000000000002E-3</v>
      </c>
      <c r="H32" s="24">
        <f t="shared" si="3"/>
        <v>5.0499999999999996E-2</v>
      </c>
      <c r="L32">
        <v>75</v>
      </c>
      <c r="M32">
        <v>0</v>
      </c>
      <c r="N32">
        <v>66</v>
      </c>
      <c r="O32" s="16">
        <v>502684290838</v>
      </c>
      <c r="P32" s="16">
        <f t="shared" si="1"/>
        <v>102440471147</v>
      </c>
      <c r="Q32">
        <v>88</v>
      </c>
      <c r="R32">
        <v>0</v>
      </c>
      <c r="S32">
        <v>19</v>
      </c>
      <c r="T32" s="16">
        <v>466385605000</v>
      </c>
      <c r="U32" s="17">
        <f t="shared" si="2"/>
        <v>608257199000</v>
      </c>
    </row>
    <row r="33" spans="1:21" x14ac:dyDescent="0.2">
      <c r="A33" s="23">
        <v>45310</v>
      </c>
      <c r="B33" s="24">
        <v>1.06E-2</v>
      </c>
      <c r="C33" s="24">
        <f t="shared" si="0"/>
        <v>4.4699999999999997E-2</v>
      </c>
      <c r="G33" s="24">
        <v>9.5999999999999992E-3</v>
      </c>
      <c r="H33" s="24">
        <f t="shared" si="3"/>
        <v>4.6799999999999994E-2</v>
      </c>
      <c r="L33">
        <v>64</v>
      </c>
      <c r="M33">
        <v>1</v>
      </c>
      <c r="N33">
        <v>69</v>
      </c>
      <c r="O33" s="16">
        <v>187659123156</v>
      </c>
      <c r="P33" s="16">
        <f t="shared" si="1"/>
        <v>-400243819691</v>
      </c>
      <c r="Q33">
        <v>27</v>
      </c>
      <c r="R33">
        <v>0</v>
      </c>
      <c r="S33">
        <v>6</v>
      </c>
      <c r="T33" s="16">
        <v>209791725000</v>
      </c>
      <c r="U33" s="17">
        <f t="shared" si="2"/>
        <v>141871594000</v>
      </c>
    </row>
    <row r="34" spans="1:21" x14ac:dyDescent="0.2">
      <c r="A34" s="23">
        <v>45309</v>
      </c>
      <c r="B34" s="24">
        <v>5.5999999999999999E-3</v>
      </c>
      <c r="C34" s="24">
        <f t="shared" si="0"/>
        <v>3.4099999999999998E-2</v>
      </c>
      <c r="G34" s="24">
        <v>6.3E-3</v>
      </c>
      <c r="H34" s="24">
        <f t="shared" si="3"/>
        <v>3.7199999999999997E-2</v>
      </c>
      <c r="L34">
        <v>71</v>
      </c>
      <c r="M34">
        <v>2</v>
      </c>
      <c r="N34">
        <v>64</v>
      </c>
      <c r="O34" s="16">
        <v>69651700055</v>
      </c>
      <c r="P34" s="16">
        <f t="shared" si="1"/>
        <v>-587902942847</v>
      </c>
      <c r="Q34">
        <v>51</v>
      </c>
      <c r="R34">
        <v>0</v>
      </c>
      <c r="S34">
        <v>68</v>
      </c>
      <c r="T34" s="16">
        <v>472627000000</v>
      </c>
      <c r="U34" s="17">
        <f t="shared" si="2"/>
        <v>-67920131000</v>
      </c>
    </row>
    <row r="35" spans="1:21" x14ac:dyDescent="0.2">
      <c r="A35" s="23">
        <v>45308</v>
      </c>
      <c r="B35" s="24">
        <v>-5.0000000000000001E-4</v>
      </c>
      <c r="C35" s="24">
        <f t="shared" si="0"/>
        <v>2.8499999999999998E-2</v>
      </c>
      <c r="G35" s="24">
        <v>-3.0999999999999999E-3</v>
      </c>
      <c r="H35" s="24">
        <f t="shared" si="3"/>
        <v>3.0899999999999997E-2</v>
      </c>
      <c r="L35">
        <v>66</v>
      </c>
      <c r="M35">
        <v>3</v>
      </c>
      <c r="N35">
        <v>65</v>
      </c>
      <c r="O35" s="16">
        <v>191412433815</v>
      </c>
      <c r="P35" s="16">
        <f t="shared" si="1"/>
        <v>-657554642902</v>
      </c>
      <c r="Q35">
        <v>19</v>
      </c>
      <c r="R35">
        <v>0</v>
      </c>
      <c r="S35">
        <v>92</v>
      </c>
      <c r="T35" s="16">
        <v>-526950647000</v>
      </c>
      <c r="U35" s="17">
        <f t="shared" si="2"/>
        <v>-540547131000</v>
      </c>
    </row>
    <row r="36" spans="1:21" x14ac:dyDescent="0.2">
      <c r="A36" s="23">
        <v>45307</v>
      </c>
      <c r="B36" s="24">
        <v>7.7999999999999996E-3</v>
      </c>
      <c r="C36" s="24">
        <f t="shared" si="0"/>
        <v>2.8999999999999998E-2</v>
      </c>
      <c r="G36" s="24">
        <v>7.7000000000000002E-3</v>
      </c>
      <c r="H36" s="24">
        <f t="shared" si="3"/>
        <v>3.3999999999999996E-2</v>
      </c>
      <c r="L36">
        <v>63</v>
      </c>
      <c r="M36">
        <v>2</v>
      </c>
      <c r="N36">
        <v>63</v>
      </c>
      <c r="O36" s="16">
        <v>52772819266</v>
      </c>
      <c r="P36" s="16">
        <f t="shared" si="1"/>
        <v>-848967076717</v>
      </c>
      <c r="Q36">
        <v>36</v>
      </c>
      <c r="R36">
        <v>0</v>
      </c>
      <c r="S36">
        <v>29</v>
      </c>
      <c r="T36" s="16">
        <v>46573173000</v>
      </c>
      <c r="U36" s="17">
        <f t="shared" si="2"/>
        <v>-13596484000</v>
      </c>
    </row>
    <row r="37" spans="1:21" x14ac:dyDescent="0.2">
      <c r="A37" s="23">
        <v>45306</v>
      </c>
      <c r="B37" s="24">
        <v>-5.0000000000000001E-4</v>
      </c>
      <c r="C37" s="24">
        <f t="shared" si="0"/>
        <v>2.12E-2</v>
      </c>
      <c r="G37" s="24">
        <v>-2E-3</v>
      </c>
      <c r="H37" s="24">
        <f t="shared" si="3"/>
        <v>2.6299999999999997E-2</v>
      </c>
      <c r="L37">
        <v>56</v>
      </c>
      <c r="M37">
        <v>2</v>
      </c>
      <c r="N37">
        <v>71</v>
      </c>
      <c r="O37" s="16">
        <v>24392645189</v>
      </c>
      <c r="P37" s="16">
        <f t="shared" si="1"/>
        <v>-901739895983</v>
      </c>
      <c r="Q37">
        <v>36</v>
      </c>
      <c r="R37">
        <v>0</v>
      </c>
      <c r="S37">
        <v>16</v>
      </c>
      <c r="T37" s="16">
        <v>219533725000</v>
      </c>
      <c r="U37" s="17">
        <f t="shared" si="2"/>
        <v>-60169657000</v>
      </c>
    </row>
    <row r="38" spans="1:21" x14ac:dyDescent="0.2">
      <c r="A38" s="25">
        <v>45303</v>
      </c>
      <c r="B38" s="24">
        <v>-6.4999999999999997E-3</v>
      </c>
      <c r="C38" s="24">
        <f t="shared" si="0"/>
        <v>2.1700000000000001E-2</v>
      </c>
      <c r="G38" s="24">
        <v>1E-4</v>
      </c>
      <c r="H38" s="24">
        <f t="shared" si="3"/>
        <v>2.8299999999999999E-2</v>
      </c>
      <c r="L38">
        <v>68</v>
      </c>
      <c r="M38">
        <v>5</v>
      </c>
      <c r="N38">
        <v>61</v>
      </c>
      <c r="O38" s="16">
        <v>-51248750301</v>
      </c>
      <c r="P38" s="16">
        <f t="shared" si="1"/>
        <v>-926132541172</v>
      </c>
      <c r="Q38">
        <v>30</v>
      </c>
      <c r="R38">
        <v>0</v>
      </c>
      <c r="S38">
        <v>81</v>
      </c>
      <c r="T38" s="16">
        <v>-384937181000</v>
      </c>
      <c r="U38" s="17">
        <f t="shared" si="2"/>
        <v>-279703382000</v>
      </c>
    </row>
    <row r="39" spans="1:21" x14ac:dyDescent="0.2">
      <c r="A39" s="25">
        <v>45302</v>
      </c>
      <c r="B39" s="24">
        <v>5.9999999999999995E-4</v>
      </c>
      <c r="C39" s="24">
        <f t="shared" si="0"/>
        <v>2.8199999999999999E-2</v>
      </c>
      <c r="G39" s="24">
        <v>8.0000000000000004E-4</v>
      </c>
      <c r="H39" s="24">
        <f t="shared" si="3"/>
        <v>2.8199999999999999E-2</v>
      </c>
      <c r="L39">
        <v>66</v>
      </c>
      <c r="M39">
        <v>2</v>
      </c>
      <c r="N39">
        <v>62</v>
      </c>
      <c r="O39" s="16">
        <v>104027723444</v>
      </c>
      <c r="P39" s="16">
        <f t="shared" si="1"/>
        <v>-874883790871</v>
      </c>
      <c r="Q39">
        <v>19</v>
      </c>
      <c r="R39">
        <v>0</v>
      </c>
      <c r="S39">
        <v>5</v>
      </c>
      <c r="T39" s="16">
        <v>-134937700000</v>
      </c>
      <c r="U39" s="17">
        <f t="shared" si="2"/>
        <v>105233799000</v>
      </c>
    </row>
    <row r="40" spans="1:21" x14ac:dyDescent="0.2">
      <c r="A40" s="25">
        <v>45301</v>
      </c>
      <c r="B40" s="24">
        <v>2.5000000000000001E-3</v>
      </c>
      <c r="C40" s="24">
        <f t="shared" si="0"/>
        <v>2.76E-2</v>
      </c>
      <c r="G40" s="24">
        <v>2.0999999999999999E-3</v>
      </c>
      <c r="H40" s="24">
        <f t="shared" si="3"/>
        <v>2.7400000000000001E-2</v>
      </c>
      <c r="L40">
        <v>74</v>
      </c>
      <c r="M40">
        <v>2</v>
      </c>
      <c r="N40">
        <v>62</v>
      </c>
      <c r="O40" s="16">
        <v>-199155060394</v>
      </c>
      <c r="P40" s="16">
        <f t="shared" si="1"/>
        <v>-978911514315</v>
      </c>
      <c r="Q40">
        <v>12</v>
      </c>
      <c r="R40">
        <v>0</v>
      </c>
      <c r="S40">
        <v>19</v>
      </c>
      <c r="T40" s="16">
        <v>-198205025000</v>
      </c>
      <c r="U40" s="17">
        <f t="shared" si="2"/>
        <v>240171499000</v>
      </c>
    </row>
    <row r="41" spans="1:21" x14ac:dyDescent="0.2">
      <c r="A41" s="25">
        <v>45300</v>
      </c>
      <c r="B41" s="24">
        <v>-1.4E-3</v>
      </c>
      <c r="C41" s="24">
        <f t="shared" si="0"/>
        <v>2.5100000000000001E-2</v>
      </c>
      <c r="G41" s="24">
        <v>-2.8E-3</v>
      </c>
      <c r="H41" s="24">
        <f t="shared" si="3"/>
        <v>2.53E-2</v>
      </c>
      <c r="L41">
        <v>74</v>
      </c>
      <c r="M41">
        <v>3</v>
      </c>
      <c r="N41">
        <v>60</v>
      </c>
      <c r="O41" s="16">
        <v>-106567673803</v>
      </c>
      <c r="P41" s="16">
        <f t="shared" si="1"/>
        <v>-779756453921</v>
      </c>
      <c r="Q41">
        <v>19</v>
      </c>
      <c r="R41">
        <v>0</v>
      </c>
      <c r="S41">
        <v>9</v>
      </c>
      <c r="T41" s="16">
        <v>80559826000</v>
      </c>
      <c r="U41" s="17">
        <f t="shared" si="2"/>
        <v>438376524000</v>
      </c>
    </row>
    <row r="42" spans="1:21" x14ac:dyDescent="0.2">
      <c r="A42" s="25">
        <v>45299</v>
      </c>
      <c r="B42" s="24">
        <v>4.7999999999999996E-3</v>
      </c>
      <c r="C42" s="24">
        <f t="shared" si="0"/>
        <v>2.6499999999999999E-2</v>
      </c>
      <c r="G42" s="24">
        <v>2E-3</v>
      </c>
      <c r="H42" s="24">
        <f t="shared" si="3"/>
        <v>2.81E-2</v>
      </c>
      <c r="L42">
        <v>66</v>
      </c>
      <c r="M42">
        <v>2</v>
      </c>
      <c r="N42">
        <v>66</v>
      </c>
      <c r="O42" s="16">
        <v>-204815712671</v>
      </c>
      <c r="P42" s="16">
        <f t="shared" si="1"/>
        <v>-673188780118</v>
      </c>
      <c r="Q42">
        <v>16</v>
      </c>
      <c r="R42">
        <v>0</v>
      </c>
      <c r="S42">
        <v>8</v>
      </c>
      <c r="T42" s="16">
        <v>81748371000</v>
      </c>
      <c r="U42" s="17">
        <f t="shared" si="2"/>
        <v>357816698000</v>
      </c>
    </row>
    <row r="43" spans="1:21" x14ac:dyDescent="0.2">
      <c r="A43" s="25">
        <v>45296</v>
      </c>
      <c r="B43" s="24">
        <v>3.3999999999999998E-3</v>
      </c>
      <c r="C43" s="24">
        <f t="shared" si="0"/>
        <v>2.1700000000000001E-2</v>
      </c>
      <c r="G43" s="24">
        <v>4.1000000000000003E-3</v>
      </c>
      <c r="H43" s="24">
        <f t="shared" si="3"/>
        <v>2.6099999999999998E-2</v>
      </c>
      <c r="L43">
        <v>42</v>
      </c>
      <c r="M43">
        <v>2</v>
      </c>
      <c r="N43">
        <v>67</v>
      </c>
      <c r="O43" s="16">
        <v>-321896722031</v>
      </c>
      <c r="P43" s="16">
        <f t="shared" si="1"/>
        <v>-468373067447</v>
      </c>
      <c r="Q43">
        <v>22</v>
      </c>
      <c r="R43">
        <v>0</v>
      </c>
      <c r="S43">
        <v>7</v>
      </c>
      <c r="T43" s="16">
        <v>93428911000</v>
      </c>
      <c r="U43" s="17">
        <f t="shared" si="2"/>
        <v>276068327000</v>
      </c>
    </row>
    <row r="44" spans="1:21" x14ac:dyDescent="0.2">
      <c r="A44" s="25">
        <v>45295</v>
      </c>
      <c r="B44" s="24">
        <v>5.7000000000000002E-3</v>
      </c>
      <c r="C44" s="24">
        <f t="shared" si="0"/>
        <v>1.83E-2</v>
      </c>
      <c r="G44" s="24">
        <v>1.01E-2</v>
      </c>
      <c r="H44" s="24">
        <f t="shared" si="3"/>
        <v>2.1999999999999999E-2</v>
      </c>
      <c r="L44">
        <v>53</v>
      </c>
      <c r="M44">
        <v>1</v>
      </c>
      <c r="N44">
        <v>56</v>
      </c>
      <c r="O44" s="16">
        <v>14473737182</v>
      </c>
      <c r="P44" s="16">
        <f t="shared" si="1"/>
        <v>-146476345416</v>
      </c>
      <c r="Q44">
        <v>31</v>
      </c>
      <c r="R44">
        <v>0</v>
      </c>
      <c r="S44">
        <v>4</v>
      </c>
      <c r="T44" s="16">
        <v>543935814000</v>
      </c>
      <c r="U44" s="17">
        <f t="shared" si="2"/>
        <v>182639416000</v>
      </c>
    </row>
    <row r="45" spans="1:21" x14ac:dyDescent="0.2">
      <c r="A45" s="25">
        <v>45294</v>
      </c>
      <c r="B45" s="24">
        <v>1.0999999999999999E-2</v>
      </c>
      <c r="C45" s="24">
        <f>B45+C46</f>
        <v>1.26E-2</v>
      </c>
      <c r="G45" s="24">
        <v>1.17E-2</v>
      </c>
      <c r="H45" s="24">
        <f>G45+H46</f>
        <v>1.1900000000000001E-2</v>
      </c>
      <c r="L45">
        <v>42</v>
      </c>
      <c r="M45">
        <v>4</v>
      </c>
      <c r="N45">
        <v>65</v>
      </c>
      <c r="O45" s="16">
        <v>3414941691</v>
      </c>
      <c r="P45" s="16">
        <f>O45+P46</f>
        <v>-160950082598</v>
      </c>
      <c r="Q45">
        <v>9</v>
      </c>
      <c r="R45">
        <v>0</v>
      </c>
      <c r="S45">
        <v>16</v>
      </c>
      <c r="T45" s="16">
        <v>-317844600000</v>
      </c>
      <c r="U45" s="17">
        <f>T45+U46</f>
        <v>-361296398000</v>
      </c>
    </row>
    <row r="46" spans="1:21" x14ac:dyDescent="0.2">
      <c r="A46" s="25">
        <v>45293</v>
      </c>
      <c r="B46" s="24">
        <v>1.6000000000000001E-3</v>
      </c>
      <c r="C46" s="24">
        <f>B46</f>
        <v>1.6000000000000001E-3</v>
      </c>
      <c r="G46" s="24">
        <v>2.0000000000000001E-4</v>
      </c>
      <c r="H46" s="24">
        <f>G46</f>
        <v>2.0000000000000001E-4</v>
      </c>
      <c r="L46">
        <v>54</v>
      </c>
      <c r="M46">
        <v>0</v>
      </c>
      <c r="N46">
        <v>57</v>
      </c>
      <c r="O46" s="16">
        <v>-164365024289</v>
      </c>
      <c r="P46" s="16">
        <f>O46</f>
        <v>-164365024289</v>
      </c>
      <c r="Q46">
        <v>14</v>
      </c>
      <c r="R46">
        <v>0</v>
      </c>
      <c r="S46">
        <v>17</v>
      </c>
      <c r="T46" s="16">
        <v>-43451798000</v>
      </c>
      <c r="U46" s="17">
        <f>T46</f>
        <v>-43451798000</v>
      </c>
    </row>
    <row r="47" spans="1:21" x14ac:dyDescent="0.2">
      <c r="O47" s="16"/>
      <c r="P47" s="16"/>
      <c r="T47" s="16"/>
    </row>
    <row r="53" spans="1:1" x14ac:dyDescent="0.2">
      <c r="A53" s="25"/>
    </row>
    <row r="54" spans="1:1" x14ac:dyDescent="0.2">
      <c r="A54" s="25"/>
    </row>
    <row r="55" spans="1:1" x14ac:dyDescent="0.2">
      <c r="A55" s="25"/>
    </row>
    <row r="56" spans="1:1" x14ac:dyDescent="0.2">
      <c r="A56" s="25"/>
    </row>
    <row r="57" spans="1:1" x14ac:dyDescent="0.2">
      <c r="A57" s="25"/>
    </row>
    <row r="58" spans="1:1" x14ac:dyDescent="0.2">
      <c r="A58" s="25"/>
    </row>
    <row r="59" spans="1:1" x14ac:dyDescent="0.2">
      <c r="A59" s="25"/>
    </row>
    <row r="60" spans="1:1" x14ac:dyDescent="0.2">
      <c r="A60" s="25"/>
    </row>
    <row r="61" spans="1:1" x14ac:dyDescent="0.2">
      <c r="A61" s="25"/>
    </row>
    <row r="62" spans="1:1" x14ac:dyDescent="0.2">
      <c r="A62" s="25"/>
    </row>
  </sheetData>
  <mergeCells count="4">
    <mergeCell ref="B1:F1"/>
    <mergeCell ref="G1:K1"/>
    <mergeCell ref="L1:P1"/>
    <mergeCell ref="Q1:U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60D3-88F8-5745-BA82-C08893F5CA63}">
  <dimension ref="A1:Q70"/>
  <sheetViews>
    <sheetView tabSelected="1" workbookViewId="0">
      <selection activeCell="I15" sqref="I15"/>
    </sheetView>
  </sheetViews>
  <sheetFormatPr baseColWidth="10" defaultRowHeight="16" x14ac:dyDescent="0.2"/>
  <cols>
    <col min="3" max="3" width="15" customWidth="1"/>
    <col min="4" max="4" width="16.5" customWidth="1"/>
    <col min="5" max="5" width="16.6640625" customWidth="1"/>
    <col min="6" max="6" width="13.33203125" customWidth="1"/>
    <col min="7" max="7" width="15.6640625" customWidth="1"/>
    <col min="8" max="8" width="15.1640625" customWidth="1"/>
    <col min="9" max="9" width="13.5" customWidth="1"/>
    <col min="10" max="10" width="15.1640625" customWidth="1"/>
    <col min="11" max="11" width="15.5" customWidth="1"/>
    <col min="12" max="12" width="17.5" customWidth="1"/>
    <col min="13" max="13" width="14.33203125" customWidth="1"/>
    <col min="14" max="14" width="12.5" customWidth="1"/>
  </cols>
  <sheetData>
    <row r="1" spans="1:10" x14ac:dyDescent="0.2">
      <c r="A1" s="29" t="s">
        <v>137</v>
      </c>
      <c r="B1" s="28" t="s">
        <v>198</v>
      </c>
    </row>
    <row r="2" spans="1:10" x14ac:dyDescent="0.2">
      <c r="A2" s="40">
        <v>45359</v>
      </c>
      <c r="B2" t="s">
        <v>195</v>
      </c>
      <c r="C2" t="s">
        <v>71</v>
      </c>
      <c r="D2" t="s">
        <v>201</v>
      </c>
      <c r="E2" t="s">
        <v>105</v>
      </c>
      <c r="F2" t="s">
        <v>111</v>
      </c>
    </row>
    <row r="3" spans="1:10" x14ac:dyDescent="0.2">
      <c r="A3" s="40"/>
      <c r="B3" t="s">
        <v>194</v>
      </c>
      <c r="C3" t="s">
        <v>71</v>
      </c>
      <c r="D3" t="s">
        <v>201</v>
      </c>
      <c r="E3" t="s">
        <v>105</v>
      </c>
      <c r="F3" t="s">
        <v>111</v>
      </c>
    </row>
    <row r="4" spans="1:10" x14ac:dyDescent="0.2">
      <c r="A4" s="40"/>
      <c r="B4" t="s">
        <v>193</v>
      </c>
      <c r="C4" t="s">
        <v>71</v>
      </c>
      <c r="D4" t="s">
        <v>201</v>
      </c>
      <c r="E4" t="s">
        <v>105</v>
      </c>
      <c r="F4" t="s">
        <v>231</v>
      </c>
      <c r="G4" t="s">
        <v>111</v>
      </c>
    </row>
    <row r="5" spans="1:10" x14ac:dyDescent="0.2">
      <c r="A5" s="40"/>
      <c r="B5" t="s">
        <v>190</v>
      </c>
      <c r="C5" t="s">
        <v>71</v>
      </c>
      <c r="D5" t="s">
        <v>201</v>
      </c>
      <c r="E5" t="s">
        <v>105</v>
      </c>
      <c r="F5" t="s">
        <v>124</v>
      </c>
      <c r="G5" t="s">
        <v>290</v>
      </c>
      <c r="H5" t="s">
        <v>231</v>
      </c>
      <c r="I5" t="s">
        <v>226</v>
      </c>
      <c r="J5" t="s">
        <v>111</v>
      </c>
    </row>
    <row r="6" spans="1:10" x14ac:dyDescent="0.2">
      <c r="A6" s="40"/>
      <c r="B6" t="s">
        <v>238</v>
      </c>
      <c r="C6" s="17">
        <v>71073400000</v>
      </c>
      <c r="D6" s="17">
        <v>63592420000</v>
      </c>
      <c r="E6" s="17">
        <v>31559430000</v>
      </c>
      <c r="F6" s="17">
        <v>6891270000</v>
      </c>
      <c r="G6" s="17">
        <v>6301870000</v>
      </c>
      <c r="H6" s="17">
        <v>1954450000</v>
      </c>
      <c r="I6" s="17">
        <v>1579700000</v>
      </c>
      <c r="J6" s="17">
        <v>1340043412</v>
      </c>
    </row>
    <row r="7" spans="1:10" x14ac:dyDescent="0.2">
      <c r="A7" s="40" t="s">
        <v>314</v>
      </c>
      <c r="B7" t="s">
        <v>195</v>
      </c>
      <c r="C7" t="s">
        <v>12</v>
      </c>
      <c r="D7" t="s">
        <v>315</v>
      </c>
      <c r="E7" t="s">
        <v>269</v>
      </c>
    </row>
    <row r="8" spans="1:10" x14ac:dyDescent="0.2">
      <c r="A8" s="40"/>
      <c r="B8" t="s">
        <v>194</v>
      </c>
      <c r="C8" t="s">
        <v>12</v>
      </c>
      <c r="D8" t="s">
        <v>315</v>
      </c>
      <c r="E8" t="s">
        <v>269</v>
      </c>
    </row>
    <row r="9" spans="1:10" x14ac:dyDescent="0.2">
      <c r="A9" s="40"/>
      <c r="B9" t="s">
        <v>193</v>
      </c>
      <c r="C9" t="s">
        <v>12</v>
      </c>
      <c r="D9" t="s">
        <v>11</v>
      </c>
      <c r="E9" t="s">
        <v>315</v>
      </c>
      <c r="F9" t="s">
        <v>269</v>
      </c>
    </row>
    <row r="10" spans="1:10" x14ac:dyDescent="0.2">
      <c r="A10" s="40"/>
      <c r="B10" t="s">
        <v>190</v>
      </c>
      <c r="C10" t="s">
        <v>12</v>
      </c>
      <c r="D10" t="s">
        <v>11</v>
      </c>
      <c r="E10" t="s">
        <v>65</v>
      </c>
      <c r="F10" t="s">
        <v>315</v>
      </c>
      <c r="G10" t="s">
        <v>256</v>
      </c>
      <c r="H10" t="s">
        <v>269</v>
      </c>
      <c r="I10" t="s">
        <v>247</v>
      </c>
    </row>
    <row r="11" spans="1:10" x14ac:dyDescent="0.2">
      <c r="A11" s="40"/>
      <c r="B11" t="s">
        <v>238</v>
      </c>
      <c r="C11" s="17">
        <v>298044320000</v>
      </c>
      <c r="D11" s="17">
        <v>67947047478</v>
      </c>
      <c r="E11" s="17">
        <v>36509200000</v>
      </c>
      <c r="F11" s="17">
        <v>7209320000</v>
      </c>
      <c r="G11" s="17">
        <v>4202960000</v>
      </c>
      <c r="H11" s="17">
        <v>3118400820</v>
      </c>
      <c r="I11" s="17">
        <v>271285755</v>
      </c>
    </row>
    <row r="12" spans="1:10" x14ac:dyDescent="0.2">
      <c r="A12" s="40" t="s">
        <v>305</v>
      </c>
      <c r="B12" t="s">
        <v>195</v>
      </c>
      <c r="C12" t="s">
        <v>62</v>
      </c>
      <c r="D12" t="s">
        <v>269</v>
      </c>
      <c r="E12" t="s">
        <v>306</v>
      </c>
    </row>
    <row r="13" spans="1:10" x14ac:dyDescent="0.2">
      <c r="A13" s="40"/>
      <c r="B13" t="s">
        <v>194</v>
      </c>
      <c r="C13" t="s">
        <v>62</v>
      </c>
      <c r="D13" t="s">
        <v>269</v>
      </c>
      <c r="E13" t="s">
        <v>306</v>
      </c>
    </row>
    <row r="14" spans="1:10" x14ac:dyDescent="0.2">
      <c r="A14" s="40"/>
      <c r="B14" t="s">
        <v>193</v>
      </c>
      <c r="C14" t="s">
        <v>62</v>
      </c>
      <c r="D14" t="s">
        <v>269</v>
      </c>
      <c r="E14" t="s">
        <v>306</v>
      </c>
    </row>
    <row r="15" spans="1:10" x14ac:dyDescent="0.2">
      <c r="A15" s="40"/>
      <c r="B15" t="s">
        <v>190</v>
      </c>
      <c r="C15" t="s">
        <v>62</v>
      </c>
      <c r="D15" t="s">
        <v>100</v>
      </c>
      <c r="E15" t="s">
        <v>78</v>
      </c>
      <c r="F15" t="s">
        <v>269</v>
      </c>
      <c r="G15" t="s">
        <v>306</v>
      </c>
    </row>
    <row r="16" spans="1:10" x14ac:dyDescent="0.2">
      <c r="A16" s="40"/>
      <c r="B16" t="s">
        <v>238</v>
      </c>
      <c r="C16" s="17">
        <v>84995910000</v>
      </c>
      <c r="D16" s="17">
        <v>24368680000</v>
      </c>
      <c r="E16" s="17">
        <v>8570240000</v>
      </c>
      <c r="F16" s="17">
        <v>2511248759</v>
      </c>
      <c r="G16" s="17">
        <v>853578265</v>
      </c>
    </row>
    <row r="17" spans="1:15" x14ac:dyDescent="0.2">
      <c r="A17" s="40" t="s">
        <v>302</v>
      </c>
      <c r="B17" t="s">
        <v>195</v>
      </c>
      <c r="C17" t="s">
        <v>19</v>
      </c>
      <c r="D17" t="s">
        <v>27</v>
      </c>
      <c r="E17" t="s">
        <v>286</v>
      </c>
      <c r="F17" t="s">
        <v>228</v>
      </c>
      <c r="G17" t="s">
        <v>257</v>
      </c>
      <c r="H17" t="s">
        <v>246</v>
      </c>
    </row>
    <row r="18" spans="1:15" x14ac:dyDescent="0.2">
      <c r="A18" s="40"/>
      <c r="B18" t="s">
        <v>194</v>
      </c>
      <c r="C18" t="s">
        <v>19</v>
      </c>
      <c r="D18" t="s">
        <v>27</v>
      </c>
      <c r="E18" t="s">
        <v>286</v>
      </c>
      <c r="F18" t="s">
        <v>228</v>
      </c>
      <c r="G18" t="s">
        <v>257</v>
      </c>
      <c r="H18" t="s">
        <v>246</v>
      </c>
    </row>
    <row r="19" spans="1:15" x14ac:dyDescent="0.2">
      <c r="A19" s="40"/>
      <c r="B19" t="s">
        <v>193</v>
      </c>
      <c r="C19" t="s">
        <v>19</v>
      </c>
      <c r="D19" t="s">
        <v>27</v>
      </c>
      <c r="E19" t="s">
        <v>286</v>
      </c>
      <c r="F19" t="s">
        <v>228</v>
      </c>
      <c r="G19" t="s">
        <v>257</v>
      </c>
      <c r="H19" t="s">
        <v>246</v>
      </c>
    </row>
    <row r="20" spans="1:15" x14ac:dyDescent="0.2">
      <c r="A20" s="40"/>
      <c r="B20" t="s">
        <v>190</v>
      </c>
      <c r="C20" t="s">
        <v>19</v>
      </c>
      <c r="D20" t="s">
        <v>27</v>
      </c>
      <c r="E20" t="s">
        <v>286</v>
      </c>
      <c r="F20" t="s">
        <v>63</v>
      </c>
      <c r="G20" t="s">
        <v>228</v>
      </c>
      <c r="H20" t="s">
        <v>124</v>
      </c>
      <c r="I20" t="s">
        <v>257</v>
      </c>
      <c r="J20" t="s">
        <v>246</v>
      </c>
    </row>
    <row r="21" spans="1:15" x14ac:dyDescent="0.2">
      <c r="A21" s="40"/>
      <c r="B21" t="s">
        <v>238</v>
      </c>
      <c r="C21" s="17">
        <v>211393470000</v>
      </c>
      <c r="D21" s="17">
        <v>115231140000</v>
      </c>
      <c r="E21" s="17">
        <v>50824050000</v>
      </c>
      <c r="F21" s="17">
        <v>28987650000</v>
      </c>
      <c r="G21" s="17">
        <v>18998820000</v>
      </c>
      <c r="H21" s="17">
        <v>5619170000</v>
      </c>
      <c r="I21" s="17">
        <v>2307015910</v>
      </c>
      <c r="J21" s="17">
        <v>841710000</v>
      </c>
    </row>
    <row r="22" spans="1:15" x14ac:dyDescent="0.2">
      <c r="A22" s="40" t="s">
        <v>298</v>
      </c>
      <c r="B22" t="s">
        <v>195</v>
      </c>
      <c r="C22" t="s">
        <v>130</v>
      </c>
      <c r="D22" t="s">
        <v>102</v>
      </c>
      <c r="E22" t="s">
        <v>62</v>
      </c>
      <c r="F22" t="s">
        <v>71</v>
      </c>
      <c r="G22" t="s">
        <v>41</v>
      </c>
      <c r="H22" t="s">
        <v>127</v>
      </c>
      <c r="I22" t="s">
        <v>283</v>
      </c>
      <c r="J22" t="s">
        <v>81</v>
      </c>
    </row>
    <row r="23" spans="1:15" x14ac:dyDescent="0.2">
      <c r="A23" s="40"/>
      <c r="B23" t="s">
        <v>194</v>
      </c>
      <c r="C23" t="s">
        <v>130</v>
      </c>
      <c r="D23" t="s">
        <v>102</v>
      </c>
      <c r="E23" t="s">
        <v>62</v>
      </c>
      <c r="F23" t="s">
        <v>71</v>
      </c>
      <c r="G23" t="s">
        <v>41</v>
      </c>
      <c r="H23" t="s">
        <v>127</v>
      </c>
      <c r="I23" t="s">
        <v>283</v>
      </c>
      <c r="J23" t="s">
        <v>81</v>
      </c>
    </row>
    <row r="24" spans="1:15" x14ac:dyDescent="0.2">
      <c r="A24" s="40"/>
      <c r="B24" t="s">
        <v>193</v>
      </c>
      <c r="C24" t="s">
        <v>130</v>
      </c>
      <c r="D24" t="s">
        <v>102</v>
      </c>
      <c r="E24" t="s">
        <v>62</v>
      </c>
      <c r="F24" t="s">
        <v>71</v>
      </c>
      <c r="G24" t="s">
        <v>41</v>
      </c>
      <c r="H24" t="s">
        <v>127</v>
      </c>
      <c r="I24" t="s">
        <v>283</v>
      </c>
      <c r="J24" t="s">
        <v>81</v>
      </c>
      <c r="K24" t="s">
        <v>244</v>
      </c>
    </row>
    <row r="25" spans="1:15" x14ac:dyDescent="0.2">
      <c r="A25" s="40"/>
      <c r="B25" t="s">
        <v>190</v>
      </c>
      <c r="C25" t="s">
        <v>130</v>
      </c>
      <c r="D25" t="s">
        <v>102</v>
      </c>
      <c r="E25" t="s">
        <v>62</v>
      </c>
      <c r="F25" t="s">
        <v>71</v>
      </c>
      <c r="G25" t="s">
        <v>41</v>
      </c>
      <c r="H25" t="s">
        <v>127</v>
      </c>
      <c r="I25" t="s">
        <v>283</v>
      </c>
      <c r="J25" t="s">
        <v>81</v>
      </c>
      <c r="K25" t="s">
        <v>78</v>
      </c>
      <c r="L25" t="s">
        <v>226</v>
      </c>
      <c r="M25" t="s">
        <v>244</v>
      </c>
      <c r="N25" t="s">
        <v>299</v>
      </c>
    </row>
    <row r="26" spans="1:15" x14ac:dyDescent="0.2">
      <c r="A26" s="40"/>
      <c r="B26" t="s">
        <v>238</v>
      </c>
      <c r="C26" s="17">
        <v>281551050000</v>
      </c>
      <c r="D26" s="17">
        <v>103999210000</v>
      </c>
      <c r="E26" s="17">
        <v>74162780000</v>
      </c>
      <c r="F26" s="17">
        <v>60035840000</v>
      </c>
      <c r="G26" s="17">
        <v>16703900000</v>
      </c>
      <c r="H26" s="17">
        <v>11441090000</v>
      </c>
      <c r="I26" s="17">
        <v>8939080000</v>
      </c>
      <c r="J26" s="17">
        <v>8899850000</v>
      </c>
      <c r="K26" s="17">
        <v>1880810000</v>
      </c>
      <c r="L26" s="17">
        <v>869000000</v>
      </c>
      <c r="M26" s="17">
        <v>846550000</v>
      </c>
      <c r="N26" s="17">
        <v>782760000</v>
      </c>
    </row>
    <row r="27" spans="1:15" x14ac:dyDescent="0.2">
      <c r="A27" s="40" t="s">
        <v>285</v>
      </c>
      <c r="B27" t="s">
        <v>195</v>
      </c>
      <c r="C27" t="s">
        <v>201</v>
      </c>
      <c r="D27" t="s">
        <v>268</v>
      </c>
      <c r="E27" t="s">
        <v>286</v>
      </c>
      <c r="F27" t="s">
        <v>262</v>
      </c>
      <c r="G27" t="s">
        <v>269</v>
      </c>
      <c r="H27" t="s">
        <v>121</v>
      </c>
      <c r="I27" t="s">
        <v>245</v>
      </c>
    </row>
    <row r="28" spans="1:15" x14ac:dyDescent="0.2">
      <c r="A28" s="40"/>
      <c r="B28" t="s">
        <v>194</v>
      </c>
      <c r="C28" t="s">
        <v>201</v>
      </c>
      <c r="D28" t="s">
        <v>268</v>
      </c>
      <c r="E28" t="s">
        <v>286</v>
      </c>
      <c r="F28" t="s">
        <v>262</v>
      </c>
      <c r="G28" t="s">
        <v>269</v>
      </c>
      <c r="H28" t="s">
        <v>121</v>
      </c>
      <c r="I28" t="s">
        <v>245</v>
      </c>
    </row>
    <row r="29" spans="1:15" x14ac:dyDescent="0.2">
      <c r="A29" s="40"/>
      <c r="B29" t="s">
        <v>193</v>
      </c>
      <c r="C29" t="s">
        <v>99</v>
      </c>
      <c r="D29" t="s">
        <v>201</v>
      </c>
      <c r="E29" t="s">
        <v>268</v>
      </c>
      <c r="F29" t="s">
        <v>286</v>
      </c>
      <c r="G29" t="s">
        <v>7</v>
      </c>
      <c r="H29" t="s">
        <v>262</v>
      </c>
      <c r="I29" t="s">
        <v>269</v>
      </c>
      <c r="J29" t="s">
        <v>121</v>
      </c>
      <c r="K29" t="s">
        <v>245</v>
      </c>
    </row>
    <row r="30" spans="1:15" x14ac:dyDescent="0.2">
      <c r="A30" s="40"/>
      <c r="B30" t="s">
        <v>190</v>
      </c>
      <c r="C30" t="s">
        <v>19</v>
      </c>
      <c r="D30" t="s">
        <v>99</v>
      </c>
      <c r="E30" t="s">
        <v>10</v>
      </c>
      <c r="F30" t="s">
        <v>201</v>
      </c>
      <c r="G30" t="s">
        <v>11</v>
      </c>
      <c r="H30" t="s">
        <v>268</v>
      </c>
      <c r="I30" t="s">
        <v>286</v>
      </c>
      <c r="J30" t="s">
        <v>7</v>
      </c>
      <c r="K30" t="s">
        <v>30</v>
      </c>
      <c r="L30" t="s">
        <v>262</v>
      </c>
      <c r="M30" t="s">
        <v>269</v>
      </c>
      <c r="N30" t="s">
        <v>121</v>
      </c>
      <c r="O30" t="s">
        <v>245</v>
      </c>
    </row>
    <row r="31" spans="1:15" x14ac:dyDescent="0.2">
      <c r="A31" s="40"/>
      <c r="B31" t="s">
        <v>238</v>
      </c>
      <c r="C31" s="17">
        <v>138670380000</v>
      </c>
      <c r="D31" s="17">
        <v>85920160000</v>
      </c>
      <c r="E31" s="17">
        <v>81698120000</v>
      </c>
      <c r="F31" s="17">
        <v>53602860000</v>
      </c>
      <c r="G31" s="17">
        <v>41272162125</v>
      </c>
      <c r="H31" s="17">
        <v>35814410000</v>
      </c>
      <c r="I31" s="17">
        <v>27648790000</v>
      </c>
      <c r="J31" s="17">
        <v>20685550000</v>
      </c>
      <c r="K31" s="17">
        <v>13367530000</v>
      </c>
      <c r="L31" s="17">
        <v>2673350000</v>
      </c>
      <c r="M31" s="17">
        <v>2467054010</v>
      </c>
      <c r="N31" s="17">
        <v>1443460000</v>
      </c>
      <c r="O31" s="17">
        <v>422023528</v>
      </c>
    </row>
    <row r="32" spans="1:15" x14ac:dyDescent="0.2">
      <c r="A32" s="40" t="s">
        <v>274</v>
      </c>
      <c r="B32" t="s">
        <v>195</v>
      </c>
      <c r="C32" t="s">
        <v>71</v>
      </c>
      <c r="D32" t="s">
        <v>275</v>
      </c>
      <c r="E32" t="s">
        <v>104</v>
      </c>
      <c r="F32" t="s">
        <v>77</v>
      </c>
      <c r="G32" t="s">
        <v>269</v>
      </c>
    </row>
    <row r="33" spans="1:17" x14ac:dyDescent="0.2">
      <c r="A33" s="40"/>
      <c r="B33" t="s">
        <v>194</v>
      </c>
      <c r="C33" t="s">
        <v>71</v>
      </c>
      <c r="D33" t="s">
        <v>275</v>
      </c>
      <c r="E33" t="s">
        <v>104</v>
      </c>
      <c r="F33" t="s">
        <v>77</v>
      </c>
      <c r="G33" t="s">
        <v>269</v>
      </c>
    </row>
    <row r="34" spans="1:17" x14ac:dyDescent="0.2">
      <c r="A34" s="40"/>
      <c r="B34" t="s">
        <v>193</v>
      </c>
      <c r="C34" t="s">
        <v>71</v>
      </c>
      <c r="D34" t="s">
        <v>275</v>
      </c>
      <c r="E34" t="s">
        <v>104</v>
      </c>
      <c r="F34" t="s">
        <v>7</v>
      </c>
      <c r="G34" t="s">
        <v>77</v>
      </c>
      <c r="H34" t="s">
        <v>269</v>
      </c>
      <c r="I34" t="s">
        <v>258</v>
      </c>
      <c r="J34" t="s">
        <v>244</v>
      </c>
    </row>
    <row r="35" spans="1:17" x14ac:dyDescent="0.2">
      <c r="A35" s="40"/>
      <c r="B35" t="s">
        <v>190</v>
      </c>
      <c r="C35" t="s">
        <v>62</v>
      </c>
      <c r="D35" t="s">
        <v>71</v>
      </c>
      <c r="E35" t="s">
        <v>130</v>
      </c>
      <c r="F35" t="s">
        <v>101</v>
      </c>
      <c r="G35" t="s">
        <v>275</v>
      </c>
      <c r="H35" t="s">
        <v>89</v>
      </c>
      <c r="I35" t="s">
        <v>104</v>
      </c>
      <c r="J35" t="s">
        <v>7</v>
      </c>
      <c r="K35" t="s">
        <v>105</v>
      </c>
      <c r="L35" t="s">
        <v>77</v>
      </c>
      <c r="M35" t="s">
        <v>276</v>
      </c>
      <c r="N35" t="s">
        <v>269</v>
      </c>
      <c r="O35" t="s">
        <v>258</v>
      </c>
      <c r="P35" t="s">
        <v>39</v>
      </c>
      <c r="Q35" t="s">
        <v>244</v>
      </c>
    </row>
    <row r="36" spans="1:17" x14ac:dyDescent="0.2">
      <c r="A36" s="40"/>
      <c r="B36" t="s">
        <v>238</v>
      </c>
      <c r="C36" s="17">
        <v>56364050000</v>
      </c>
      <c r="D36" s="17">
        <v>48223480000</v>
      </c>
      <c r="E36" s="17">
        <v>40382370000</v>
      </c>
      <c r="F36" s="17">
        <v>21495320000</v>
      </c>
      <c r="G36" s="17">
        <v>20956640000</v>
      </c>
      <c r="H36" s="17">
        <v>16261026529</v>
      </c>
      <c r="I36" s="17">
        <v>13717280000</v>
      </c>
      <c r="J36" s="17">
        <v>13568810000</v>
      </c>
      <c r="K36" s="17">
        <v>3701990000</v>
      </c>
      <c r="L36" s="17">
        <v>3679300000</v>
      </c>
      <c r="M36" s="17">
        <v>1993001437</v>
      </c>
      <c r="N36" s="17">
        <v>1903755285</v>
      </c>
      <c r="O36" s="17">
        <v>552321818</v>
      </c>
      <c r="P36" s="17">
        <v>522000000</v>
      </c>
      <c r="Q36" s="17">
        <v>455940000</v>
      </c>
    </row>
    <row r="37" spans="1:17" x14ac:dyDescent="0.2">
      <c r="A37" s="40">
        <v>45350</v>
      </c>
      <c r="B37" t="s">
        <v>195</v>
      </c>
      <c r="C37" t="s">
        <v>92</v>
      </c>
      <c r="D37" t="s">
        <v>255</v>
      </c>
      <c r="E37" t="s">
        <v>229</v>
      </c>
      <c r="F37" t="s">
        <v>257</v>
      </c>
    </row>
    <row r="38" spans="1:17" x14ac:dyDescent="0.2">
      <c r="A38" s="40"/>
      <c r="B38" t="s">
        <v>194</v>
      </c>
      <c r="C38" t="s">
        <v>92</v>
      </c>
      <c r="D38" t="s">
        <v>255</v>
      </c>
      <c r="E38" t="s">
        <v>229</v>
      </c>
      <c r="F38" t="s">
        <v>257</v>
      </c>
    </row>
    <row r="39" spans="1:17" x14ac:dyDescent="0.2">
      <c r="A39" s="40"/>
      <c r="B39" t="s">
        <v>193</v>
      </c>
      <c r="C39" t="s">
        <v>69</v>
      </c>
      <c r="D39" t="s">
        <v>74</v>
      </c>
      <c r="E39" t="s">
        <v>92</v>
      </c>
      <c r="F39" t="s">
        <v>70</v>
      </c>
      <c r="G39" t="s">
        <v>255</v>
      </c>
      <c r="H39" t="s">
        <v>229</v>
      </c>
      <c r="I39" t="s">
        <v>257</v>
      </c>
      <c r="J39" t="s">
        <v>258</v>
      </c>
      <c r="K39" t="s">
        <v>244</v>
      </c>
    </row>
    <row r="40" spans="1:17" x14ac:dyDescent="0.2">
      <c r="A40" s="40"/>
      <c r="B40" t="s">
        <v>190</v>
      </c>
      <c r="C40" t="s">
        <v>69</v>
      </c>
      <c r="D40" t="s">
        <v>74</v>
      </c>
      <c r="E40" t="s">
        <v>92</v>
      </c>
      <c r="F40" t="s">
        <v>14</v>
      </c>
      <c r="G40" t="s">
        <v>70</v>
      </c>
      <c r="H40" t="s">
        <v>65</v>
      </c>
      <c r="I40" t="s">
        <v>255</v>
      </c>
      <c r="J40" t="s">
        <v>229</v>
      </c>
      <c r="K40" t="s">
        <v>105</v>
      </c>
      <c r="L40" t="s">
        <v>256</v>
      </c>
      <c r="M40" t="s">
        <v>257</v>
      </c>
      <c r="N40" t="s">
        <v>258</v>
      </c>
      <c r="O40" t="s">
        <v>244</v>
      </c>
      <c r="P40" t="s">
        <v>259</v>
      </c>
    </row>
    <row r="41" spans="1:17" x14ac:dyDescent="0.2">
      <c r="A41" s="40"/>
      <c r="B41" t="s">
        <v>238</v>
      </c>
      <c r="C41" s="17">
        <v>42955320000</v>
      </c>
      <c r="D41" s="17">
        <v>38130650000</v>
      </c>
      <c r="E41" s="17">
        <v>28343720000</v>
      </c>
      <c r="F41" s="17">
        <v>22197880000</v>
      </c>
      <c r="G41" s="17">
        <v>14600250000</v>
      </c>
      <c r="H41" s="17">
        <v>9716260000</v>
      </c>
      <c r="I41" s="17">
        <v>6536560000</v>
      </c>
      <c r="J41" s="17">
        <v>6269910000</v>
      </c>
      <c r="K41" s="17">
        <v>2628990000</v>
      </c>
      <c r="L41" s="17">
        <v>2605770000</v>
      </c>
      <c r="M41" s="17">
        <v>2265004181</v>
      </c>
      <c r="N41" s="17">
        <v>429179852</v>
      </c>
      <c r="O41" s="17">
        <v>315150000</v>
      </c>
      <c r="P41" s="17">
        <v>46380000</v>
      </c>
    </row>
    <row r="42" spans="1:17" x14ac:dyDescent="0.2">
      <c r="A42" s="40" t="s">
        <v>242</v>
      </c>
      <c r="B42" t="s">
        <v>195</v>
      </c>
      <c r="C42" t="s">
        <v>16</v>
      </c>
      <c r="D42" t="s">
        <v>196</v>
      </c>
      <c r="E42" t="s">
        <v>209</v>
      </c>
      <c r="F42" t="s">
        <v>122</v>
      </c>
      <c r="G42" t="s">
        <v>245</v>
      </c>
      <c r="H42" t="s">
        <v>246</v>
      </c>
    </row>
    <row r="43" spans="1:17" x14ac:dyDescent="0.2">
      <c r="A43" s="40"/>
      <c r="B43" t="s">
        <v>194</v>
      </c>
      <c r="C43" t="s">
        <v>16</v>
      </c>
      <c r="D43" t="s">
        <v>196</v>
      </c>
      <c r="E43" t="s">
        <v>209</v>
      </c>
      <c r="F43" t="s">
        <v>122</v>
      </c>
      <c r="G43" t="s">
        <v>245</v>
      </c>
      <c r="H43" t="s">
        <v>246</v>
      </c>
    </row>
    <row r="44" spans="1:17" x14ac:dyDescent="0.2">
      <c r="A44" s="40"/>
      <c r="B44" t="s">
        <v>193</v>
      </c>
      <c r="C44" t="s">
        <v>16</v>
      </c>
      <c r="D44" t="s">
        <v>196</v>
      </c>
      <c r="E44" t="s">
        <v>209</v>
      </c>
      <c r="F44" t="s">
        <v>31</v>
      </c>
      <c r="G44" t="s">
        <v>122</v>
      </c>
      <c r="H44" t="s">
        <v>243</v>
      </c>
      <c r="I44" t="s">
        <v>244</v>
      </c>
      <c r="J44" t="s">
        <v>245</v>
      </c>
      <c r="K44" t="s">
        <v>246</v>
      </c>
    </row>
    <row r="45" spans="1:17" x14ac:dyDescent="0.2">
      <c r="A45" s="40"/>
      <c r="B45" t="s">
        <v>190</v>
      </c>
      <c r="C45" t="s">
        <v>16</v>
      </c>
      <c r="D45" t="s">
        <v>196</v>
      </c>
      <c r="E45" t="s">
        <v>11</v>
      </c>
      <c r="F45" t="s">
        <v>209</v>
      </c>
      <c r="G45" t="s">
        <v>31</v>
      </c>
      <c r="H45" t="s">
        <v>122</v>
      </c>
      <c r="I45" t="s">
        <v>243</v>
      </c>
      <c r="J45" t="s">
        <v>106</v>
      </c>
      <c r="K45" t="s">
        <v>244</v>
      </c>
      <c r="L45" t="s">
        <v>245</v>
      </c>
      <c r="M45" t="s">
        <v>246</v>
      </c>
    </row>
    <row r="46" spans="1:17" x14ac:dyDescent="0.2">
      <c r="A46" s="40"/>
      <c r="B46" t="s">
        <v>238</v>
      </c>
      <c r="C46" s="17">
        <v>452399350000</v>
      </c>
      <c r="D46" s="17">
        <v>53348090000</v>
      </c>
      <c r="E46" s="17">
        <v>25294257373</v>
      </c>
      <c r="F46" s="17">
        <v>21289620000</v>
      </c>
      <c r="G46" s="17">
        <v>9532450000</v>
      </c>
      <c r="H46" s="17">
        <v>5285772619</v>
      </c>
      <c r="I46" s="17">
        <v>4987160000</v>
      </c>
      <c r="J46" s="17">
        <v>2414669713</v>
      </c>
      <c r="K46" s="17">
        <v>208890000</v>
      </c>
      <c r="L46" s="17">
        <v>169260785</v>
      </c>
      <c r="M46" s="17">
        <v>99790000</v>
      </c>
    </row>
    <row r="47" spans="1:17" x14ac:dyDescent="0.2">
      <c r="A47" s="40" t="s">
        <v>234</v>
      </c>
      <c r="B47" t="s">
        <v>195</v>
      </c>
      <c r="C47" t="s">
        <v>29</v>
      </c>
      <c r="D47" t="s">
        <v>9</v>
      </c>
      <c r="E47" t="s">
        <v>8</v>
      </c>
      <c r="F47" t="s">
        <v>110</v>
      </c>
      <c r="G47" t="s">
        <v>111</v>
      </c>
      <c r="H47" t="s">
        <v>235</v>
      </c>
    </row>
    <row r="48" spans="1:17" x14ac:dyDescent="0.2">
      <c r="A48" s="40"/>
      <c r="B48" t="s">
        <v>194</v>
      </c>
      <c r="C48" t="s">
        <v>29</v>
      </c>
      <c r="D48" t="s">
        <v>9</v>
      </c>
      <c r="E48" t="s">
        <v>8</v>
      </c>
      <c r="F48" t="s">
        <v>110</v>
      </c>
      <c r="G48" t="s">
        <v>111</v>
      </c>
      <c r="H48" t="s">
        <v>235</v>
      </c>
    </row>
    <row r="49" spans="1:17" x14ac:dyDescent="0.2">
      <c r="A49" s="40"/>
      <c r="B49" t="s">
        <v>193</v>
      </c>
      <c r="C49" t="s">
        <v>29</v>
      </c>
      <c r="D49" t="s">
        <v>9</v>
      </c>
      <c r="E49" t="s">
        <v>8</v>
      </c>
      <c r="F49" t="s">
        <v>110</v>
      </c>
      <c r="G49" t="s">
        <v>111</v>
      </c>
      <c r="H49" t="s">
        <v>235</v>
      </c>
    </row>
    <row r="50" spans="1:17" x14ac:dyDescent="0.2">
      <c r="A50" s="40"/>
      <c r="B50" t="s">
        <v>190</v>
      </c>
      <c r="C50" t="s">
        <v>29</v>
      </c>
      <c r="D50" t="s">
        <v>9</v>
      </c>
      <c r="E50" t="s">
        <v>93</v>
      </c>
      <c r="F50" t="s">
        <v>8</v>
      </c>
      <c r="G50" t="s">
        <v>7</v>
      </c>
      <c r="H50" t="s">
        <v>124</v>
      </c>
      <c r="I50" t="s">
        <v>110</v>
      </c>
      <c r="J50" t="s">
        <v>111</v>
      </c>
      <c r="K50" t="s">
        <v>226</v>
      </c>
      <c r="L50" t="s">
        <v>235</v>
      </c>
    </row>
    <row r="51" spans="1:17" x14ac:dyDescent="0.2">
      <c r="A51" s="40"/>
      <c r="B51" t="s">
        <v>238</v>
      </c>
      <c r="C51" s="17">
        <v>214884360000</v>
      </c>
      <c r="D51" s="17">
        <v>134071960000</v>
      </c>
      <c r="E51" s="17">
        <v>26246970000</v>
      </c>
      <c r="F51" s="17">
        <v>20209053721</v>
      </c>
      <c r="G51" s="17">
        <v>4611610000</v>
      </c>
      <c r="H51" s="17">
        <v>4110650000</v>
      </c>
      <c r="I51" s="17">
        <v>1663173736</v>
      </c>
      <c r="J51" s="17">
        <v>976849611</v>
      </c>
      <c r="K51" s="17">
        <v>617810000</v>
      </c>
      <c r="L51" s="17">
        <v>-60000</v>
      </c>
    </row>
    <row r="52" spans="1:17" x14ac:dyDescent="0.2">
      <c r="A52" s="40" t="s">
        <v>197</v>
      </c>
      <c r="B52" t="s">
        <v>195</v>
      </c>
      <c r="C52" t="s">
        <v>128</v>
      </c>
      <c r="D52" t="s">
        <v>221</v>
      </c>
      <c r="E52" t="s">
        <v>223</v>
      </c>
      <c r="F52" t="s">
        <v>192</v>
      </c>
      <c r="G52" t="s">
        <v>224</v>
      </c>
      <c r="H52" t="s">
        <v>225</v>
      </c>
      <c r="I52" t="s">
        <v>191</v>
      </c>
      <c r="J52" t="s">
        <v>110</v>
      </c>
      <c r="K52" t="s">
        <v>35</v>
      </c>
    </row>
    <row r="53" spans="1:17" x14ac:dyDescent="0.2">
      <c r="A53" s="40"/>
      <c r="B53" t="s">
        <v>194</v>
      </c>
      <c r="C53" t="s">
        <v>128</v>
      </c>
      <c r="D53" t="s">
        <v>221</v>
      </c>
      <c r="E53" t="s">
        <v>223</v>
      </c>
      <c r="F53" t="s">
        <v>192</v>
      </c>
      <c r="G53" t="s">
        <v>224</v>
      </c>
      <c r="H53" t="s">
        <v>225</v>
      </c>
      <c r="I53" t="s">
        <v>191</v>
      </c>
      <c r="J53" t="s">
        <v>110</v>
      </c>
      <c r="K53" t="s">
        <v>35</v>
      </c>
    </row>
    <row r="54" spans="1:17" x14ac:dyDescent="0.2">
      <c r="A54" s="40"/>
      <c r="B54" t="s">
        <v>193</v>
      </c>
      <c r="C54" t="s">
        <v>29</v>
      </c>
      <c r="D54" t="s">
        <v>128</v>
      </c>
      <c r="E54" t="s">
        <v>25</v>
      </c>
      <c r="F54" t="s">
        <v>221</v>
      </c>
      <c r="G54" t="s">
        <v>223</v>
      </c>
      <c r="H54" t="s">
        <v>192</v>
      </c>
      <c r="I54" t="s">
        <v>224</v>
      </c>
      <c r="J54" t="s">
        <v>225</v>
      </c>
      <c r="K54" t="s">
        <v>191</v>
      </c>
      <c r="L54" t="s">
        <v>110</v>
      </c>
      <c r="M54" t="s">
        <v>35</v>
      </c>
    </row>
    <row r="55" spans="1:17" x14ac:dyDescent="0.2">
      <c r="A55" s="40"/>
      <c r="B55" t="s">
        <v>190</v>
      </c>
      <c r="C55" t="s">
        <v>29</v>
      </c>
      <c r="D55" t="s">
        <v>128</v>
      </c>
      <c r="E55" t="s">
        <v>22</v>
      </c>
      <c r="F55" t="s">
        <v>25</v>
      </c>
      <c r="G55" t="s">
        <v>221</v>
      </c>
      <c r="H55" t="s">
        <v>222</v>
      </c>
      <c r="I55" t="s">
        <v>223</v>
      </c>
      <c r="J55" t="s">
        <v>192</v>
      </c>
      <c r="K55" t="s">
        <v>224</v>
      </c>
      <c r="L55" t="s">
        <v>31</v>
      </c>
      <c r="M55" t="s">
        <v>225</v>
      </c>
      <c r="N55" t="s">
        <v>191</v>
      </c>
      <c r="O55" t="s">
        <v>110</v>
      </c>
      <c r="P55" t="s">
        <v>226</v>
      </c>
      <c r="Q55" t="s">
        <v>35</v>
      </c>
    </row>
    <row r="56" spans="1:17" x14ac:dyDescent="0.2">
      <c r="A56" s="40"/>
      <c r="C56" s="17">
        <v>119567200000</v>
      </c>
      <c r="D56" s="17">
        <v>95431180000</v>
      </c>
      <c r="E56" s="17">
        <v>46414639320</v>
      </c>
      <c r="F56" s="17">
        <v>36777190000</v>
      </c>
      <c r="G56" s="17">
        <v>32682860000</v>
      </c>
      <c r="H56" s="17">
        <v>23894200000</v>
      </c>
      <c r="I56" s="17">
        <v>12659780000</v>
      </c>
      <c r="J56" s="17">
        <v>9695430000</v>
      </c>
      <c r="K56" s="17">
        <v>3212480000</v>
      </c>
      <c r="L56" s="17">
        <v>2398650000</v>
      </c>
      <c r="M56" s="17">
        <v>1984768519</v>
      </c>
      <c r="N56" s="17">
        <v>1981714838</v>
      </c>
      <c r="O56" s="17">
        <v>1311605591</v>
      </c>
      <c r="P56" s="17">
        <v>506470000</v>
      </c>
      <c r="Q56" s="17">
        <v>99895720</v>
      </c>
    </row>
    <row r="57" spans="1:17" x14ac:dyDescent="0.2">
      <c r="A57" s="40"/>
    </row>
    <row r="70" spans="1:1" x14ac:dyDescent="0.2">
      <c r="A70" t="s">
        <v>199</v>
      </c>
    </row>
  </sheetData>
  <mergeCells count="11">
    <mergeCell ref="A2:A6"/>
    <mergeCell ref="A52:A57"/>
    <mergeCell ref="A47:A51"/>
    <mergeCell ref="A42:A46"/>
    <mergeCell ref="A37:A41"/>
    <mergeCell ref="A32:A36"/>
    <mergeCell ref="A7:A11"/>
    <mergeCell ref="A12:A16"/>
    <mergeCell ref="A17:A21"/>
    <mergeCell ref="A22:A26"/>
    <mergeCell ref="A27:A3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FFD4-60EC-7543-AB9E-966DAB3621FA}">
  <dimension ref="A1:Y74"/>
  <sheetViews>
    <sheetView workbookViewId="0">
      <selection activeCell="A2" sqref="A2:A6"/>
    </sheetView>
  </sheetViews>
  <sheetFormatPr baseColWidth="10" defaultRowHeight="16" x14ac:dyDescent="0.2"/>
  <cols>
    <col min="3" max="3" width="20.83203125" customWidth="1"/>
    <col min="4" max="4" width="20" customWidth="1"/>
    <col min="5" max="5" width="14.1640625" customWidth="1"/>
    <col min="6" max="6" width="18" customWidth="1"/>
    <col min="7" max="8" width="15.33203125" customWidth="1"/>
    <col min="9" max="9" width="14.1640625" customWidth="1"/>
    <col min="10" max="10" width="15.6640625" customWidth="1"/>
    <col min="11" max="11" width="18.6640625" customWidth="1"/>
    <col min="12" max="12" width="14.6640625" customWidth="1"/>
    <col min="13" max="13" width="15.5" customWidth="1"/>
    <col min="14" max="15" width="17.5" customWidth="1"/>
    <col min="16" max="16" width="14.33203125" customWidth="1"/>
    <col min="17" max="17" width="14.6640625" customWidth="1"/>
    <col min="18" max="18" width="15" customWidth="1"/>
    <col min="19" max="19" width="16.33203125" customWidth="1"/>
    <col min="20" max="20" width="17.5" customWidth="1"/>
    <col min="21" max="21" width="16.5" customWidth="1"/>
  </cols>
  <sheetData>
    <row r="1" spans="1:11" x14ac:dyDescent="0.2">
      <c r="A1" s="29" t="s">
        <v>137</v>
      </c>
      <c r="B1" s="28" t="s">
        <v>198</v>
      </c>
    </row>
    <row r="2" spans="1:11" x14ac:dyDescent="0.2">
      <c r="A2" s="40">
        <v>45359</v>
      </c>
      <c r="B2" t="s">
        <v>195</v>
      </c>
      <c r="C2" t="s">
        <v>228</v>
      </c>
      <c r="D2" t="s">
        <v>281</v>
      </c>
      <c r="E2" t="s">
        <v>306</v>
      </c>
    </row>
    <row r="3" spans="1:11" x14ac:dyDescent="0.2">
      <c r="A3" s="40"/>
      <c r="B3" t="s">
        <v>194</v>
      </c>
      <c r="C3" t="s">
        <v>228</v>
      </c>
      <c r="D3" t="s">
        <v>281</v>
      </c>
      <c r="E3" t="s">
        <v>306</v>
      </c>
    </row>
    <row r="4" spans="1:11" x14ac:dyDescent="0.2">
      <c r="A4" s="40"/>
      <c r="B4" t="s">
        <v>193</v>
      </c>
      <c r="C4" t="s">
        <v>130</v>
      </c>
      <c r="D4" t="s">
        <v>228</v>
      </c>
      <c r="E4" t="s">
        <v>281</v>
      </c>
      <c r="F4" t="s">
        <v>306</v>
      </c>
    </row>
    <row r="5" spans="1:11" x14ac:dyDescent="0.2">
      <c r="A5" s="40"/>
      <c r="B5" t="s">
        <v>190</v>
      </c>
      <c r="C5" t="s">
        <v>130</v>
      </c>
      <c r="D5" t="s">
        <v>101</v>
      </c>
      <c r="E5" t="s">
        <v>228</v>
      </c>
      <c r="F5" t="s">
        <v>281</v>
      </c>
      <c r="G5" t="s">
        <v>306</v>
      </c>
      <c r="H5" t="s">
        <v>62</v>
      </c>
      <c r="I5" t="s">
        <v>319</v>
      </c>
      <c r="J5" t="s">
        <v>119</v>
      </c>
    </row>
    <row r="6" spans="1:11" x14ac:dyDescent="0.2">
      <c r="A6" s="40"/>
      <c r="B6" t="s">
        <v>238</v>
      </c>
      <c r="C6" s="17">
        <v>-80455250000</v>
      </c>
      <c r="D6" s="17">
        <v>-28149660000</v>
      </c>
      <c r="E6" s="17">
        <v>-14664330000</v>
      </c>
      <c r="F6" s="17">
        <v>-14415900000</v>
      </c>
      <c r="G6" s="17">
        <v>-10755440260</v>
      </c>
      <c r="H6" s="17">
        <v>-8453780000</v>
      </c>
      <c r="I6" s="17">
        <v>-982660000</v>
      </c>
      <c r="J6" s="17">
        <v>-31620000</v>
      </c>
    </row>
    <row r="7" spans="1:11" x14ac:dyDescent="0.2">
      <c r="A7" s="40" t="s">
        <v>314</v>
      </c>
      <c r="B7" t="s">
        <v>195</v>
      </c>
      <c r="C7" t="s">
        <v>25</v>
      </c>
      <c r="D7" t="s">
        <v>102</v>
      </c>
      <c r="E7" t="s">
        <v>283</v>
      </c>
      <c r="F7" t="s">
        <v>81</v>
      </c>
      <c r="G7" t="s">
        <v>290</v>
      </c>
    </row>
    <row r="8" spans="1:11" x14ac:dyDescent="0.2">
      <c r="A8" s="40"/>
      <c r="B8" t="s">
        <v>194</v>
      </c>
      <c r="C8" t="s">
        <v>25</v>
      </c>
      <c r="D8" t="s">
        <v>102</v>
      </c>
      <c r="E8" t="s">
        <v>283</v>
      </c>
      <c r="F8" t="s">
        <v>81</v>
      </c>
      <c r="G8" t="s">
        <v>290</v>
      </c>
    </row>
    <row r="9" spans="1:11" x14ac:dyDescent="0.2">
      <c r="A9" s="40"/>
      <c r="B9" t="s">
        <v>193</v>
      </c>
      <c r="C9" t="s">
        <v>25</v>
      </c>
      <c r="D9" t="s">
        <v>102</v>
      </c>
      <c r="E9" t="s">
        <v>283</v>
      </c>
      <c r="F9" t="s">
        <v>81</v>
      </c>
      <c r="G9" t="s">
        <v>290</v>
      </c>
    </row>
    <row r="10" spans="1:11" x14ac:dyDescent="0.2">
      <c r="A10" s="40"/>
      <c r="B10" t="s">
        <v>190</v>
      </c>
      <c r="C10" t="s">
        <v>25</v>
      </c>
      <c r="D10" t="s">
        <v>102</v>
      </c>
      <c r="E10" t="s">
        <v>286</v>
      </c>
      <c r="F10" t="s">
        <v>124</v>
      </c>
      <c r="G10" t="s">
        <v>283</v>
      </c>
      <c r="H10" t="s">
        <v>107</v>
      </c>
      <c r="I10" t="s">
        <v>81</v>
      </c>
      <c r="J10" t="s">
        <v>290</v>
      </c>
      <c r="K10" t="s">
        <v>44</v>
      </c>
    </row>
    <row r="11" spans="1:11" x14ac:dyDescent="0.2">
      <c r="A11" s="40"/>
      <c r="B11" t="s">
        <v>238</v>
      </c>
      <c r="C11" s="17">
        <v>-153327650000</v>
      </c>
      <c r="D11" s="17">
        <v>-74696900000</v>
      </c>
      <c r="E11" s="17">
        <v>-20167830000</v>
      </c>
      <c r="F11" s="17">
        <v>-8478460000</v>
      </c>
      <c r="G11" s="17">
        <v>-6378960000</v>
      </c>
      <c r="H11" s="17">
        <v>-5652840000</v>
      </c>
      <c r="I11" s="17">
        <v>-5187450000</v>
      </c>
      <c r="J11" s="17">
        <v>-3213940000</v>
      </c>
      <c r="K11" s="17">
        <v>-1404780000</v>
      </c>
    </row>
    <row r="12" spans="1:11" x14ac:dyDescent="0.2">
      <c r="A12" s="40" t="s">
        <v>305</v>
      </c>
      <c r="B12" t="s">
        <v>195</v>
      </c>
      <c r="C12" t="s">
        <v>268</v>
      </c>
      <c r="D12" t="s">
        <v>307</v>
      </c>
    </row>
    <row r="13" spans="1:11" x14ac:dyDescent="0.2">
      <c r="A13" s="40"/>
      <c r="B13" t="s">
        <v>194</v>
      </c>
      <c r="C13" t="s">
        <v>268</v>
      </c>
      <c r="D13" t="s">
        <v>307</v>
      </c>
    </row>
    <row r="14" spans="1:11" x14ac:dyDescent="0.2">
      <c r="A14" s="40"/>
      <c r="B14" t="s">
        <v>193</v>
      </c>
      <c r="C14" t="s">
        <v>10</v>
      </c>
      <c r="D14" t="s">
        <v>268</v>
      </c>
      <c r="E14" t="s">
        <v>307</v>
      </c>
    </row>
    <row r="15" spans="1:11" x14ac:dyDescent="0.2">
      <c r="A15" s="40"/>
      <c r="B15" t="s">
        <v>190</v>
      </c>
      <c r="C15" t="s">
        <v>28</v>
      </c>
      <c r="D15" t="s">
        <v>10</v>
      </c>
      <c r="E15" t="s">
        <v>268</v>
      </c>
      <c r="F15" t="s">
        <v>201</v>
      </c>
      <c r="G15" t="s">
        <v>307</v>
      </c>
      <c r="H15" t="s">
        <v>44</v>
      </c>
    </row>
    <row r="16" spans="1:11" x14ac:dyDescent="0.2">
      <c r="A16" s="40"/>
      <c r="B16" t="s">
        <v>238</v>
      </c>
      <c r="C16" s="17">
        <v>-215915230000</v>
      </c>
      <c r="D16" s="17">
        <v>-55145180000</v>
      </c>
      <c r="E16" s="17">
        <v>-28235990000</v>
      </c>
      <c r="F16" s="17">
        <v>-12648380000</v>
      </c>
      <c r="G16" s="17">
        <v>-4885182781</v>
      </c>
      <c r="H16" s="17">
        <v>-1098380000</v>
      </c>
    </row>
    <row r="17" spans="1:19" x14ac:dyDescent="0.2">
      <c r="A17" s="40" t="s">
        <v>302</v>
      </c>
      <c r="B17" t="s">
        <v>195</v>
      </c>
      <c r="C17" t="s">
        <v>92</v>
      </c>
      <c r="D17" t="s">
        <v>122</v>
      </c>
    </row>
    <row r="18" spans="1:19" x14ac:dyDescent="0.2">
      <c r="A18" s="40"/>
      <c r="B18" t="s">
        <v>194</v>
      </c>
      <c r="C18" t="s">
        <v>92</v>
      </c>
      <c r="D18" t="s">
        <v>122</v>
      </c>
    </row>
    <row r="19" spans="1:19" x14ac:dyDescent="0.2">
      <c r="A19" s="40"/>
      <c r="B19" t="s">
        <v>193</v>
      </c>
      <c r="C19" t="s">
        <v>92</v>
      </c>
      <c r="D19" t="s">
        <v>122</v>
      </c>
    </row>
    <row r="20" spans="1:19" x14ac:dyDescent="0.2">
      <c r="A20" s="40"/>
      <c r="B20" t="s">
        <v>190</v>
      </c>
      <c r="C20" t="s">
        <v>5</v>
      </c>
      <c r="D20" t="s">
        <v>92</v>
      </c>
      <c r="E20" t="s">
        <v>288</v>
      </c>
      <c r="F20" t="s">
        <v>122</v>
      </c>
      <c r="G20" t="s">
        <v>111</v>
      </c>
    </row>
    <row r="21" spans="1:19" x14ac:dyDescent="0.2">
      <c r="A21" s="40"/>
      <c r="B21" t="s">
        <v>238</v>
      </c>
      <c r="C21" s="17">
        <v>-136097160000</v>
      </c>
      <c r="D21" s="17">
        <v>-17579700000</v>
      </c>
      <c r="E21" s="17">
        <v>-8695450000</v>
      </c>
      <c r="F21" s="17">
        <v>-2125295705</v>
      </c>
      <c r="G21" s="17">
        <v>-466372634</v>
      </c>
    </row>
    <row r="22" spans="1:19" x14ac:dyDescent="0.2">
      <c r="A22" s="40" t="s">
        <v>298</v>
      </c>
      <c r="B22" t="s">
        <v>195</v>
      </c>
      <c r="C22" t="s">
        <v>74</v>
      </c>
      <c r="D22" t="s">
        <v>196</v>
      </c>
      <c r="E22" t="s">
        <v>287</v>
      </c>
      <c r="F22" t="s">
        <v>45</v>
      </c>
      <c r="G22" t="s">
        <v>281</v>
      </c>
      <c r="H22" t="s">
        <v>262</v>
      </c>
      <c r="I22" t="s">
        <v>229</v>
      </c>
      <c r="J22" t="s">
        <v>122</v>
      </c>
      <c r="K22" t="s">
        <v>106</v>
      </c>
      <c r="L22" t="s">
        <v>256</v>
      </c>
    </row>
    <row r="23" spans="1:19" x14ac:dyDescent="0.2">
      <c r="A23" s="40"/>
      <c r="B23" t="s">
        <v>194</v>
      </c>
      <c r="C23" t="s">
        <v>74</v>
      </c>
      <c r="D23" t="s">
        <v>196</v>
      </c>
      <c r="E23" t="s">
        <v>287</v>
      </c>
      <c r="F23" t="s">
        <v>45</v>
      </c>
      <c r="G23" t="s">
        <v>281</v>
      </c>
      <c r="H23" t="s">
        <v>262</v>
      </c>
      <c r="I23" t="s">
        <v>229</v>
      </c>
      <c r="J23" t="s">
        <v>122</v>
      </c>
      <c r="K23" t="s">
        <v>106</v>
      </c>
      <c r="L23" t="s">
        <v>256</v>
      </c>
    </row>
    <row r="24" spans="1:19" x14ac:dyDescent="0.2">
      <c r="A24" s="40"/>
      <c r="B24" t="s">
        <v>193</v>
      </c>
      <c r="C24" t="s">
        <v>74</v>
      </c>
      <c r="D24" t="s">
        <v>73</v>
      </c>
      <c r="E24" t="s">
        <v>222</v>
      </c>
      <c r="F24" t="s">
        <v>196</v>
      </c>
      <c r="G24" t="s">
        <v>287</v>
      </c>
      <c r="H24" t="s">
        <v>45</v>
      </c>
      <c r="I24" t="s">
        <v>281</v>
      </c>
      <c r="J24" t="s">
        <v>262</v>
      </c>
      <c r="K24" t="s">
        <v>229</v>
      </c>
      <c r="L24" t="s">
        <v>122</v>
      </c>
      <c r="M24" t="s">
        <v>106</v>
      </c>
      <c r="N24" t="s">
        <v>256</v>
      </c>
    </row>
    <row r="25" spans="1:19" x14ac:dyDescent="0.2">
      <c r="A25" s="40"/>
      <c r="B25" t="s">
        <v>190</v>
      </c>
      <c r="C25" t="s">
        <v>74</v>
      </c>
      <c r="D25" t="s">
        <v>29</v>
      </c>
      <c r="E25" t="s">
        <v>73</v>
      </c>
      <c r="F25" t="s">
        <v>222</v>
      </c>
      <c r="G25" t="s">
        <v>196</v>
      </c>
      <c r="H25" t="s">
        <v>287</v>
      </c>
      <c r="I25" t="s">
        <v>45</v>
      </c>
      <c r="J25" t="s">
        <v>281</v>
      </c>
      <c r="K25" t="s">
        <v>70</v>
      </c>
      <c r="L25" t="s">
        <v>262</v>
      </c>
      <c r="M25" t="s">
        <v>229</v>
      </c>
      <c r="N25" t="s">
        <v>122</v>
      </c>
      <c r="O25" t="s">
        <v>106</v>
      </c>
      <c r="P25" t="s">
        <v>279</v>
      </c>
      <c r="Q25" t="s">
        <v>256</v>
      </c>
      <c r="R25" t="s">
        <v>224</v>
      </c>
      <c r="S25" t="s">
        <v>231</v>
      </c>
    </row>
    <row r="26" spans="1:19" x14ac:dyDescent="0.2">
      <c r="A26" s="40"/>
      <c r="B26" t="s">
        <v>238</v>
      </c>
      <c r="C26" s="17">
        <v>-88574230000</v>
      </c>
      <c r="D26" s="17">
        <v>-58101350000</v>
      </c>
      <c r="E26" s="17">
        <v>-47999440000</v>
      </c>
      <c r="F26" s="17">
        <v>-39558190000</v>
      </c>
      <c r="G26" s="17">
        <v>-32323020000</v>
      </c>
      <c r="H26" s="17">
        <v>-13033240000</v>
      </c>
      <c r="I26" s="17">
        <v>-10497320000</v>
      </c>
      <c r="J26" s="17">
        <v>-10289320000</v>
      </c>
      <c r="K26" s="17">
        <v>-6878010000</v>
      </c>
      <c r="L26" s="17">
        <v>-4560730000</v>
      </c>
      <c r="M26" s="17">
        <v>-3281270000</v>
      </c>
      <c r="N26" s="17">
        <v>-2060316448</v>
      </c>
      <c r="O26" s="17">
        <v>-1941055900</v>
      </c>
      <c r="P26" s="17">
        <v>-1492380000</v>
      </c>
      <c r="Q26" s="17">
        <v>-1070140000</v>
      </c>
      <c r="R26" s="17">
        <v>-455040000</v>
      </c>
      <c r="S26" s="17">
        <v>-440840000</v>
      </c>
    </row>
    <row r="27" spans="1:19" x14ac:dyDescent="0.2">
      <c r="A27" s="40" t="s">
        <v>285</v>
      </c>
      <c r="B27" t="s">
        <v>195</v>
      </c>
      <c r="C27" t="s">
        <v>25</v>
      </c>
      <c r="D27" t="s">
        <v>32</v>
      </c>
      <c r="E27" t="s">
        <v>209</v>
      </c>
      <c r="F27" t="s">
        <v>287</v>
      </c>
      <c r="G27" t="s">
        <v>281</v>
      </c>
      <c r="H27" t="s">
        <v>108</v>
      </c>
      <c r="I27" t="s">
        <v>45</v>
      </c>
      <c r="J27" t="s">
        <v>232</v>
      </c>
    </row>
    <row r="28" spans="1:19" x14ac:dyDescent="0.2">
      <c r="A28" s="40"/>
      <c r="B28" t="s">
        <v>194</v>
      </c>
      <c r="C28" t="s">
        <v>25</v>
      </c>
      <c r="D28" t="s">
        <v>32</v>
      </c>
      <c r="E28" t="s">
        <v>209</v>
      </c>
      <c r="F28" t="s">
        <v>287</v>
      </c>
      <c r="G28" t="s">
        <v>281</v>
      </c>
      <c r="H28" t="s">
        <v>108</v>
      </c>
      <c r="I28" t="s">
        <v>45</v>
      </c>
      <c r="J28" t="s">
        <v>232</v>
      </c>
    </row>
    <row r="29" spans="1:19" x14ac:dyDescent="0.2">
      <c r="A29" s="40"/>
      <c r="B29" t="s">
        <v>193</v>
      </c>
      <c r="C29" t="s">
        <v>25</v>
      </c>
      <c r="D29" t="s">
        <v>32</v>
      </c>
      <c r="E29" t="s">
        <v>209</v>
      </c>
      <c r="F29" t="s">
        <v>287</v>
      </c>
      <c r="G29" t="s">
        <v>281</v>
      </c>
      <c r="H29" t="s">
        <v>108</v>
      </c>
      <c r="I29" t="s">
        <v>45</v>
      </c>
      <c r="J29" t="s">
        <v>232</v>
      </c>
    </row>
    <row r="30" spans="1:19" x14ac:dyDescent="0.2">
      <c r="A30" s="40"/>
      <c r="B30" t="s">
        <v>190</v>
      </c>
      <c r="C30" t="s">
        <v>25</v>
      </c>
      <c r="D30" t="s">
        <v>32</v>
      </c>
      <c r="E30" t="s">
        <v>71</v>
      </c>
      <c r="F30" t="s">
        <v>209</v>
      </c>
      <c r="G30" t="s">
        <v>287</v>
      </c>
      <c r="H30" t="s">
        <v>281</v>
      </c>
      <c r="I30" t="s">
        <v>22</v>
      </c>
      <c r="J30" t="s">
        <v>108</v>
      </c>
      <c r="K30" t="s">
        <v>45</v>
      </c>
      <c r="L30" t="s">
        <v>288</v>
      </c>
      <c r="M30" t="s">
        <v>64</v>
      </c>
      <c r="N30" t="s">
        <v>232</v>
      </c>
    </row>
    <row r="31" spans="1:19" x14ac:dyDescent="0.2">
      <c r="A31" s="40"/>
      <c r="B31" t="s">
        <v>238</v>
      </c>
      <c r="C31" s="17">
        <v>-135007920000</v>
      </c>
      <c r="D31" s="17">
        <v>-40993530000</v>
      </c>
      <c r="E31" s="17">
        <v>-27958580000</v>
      </c>
      <c r="F31" s="17">
        <v>-24342220000</v>
      </c>
      <c r="G31" s="17">
        <v>-12877760000</v>
      </c>
      <c r="H31" s="17">
        <v>-10269580000</v>
      </c>
      <c r="I31" s="17">
        <v>-7422463777</v>
      </c>
      <c r="J31" s="17">
        <v>-7323510000</v>
      </c>
      <c r="K31" s="17">
        <v>-5517430000</v>
      </c>
      <c r="L31" s="17">
        <v>-4737220000</v>
      </c>
      <c r="M31" s="17">
        <v>-4713170000</v>
      </c>
      <c r="N31" s="17">
        <v>-677470000</v>
      </c>
    </row>
    <row r="32" spans="1:19" x14ac:dyDescent="0.2">
      <c r="A32" s="40" t="s">
        <v>274</v>
      </c>
      <c r="B32" t="s">
        <v>195</v>
      </c>
      <c r="C32" t="s">
        <v>9</v>
      </c>
      <c r="D32" t="s">
        <v>200</v>
      </c>
      <c r="E32" t="s">
        <v>223</v>
      </c>
      <c r="F32" t="s">
        <v>45</v>
      </c>
      <c r="G32" t="s">
        <v>257</v>
      </c>
      <c r="H32" t="s">
        <v>278</v>
      </c>
    </row>
    <row r="33" spans="1:16" x14ac:dyDescent="0.2">
      <c r="A33" s="40"/>
      <c r="B33" t="s">
        <v>194</v>
      </c>
      <c r="C33" t="s">
        <v>9</v>
      </c>
      <c r="D33" t="s">
        <v>200</v>
      </c>
      <c r="E33" t="s">
        <v>223</v>
      </c>
      <c r="F33" t="s">
        <v>45</v>
      </c>
      <c r="G33" t="s">
        <v>257</v>
      </c>
      <c r="H33" t="s">
        <v>278</v>
      </c>
    </row>
    <row r="34" spans="1:16" x14ac:dyDescent="0.2">
      <c r="A34" s="40"/>
      <c r="B34" t="s">
        <v>193</v>
      </c>
      <c r="C34" t="s">
        <v>9</v>
      </c>
      <c r="D34" t="s">
        <v>200</v>
      </c>
      <c r="E34" t="s">
        <v>277</v>
      </c>
      <c r="F34" t="s">
        <v>223</v>
      </c>
      <c r="G34" t="s">
        <v>45</v>
      </c>
      <c r="H34" t="s">
        <v>113</v>
      </c>
      <c r="I34" t="s">
        <v>257</v>
      </c>
      <c r="J34" t="s">
        <v>278</v>
      </c>
    </row>
    <row r="35" spans="1:16" x14ac:dyDescent="0.2">
      <c r="A35" s="40"/>
      <c r="B35" t="s">
        <v>190</v>
      </c>
      <c r="C35" t="s">
        <v>28</v>
      </c>
      <c r="D35" t="s">
        <v>9</v>
      </c>
      <c r="E35" t="s">
        <v>200</v>
      </c>
      <c r="F35" t="s">
        <v>277</v>
      </c>
      <c r="G35" t="s">
        <v>32</v>
      </c>
      <c r="H35" t="s">
        <v>223</v>
      </c>
      <c r="I35" t="s">
        <v>45</v>
      </c>
      <c r="J35" t="s">
        <v>113</v>
      </c>
      <c r="K35" t="s">
        <v>257</v>
      </c>
      <c r="L35" t="s">
        <v>243</v>
      </c>
      <c r="M35" t="s">
        <v>278</v>
      </c>
      <c r="N35" t="s">
        <v>231</v>
      </c>
      <c r="O35" t="s">
        <v>279</v>
      </c>
      <c r="P35" t="s">
        <v>224</v>
      </c>
    </row>
    <row r="36" spans="1:16" x14ac:dyDescent="0.2">
      <c r="A36" s="40"/>
      <c r="B36" t="s">
        <v>238</v>
      </c>
      <c r="C36" s="17">
        <v>-211387070000</v>
      </c>
      <c r="D36" s="17">
        <v>-97911720000</v>
      </c>
      <c r="E36" s="17">
        <v>-32912640000</v>
      </c>
      <c r="F36" s="17">
        <v>-24447880000</v>
      </c>
      <c r="G36" s="17">
        <v>-21322770000</v>
      </c>
      <c r="H36" s="17">
        <v>-8916080000</v>
      </c>
      <c r="I36" s="17">
        <v>-4282970000</v>
      </c>
      <c r="J36" s="17">
        <v>-4121365094</v>
      </c>
      <c r="K36" s="17">
        <v>-3997309938</v>
      </c>
      <c r="L36" s="17">
        <v>-2240550000</v>
      </c>
      <c r="M36" s="17">
        <v>-592153932</v>
      </c>
      <c r="N36" s="17">
        <v>-382560000</v>
      </c>
      <c r="O36" s="17">
        <v>-231630000</v>
      </c>
      <c r="P36" s="17">
        <v>-212760000</v>
      </c>
    </row>
    <row r="37" spans="1:16" x14ac:dyDescent="0.2">
      <c r="A37" s="40">
        <v>45350</v>
      </c>
      <c r="B37" t="s">
        <v>195</v>
      </c>
      <c r="C37" t="s">
        <v>128</v>
      </c>
      <c r="D37" t="s">
        <v>221</v>
      </c>
      <c r="E37" t="s">
        <v>200</v>
      </c>
      <c r="F37" t="s">
        <v>106</v>
      </c>
      <c r="G37" t="s">
        <v>77</v>
      </c>
      <c r="H37" t="s">
        <v>232</v>
      </c>
    </row>
    <row r="38" spans="1:16" x14ac:dyDescent="0.2">
      <c r="A38" s="40"/>
      <c r="B38" t="s">
        <v>194</v>
      </c>
      <c r="C38" t="s">
        <v>128</v>
      </c>
      <c r="D38" t="s">
        <v>221</v>
      </c>
      <c r="E38" t="s">
        <v>200</v>
      </c>
      <c r="F38" t="s">
        <v>106</v>
      </c>
      <c r="G38" t="s">
        <v>77</v>
      </c>
      <c r="H38" t="s">
        <v>232</v>
      </c>
    </row>
    <row r="39" spans="1:16" x14ac:dyDescent="0.2">
      <c r="A39" s="40"/>
      <c r="B39" t="s">
        <v>193</v>
      </c>
      <c r="C39" t="s">
        <v>128</v>
      </c>
      <c r="D39" t="s">
        <v>222</v>
      </c>
      <c r="E39" t="s">
        <v>221</v>
      </c>
      <c r="F39" t="s">
        <v>200</v>
      </c>
      <c r="G39" t="s">
        <v>106</v>
      </c>
      <c r="H39" t="s">
        <v>77</v>
      </c>
      <c r="I39" t="s">
        <v>232</v>
      </c>
    </row>
    <row r="40" spans="1:16" x14ac:dyDescent="0.2">
      <c r="A40" s="40"/>
      <c r="B40" t="s">
        <v>190</v>
      </c>
      <c r="C40" t="s">
        <v>128</v>
      </c>
      <c r="D40" t="s">
        <v>222</v>
      </c>
      <c r="E40" t="s">
        <v>221</v>
      </c>
      <c r="F40" t="s">
        <v>200</v>
      </c>
      <c r="G40" t="s">
        <v>262</v>
      </c>
      <c r="H40" t="s">
        <v>261</v>
      </c>
      <c r="I40" t="s">
        <v>106</v>
      </c>
      <c r="J40" t="s">
        <v>77</v>
      </c>
      <c r="K40" t="s">
        <v>232</v>
      </c>
    </row>
    <row r="41" spans="1:16" x14ac:dyDescent="0.2">
      <c r="A41" s="40"/>
      <c r="B41" t="s">
        <v>238</v>
      </c>
      <c r="C41" s="17">
        <v>-69500850000</v>
      </c>
      <c r="D41" s="17">
        <v>-33693840000</v>
      </c>
      <c r="E41" s="17">
        <v>-21630930000</v>
      </c>
      <c r="F41" s="17">
        <v>-19707780000</v>
      </c>
      <c r="G41" s="17">
        <v>-3467870000</v>
      </c>
      <c r="H41" s="17">
        <v>-3467870000</v>
      </c>
      <c r="I41" s="17">
        <v>-1365049529</v>
      </c>
      <c r="J41" s="17">
        <v>-1197040000</v>
      </c>
      <c r="K41" s="17">
        <v>-464720000</v>
      </c>
    </row>
    <row r="42" spans="1:16" x14ac:dyDescent="0.2">
      <c r="A42" s="26"/>
    </row>
    <row r="43" spans="1:16" x14ac:dyDescent="0.2">
      <c r="A43" s="26"/>
    </row>
    <row r="44" spans="1:16" x14ac:dyDescent="0.2">
      <c r="A44" s="26"/>
    </row>
    <row r="45" spans="1:16" x14ac:dyDescent="0.2">
      <c r="A45" s="26"/>
    </row>
    <row r="46" spans="1:16" x14ac:dyDescent="0.2">
      <c r="A46" s="26"/>
      <c r="C46" s="17"/>
      <c r="D46" s="17"/>
      <c r="E46" s="17"/>
      <c r="F46" s="17"/>
      <c r="G46" s="17"/>
      <c r="H46" s="17"/>
      <c r="I46" s="17"/>
      <c r="J46" s="17"/>
    </row>
    <row r="47" spans="1:16" x14ac:dyDescent="0.2">
      <c r="A47" s="26"/>
    </row>
    <row r="48" spans="1:16" x14ac:dyDescent="0.2">
      <c r="A48" s="26"/>
    </row>
    <row r="49" spans="1:25" x14ac:dyDescent="0.2">
      <c r="A49" s="26"/>
    </row>
    <row r="50" spans="1:25" x14ac:dyDescent="0.2">
      <c r="A50" s="26"/>
    </row>
    <row r="51" spans="1:25" x14ac:dyDescent="0.2">
      <c r="A51" s="2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</row>
    <row r="52" spans="1:25" x14ac:dyDescent="0.2">
      <c r="A52" s="40"/>
    </row>
    <row r="53" spans="1:25" x14ac:dyDescent="0.2">
      <c r="A53" s="40"/>
    </row>
    <row r="54" spans="1:25" x14ac:dyDescent="0.2">
      <c r="A54" s="40"/>
    </row>
    <row r="55" spans="1:25" x14ac:dyDescent="0.2">
      <c r="A55" s="40"/>
    </row>
    <row r="56" spans="1:25" x14ac:dyDescent="0.2">
      <c r="A56" s="40"/>
      <c r="C56" s="17"/>
      <c r="D56" s="17"/>
      <c r="E56" s="17"/>
      <c r="F56" s="17"/>
      <c r="G56" s="17"/>
      <c r="H56" s="17"/>
      <c r="I56" s="17"/>
      <c r="J56" s="17"/>
      <c r="K56" s="17"/>
    </row>
    <row r="57" spans="1:25" x14ac:dyDescent="0.2">
      <c r="A57" s="40"/>
    </row>
    <row r="58" spans="1:25" x14ac:dyDescent="0.2">
      <c r="A58" s="40"/>
    </row>
    <row r="59" spans="1:25" x14ac:dyDescent="0.2">
      <c r="A59" s="40"/>
    </row>
    <row r="60" spans="1:25" x14ac:dyDescent="0.2">
      <c r="A60" s="40"/>
      <c r="V60" t="s">
        <v>230</v>
      </c>
      <c r="W60" t="s">
        <v>231</v>
      </c>
      <c r="X60" t="s">
        <v>232</v>
      </c>
      <c r="Y60" t="s">
        <v>233</v>
      </c>
    </row>
    <row r="61" spans="1:25" x14ac:dyDescent="0.2">
      <c r="A61" s="40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</row>
    <row r="65" spans="1:1" x14ac:dyDescent="0.2">
      <c r="A65" s="26"/>
    </row>
    <row r="74" spans="1:1" x14ac:dyDescent="0.2">
      <c r="A74" t="s">
        <v>199</v>
      </c>
    </row>
  </sheetData>
  <mergeCells count="10">
    <mergeCell ref="A2:A6"/>
    <mergeCell ref="A7:A11"/>
    <mergeCell ref="A12:A16"/>
    <mergeCell ref="A17:A21"/>
    <mergeCell ref="A22:A26"/>
    <mergeCell ref="A57:A61"/>
    <mergeCell ref="A52:A56"/>
    <mergeCell ref="A37:A41"/>
    <mergeCell ref="A32:A36"/>
    <mergeCell ref="A27:A3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B5C5-26A6-CD4B-B9EB-D2F539F49F73}">
  <dimension ref="A1:AM56"/>
  <sheetViews>
    <sheetView workbookViewId="0">
      <selection activeCell="A2" sqref="A2:A6"/>
    </sheetView>
  </sheetViews>
  <sheetFormatPr baseColWidth="10" defaultRowHeight="16" x14ac:dyDescent="0.2"/>
  <cols>
    <col min="3" max="3" width="14" customWidth="1"/>
    <col min="4" max="4" width="16.33203125" customWidth="1"/>
    <col min="5" max="5" width="13.33203125" customWidth="1"/>
    <col min="6" max="6" width="13.5" customWidth="1"/>
    <col min="7" max="7" width="16.83203125" customWidth="1"/>
    <col min="8" max="8" width="12.83203125" customWidth="1"/>
    <col min="9" max="9" width="15.83203125" customWidth="1"/>
    <col min="10" max="10" width="17" customWidth="1"/>
    <col min="11" max="11" width="15.6640625" customWidth="1"/>
    <col min="12" max="12" width="13" customWidth="1"/>
    <col min="13" max="13" width="14.83203125" customWidth="1"/>
    <col min="14" max="14" width="17.1640625" customWidth="1"/>
    <col min="17" max="17" width="15" customWidth="1"/>
    <col min="18" max="18" width="14" customWidth="1"/>
    <col min="19" max="19" width="14.83203125" customWidth="1"/>
    <col min="20" max="20" width="15" customWidth="1"/>
    <col min="22" max="22" width="18.5" customWidth="1"/>
    <col min="29" max="29" width="15.1640625" customWidth="1"/>
    <col min="37" max="37" width="18.1640625" customWidth="1"/>
    <col min="38" max="38" width="17.1640625" customWidth="1"/>
    <col min="39" max="39" width="15.1640625" customWidth="1"/>
  </cols>
  <sheetData>
    <row r="1" spans="1:14" x14ac:dyDescent="0.2">
      <c r="A1" s="29" t="s">
        <v>137</v>
      </c>
      <c r="B1" s="28" t="s">
        <v>198</v>
      </c>
    </row>
    <row r="2" spans="1:14" x14ac:dyDescent="0.2">
      <c r="A2" s="40">
        <v>45359</v>
      </c>
      <c r="B2" t="s">
        <v>195</v>
      </c>
      <c r="C2" t="s">
        <v>228</v>
      </c>
      <c r="D2" t="s">
        <v>67</v>
      </c>
    </row>
    <row r="3" spans="1:14" x14ac:dyDescent="0.2">
      <c r="A3" s="40"/>
      <c r="B3" t="s">
        <v>194</v>
      </c>
      <c r="C3" t="s">
        <v>228</v>
      </c>
      <c r="D3" t="s">
        <v>67</v>
      </c>
    </row>
    <row r="4" spans="1:14" x14ac:dyDescent="0.2">
      <c r="A4" s="40"/>
      <c r="B4" t="s">
        <v>193</v>
      </c>
      <c r="C4" t="s">
        <v>228</v>
      </c>
      <c r="D4" t="s">
        <v>67</v>
      </c>
    </row>
    <row r="5" spans="1:14" x14ac:dyDescent="0.2">
      <c r="A5" s="40"/>
      <c r="B5" t="s">
        <v>190</v>
      </c>
      <c r="C5" t="s">
        <v>16</v>
      </c>
      <c r="D5" t="s">
        <v>228</v>
      </c>
      <c r="E5" t="s">
        <v>42</v>
      </c>
      <c r="F5" t="s">
        <v>17</v>
      </c>
      <c r="G5" t="s">
        <v>266</v>
      </c>
      <c r="H5" t="s">
        <v>33</v>
      </c>
      <c r="I5" t="s">
        <v>67</v>
      </c>
    </row>
    <row r="6" spans="1:14" x14ac:dyDescent="0.2">
      <c r="A6" s="40"/>
      <c r="B6" t="s">
        <v>238</v>
      </c>
      <c r="C6" s="17">
        <v>39205410000</v>
      </c>
      <c r="D6" s="17">
        <v>38208885000</v>
      </c>
      <c r="E6" s="17">
        <v>34988660000</v>
      </c>
      <c r="F6" s="17">
        <v>26169920000</v>
      </c>
      <c r="G6" s="17">
        <v>15955050000</v>
      </c>
      <c r="H6" s="17">
        <v>6393000000</v>
      </c>
      <c r="I6" s="17">
        <v>2072620000</v>
      </c>
    </row>
    <row r="7" spans="1:14" x14ac:dyDescent="0.2">
      <c r="A7" s="40" t="s">
        <v>314</v>
      </c>
      <c r="B7" t="s">
        <v>195</v>
      </c>
      <c r="C7" t="s">
        <v>27</v>
      </c>
      <c r="D7" t="s">
        <v>74</v>
      </c>
      <c r="E7" t="s">
        <v>32</v>
      </c>
      <c r="F7" t="s">
        <v>281</v>
      </c>
      <c r="G7" t="s">
        <v>236</v>
      </c>
      <c r="H7" t="s">
        <v>202</v>
      </c>
      <c r="I7" t="s">
        <v>67</v>
      </c>
      <c r="J7" t="s">
        <v>283</v>
      </c>
      <c r="K7" t="s">
        <v>126</v>
      </c>
    </row>
    <row r="8" spans="1:14" x14ac:dyDescent="0.2">
      <c r="A8" s="40"/>
      <c r="B8" t="s">
        <v>194</v>
      </c>
      <c r="C8" t="s">
        <v>27</v>
      </c>
      <c r="D8" t="s">
        <v>74</v>
      </c>
      <c r="E8" t="s">
        <v>32</v>
      </c>
      <c r="F8" t="s">
        <v>281</v>
      </c>
      <c r="G8" t="s">
        <v>236</v>
      </c>
      <c r="H8" t="s">
        <v>202</v>
      </c>
      <c r="I8" t="s">
        <v>67</v>
      </c>
      <c r="J8" t="s">
        <v>283</v>
      </c>
      <c r="K8" t="s">
        <v>126</v>
      </c>
    </row>
    <row r="9" spans="1:14" x14ac:dyDescent="0.2">
      <c r="A9" s="40"/>
      <c r="B9" t="s">
        <v>193</v>
      </c>
      <c r="C9" t="s">
        <v>27</v>
      </c>
      <c r="D9" t="s">
        <v>74</v>
      </c>
      <c r="E9" t="s">
        <v>32</v>
      </c>
      <c r="F9" t="s">
        <v>281</v>
      </c>
      <c r="G9" t="s">
        <v>236</v>
      </c>
      <c r="H9" t="s">
        <v>202</v>
      </c>
      <c r="I9" t="s">
        <v>67</v>
      </c>
      <c r="J9" t="s">
        <v>283</v>
      </c>
      <c r="K9" t="s">
        <v>126</v>
      </c>
    </row>
    <row r="10" spans="1:14" x14ac:dyDescent="0.2">
      <c r="A10" s="40"/>
      <c r="B10" t="s">
        <v>190</v>
      </c>
      <c r="C10" t="s">
        <v>27</v>
      </c>
      <c r="D10" t="s">
        <v>74</v>
      </c>
      <c r="E10" t="s">
        <v>42</v>
      </c>
      <c r="F10" t="s">
        <v>32</v>
      </c>
      <c r="G10" t="s">
        <v>281</v>
      </c>
      <c r="H10" t="s">
        <v>83</v>
      </c>
      <c r="I10" t="s">
        <v>11</v>
      </c>
      <c r="J10" t="s">
        <v>236</v>
      </c>
      <c r="K10" t="s">
        <v>202</v>
      </c>
      <c r="L10" t="s">
        <v>67</v>
      </c>
      <c r="M10" t="s">
        <v>283</v>
      </c>
      <c r="N10" t="s">
        <v>126</v>
      </c>
    </row>
    <row r="11" spans="1:14" x14ac:dyDescent="0.2">
      <c r="A11" s="40"/>
      <c r="B11" t="s">
        <v>238</v>
      </c>
      <c r="C11" s="17">
        <v>66748740000</v>
      </c>
      <c r="D11" s="17">
        <v>24617275000</v>
      </c>
      <c r="E11" s="17">
        <v>19884865000</v>
      </c>
      <c r="F11" s="17">
        <v>11143720000</v>
      </c>
      <c r="G11" s="17">
        <v>7307010000</v>
      </c>
      <c r="H11" s="17">
        <v>6394570000</v>
      </c>
      <c r="I11" s="17">
        <v>5618000000</v>
      </c>
      <c r="J11" s="17">
        <v>3346760000</v>
      </c>
      <c r="K11" s="17">
        <v>2631640000</v>
      </c>
      <c r="L11" s="17">
        <v>1564810000</v>
      </c>
      <c r="M11" s="17">
        <v>1110200000</v>
      </c>
      <c r="N11" s="17">
        <v>89200000</v>
      </c>
    </row>
    <row r="12" spans="1:14" x14ac:dyDescent="0.2">
      <c r="A12" s="40" t="s">
        <v>305</v>
      </c>
      <c r="B12" t="s">
        <v>195</v>
      </c>
      <c r="C12" t="s">
        <v>214</v>
      </c>
      <c r="D12" t="s">
        <v>268</v>
      </c>
      <c r="E12" t="s">
        <v>308</v>
      </c>
      <c r="F12" t="s">
        <v>207</v>
      </c>
      <c r="G12" t="s">
        <v>309</v>
      </c>
      <c r="H12" t="s">
        <v>310</v>
      </c>
    </row>
    <row r="13" spans="1:14" x14ac:dyDescent="0.2">
      <c r="A13" s="40"/>
      <c r="B13" t="s">
        <v>194</v>
      </c>
      <c r="C13" t="s">
        <v>214</v>
      </c>
      <c r="D13" t="s">
        <v>268</v>
      </c>
      <c r="E13" t="s">
        <v>308</v>
      </c>
      <c r="F13" t="s">
        <v>207</v>
      </c>
      <c r="G13" t="s">
        <v>309</v>
      </c>
      <c r="H13" t="s">
        <v>310</v>
      </c>
    </row>
    <row r="14" spans="1:14" x14ac:dyDescent="0.2">
      <c r="A14" s="40"/>
      <c r="B14" t="s">
        <v>193</v>
      </c>
      <c r="C14" t="s">
        <v>214</v>
      </c>
      <c r="D14" t="s">
        <v>268</v>
      </c>
      <c r="E14" t="s">
        <v>308</v>
      </c>
      <c r="F14" t="s">
        <v>207</v>
      </c>
      <c r="G14" t="s">
        <v>309</v>
      </c>
      <c r="H14" t="s">
        <v>310</v>
      </c>
    </row>
    <row r="15" spans="1:14" x14ac:dyDescent="0.2">
      <c r="A15" s="40"/>
      <c r="B15" t="s">
        <v>190</v>
      </c>
      <c r="C15" t="s">
        <v>74</v>
      </c>
      <c r="D15" t="s">
        <v>214</v>
      </c>
      <c r="E15" t="s">
        <v>268</v>
      </c>
      <c r="F15" t="s">
        <v>308</v>
      </c>
      <c r="G15" t="s">
        <v>207</v>
      </c>
      <c r="H15" t="s">
        <v>309</v>
      </c>
      <c r="I15" t="s">
        <v>310</v>
      </c>
    </row>
    <row r="16" spans="1:14" x14ac:dyDescent="0.2">
      <c r="A16" s="40"/>
      <c r="B16" t="s">
        <v>238</v>
      </c>
      <c r="C16" s="17">
        <v>16069860000</v>
      </c>
      <c r="D16" s="17">
        <v>12140740000</v>
      </c>
      <c r="E16" s="17">
        <v>5472500000</v>
      </c>
      <c r="F16" s="17">
        <v>4015950000</v>
      </c>
      <c r="G16" s="17">
        <v>986240000</v>
      </c>
      <c r="H16" s="17">
        <v>765000000</v>
      </c>
      <c r="I16" s="17">
        <v>189000000</v>
      </c>
    </row>
    <row r="17" spans="1:11" x14ac:dyDescent="0.2">
      <c r="A17" s="40" t="s">
        <v>302</v>
      </c>
      <c r="B17" t="s">
        <v>195</v>
      </c>
      <c r="C17" t="s">
        <v>214</v>
      </c>
      <c r="D17" t="s">
        <v>290</v>
      </c>
      <c r="E17" t="s">
        <v>303</v>
      </c>
      <c r="F17" t="s">
        <v>304</v>
      </c>
    </row>
    <row r="18" spans="1:11" x14ac:dyDescent="0.2">
      <c r="A18" s="40"/>
      <c r="B18" t="s">
        <v>194</v>
      </c>
      <c r="C18" t="s">
        <v>214</v>
      </c>
      <c r="D18" t="s">
        <v>290</v>
      </c>
      <c r="E18" t="s">
        <v>303</v>
      </c>
      <c r="F18" t="s">
        <v>304</v>
      </c>
    </row>
    <row r="19" spans="1:11" x14ac:dyDescent="0.2">
      <c r="A19" s="40"/>
      <c r="B19" t="s">
        <v>193</v>
      </c>
      <c r="C19" t="s">
        <v>214</v>
      </c>
      <c r="D19" t="s">
        <v>290</v>
      </c>
      <c r="E19" t="s">
        <v>303</v>
      </c>
      <c r="F19" t="s">
        <v>304</v>
      </c>
    </row>
    <row r="20" spans="1:11" x14ac:dyDescent="0.2">
      <c r="A20" s="40"/>
      <c r="B20" t="s">
        <v>190</v>
      </c>
      <c r="C20" t="s">
        <v>214</v>
      </c>
      <c r="D20" t="s">
        <v>290</v>
      </c>
      <c r="E20" t="s">
        <v>6</v>
      </c>
      <c r="F20" t="s">
        <v>303</v>
      </c>
      <c r="G20" t="s">
        <v>304</v>
      </c>
    </row>
    <row r="21" spans="1:11" x14ac:dyDescent="0.2">
      <c r="A21" s="40"/>
      <c r="B21" t="s">
        <v>238</v>
      </c>
      <c r="C21" s="17">
        <v>5183640000</v>
      </c>
      <c r="D21" s="17">
        <v>4742650000</v>
      </c>
      <c r="E21" s="17">
        <v>3980430000</v>
      </c>
      <c r="F21" s="17">
        <v>2230000</v>
      </c>
      <c r="G21" s="17">
        <v>42000</v>
      </c>
    </row>
    <row r="22" spans="1:11" x14ac:dyDescent="0.2">
      <c r="A22" s="40" t="s">
        <v>298</v>
      </c>
      <c r="B22" t="s">
        <v>195</v>
      </c>
      <c r="C22" t="s">
        <v>237</v>
      </c>
      <c r="D22" t="s">
        <v>300</v>
      </c>
      <c r="E22" t="s">
        <v>301</v>
      </c>
    </row>
    <row r="23" spans="1:11" x14ac:dyDescent="0.2">
      <c r="A23" s="40"/>
      <c r="B23" t="s">
        <v>194</v>
      </c>
      <c r="C23" t="s">
        <v>237</v>
      </c>
      <c r="D23" t="s">
        <v>300</v>
      </c>
      <c r="E23" t="s">
        <v>301</v>
      </c>
    </row>
    <row r="24" spans="1:11" x14ac:dyDescent="0.2">
      <c r="A24" s="40"/>
      <c r="B24" t="s">
        <v>193</v>
      </c>
      <c r="C24" t="s">
        <v>237</v>
      </c>
      <c r="D24" t="s">
        <v>300</v>
      </c>
      <c r="E24" t="s">
        <v>301</v>
      </c>
    </row>
    <row r="25" spans="1:11" x14ac:dyDescent="0.2">
      <c r="A25" s="40"/>
      <c r="B25" t="s">
        <v>190</v>
      </c>
      <c r="C25" t="s">
        <v>237</v>
      </c>
      <c r="D25" t="s">
        <v>6</v>
      </c>
      <c r="E25" t="s">
        <v>11</v>
      </c>
      <c r="F25" t="s">
        <v>300</v>
      </c>
      <c r="G25" t="s">
        <v>301</v>
      </c>
    </row>
    <row r="26" spans="1:11" x14ac:dyDescent="0.2">
      <c r="A26" s="40"/>
      <c r="B26" t="s">
        <v>238</v>
      </c>
      <c r="C26" s="17">
        <v>6136400000</v>
      </c>
      <c r="D26" s="17">
        <v>3896570000</v>
      </c>
      <c r="E26" s="17">
        <v>3660000000</v>
      </c>
      <c r="F26" s="17">
        <v>390780000</v>
      </c>
      <c r="G26" s="17">
        <v>50000</v>
      </c>
    </row>
    <row r="27" spans="1:11" x14ac:dyDescent="0.2">
      <c r="A27" s="40" t="s">
        <v>285</v>
      </c>
      <c r="B27" t="s">
        <v>195</v>
      </c>
      <c r="C27" t="s">
        <v>227</v>
      </c>
      <c r="D27" t="s">
        <v>7</v>
      </c>
      <c r="E27" t="s">
        <v>289</v>
      </c>
      <c r="F27" t="s">
        <v>207</v>
      </c>
      <c r="G27" t="s">
        <v>291</v>
      </c>
    </row>
    <row r="28" spans="1:11" x14ac:dyDescent="0.2">
      <c r="A28" s="40"/>
      <c r="B28" t="s">
        <v>194</v>
      </c>
      <c r="C28" t="s">
        <v>227</v>
      </c>
      <c r="D28" t="s">
        <v>7</v>
      </c>
      <c r="E28" t="s">
        <v>289</v>
      </c>
      <c r="F28" t="s">
        <v>207</v>
      </c>
      <c r="G28" t="s">
        <v>291</v>
      </c>
    </row>
    <row r="29" spans="1:11" x14ac:dyDescent="0.2">
      <c r="A29" s="40"/>
      <c r="B29" t="s">
        <v>193</v>
      </c>
      <c r="C29" t="s">
        <v>227</v>
      </c>
      <c r="D29" t="s">
        <v>7</v>
      </c>
      <c r="E29" t="s">
        <v>289</v>
      </c>
      <c r="F29" t="s">
        <v>207</v>
      </c>
      <c r="G29" t="s">
        <v>291</v>
      </c>
    </row>
    <row r="30" spans="1:11" x14ac:dyDescent="0.2">
      <c r="A30" s="40"/>
      <c r="B30" t="s">
        <v>190</v>
      </c>
      <c r="C30" t="s">
        <v>82</v>
      </c>
      <c r="D30" t="s">
        <v>227</v>
      </c>
      <c r="E30" t="s">
        <v>7</v>
      </c>
      <c r="F30" t="s">
        <v>239</v>
      </c>
      <c r="G30" t="s">
        <v>289</v>
      </c>
      <c r="H30" t="s">
        <v>207</v>
      </c>
      <c r="I30" t="s">
        <v>290</v>
      </c>
      <c r="J30" t="s">
        <v>291</v>
      </c>
    </row>
    <row r="31" spans="1:11" x14ac:dyDescent="0.2">
      <c r="A31" s="40"/>
      <c r="B31" t="s">
        <v>238</v>
      </c>
      <c r="C31" s="17">
        <v>9734120000</v>
      </c>
      <c r="D31" s="17">
        <v>5594510000</v>
      </c>
      <c r="E31" s="17">
        <v>4419490000</v>
      </c>
      <c r="F31" s="17">
        <v>3788390000</v>
      </c>
      <c r="G31" s="17">
        <v>618090000</v>
      </c>
      <c r="H31" s="17">
        <v>482565000</v>
      </c>
      <c r="I31" s="17">
        <v>308440000</v>
      </c>
      <c r="J31" s="17">
        <v>28100000</v>
      </c>
    </row>
    <row r="32" spans="1:11" x14ac:dyDescent="0.2">
      <c r="A32" s="40" t="s">
        <v>274</v>
      </c>
      <c r="B32" t="s">
        <v>195</v>
      </c>
      <c r="C32" t="s">
        <v>25</v>
      </c>
      <c r="D32" t="s">
        <v>34</v>
      </c>
      <c r="E32" t="s">
        <v>61</v>
      </c>
      <c r="F32" t="s">
        <v>280</v>
      </c>
      <c r="G32" t="s">
        <v>281</v>
      </c>
      <c r="H32" t="s">
        <v>282</v>
      </c>
      <c r="I32" t="s">
        <v>283</v>
      </c>
      <c r="J32" t="s">
        <v>243</v>
      </c>
      <c r="K32" t="s">
        <v>231</v>
      </c>
    </row>
    <row r="33" spans="1:12" x14ac:dyDescent="0.2">
      <c r="A33" s="40"/>
      <c r="B33" t="s">
        <v>194</v>
      </c>
      <c r="C33" t="s">
        <v>25</v>
      </c>
      <c r="D33" t="s">
        <v>34</v>
      </c>
      <c r="E33" t="s">
        <v>61</v>
      </c>
      <c r="F33" t="s">
        <v>280</v>
      </c>
      <c r="G33" t="s">
        <v>281</v>
      </c>
      <c r="H33" t="s">
        <v>282</v>
      </c>
      <c r="I33" t="s">
        <v>283</v>
      </c>
      <c r="J33" t="s">
        <v>243</v>
      </c>
      <c r="K33" t="s">
        <v>231</v>
      </c>
    </row>
    <row r="34" spans="1:12" x14ac:dyDescent="0.2">
      <c r="A34" s="40"/>
      <c r="B34" t="s">
        <v>193</v>
      </c>
      <c r="C34" t="s">
        <v>25</v>
      </c>
      <c r="D34" t="s">
        <v>34</v>
      </c>
      <c r="E34" t="s">
        <v>61</v>
      </c>
      <c r="F34" t="s">
        <v>280</v>
      </c>
      <c r="G34" t="s">
        <v>281</v>
      </c>
      <c r="H34" t="s">
        <v>282</v>
      </c>
      <c r="I34" t="s">
        <v>283</v>
      </c>
      <c r="J34" t="s">
        <v>243</v>
      </c>
      <c r="K34" t="s">
        <v>231</v>
      </c>
    </row>
    <row r="35" spans="1:12" x14ac:dyDescent="0.2">
      <c r="A35" s="40"/>
      <c r="B35" t="s">
        <v>190</v>
      </c>
      <c r="C35" t="s">
        <v>25</v>
      </c>
      <c r="D35" t="s">
        <v>34</v>
      </c>
      <c r="E35" t="s">
        <v>61</v>
      </c>
      <c r="F35" t="s">
        <v>222</v>
      </c>
      <c r="G35" t="s">
        <v>280</v>
      </c>
      <c r="H35" t="s">
        <v>281</v>
      </c>
      <c r="I35" t="s">
        <v>282</v>
      </c>
      <c r="J35" t="s">
        <v>283</v>
      </c>
      <c r="K35" t="s">
        <v>243</v>
      </c>
      <c r="L35" t="s">
        <v>231</v>
      </c>
    </row>
    <row r="36" spans="1:12" x14ac:dyDescent="0.2">
      <c r="A36" s="40"/>
      <c r="B36" t="s">
        <v>238</v>
      </c>
      <c r="C36" s="17">
        <v>45459740000</v>
      </c>
      <c r="D36" s="17">
        <v>16286840000</v>
      </c>
      <c r="E36" s="17">
        <v>6990130000</v>
      </c>
      <c r="F36" s="17">
        <v>4943540000</v>
      </c>
      <c r="G36" s="17">
        <v>2146420000</v>
      </c>
      <c r="H36" s="17">
        <v>1455060000</v>
      </c>
      <c r="I36" s="17">
        <v>1165490000</v>
      </c>
      <c r="J36" s="17">
        <v>1019096000</v>
      </c>
      <c r="K36" s="17">
        <v>692000000</v>
      </c>
      <c r="L36" s="17">
        <v>396255000</v>
      </c>
    </row>
    <row r="37" spans="1:12" x14ac:dyDescent="0.2">
      <c r="A37" s="40">
        <v>45350</v>
      </c>
      <c r="B37" t="s">
        <v>195</v>
      </c>
      <c r="C37" t="s">
        <v>237</v>
      </c>
      <c r="D37" t="s">
        <v>260</v>
      </c>
    </row>
    <row r="38" spans="1:12" x14ac:dyDescent="0.2">
      <c r="A38" s="40"/>
      <c r="B38" t="s">
        <v>194</v>
      </c>
      <c r="C38" t="s">
        <v>237</v>
      </c>
      <c r="D38" t="s">
        <v>260</v>
      </c>
    </row>
    <row r="39" spans="1:12" x14ac:dyDescent="0.2">
      <c r="A39" s="40"/>
      <c r="B39" t="s">
        <v>193</v>
      </c>
      <c r="C39" t="s">
        <v>237</v>
      </c>
      <c r="D39" t="s">
        <v>260</v>
      </c>
    </row>
    <row r="40" spans="1:12" x14ac:dyDescent="0.2">
      <c r="A40" s="40"/>
      <c r="B40" t="s">
        <v>190</v>
      </c>
      <c r="C40" t="s">
        <v>12</v>
      </c>
      <c r="D40" t="s">
        <v>237</v>
      </c>
      <c r="E40" t="s">
        <v>260</v>
      </c>
      <c r="F40" t="s">
        <v>241</v>
      </c>
    </row>
    <row r="41" spans="1:12" x14ac:dyDescent="0.2">
      <c r="A41" s="40"/>
      <c r="B41" t="s">
        <v>238</v>
      </c>
      <c r="C41" s="17">
        <v>41431930000</v>
      </c>
      <c r="D41" s="17">
        <v>5955030000</v>
      </c>
      <c r="E41" s="17">
        <v>1525000000</v>
      </c>
      <c r="F41" s="17">
        <v>5400000</v>
      </c>
    </row>
    <row r="42" spans="1:12" x14ac:dyDescent="0.2">
      <c r="A42" s="40" t="s">
        <v>242</v>
      </c>
      <c r="B42" t="s">
        <v>195</v>
      </c>
      <c r="C42" t="s">
        <v>247</v>
      </c>
      <c r="D42" t="s">
        <v>249</v>
      </c>
      <c r="E42" t="s">
        <v>228</v>
      </c>
      <c r="F42" t="s">
        <v>252</v>
      </c>
      <c r="G42" t="s">
        <v>251</v>
      </c>
      <c r="H42" t="s">
        <v>119</v>
      </c>
      <c r="I42" t="s">
        <v>250</v>
      </c>
      <c r="J42" t="s">
        <v>253</v>
      </c>
    </row>
    <row r="43" spans="1:12" x14ac:dyDescent="0.2">
      <c r="A43" s="40"/>
      <c r="B43" t="s">
        <v>194</v>
      </c>
      <c r="C43" t="s">
        <v>247</v>
      </c>
      <c r="D43" t="s">
        <v>249</v>
      </c>
      <c r="E43" t="s">
        <v>228</v>
      </c>
      <c r="F43" t="s">
        <v>252</v>
      </c>
      <c r="G43" t="s">
        <v>251</v>
      </c>
      <c r="H43" t="s">
        <v>119</v>
      </c>
      <c r="I43" t="s">
        <v>250</v>
      </c>
      <c r="J43" t="s">
        <v>253</v>
      </c>
    </row>
    <row r="44" spans="1:12" x14ac:dyDescent="0.2">
      <c r="A44" s="40"/>
      <c r="B44" t="s">
        <v>193</v>
      </c>
      <c r="C44" t="s">
        <v>247</v>
      </c>
      <c r="D44" t="s">
        <v>249</v>
      </c>
      <c r="E44" t="s">
        <v>228</v>
      </c>
      <c r="F44" t="s">
        <v>252</v>
      </c>
      <c r="G44" t="s">
        <v>251</v>
      </c>
      <c r="H44" t="s">
        <v>119</v>
      </c>
      <c r="I44" t="s">
        <v>250</v>
      </c>
      <c r="J44" t="s">
        <v>253</v>
      </c>
    </row>
    <row r="45" spans="1:12" x14ac:dyDescent="0.2">
      <c r="A45" s="40"/>
      <c r="B45" t="s">
        <v>190</v>
      </c>
      <c r="C45" t="s">
        <v>42</v>
      </c>
      <c r="D45" t="s">
        <v>248</v>
      </c>
      <c r="E45" t="s">
        <v>247</v>
      </c>
      <c r="F45" t="s">
        <v>249</v>
      </c>
      <c r="G45" t="s">
        <v>250</v>
      </c>
      <c r="H45" t="s">
        <v>119</v>
      </c>
      <c r="I45" t="s">
        <v>251</v>
      </c>
      <c r="J45" t="s">
        <v>252</v>
      </c>
      <c r="K45" t="s">
        <v>228</v>
      </c>
      <c r="L45" t="s">
        <v>253</v>
      </c>
    </row>
    <row r="46" spans="1:12" x14ac:dyDescent="0.2">
      <c r="A46" s="40"/>
      <c r="B46" t="s">
        <v>238</v>
      </c>
      <c r="C46" s="17">
        <v>18511433000</v>
      </c>
      <c r="D46" s="17">
        <v>5623740000</v>
      </c>
      <c r="E46" s="17">
        <v>1890000000</v>
      </c>
      <c r="F46" s="17">
        <v>1318325000</v>
      </c>
      <c r="G46" s="17">
        <v>0</v>
      </c>
      <c r="H46" s="17">
        <v>0</v>
      </c>
      <c r="I46" s="17">
        <v>0</v>
      </c>
      <c r="J46" s="17">
        <v>0</v>
      </c>
      <c r="K46" s="17">
        <v>0</v>
      </c>
      <c r="L46" s="17">
        <v>0</v>
      </c>
    </row>
    <row r="47" spans="1:12" x14ac:dyDescent="0.2">
      <c r="A47" s="40" t="s">
        <v>234</v>
      </c>
      <c r="B47" t="s">
        <v>195</v>
      </c>
      <c r="C47" t="s">
        <v>80</v>
      </c>
      <c r="D47" t="s">
        <v>236</v>
      </c>
      <c r="E47" t="s">
        <v>227</v>
      </c>
      <c r="F47" t="s">
        <v>219</v>
      </c>
    </row>
    <row r="48" spans="1:12" x14ac:dyDescent="0.2">
      <c r="A48" s="40"/>
      <c r="B48" t="s">
        <v>194</v>
      </c>
      <c r="C48" t="s">
        <v>80</v>
      </c>
      <c r="D48" t="s">
        <v>236</v>
      </c>
      <c r="E48" t="s">
        <v>227</v>
      </c>
      <c r="F48" t="s">
        <v>219</v>
      </c>
    </row>
    <row r="49" spans="1:39" x14ac:dyDescent="0.2">
      <c r="A49" s="40"/>
      <c r="B49" t="s">
        <v>193</v>
      </c>
      <c r="C49" t="s">
        <v>80</v>
      </c>
      <c r="D49" t="s">
        <v>236</v>
      </c>
      <c r="E49" t="s">
        <v>227</v>
      </c>
      <c r="F49" t="s">
        <v>219</v>
      </c>
    </row>
    <row r="50" spans="1:39" x14ac:dyDescent="0.2">
      <c r="A50" s="40"/>
      <c r="B50" t="s">
        <v>190</v>
      </c>
      <c r="C50" t="s">
        <v>80</v>
      </c>
      <c r="D50" t="s">
        <v>12</v>
      </c>
      <c r="E50" t="s">
        <v>11</v>
      </c>
      <c r="F50" t="s">
        <v>239</v>
      </c>
      <c r="G50" t="s">
        <v>34</v>
      </c>
      <c r="H50" t="s">
        <v>240</v>
      </c>
      <c r="I50" t="s">
        <v>236</v>
      </c>
      <c r="J50" t="s">
        <v>241</v>
      </c>
      <c r="K50" t="s">
        <v>227</v>
      </c>
      <c r="L50" t="s">
        <v>219</v>
      </c>
    </row>
    <row r="51" spans="1:39" x14ac:dyDescent="0.2">
      <c r="A51" s="40"/>
      <c r="C51" s="17">
        <v>25870670000</v>
      </c>
      <c r="D51" s="17">
        <v>8542585000</v>
      </c>
      <c r="E51" s="17">
        <v>3534810000</v>
      </c>
      <c r="F51" s="17">
        <v>2637065000</v>
      </c>
      <c r="G51" s="17">
        <v>2467020000</v>
      </c>
      <c r="H51" s="17">
        <v>2282280000</v>
      </c>
      <c r="I51" s="17">
        <v>2282280000</v>
      </c>
      <c r="J51" s="17">
        <v>196100000</v>
      </c>
      <c r="K51" s="17">
        <v>196100000</v>
      </c>
      <c r="L51" s="17">
        <v>-243000000</v>
      </c>
    </row>
    <row r="52" spans="1:39" x14ac:dyDescent="0.2">
      <c r="A52" s="40" t="s">
        <v>197</v>
      </c>
      <c r="B52" t="s">
        <v>195</v>
      </c>
      <c r="C52" t="s">
        <v>9</v>
      </c>
      <c r="D52" t="s">
        <v>196</v>
      </c>
      <c r="E52" t="s">
        <v>102</v>
      </c>
      <c r="F52" t="s">
        <v>10</v>
      </c>
      <c r="G52" t="s">
        <v>201</v>
      </c>
      <c r="H52" t="s">
        <v>202</v>
      </c>
      <c r="I52" t="s">
        <v>203</v>
      </c>
      <c r="J52" t="s">
        <v>206</v>
      </c>
      <c r="K52" t="s">
        <v>207</v>
      </c>
      <c r="L52" t="s">
        <v>208</v>
      </c>
      <c r="M52" t="s">
        <v>209</v>
      </c>
      <c r="N52" t="s">
        <v>210</v>
      </c>
      <c r="O52" t="s">
        <v>120</v>
      </c>
      <c r="P52" t="s">
        <v>214</v>
      </c>
      <c r="Q52" t="s">
        <v>127</v>
      </c>
      <c r="R52" t="s">
        <v>215</v>
      </c>
      <c r="S52" t="s">
        <v>64</v>
      </c>
      <c r="T52" t="s">
        <v>216</v>
      </c>
      <c r="U52" t="s">
        <v>192</v>
      </c>
      <c r="V52" t="s">
        <v>217</v>
      </c>
      <c r="W52" t="s">
        <v>219</v>
      </c>
      <c r="X52" t="s">
        <v>220</v>
      </c>
    </row>
    <row r="53" spans="1:39" x14ac:dyDescent="0.2">
      <c r="A53" s="40"/>
      <c r="B53" t="s">
        <v>194</v>
      </c>
      <c r="C53" t="s">
        <v>9</v>
      </c>
      <c r="D53" t="s">
        <v>196</v>
      </c>
      <c r="E53" t="s">
        <v>102</v>
      </c>
      <c r="F53" t="s">
        <v>10</v>
      </c>
      <c r="G53" t="s">
        <v>201</v>
      </c>
      <c r="H53" t="s">
        <v>202</v>
      </c>
      <c r="I53" t="s">
        <v>203</v>
      </c>
      <c r="J53" t="s">
        <v>206</v>
      </c>
      <c r="K53" t="s">
        <v>207</v>
      </c>
      <c r="L53" t="s">
        <v>208</v>
      </c>
      <c r="M53" t="s">
        <v>209</v>
      </c>
      <c r="N53" t="s">
        <v>210</v>
      </c>
      <c r="O53" t="s">
        <v>120</v>
      </c>
      <c r="P53" t="s">
        <v>214</v>
      </c>
      <c r="Q53" t="s">
        <v>127</v>
      </c>
      <c r="R53" t="s">
        <v>215</v>
      </c>
      <c r="S53" t="s">
        <v>64</v>
      </c>
      <c r="T53" t="s">
        <v>216</v>
      </c>
      <c r="U53" t="s">
        <v>192</v>
      </c>
      <c r="V53" t="s">
        <v>217</v>
      </c>
      <c r="W53" t="s">
        <v>219</v>
      </c>
      <c r="X53" t="s">
        <v>220</v>
      </c>
    </row>
    <row r="54" spans="1:39" x14ac:dyDescent="0.2">
      <c r="A54" s="40"/>
      <c r="B54" t="s">
        <v>193</v>
      </c>
      <c r="C54" t="s">
        <v>9</v>
      </c>
      <c r="D54" t="s">
        <v>196</v>
      </c>
      <c r="E54" t="s">
        <v>102</v>
      </c>
      <c r="F54" t="s">
        <v>10</v>
      </c>
      <c r="G54" t="s">
        <v>201</v>
      </c>
      <c r="H54" t="s">
        <v>202</v>
      </c>
      <c r="I54" t="s">
        <v>203</v>
      </c>
      <c r="J54" t="s">
        <v>206</v>
      </c>
      <c r="K54" t="s">
        <v>207</v>
      </c>
      <c r="L54" t="s">
        <v>208</v>
      </c>
      <c r="M54" t="s">
        <v>209</v>
      </c>
      <c r="N54" t="s">
        <v>210</v>
      </c>
      <c r="O54" t="s">
        <v>120</v>
      </c>
      <c r="P54" t="s">
        <v>214</v>
      </c>
      <c r="Q54" t="s">
        <v>127</v>
      </c>
      <c r="R54" t="s">
        <v>215</v>
      </c>
      <c r="S54" t="s">
        <v>64</v>
      </c>
      <c r="T54" t="s">
        <v>216</v>
      </c>
      <c r="U54" t="s">
        <v>192</v>
      </c>
      <c r="V54" t="s">
        <v>217</v>
      </c>
      <c r="W54" t="s">
        <v>219</v>
      </c>
      <c r="X54" t="s">
        <v>220</v>
      </c>
    </row>
    <row r="55" spans="1:39" x14ac:dyDescent="0.2">
      <c r="A55" s="40"/>
      <c r="B55" t="s">
        <v>190</v>
      </c>
      <c r="C55" t="s">
        <v>9</v>
      </c>
      <c r="D55" t="s">
        <v>196</v>
      </c>
      <c r="E55" t="s">
        <v>16</v>
      </c>
      <c r="F55" t="s">
        <v>102</v>
      </c>
      <c r="G55" t="s">
        <v>10</v>
      </c>
      <c r="H55" t="s">
        <v>130</v>
      </c>
      <c r="I55" t="s">
        <v>200</v>
      </c>
      <c r="J55" t="s">
        <v>201</v>
      </c>
      <c r="K55" t="s">
        <v>202</v>
      </c>
      <c r="L55" t="s">
        <v>45</v>
      </c>
      <c r="M55" t="s">
        <v>203</v>
      </c>
      <c r="N55" t="s">
        <v>204</v>
      </c>
      <c r="O55" t="s">
        <v>205</v>
      </c>
      <c r="P55" t="s">
        <v>74</v>
      </c>
      <c r="Q55" t="s">
        <v>70</v>
      </c>
      <c r="R55" t="s">
        <v>206</v>
      </c>
      <c r="S55" t="s">
        <v>207</v>
      </c>
      <c r="T55" t="s">
        <v>208</v>
      </c>
      <c r="U55" t="s">
        <v>209</v>
      </c>
      <c r="V55" t="s">
        <v>100</v>
      </c>
      <c r="W55" t="s">
        <v>210</v>
      </c>
      <c r="X55" t="s">
        <v>211</v>
      </c>
      <c r="Y55" t="s">
        <v>212</v>
      </c>
      <c r="Z55" t="s">
        <v>120</v>
      </c>
      <c r="AA55" t="s">
        <v>213</v>
      </c>
      <c r="AB55" t="s">
        <v>214</v>
      </c>
      <c r="AC55" t="s">
        <v>127</v>
      </c>
      <c r="AD55" t="s">
        <v>124</v>
      </c>
      <c r="AE55" t="s">
        <v>215</v>
      </c>
      <c r="AF55" t="s">
        <v>64</v>
      </c>
      <c r="AG55" t="s">
        <v>216</v>
      </c>
      <c r="AH55" t="s">
        <v>192</v>
      </c>
      <c r="AI55" t="s">
        <v>217</v>
      </c>
      <c r="AJ55" t="s">
        <v>218</v>
      </c>
    </row>
    <row r="56" spans="1:39" x14ac:dyDescent="0.2">
      <c r="A56" s="40"/>
      <c r="C56" s="17">
        <v>41805335000</v>
      </c>
      <c r="D56" s="17">
        <v>41655821000</v>
      </c>
      <c r="E56" s="17">
        <v>31294505000</v>
      </c>
      <c r="F56" s="17">
        <v>15684050000</v>
      </c>
      <c r="G56" s="17">
        <v>11745290000</v>
      </c>
      <c r="H56" s="17">
        <v>8832740000</v>
      </c>
      <c r="I56" s="17">
        <v>4121970000</v>
      </c>
      <c r="J56" s="17">
        <v>3129340000</v>
      </c>
      <c r="K56" s="17">
        <v>2278210000</v>
      </c>
      <c r="L56" s="17">
        <v>963400000</v>
      </c>
      <c r="M56" s="17">
        <v>683020000</v>
      </c>
      <c r="N56" s="17">
        <v>623580000</v>
      </c>
      <c r="O56" s="17">
        <v>623580000</v>
      </c>
      <c r="P56" s="17">
        <v>623580000</v>
      </c>
      <c r="Q56" s="17">
        <v>475115000</v>
      </c>
      <c r="R56" s="17">
        <v>424320000</v>
      </c>
      <c r="S56" s="17">
        <v>391615000</v>
      </c>
      <c r="T56" s="17">
        <v>344575000</v>
      </c>
      <c r="U56" s="17">
        <v>301960000</v>
      </c>
      <c r="V56" s="17">
        <v>294760000</v>
      </c>
      <c r="W56" s="17">
        <v>288320000</v>
      </c>
      <c r="X56" s="17">
        <v>287240000</v>
      </c>
      <c r="Y56" s="17">
        <v>287240000</v>
      </c>
      <c r="Z56" s="17">
        <v>276777000</v>
      </c>
      <c r="AA56" s="17">
        <v>269630000</v>
      </c>
      <c r="AB56" s="17">
        <v>269630000</v>
      </c>
      <c r="AC56" s="17">
        <v>222730000</v>
      </c>
      <c r="AD56" s="17">
        <v>196050000</v>
      </c>
      <c r="AE56" s="17">
        <v>186300000</v>
      </c>
      <c r="AF56" s="17">
        <v>152050000</v>
      </c>
      <c r="AG56" s="17">
        <v>87390000</v>
      </c>
      <c r="AH56" s="17">
        <v>426000</v>
      </c>
      <c r="AI56" s="17">
        <v>280000</v>
      </c>
      <c r="AJ56" s="17">
        <v>280000</v>
      </c>
      <c r="AK56" s="17"/>
      <c r="AL56" s="17"/>
      <c r="AM56" s="17"/>
    </row>
  </sheetData>
  <mergeCells count="11">
    <mergeCell ref="A2:A6"/>
    <mergeCell ref="A52:A56"/>
    <mergeCell ref="A47:A51"/>
    <mergeCell ref="A42:A46"/>
    <mergeCell ref="A37:A41"/>
    <mergeCell ref="A32:A36"/>
    <mergeCell ref="A7:A11"/>
    <mergeCell ref="A12:A16"/>
    <mergeCell ref="A17:A21"/>
    <mergeCell ref="A22:A26"/>
    <mergeCell ref="A27:A3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4BD0-8C39-D440-A246-D93546408C2B}">
  <dimension ref="A1:Y41"/>
  <sheetViews>
    <sheetView workbookViewId="0">
      <selection activeCell="I22" sqref="I22"/>
    </sheetView>
  </sheetViews>
  <sheetFormatPr baseColWidth="10" defaultRowHeight="16" x14ac:dyDescent="0.2"/>
  <cols>
    <col min="3" max="3" width="16.6640625" customWidth="1"/>
    <col min="4" max="4" width="20" customWidth="1"/>
    <col min="5" max="5" width="15.1640625" customWidth="1"/>
    <col min="6" max="6" width="15.83203125" customWidth="1"/>
    <col min="7" max="7" width="14.6640625" customWidth="1"/>
    <col min="8" max="8" width="16.6640625" customWidth="1"/>
    <col min="9" max="9" width="17.83203125" customWidth="1"/>
    <col min="10" max="10" width="17.6640625" customWidth="1"/>
    <col min="11" max="11" width="16.5" customWidth="1"/>
    <col min="12" max="12" width="15.33203125" customWidth="1"/>
    <col min="13" max="13" width="17.83203125" customWidth="1"/>
    <col min="14" max="14" width="17" customWidth="1"/>
    <col min="15" max="15" width="17.6640625" customWidth="1"/>
    <col min="16" max="16" width="14.6640625" customWidth="1"/>
    <col min="17" max="17" width="15" customWidth="1"/>
    <col min="18" max="18" width="15.33203125" customWidth="1"/>
    <col min="19" max="19" width="14.33203125" customWidth="1"/>
    <col min="26" max="26" width="15.1640625" customWidth="1"/>
    <col min="27" max="27" width="14.5" customWidth="1"/>
    <col min="36" max="36" width="13.5" customWidth="1"/>
    <col min="39" max="39" width="18.1640625" customWidth="1"/>
    <col min="40" max="40" width="15.5" customWidth="1"/>
    <col min="41" max="41" width="16.5" customWidth="1"/>
    <col min="42" max="42" width="13.5" customWidth="1"/>
    <col min="43" max="43" width="21.6640625" customWidth="1"/>
  </cols>
  <sheetData>
    <row r="1" spans="1:14" x14ac:dyDescent="0.2">
      <c r="A1" s="29" t="s">
        <v>137</v>
      </c>
      <c r="B1" s="28" t="s">
        <v>198</v>
      </c>
    </row>
    <row r="2" spans="1:14" x14ac:dyDescent="0.2">
      <c r="A2" s="40">
        <v>45359</v>
      </c>
      <c r="B2" t="s">
        <v>195</v>
      </c>
      <c r="C2" t="s">
        <v>237</v>
      </c>
      <c r="D2" t="s">
        <v>8</v>
      </c>
      <c r="E2" t="s">
        <v>300</v>
      </c>
    </row>
    <row r="3" spans="1:14" x14ac:dyDescent="0.2">
      <c r="A3" s="40"/>
      <c r="B3" t="s">
        <v>194</v>
      </c>
      <c r="C3" t="s">
        <v>237</v>
      </c>
      <c r="D3" t="s">
        <v>8</v>
      </c>
      <c r="E3" t="s">
        <v>300</v>
      </c>
    </row>
    <row r="4" spans="1:14" x14ac:dyDescent="0.2">
      <c r="A4" s="40"/>
      <c r="B4" t="s">
        <v>193</v>
      </c>
      <c r="C4" t="s">
        <v>237</v>
      </c>
      <c r="D4" t="s">
        <v>8</v>
      </c>
      <c r="E4" t="s">
        <v>300</v>
      </c>
    </row>
    <row r="5" spans="1:14" x14ac:dyDescent="0.2">
      <c r="A5" s="40"/>
      <c r="B5" t="s">
        <v>190</v>
      </c>
      <c r="C5" t="s">
        <v>28</v>
      </c>
      <c r="D5" t="s">
        <v>237</v>
      </c>
      <c r="E5" t="s">
        <v>11</v>
      </c>
      <c r="F5" t="s">
        <v>8</v>
      </c>
      <c r="G5" t="s">
        <v>300</v>
      </c>
    </row>
    <row r="6" spans="1:14" x14ac:dyDescent="0.2">
      <c r="A6" s="40"/>
      <c r="B6" t="s">
        <v>238</v>
      </c>
      <c r="C6" s="17">
        <v>-21288680000</v>
      </c>
      <c r="D6" s="17">
        <v>-12892299000</v>
      </c>
      <c r="E6" s="17">
        <v>-9161500000</v>
      </c>
      <c r="F6" s="17">
        <v>-6077040000</v>
      </c>
      <c r="G6" s="17">
        <v>-391782000</v>
      </c>
    </row>
    <row r="7" spans="1:14" x14ac:dyDescent="0.2">
      <c r="A7" s="40" t="s">
        <v>314</v>
      </c>
      <c r="B7" t="s">
        <v>195</v>
      </c>
      <c r="C7" t="s">
        <v>66</v>
      </c>
      <c r="D7" t="s">
        <v>61</v>
      </c>
      <c r="E7" t="s">
        <v>73</v>
      </c>
      <c r="F7" t="s">
        <v>307</v>
      </c>
      <c r="G7" t="s">
        <v>8</v>
      </c>
      <c r="H7" t="s">
        <v>308</v>
      </c>
      <c r="I7" t="s">
        <v>316</v>
      </c>
      <c r="J7" t="s">
        <v>315</v>
      </c>
      <c r="K7" t="s">
        <v>290</v>
      </c>
      <c r="L7" t="s">
        <v>243</v>
      </c>
      <c r="M7" t="s">
        <v>317</v>
      </c>
    </row>
    <row r="8" spans="1:14" x14ac:dyDescent="0.2">
      <c r="A8" s="40"/>
      <c r="B8" t="s">
        <v>194</v>
      </c>
      <c r="C8" t="s">
        <v>66</v>
      </c>
      <c r="D8" t="s">
        <v>61</v>
      </c>
      <c r="E8" t="s">
        <v>73</v>
      </c>
      <c r="F8" t="s">
        <v>307</v>
      </c>
      <c r="G8" t="s">
        <v>8</v>
      </c>
      <c r="H8" t="s">
        <v>308</v>
      </c>
      <c r="I8" t="s">
        <v>316</v>
      </c>
      <c r="J8" t="s">
        <v>315</v>
      </c>
      <c r="K8" t="s">
        <v>290</v>
      </c>
      <c r="L8" t="s">
        <v>243</v>
      </c>
      <c r="M8" t="s">
        <v>317</v>
      </c>
    </row>
    <row r="9" spans="1:14" x14ac:dyDescent="0.2">
      <c r="A9" s="40"/>
      <c r="B9" t="s">
        <v>193</v>
      </c>
      <c r="C9" t="s">
        <v>66</v>
      </c>
      <c r="D9" t="s">
        <v>61</v>
      </c>
      <c r="E9" t="s">
        <v>73</v>
      </c>
      <c r="F9" t="s">
        <v>307</v>
      </c>
      <c r="G9" t="s">
        <v>8</v>
      </c>
      <c r="H9" t="s">
        <v>308</v>
      </c>
      <c r="I9" t="s">
        <v>316</v>
      </c>
      <c r="J9" t="s">
        <v>315</v>
      </c>
      <c r="K9" t="s">
        <v>290</v>
      </c>
      <c r="L9" t="s">
        <v>243</v>
      </c>
      <c r="M9" t="s">
        <v>317</v>
      </c>
    </row>
    <row r="10" spans="1:14" x14ac:dyDescent="0.2">
      <c r="A10" s="40"/>
      <c r="B10" t="s">
        <v>190</v>
      </c>
      <c r="C10" t="s">
        <v>84</v>
      </c>
      <c r="D10" t="s">
        <v>66</v>
      </c>
      <c r="E10" t="s">
        <v>61</v>
      </c>
      <c r="F10" t="s">
        <v>73</v>
      </c>
      <c r="G10" t="s">
        <v>307</v>
      </c>
      <c r="H10" t="s">
        <v>8</v>
      </c>
      <c r="I10" t="s">
        <v>308</v>
      </c>
      <c r="J10" t="s">
        <v>316</v>
      </c>
      <c r="K10" t="s">
        <v>315</v>
      </c>
      <c r="L10" t="s">
        <v>290</v>
      </c>
      <c r="M10" t="s">
        <v>243</v>
      </c>
      <c r="N10" t="s">
        <v>317</v>
      </c>
    </row>
    <row r="11" spans="1:14" x14ac:dyDescent="0.2">
      <c r="A11" s="40"/>
      <c r="B11" t="s">
        <v>238</v>
      </c>
      <c r="C11" s="17">
        <v>-69315090000</v>
      </c>
      <c r="D11" s="17">
        <v>-19184135000</v>
      </c>
      <c r="E11" s="17">
        <v>-16690410000</v>
      </c>
      <c r="F11" s="17">
        <v>-7520070000</v>
      </c>
      <c r="G11" s="17">
        <v>-5642850000</v>
      </c>
      <c r="H11" s="17">
        <v>-4746160000</v>
      </c>
      <c r="I11" s="17">
        <v>-4520290000</v>
      </c>
      <c r="J11" s="17">
        <v>-2126210000</v>
      </c>
      <c r="K11" s="17">
        <v>-1801200000</v>
      </c>
      <c r="L11" s="17">
        <v>-1213845000</v>
      </c>
      <c r="M11" s="17">
        <v>-704000000</v>
      </c>
      <c r="N11" s="17">
        <v>-553150000</v>
      </c>
    </row>
    <row r="12" spans="1:14" x14ac:dyDescent="0.2">
      <c r="A12" s="40" t="s">
        <v>305</v>
      </c>
      <c r="B12" t="s">
        <v>195</v>
      </c>
      <c r="C12" t="s">
        <v>62</v>
      </c>
      <c r="D12" t="s">
        <v>311</v>
      </c>
      <c r="E12" t="s">
        <v>32</v>
      </c>
      <c r="F12" t="s">
        <v>34</v>
      </c>
      <c r="G12" t="s">
        <v>288</v>
      </c>
      <c r="H12" t="s">
        <v>312</v>
      </c>
      <c r="I12" t="s">
        <v>22</v>
      </c>
      <c r="J12" t="s">
        <v>81</v>
      </c>
      <c r="K12" t="s">
        <v>307</v>
      </c>
      <c r="L12" t="s">
        <v>313</v>
      </c>
      <c r="M12" t="s">
        <v>293</v>
      </c>
    </row>
    <row r="13" spans="1:14" x14ac:dyDescent="0.2">
      <c r="A13" s="40"/>
      <c r="B13" t="s">
        <v>194</v>
      </c>
      <c r="C13" t="s">
        <v>62</v>
      </c>
      <c r="D13" t="s">
        <v>311</v>
      </c>
      <c r="E13" t="s">
        <v>32</v>
      </c>
      <c r="F13" t="s">
        <v>34</v>
      </c>
      <c r="G13" t="s">
        <v>288</v>
      </c>
      <c r="H13" t="s">
        <v>312</v>
      </c>
      <c r="I13" t="s">
        <v>22</v>
      </c>
      <c r="J13" t="s">
        <v>81</v>
      </c>
      <c r="K13" t="s">
        <v>307</v>
      </c>
      <c r="L13" t="s">
        <v>313</v>
      </c>
      <c r="M13" t="s">
        <v>293</v>
      </c>
    </row>
    <row r="14" spans="1:14" x14ac:dyDescent="0.2">
      <c r="A14" s="40"/>
      <c r="B14" t="s">
        <v>193</v>
      </c>
      <c r="C14" t="s">
        <v>62</v>
      </c>
      <c r="D14" t="s">
        <v>311</v>
      </c>
      <c r="E14" t="s">
        <v>32</v>
      </c>
      <c r="F14" t="s">
        <v>34</v>
      </c>
      <c r="G14" t="s">
        <v>288</v>
      </c>
      <c r="H14" t="s">
        <v>312</v>
      </c>
      <c r="I14" t="s">
        <v>22</v>
      </c>
      <c r="J14" t="s">
        <v>81</v>
      </c>
      <c r="K14" t="s">
        <v>307</v>
      </c>
      <c r="L14" t="s">
        <v>313</v>
      </c>
      <c r="M14" t="s">
        <v>293</v>
      </c>
    </row>
    <row r="15" spans="1:14" x14ac:dyDescent="0.2">
      <c r="A15" s="40"/>
      <c r="B15" t="s">
        <v>190</v>
      </c>
      <c r="C15" t="s">
        <v>20</v>
      </c>
      <c r="D15" t="s">
        <v>62</v>
      </c>
      <c r="E15" t="s">
        <v>311</v>
      </c>
      <c r="F15" t="s">
        <v>32</v>
      </c>
      <c r="G15" t="s">
        <v>34</v>
      </c>
      <c r="H15" t="s">
        <v>288</v>
      </c>
      <c r="I15" t="s">
        <v>312</v>
      </c>
      <c r="J15" t="s">
        <v>22</v>
      </c>
      <c r="K15" t="s">
        <v>81</v>
      </c>
      <c r="L15" t="s">
        <v>307</v>
      </c>
      <c r="M15" t="s">
        <v>313</v>
      </c>
      <c r="N15" t="s">
        <v>293</v>
      </c>
    </row>
    <row r="16" spans="1:14" x14ac:dyDescent="0.2">
      <c r="A16" s="40"/>
      <c r="B16" t="s">
        <v>238</v>
      </c>
      <c r="C16" s="17">
        <v>-23684225000</v>
      </c>
      <c r="D16" s="17">
        <v>-16638950000</v>
      </c>
      <c r="E16" s="17">
        <v>-16250000000</v>
      </c>
      <c r="F16" s="17">
        <v>-13875780000</v>
      </c>
      <c r="G16" s="17">
        <v>-12800960000</v>
      </c>
      <c r="H16" s="17">
        <v>-10810540000</v>
      </c>
      <c r="I16" s="17">
        <v>-10730000000</v>
      </c>
      <c r="J16" s="17">
        <v>-9278380000</v>
      </c>
      <c r="K16" s="17">
        <v>-8419135000</v>
      </c>
      <c r="L16" s="17">
        <v>-3958500000</v>
      </c>
      <c r="M16" s="17">
        <v>-1651595000</v>
      </c>
      <c r="N16" s="17">
        <v>-1065000</v>
      </c>
    </row>
    <row r="17" spans="1:17" x14ac:dyDescent="0.2">
      <c r="A17" s="40" t="s">
        <v>302</v>
      </c>
      <c r="B17" t="s">
        <v>195</v>
      </c>
      <c r="C17" t="s">
        <v>34</v>
      </c>
      <c r="D17" t="s">
        <v>7</v>
      </c>
    </row>
    <row r="18" spans="1:17" x14ac:dyDescent="0.2">
      <c r="A18" s="40"/>
      <c r="B18" t="s">
        <v>194</v>
      </c>
      <c r="C18" t="s">
        <v>34</v>
      </c>
      <c r="D18" t="s">
        <v>7</v>
      </c>
    </row>
    <row r="19" spans="1:17" x14ac:dyDescent="0.2">
      <c r="A19" s="40"/>
      <c r="B19" t="s">
        <v>193</v>
      </c>
      <c r="C19" t="s">
        <v>34</v>
      </c>
      <c r="D19" t="s">
        <v>7</v>
      </c>
    </row>
    <row r="20" spans="1:17" x14ac:dyDescent="0.2">
      <c r="A20" s="40"/>
      <c r="B20" t="s">
        <v>190</v>
      </c>
      <c r="C20" t="s">
        <v>34</v>
      </c>
      <c r="D20" t="s">
        <v>237</v>
      </c>
      <c r="E20" t="s">
        <v>66</v>
      </c>
      <c r="F20" t="s">
        <v>7</v>
      </c>
      <c r="G20" t="s">
        <v>79</v>
      </c>
    </row>
    <row r="21" spans="1:17" x14ac:dyDescent="0.2">
      <c r="A21" s="40"/>
      <c r="B21" t="s">
        <v>238</v>
      </c>
      <c r="C21" s="17">
        <v>-11262570000</v>
      </c>
      <c r="D21" s="17">
        <v>-6225750000</v>
      </c>
      <c r="E21" s="17">
        <v>-4707479000</v>
      </c>
      <c r="F21" s="17">
        <v>-4425100000</v>
      </c>
      <c r="G21" s="17">
        <v>-2241050000</v>
      </c>
    </row>
    <row r="22" spans="1:17" x14ac:dyDescent="0.2">
      <c r="A22" s="40" t="s">
        <v>298</v>
      </c>
      <c r="B22" t="s">
        <v>195</v>
      </c>
      <c r="C22" t="s">
        <v>71</v>
      </c>
      <c r="D22" t="s">
        <v>130</v>
      </c>
      <c r="E22" t="s">
        <v>269</v>
      </c>
      <c r="F22" t="s">
        <v>283</v>
      </c>
      <c r="G22" t="s">
        <v>282</v>
      </c>
    </row>
    <row r="23" spans="1:17" x14ac:dyDescent="0.2">
      <c r="A23" s="40"/>
      <c r="B23" t="s">
        <v>194</v>
      </c>
      <c r="C23" t="s">
        <v>71</v>
      </c>
      <c r="D23" t="s">
        <v>130</v>
      </c>
      <c r="E23" t="s">
        <v>269</v>
      </c>
      <c r="F23" t="s">
        <v>283</v>
      </c>
      <c r="G23" t="s">
        <v>282</v>
      </c>
    </row>
    <row r="24" spans="1:17" x14ac:dyDescent="0.2">
      <c r="A24" s="40"/>
      <c r="B24" t="s">
        <v>193</v>
      </c>
      <c r="C24" t="s">
        <v>71</v>
      </c>
      <c r="D24" t="s">
        <v>130</v>
      </c>
      <c r="E24" t="s">
        <v>269</v>
      </c>
      <c r="F24" t="s">
        <v>283</v>
      </c>
      <c r="G24" t="s">
        <v>282</v>
      </c>
    </row>
    <row r="25" spans="1:17" x14ac:dyDescent="0.2">
      <c r="A25" s="40"/>
      <c r="B25" t="s">
        <v>190</v>
      </c>
      <c r="C25" t="s">
        <v>71</v>
      </c>
      <c r="D25" t="s">
        <v>130</v>
      </c>
      <c r="E25" t="s">
        <v>269</v>
      </c>
      <c r="F25" t="s">
        <v>283</v>
      </c>
      <c r="G25" t="s">
        <v>282</v>
      </c>
    </row>
    <row r="26" spans="1:17" x14ac:dyDescent="0.2">
      <c r="A26" s="40"/>
      <c r="B26" t="s">
        <v>238</v>
      </c>
      <c r="C26" s="17">
        <v>-39465645000</v>
      </c>
      <c r="D26" s="17">
        <v>-7325320000</v>
      </c>
      <c r="E26" s="17">
        <v>-2491600000</v>
      </c>
      <c r="F26" s="17">
        <v>-454000000</v>
      </c>
      <c r="G26" s="17">
        <v>-351885000</v>
      </c>
    </row>
    <row r="27" spans="1:17" x14ac:dyDescent="0.2">
      <c r="A27" s="40" t="s">
        <v>285</v>
      </c>
      <c r="B27" t="s">
        <v>195</v>
      </c>
      <c r="C27" t="s">
        <v>71</v>
      </c>
      <c r="D27" t="s">
        <v>46</v>
      </c>
      <c r="E27" t="s">
        <v>62</v>
      </c>
      <c r="F27" t="s">
        <v>249</v>
      </c>
      <c r="G27" t="s">
        <v>270</v>
      </c>
      <c r="H27" t="s">
        <v>209</v>
      </c>
      <c r="I27" t="s">
        <v>286</v>
      </c>
      <c r="J27" t="s">
        <v>233</v>
      </c>
      <c r="K27" t="s">
        <v>292</v>
      </c>
    </row>
    <row r="28" spans="1:17" x14ac:dyDescent="0.2">
      <c r="A28" s="40"/>
      <c r="B28" t="s">
        <v>194</v>
      </c>
      <c r="C28" t="s">
        <v>71</v>
      </c>
      <c r="D28" t="s">
        <v>46</v>
      </c>
      <c r="E28" t="s">
        <v>62</v>
      </c>
      <c r="F28" t="s">
        <v>249</v>
      </c>
      <c r="G28" t="s">
        <v>270</v>
      </c>
      <c r="H28" t="s">
        <v>209</v>
      </c>
      <c r="I28" t="s">
        <v>286</v>
      </c>
      <c r="J28" t="s">
        <v>233</v>
      </c>
      <c r="K28" t="s">
        <v>292</v>
      </c>
    </row>
    <row r="29" spans="1:17" x14ac:dyDescent="0.2">
      <c r="A29" s="40"/>
      <c r="B29" t="s">
        <v>193</v>
      </c>
      <c r="C29" t="s">
        <v>71</v>
      </c>
      <c r="D29" t="s">
        <v>46</v>
      </c>
      <c r="E29" t="s">
        <v>62</v>
      </c>
      <c r="F29" t="s">
        <v>249</v>
      </c>
      <c r="G29" t="s">
        <v>270</v>
      </c>
      <c r="H29" t="s">
        <v>209</v>
      </c>
      <c r="I29" t="s">
        <v>286</v>
      </c>
      <c r="J29" t="s">
        <v>233</v>
      </c>
      <c r="K29" t="s">
        <v>292</v>
      </c>
    </row>
    <row r="30" spans="1:17" x14ac:dyDescent="0.2">
      <c r="A30" s="40"/>
      <c r="B30" t="s">
        <v>190</v>
      </c>
      <c r="C30" t="s">
        <v>37</v>
      </c>
      <c r="D30" t="s">
        <v>40</v>
      </c>
      <c r="E30" t="s">
        <v>71</v>
      </c>
      <c r="F30" t="s">
        <v>46</v>
      </c>
      <c r="G30" t="s">
        <v>62</v>
      </c>
      <c r="H30" t="s">
        <v>66</v>
      </c>
      <c r="I30" t="s">
        <v>11</v>
      </c>
      <c r="J30" t="s">
        <v>79</v>
      </c>
      <c r="K30" t="s">
        <v>249</v>
      </c>
      <c r="L30" t="s">
        <v>210</v>
      </c>
      <c r="M30" t="s">
        <v>270</v>
      </c>
      <c r="N30" t="s">
        <v>209</v>
      </c>
      <c r="O30" t="s">
        <v>286</v>
      </c>
      <c r="P30" t="s">
        <v>233</v>
      </c>
      <c r="Q30" t="s">
        <v>292</v>
      </c>
    </row>
    <row r="31" spans="1:17" x14ac:dyDescent="0.2">
      <c r="A31" s="40"/>
      <c r="B31" t="s">
        <v>238</v>
      </c>
      <c r="C31" s="17">
        <v>-73248490000</v>
      </c>
      <c r="D31" s="17">
        <v>-17497360000</v>
      </c>
      <c r="E31" s="17">
        <v>-8744315000</v>
      </c>
      <c r="F31" s="17">
        <v>-5291220000</v>
      </c>
      <c r="G31" s="17">
        <v>-4698435000</v>
      </c>
      <c r="H31" s="17">
        <v>-4628785000</v>
      </c>
      <c r="I31" s="17">
        <v>-2978023600</v>
      </c>
      <c r="J31" s="17">
        <v>-2175120000</v>
      </c>
      <c r="K31" s="17">
        <v>-1985550000</v>
      </c>
      <c r="L31" s="17">
        <v>-1827050000</v>
      </c>
      <c r="M31" s="17">
        <v>-676600000</v>
      </c>
      <c r="N31" s="17">
        <v>-241070000</v>
      </c>
      <c r="O31" s="17">
        <v>-189960000</v>
      </c>
      <c r="P31" s="17">
        <v>-67000000</v>
      </c>
      <c r="Q31" s="17">
        <v>-652800</v>
      </c>
    </row>
    <row r="32" spans="1:17" x14ac:dyDescent="0.2">
      <c r="A32" s="40" t="s">
        <v>274</v>
      </c>
      <c r="B32" t="s">
        <v>195</v>
      </c>
      <c r="C32" t="s">
        <v>129</v>
      </c>
      <c r="D32" t="s">
        <v>284</v>
      </c>
    </row>
    <row r="33" spans="1:25" x14ac:dyDescent="0.2">
      <c r="A33" s="40"/>
      <c r="B33" t="s">
        <v>194</v>
      </c>
      <c r="C33" t="s">
        <v>129</v>
      </c>
      <c r="D33" t="s">
        <v>284</v>
      </c>
    </row>
    <row r="34" spans="1:25" x14ac:dyDescent="0.2">
      <c r="A34" s="40"/>
      <c r="B34" t="s">
        <v>193</v>
      </c>
      <c r="C34" t="s">
        <v>129</v>
      </c>
      <c r="D34" t="s">
        <v>284</v>
      </c>
    </row>
    <row r="35" spans="1:25" x14ac:dyDescent="0.2">
      <c r="A35" s="40"/>
      <c r="B35" t="s">
        <v>190</v>
      </c>
      <c r="C35" t="s">
        <v>65</v>
      </c>
      <c r="D35" t="s">
        <v>129</v>
      </c>
      <c r="E35" t="s">
        <v>284</v>
      </c>
    </row>
    <row r="36" spans="1:25" x14ac:dyDescent="0.2">
      <c r="A36" s="40"/>
      <c r="B36" t="s">
        <v>238</v>
      </c>
      <c r="C36" s="17">
        <v>-5477600000</v>
      </c>
      <c r="D36" s="17">
        <v>-1444000</v>
      </c>
      <c r="E36" s="17">
        <v>-995000</v>
      </c>
    </row>
    <row r="37" spans="1:25" x14ac:dyDescent="0.2">
      <c r="A37" s="40">
        <v>45350</v>
      </c>
      <c r="B37" t="s">
        <v>195</v>
      </c>
      <c r="C37" t="s">
        <v>99</v>
      </c>
      <c r="D37" t="s">
        <v>196</v>
      </c>
      <c r="E37" t="s">
        <v>266</v>
      </c>
      <c r="F37" t="s">
        <v>33</v>
      </c>
      <c r="G37" t="s">
        <v>239</v>
      </c>
      <c r="H37" t="s">
        <v>73</v>
      </c>
      <c r="I37" t="s">
        <v>205</v>
      </c>
      <c r="J37" t="s">
        <v>268</v>
      </c>
      <c r="K37" t="s">
        <v>269</v>
      </c>
      <c r="L37" t="s">
        <v>270</v>
      </c>
      <c r="M37" t="s">
        <v>271</v>
      </c>
      <c r="N37" t="s">
        <v>272</v>
      </c>
      <c r="O37" t="s">
        <v>228</v>
      </c>
      <c r="P37" t="s">
        <v>253</v>
      </c>
      <c r="Q37" t="s">
        <v>252</v>
      </c>
      <c r="R37" t="s">
        <v>251</v>
      </c>
      <c r="S37" t="s">
        <v>119</v>
      </c>
      <c r="T37" t="s">
        <v>250</v>
      </c>
    </row>
    <row r="38" spans="1:25" x14ac:dyDescent="0.2">
      <c r="A38" s="40"/>
      <c r="B38" t="s">
        <v>194</v>
      </c>
      <c r="C38" t="s">
        <v>99</v>
      </c>
      <c r="D38" t="s">
        <v>196</v>
      </c>
      <c r="E38" t="s">
        <v>266</v>
      </c>
      <c r="F38" t="s">
        <v>33</v>
      </c>
      <c r="G38" t="s">
        <v>239</v>
      </c>
      <c r="H38" t="s">
        <v>73</v>
      </c>
      <c r="I38" t="s">
        <v>205</v>
      </c>
      <c r="J38" t="s">
        <v>268</v>
      </c>
      <c r="K38" t="s">
        <v>269</v>
      </c>
      <c r="L38" t="s">
        <v>270</v>
      </c>
      <c r="M38" t="s">
        <v>271</v>
      </c>
      <c r="N38" t="s">
        <v>272</v>
      </c>
      <c r="O38" t="s">
        <v>228</v>
      </c>
      <c r="P38" t="s">
        <v>253</v>
      </c>
      <c r="Q38" t="s">
        <v>252</v>
      </c>
      <c r="R38" t="s">
        <v>251</v>
      </c>
      <c r="S38" t="s">
        <v>119</v>
      </c>
      <c r="T38" t="s">
        <v>250</v>
      </c>
    </row>
    <row r="39" spans="1:25" x14ac:dyDescent="0.2">
      <c r="A39" s="40"/>
      <c r="B39" t="s">
        <v>193</v>
      </c>
      <c r="C39" t="s">
        <v>99</v>
      </c>
      <c r="D39" t="s">
        <v>196</v>
      </c>
      <c r="E39" t="s">
        <v>266</v>
      </c>
      <c r="F39" t="s">
        <v>33</v>
      </c>
      <c r="G39" t="s">
        <v>239</v>
      </c>
      <c r="H39" t="s">
        <v>73</v>
      </c>
      <c r="I39" t="s">
        <v>205</v>
      </c>
      <c r="J39" t="s">
        <v>268</v>
      </c>
      <c r="K39" t="s">
        <v>269</v>
      </c>
      <c r="L39" t="s">
        <v>270</v>
      </c>
      <c r="M39" t="s">
        <v>271</v>
      </c>
      <c r="N39" t="s">
        <v>272</v>
      </c>
      <c r="O39" t="s">
        <v>228</v>
      </c>
      <c r="P39" t="s">
        <v>253</v>
      </c>
      <c r="Q39" t="s">
        <v>252</v>
      </c>
      <c r="R39" t="s">
        <v>251</v>
      </c>
      <c r="S39" t="s">
        <v>119</v>
      </c>
      <c r="T39" t="s">
        <v>250</v>
      </c>
    </row>
    <row r="40" spans="1:25" x14ac:dyDescent="0.2">
      <c r="A40" s="40"/>
      <c r="B40" t="s">
        <v>190</v>
      </c>
      <c r="C40" t="s">
        <v>99</v>
      </c>
      <c r="D40" t="s">
        <v>196</v>
      </c>
      <c r="E40" t="s">
        <v>266</v>
      </c>
      <c r="F40" t="s">
        <v>33</v>
      </c>
      <c r="G40" t="s">
        <v>239</v>
      </c>
      <c r="H40" t="s">
        <v>73</v>
      </c>
      <c r="I40" t="s">
        <v>205</v>
      </c>
      <c r="J40" t="s">
        <v>267</v>
      </c>
      <c r="K40" t="s">
        <v>268</v>
      </c>
      <c r="L40" t="s">
        <v>269</v>
      </c>
      <c r="M40" t="s">
        <v>270</v>
      </c>
      <c r="N40" t="s">
        <v>271</v>
      </c>
      <c r="O40" t="s">
        <v>272</v>
      </c>
      <c r="P40" t="s">
        <v>228</v>
      </c>
      <c r="Q40" t="s">
        <v>265</v>
      </c>
      <c r="R40" t="s">
        <v>224</v>
      </c>
      <c r="S40" t="s">
        <v>253</v>
      </c>
      <c r="T40" t="s">
        <v>264</v>
      </c>
      <c r="U40" t="s">
        <v>252</v>
      </c>
      <c r="V40" t="s">
        <v>251</v>
      </c>
      <c r="W40" t="s">
        <v>119</v>
      </c>
      <c r="X40" t="s">
        <v>250</v>
      </c>
      <c r="Y40" t="s">
        <v>263</v>
      </c>
    </row>
    <row r="41" spans="1:25" x14ac:dyDescent="0.2">
      <c r="A41" s="40"/>
      <c r="B41" t="s">
        <v>238</v>
      </c>
      <c r="C41" s="17">
        <v>-42277880000</v>
      </c>
      <c r="D41" s="17">
        <v>-21584750000</v>
      </c>
      <c r="E41" s="17">
        <v>-11681825000</v>
      </c>
      <c r="F41" s="17">
        <v>-11342510000</v>
      </c>
      <c r="G41" s="17">
        <v>-7730070000</v>
      </c>
      <c r="H41" s="17">
        <v>-3706830000</v>
      </c>
      <c r="I41" s="17">
        <v>-3016475000</v>
      </c>
      <c r="J41" s="17">
        <v>-2738200000</v>
      </c>
      <c r="K41" s="17">
        <v>-2738200000</v>
      </c>
      <c r="L41" s="17">
        <v>-2453000000</v>
      </c>
      <c r="M41" s="17">
        <v>-449000000</v>
      </c>
      <c r="N41" s="17">
        <v>-255000000</v>
      </c>
      <c r="O41" s="17">
        <v>-9572000</v>
      </c>
      <c r="P41" s="17">
        <v>-960000</v>
      </c>
      <c r="Q41" s="17">
        <v>-960000</v>
      </c>
      <c r="R41" s="17">
        <v>-960000</v>
      </c>
      <c r="S41" s="17">
        <v>-220300</v>
      </c>
      <c r="T41" s="17">
        <v>-109000</v>
      </c>
      <c r="U41" s="17">
        <v>-109000</v>
      </c>
      <c r="V41" s="17">
        <v>-102000</v>
      </c>
      <c r="W41" s="17">
        <v>-97000</v>
      </c>
      <c r="X41" s="17">
        <v>-41000</v>
      </c>
      <c r="Y41" s="17">
        <v>-41000</v>
      </c>
    </row>
  </sheetData>
  <mergeCells count="8">
    <mergeCell ref="A2:A6"/>
    <mergeCell ref="A7:A11"/>
    <mergeCell ref="A12:A16"/>
    <mergeCell ref="A37:A41"/>
    <mergeCell ref="A27:A31"/>
    <mergeCell ref="A32:A36"/>
    <mergeCell ref="A22:A26"/>
    <mergeCell ref="A17:A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C35C-E741-8049-A1B3-6C067E29AE63}">
  <dimension ref="A1:T48"/>
  <sheetViews>
    <sheetView workbookViewId="0">
      <selection activeCell="P15" sqref="P15"/>
    </sheetView>
  </sheetViews>
  <sheetFormatPr baseColWidth="10" defaultRowHeight="16" x14ac:dyDescent="0.2"/>
  <sheetData>
    <row r="1" spans="1:20" x14ac:dyDescent="0.2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x14ac:dyDescent="0.2">
      <c r="A2" s="3" t="s">
        <v>137</v>
      </c>
      <c r="B2" s="3" t="s">
        <v>4</v>
      </c>
      <c r="C2" s="3" t="s">
        <v>144</v>
      </c>
      <c r="D2" s="3" t="s">
        <v>145</v>
      </c>
      <c r="E2" s="3" t="s">
        <v>146</v>
      </c>
      <c r="F2" s="3" t="s">
        <v>147</v>
      </c>
      <c r="G2" s="3" t="s">
        <v>148</v>
      </c>
      <c r="H2" s="3" t="s">
        <v>149</v>
      </c>
      <c r="I2" s="3" t="s">
        <v>150</v>
      </c>
      <c r="J2" s="3" t="s">
        <v>151</v>
      </c>
      <c r="K2" s="3" t="s">
        <v>152</v>
      </c>
      <c r="L2" s="3" t="s">
        <v>153</v>
      </c>
      <c r="M2" s="3" t="s">
        <v>154</v>
      </c>
      <c r="N2" s="3" t="s">
        <v>155</v>
      </c>
      <c r="O2" s="3" t="s">
        <v>156</v>
      </c>
      <c r="P2" s="3" t="s">
        <v>157</v>
      </c>
      <c r="Q2" s="3" t="s">
        <v>158</v>
      </c>
      <c r="R2" s="3" t="s">
        <v>159</v>
      </c>
      <c r="S2" s="3" t="s">
        <v>160</v>
      </c>
      <c r="T2" s="3" t="s">
        <v>161</v>
      </c>
    </row>
    <row r="3" spans="1:20" x14ac:dyDescent="0.2">
      <c r="A3" s="26" t="s">
        <v>318</v>
      </c>
      <c r="B3" s="27">
        <v>0.32619999999999999</v>
      </c>
      <c r="C3" s="27">
        <v>0.32090000000000002</v>
      </c>
      <c r="D3" s="27">
        <v>0.48100000000000004</v>
      </c>
      <c r="E3" s="27">
        <v>6.88E-2</v>
      </c>
      <c r="F3" s="27">
        <v>0.15039999999999998</v>
      </c>
      <c r="G3" s="27">
        <v>0.1646</v>
      </c>
      <c r="H3" s="27">
        <v>0.11699999999999999</v>
      </c>
      <c r="I3" s="27">
        <v>3.4200000000000001E-2</v>
      </c>
      <c r="J3" s="27">
        <v>6.4299999999999996E-2</v>
      </c>
      <c r="K3" s="27">
        <v>2.0499999999999997E-2</v>
      </c>
      <c r="L3" s="27">
        <v>1.83E-2</v>
      </c>
      <c r="M3" s="27">
        <v>5.4100000000000002E-2</v>
      </c>
      <c r="N3" s="27">
        <v>1.26E-2</v>
      </c>
      <c r="O3" s="27">
        <v>4.7999999999999996E-3</v>
      </c>
      <c r="P3" s="27">
        <v>6.5000000000000006E-3</v>
      </c>
      <c r="Q3" s="27">
        <v>3.9000000000000003E-3</v>
      </c>
      <c r="R3" s="27">
        <v>2.3999999999999998E-3</v>
      </c>
      <c r="S3" s="27">
        <v>1.7399999999999999E-2</v>
      </c>
      <c r="T3" s="27">
        <v>2.2099999999999998E-2</v>
      </c>
    </row>
    <row r="4" spans="1:20" x14ac:dyDescent="0.2">
      <c r="A4" s="26" t="s">
        <v>314</v>
      </c>
      <c r="B4" s="27">
        <v>0.26119999999999999</v>
      </c>
      <c r="C4" s="27">
        <v>0.25609999999999999</v>
      </c>
      <c r="D4" s="27">
        <v>0.53539999999999999</v>
      </c>
      <c r="E4" s="27">
        <v>7.85E-2</v>
      </c>
      <c r="F4" s="27">
        <v>0.11550000000000001</v>
      </c>
      <c r="G4" s="27">
        <v>0.24909999999999999</v>
      </c>
      <c r="H4" s="27">
        <v>0.11840000000000001</v>
      </c>
      <c r="I4" s="27">
        <v>3.0800000000000001E-2</v>
      </c>
      <c r="J4" s="27">
        <v>5.3099999999999994E-2</v>
      </c>
      <c r="K4" s="27">
        <v>1.9599999999999999E-2</v>
      </c>
      <c r="L4" s="27">
        <v>2.8999999999999998E-2</v>
      </c>
      <c r="M4" s="27">
        <v>4.4000000000000004E-2</v>
      </c>
      <c r="N4" s="27">
        <v>1.7399999999999999E-2</v>
      </c>
      <c r="O4" s="27">
        <v>8.6E-3</v>
      </c>
      <c r="P4" s="27">
        <v>6.1999999999999998E-3</v>
      </c>
      <c r="Q4" s="27">
        <v>3.3E-3</v>
      </c>
      <c r="R4" s="27">
        <v>2.3E-3</v>
      </c>
      <c r="S4" s="27">
        <v>2.4199999999999999E-2</v>
      </c>
      <c r="T4" s="27">
        <v>2.7799999999999998E-2</v>
      </c>
    </row>
    <row r="5" spans="1:20" x14ac:dyDescent="0.2">
      <c r="A5" s="26" t="s">
        <v>305</v>
      </c>
      <c r="B5" s="27">
        <v>0.30380000000000001</v>
      </c>
      <c r="C5" s="27">
        <v>0.27129999999999999</v>
      </c>
      <c r="D5" s="27">
        <v>0.45039999999999997</v>
      </c>
      <c r="E5" s="27">
        <v>0.1114</v>
      </c>
      <c r="F5" s="27">
        <v>0.11609999999999999</v>
      </c>
      <c r="G5" s="27">
        <v>0.13159999999999999</v>
      </c>
      <c r="H5" s="27">
        <v>0.16519999999999999</v>
      </c>
      <c r="I5" s="27">
        <v>2.46E-2</v>
      </c>
      <c r="J5" s="27">
        <v>5.0799999999999998E-2</v>
      </c>
      <c r="K5" s="27">
        <v>1.9199999999999998E-2</v>
      </c>
      <c r="L5" s="27">
        <v>2.8799999999999999E-2</v>
      </c>
      <c r="M5" s="27">
        <v>5.7300000000000004E-2</v>
      </c>
      <c r="N5" s="27">
        <v>2.0499999999999997E-2</v>
      </c>
      <c r="O5" s="27">
        <v>4.6999999999999993E-3</v>
      </c>
      <c r="P5" s="27">
        <v>6.5000000000000006E-3</v>
      </c>
      <c r="Q5" s="27">
        <v>4.3E-3</v>
      </c>
      <c r="R5" s="27">
        <v>2.5000000000000001E-3</v>
      </c>
      <c r="S5" s="27">
        <v>3.7200000000000004E-2</v>
      </c>
      <c r="T5" s="27">
        <v>1.6500000000000001E-2</v>
      </c>
    </row>
    <row r="6" spans="1:20" x14ac:dyDescent="0.2">
      <c r="A6" s="26" t="s">
        <v>302</v>
      </c>
      <c r="B6" s="27">
        <v>0.2873</v>
      </c>
      <c r="C6" s="27">
        <v>0.2611</v>
      </c>
      <c r="D6" s="27">
        <v>0.4531</v>
      </c>
      <c r="E6" s="27">
        <v>6.9900000000000004E-2</v>
      </c>
      <c r="F6" s="27">
        <v>0.1216</v>
      </c>
      <c r="G6" s="27">
        <v>0.14510000000000001</v>
      </c>
      <c r="H6" s="27">
        <v>0.1143</v>
      </c>
      <c r="I6" s="27">
        <v>2.3099999999999999E-2</v>
      </c>
      <c r="J6" s="27">
        <v>5.4900000000000004E-2</v>
      </c>
      <c r="K6" s="27">
        <v>2.63E-2</v>
      </c>
      <c r="L6" s="27">
        <v>1.8200000000000001E-2</v>
      </c>
      <c r="M6" s="27">
        <v>7.2999999999999995E-2</v>
      </c>
      <c r="N6" s="27">
        <v>1.3100000000000001E-2</v>
      </c>
      <c r="O6" s="27">
        <v>5.0000000000000001E-3</v>
      </c>
      <c r="P6" s="27">
        <v>7.4999999999999997E-3</v>
      </c>
      <c r="Q6" s="27">
        <v>6.3E-3</v>
      </c>
      <c r="R6" s="27">
        <v>2.7000000000000001E-3</v>
      </c>
      <c r="S6" s="27">
        <v>2.1499999999999998E-2</v>
      </c>
      <c r="T6" s="27">
        <v>2.0199999999999999E-2</v>
      </c>
    </row>
    <row r="7" spans="1:20" x14ac:dyDescent="0.2">
      <c r="A7" s="26" t="s">
        <v>298</v>
      </c>
      <c r="B7" s="27">
        <v>0.28220000000000001</v>
      </c>
      <c r="C7" s="27">
        <v>0.25730000000000003</v>
      </c>
      <c r="D7" s="27">
        <v>0.49020000000000002</v>
      </c>
      <c r="E7" s="27">
        <v>8.900000000000001E-2</v>
      </c>
      <c r="F7" s="27">
        <v>0.13350000000000001</v>
      </c>
      <c r="G7" s="27">
        <v>0.1229</v>
      </c>
      <c r="H7" s="27">
        <v>0.17219999999999999</v>
      </c>
      <c r="I7" s="27">
        <v>4.6699999999999998E-2</v>
      </c>
      <c r="J7" s="27">
        <v>5.7599999999999998E-2</v>
      </c>
      <c r="K7" s="27">
        <v>1.5800000000000002E-2</v>
      </c>
      <c r="L7" s="27">
        <v>2.2400000000000003E-2</v>
      </c>
      <c r="M7" s="27">
        <v>4.8399999999999999E-2</v>
      </c>
      <c r="N7" s="27">
        <v>1.5100000000000001E-2</v>
      </c>
      <c r="O7" s="27">
        <v>8.3000000000000001E-3</v>
      </c>
      <c r="P7" s="27">
        <v>7.6E-3</v>
      </c>
      <c r="Q7" s="27">
        <v>5.0000000000000001E-3</v>
      </c>
      <c r="R7" s="27">
        <v>1.8E-3</v>
      </c>
      <c r="S7" s="27">
        <v>2.4500000000000001E-2</v>
      </c>
      <c r="T7" s="27">
        <v>1.8700000000000001E-2</v>
      </c>
    </row>
    <row r="8" spans="1:20" x14ac:dyDescent="0.2">
      <c r="A8" s="26" t="s">
        <v>285</v>
      </c>
      <c r="B8" s="27">
        <v>0.28870000000000001</v>
      </c>
      <c r="C8" s="27">
        <v>0.2717</v>
      </c>
      <c r="D8" s="27">
        <v>0.50979999999999992</v>
      </c>
      <c r="E8" s="27">
        <v>7.7300000000000008E-2</v>
      </c>
      <c r="F8" s="27">
        <v>0.14649999999999999</v>
      </c>
      <c r="G8" s="27">
        <v>0.18079999999999999</v>
      </c>
      <c r="H8" s="27">
        <v>0.10710000000000001</v>
      </c>
      <c r="I8" s="27">
        <v>2.4799999999999999E-2</v>
      </c>
      <c r="J8" s="27">
        <v>4.9200000000000001E-2</v>
      </c>
      <c r="K8" s="27">
        <v>2.3799999999999998E-2</v>
      </c>
      <c r="L8" s="27">
        <v>2.3E-2</v>
      </c>
      <c r="M8" s="27">
        <v>8.0700000000000008E-2</v>
      </c>
      <c r="N8" s="27">
        <v>2.4700000000000003E-2</v>
      </c>
      <c r="O8" s="27">
        <v>4.8999999999999998E-3</v>
      </c>
      <c r="P8" s="27">
        <v>5.8999999999999999E-3</v>
      </c>
      <c r="Q8" s="27">
        <v>4.4000000000000003E-3</v>
      </c>
      <c r="R8" s="27">
        <v>5.1999999999999998E-3</v>
      </c>
      <c r="S8" s="27">
        <v>4.0899999999999999E-2</v>
      </c>
      <c r="T8" s="27">
        <v>1.9E-2</v>
      </c>
    </row>
    <row r="9" spans="1:20" x14ac:dyDescent="0.2">
      <c r="A9" s="26" t="s">
        <v>274</v>
      </c>
      <c r="B9" s="27">
        <v>0.32100000000000001</v>
      </c>
      <c r="C9" s="27">
        <v>0.32170000000000004</v>
      </c>
      <c r="D9" s="27">
        <v>0.45990000000000003</v>
      </c>
      <c r="E9" s="27">
        <v>6.4100000000000004E-2</v>
      </c>
      <c r="F9" s="27">
        <v>0.14510000000000001</v>
      </c>
      <c r="G9" s="27">
        <v>0.17430000000000001</v>
      </c>
      <c r="H9" s="27">
        <v>0.13470000000000001</v>
      </c>
      <c r="I9" s="27">
        <v>2.41E-2</v>
      </c>
      <c r="J9" s="27">
        <v>5.0499999999999996E-2</v>
      </c>
      <c r="K9" s="27">
        <v>1.7399999999999999E-2</v>
      </c>
      <c r="L9" s="27">
        <v>0.02</v>
      </c>
      <c r="M9" s="27">
        <v>4.0500000000000001E-2</v>
      </c>
      <c r="N9" s="27">
        <v>1.9E-2</v>
      </c>
      <c r="O9" s="27">
        <v>5.1999999999999998E-3</v>
      </c>
      <c r="P9" s="27">
        <v>9.5999999999999992E-3</v>
      </c>
      <c r="Q9" s="27">
        <v>5.3E-3</v>
      </c>
      <c r="R9" s="27">
        <v>2.5999999999999999E-3</v>
      </c>
      <c r="S9" s="27">
        <v>1.8500000000000003E-2</v>
      </c>
      <c r="T9" s="27">
        <v>2.06E-2</v>
      </c>
    </row>
    <row r="10" spans="1:20" x14ac:dyDescent="0.2">
      <c r="A10" s="26" t="s">
        <v>254</v>
      </c>
      <c r="B10" s="27">
        <v>0.3221</v>
      </c>
      <c r="C10" s="27">
        <v>0.34960000000000002</v>
      </c>
      <c r="D10" s="27">
        <v>0.42799999999999999</v>
      </c>
      <c r="E10" s="27">
        <v>7.6499999999999999E-2</v>
      </c>
      <c r="F10" s="27">
        <v>0.13</v>
      </c>
      <c r="G10" s="27">
        <v>0.13140000000000002</v>
      </c>
      <c r="H10" s="27">
        <v>7.2700000000000001E-2</v>
      </c>
      <c r="I10" s="27">
        <v>2.3799999999999998E-2</v>
      </c>
      <c r="J10" s="27">
        <v>5.5999999999999994E-2</v>
      </c>
      <c r="K10" s="27">
        <v>1.11E-2</v>
      </c>
      <c r="L10" s="27">
        <v>5.9299999999999999E-2</v>
      </c>
      <c r="M10" s="27">
        <v>4.1299999999999996E-2</v>
      </c>
      <c r="N10" s="27">
        <v>2.1400000000000002E-2</v>
      </c>
      <c r="O10" s="27">
        <v>5.3E-3</v>
      </c>
      <c r="P10" s="27">
        <v>1.0200000000000001E-2</v>
      </c>
      <c r="Q10" s="27">
        <v>8.5000000000000006E-3</v>
      </c>
      <c r="R10" s="27">
        <v>2.2000000000000001E-3</v>
      </c>
      <c r="S10" s="27">
        <v>3.73E-2</v>
      </c>
      <c r="T10" s="27">
        <v>2.5000000000000001E-2</v>
      </c>
    </row>
    <row r="11" spans="1:20" x14ac:dyDescent="0.2">
      <c r="A11" s="26" t="s">
        <v>242</v>
      </c>
      <c r="B11" s="27">
        <v>0.3639</v>
      </c>
      <c r="C11" s="27">
        <v>0.35299999999999998</v>
      </c>
      <c r="D11" s="27">
        <v>0.4022</v>
      </c>
      <c r="E11" s="27">
        <v>6.6600000000000006E-2</v>
      </c>
      <c r="F11" s="27">
        <v>0.1125</v>
      </c>
      <c r="G11" s="27">
        <v>0.13390000000000002</v>
      </c>
      <c r="H11" s="27">
        <v>0.11599999999999999</v>
      </c>
      <c r="I11" s="27">
        <v>2.5600000000000001E-2</v>
      </c>
      <c r="J11" s="27">
        <v>0.12130000000000001</v>
      </c>
      <c r="K11" s="27">
        <v>1.3100000000000001E-2</v>
      </c>
      <c r="L11" s="27">
        <v>2.7999999999999997E-2</v>
      </c>
      <c r="M11" s="27">
        <v>4.4999999999999998E-2</v>
      </c>
      <c r="N11" s="27">
        <v>1.2699999999999999E-2</v>
      </c>
      <c r="O11" s="27">
        <v>7.0999999999999995E-3</v>
      </c>
      <c r="P11" s="27">
        <v>9.7999999999999997E-3</v>
      </c>
      <c r="Q11" s="27">
        <v>3.4000000000000002E-3</v>
      </c>
      <c r="R11" s="27">
        <v>2.8000000000000004E-3</v>
      </c>
      <c r="S11" s="27">
        <v>1.3899999999999999E-2</v>
      </c>
      <c r="T11" s="27">
        <v>1.7100000000000001E-2</v>
      </c>
    </row>
    <row r="12" spans="1:20" x14ac:dyDescent="0.2">
      <c r="A12" s="26" t="s">
        <v>234</v>
      </c>
      <c r="B12" s="27">
        <v>0.314</v>
      </c>
      <c r="C12" s="27">
        <v>0.28850000000000003</v>
      </c>
      <c r="D12" s="27">
        <v>0.44420000000000004</v>
      </c>
      <c r="E12" s="27">
        <v>8.1000000000000003E-2</v>
      </c>
      <c r="F12" s="27">
        <v>0.11599999999999999</v>
      </c>
      <c r="G12" s="27">
        <v>0.17800000000000002</v>
      </c>
      <c r="H12" s="27">
        <v>9.0800000000000006E-2</v>
      </c>
      <c r="I12" s="27">
        <v>2.69E-2</v>
      </c>
      <c r="J12" s="27">
        <v>4.3099999999999999E-2</v>
      </c>
      <c r="K12" s="27">
        <v>1.2800000000000001E-2</v>
      </c>
      <c r="L12" s="27">
        <v>2.1000000000000001E-2</v>
      </c>
      <c r="M12" s="27">
        <v>5.0900000000000001E-2</v>
      </c>
      <c r="N12" s="27">
        <v>2.0499999999999997E-2</v>
      </c>
      <c r="O12" s="27">
        <v>8.3000000000000001E-3</v>
      </c>
      <c r="P12" s="27">
        <v>2.18E-2</v>
      </c>
      <c r="Q12" s="27">
        <v>4.3E-3</v>
      </c>
      <c r="R12" s="27">
        <v>2.2000000000000001E-3</v>
      </c>
      <c r="S12" s="27">
        <v>1.1200000000000002E-2</v>
      </c>
      <c r="T12" s="27">
        <v>2.7900000000000001E-2</v>
      </c>
    </row>
    <row r="13" spans="1:20" x14ac:dyDescent="0.2">
      <c r="A13" s="26" t="s">
        <v>143</v>
      </c>
      <c r="B13" s="27">
        <v>0.3569</v>
      </c>
      <c r="C13" s="27">
        <v>0.35820000000000002</v>
      </c>
      <c r="D13" s="27">
        <v>0.42159999999999997</v>
      </c>
      <c r="E13" s="27">
        <v>6.6699999999999995E-2</v>
      </c>
      <c r="F13" s="27">
        <v>0.1802</v>
      </c>
      <c r="G13" s="27">
        <v>0.1134</v>
      </c>
      <c r="H13" s="27">
        <v>0.1134</v>
      </c>
      <c r="I13" s="27">
        <v>2.5899999999999999E-2</v>
      </c>
      <c r="J13" s="27">
        <v>3.95E-2</v>
      </c>
      <c r="K13" s="27">
        <v>1.2699999999999999E-2</v>
      </c>
      <c r="L13" s="27">
        <v>1.9099999999999999E-2</v>
      </c>
      <c r="M13" s="27">
        <v>5.6100000000000004E-2</v>
      </c>
      <c r="N13" s="27">
        <v>1.46E-2</v>
      </c>
      <c r="O13" s="27">
        <v>5.1999999999999998E-3</v>
      </c>
      <c r="P13" s="27">
        <v>1.0200000000000001E-2</v>
      </c>
      <c r="Q13" s="27">
        <v>3.8E-3</v>
      </c>
      <c r="R13" s="27">
        <v>2E-3</v>
      </c>
      <c r="S13" s="27">
        <v>1.77E-2</v>
      </c>
      <c r="T13" s="27">
        <v>2.3599999999999999E-2</v>
      </c>
    </row>
    <row r="14" spans="1:20" x14ac:dyDescent="0.2">
      <c r="A14" s="26" t="s">
        <v>142</v>
      </c>
      <c r="B14" s="27">
        <v>0.30159999999999998</v>
      </c>
      <c r="C14" s="27">
        <v>0.25370000000000004</v>
      </c>
      <c r="D14" s="27">
        <v>0.41840000000000005</v>
      </c>
      <c r="E14" s="27">
        <v>0.11699999999999999</v>
      </c>
      <c r="F14" s="27">
        <v>0.1174</v>
      </c>
      <c r="G14" s="27">
        <v>9.4499999999999987E-2</v>
      </c>
      <c r="H14" s="27">
        <v>0.1047</v>
      </c>
      <c r="I14" s="27">
        <v>2.64E-2</v>
      </c>
      <c r="J14" s="27">
        <v>4.9500000000000002E-2</v>
      </c>
      <c r="K14" s="27">
        <v>1.4800000000000001E-2</v>
      </c>
      <c r="L14" s="27">
        <v>3.0299999999999997E-2</v>
      </c>
      <c r="M14" s="27">
        <v>7.51E-2</v>
      </c>
      <c r="N14" s="27">
        <v>2.3199999999999998E-2</v>
      </c>
      <c r="O14" s="27">
        <v>8.0000000000000002E-3</v>
      </c>
      <c r="P14" s="27">
        <v>5.3E-3</v>
      </c>
      <c r="Q14" s="27">
        <v>5.1999999999999998E-3</v>
      </c>
      <c r="R14" s="27">
        <v>2.3999999999999998E-3</v>
      </c>
      <c r="S14" s="27">
        <v>1.5600000000000001E-2</v>
      </c>
      <c r="T14" s="27">
        <v>2.0199999999999999E-2</v>
      </c>
    </row>
    <row r="15" spans="1:20" x14ac:dyDescent="0.2">
      <c r="A15" s="26" t="s">
        <v>141</v>
      </c>
      <c r="B15" s="27">
        <v>0.36170000000000002</v>
      </c>
      <c r="C15" s="27">
        <v>0.35920000000000002</v>
      </c>
      <c r="D15" s="27">
        <v>0.3962</v>
      </c>
      <c r="E15" s="27">
        <v>6.8000000000000005E-2</v>
      </c>
      <c r="F15" s="27">
        <v>0.16239999999999999</v>
      </c>
      <c r="G15" s="27">
        <v>0.12210000000000001</v>
      </c>
      <c r="H15" s="27">
        <v>0.1023</v>
      </c>
      <c r="I15" s="27">
        <v>2.64E-2</v>
      </c>
      <c r="J15" s="27">
        <v>5.8200000000000002E-2</v>
      </c>
      <c r="K15" s="27">
        <v>1.1200000000000002E-2</v>
      </c>
      <c r="L15" s="27">
        <v>1.7899999999999999E-2</v>
      </c>
      <c r="M15" s="27">
        <v>4.8300000000000003E-2</v>
      </c>
      <c r="N15" s="27">
        <v>1.66E-2</v>
      </c>
      <c r="O15" s="27">
        <v>4.0000000000000001E-3</v>
      </c>
      <c r="P15" s="27">
        <v>4.5999999999999999E-3</v>
      </c>
      <c r="Q15" s="27">
        <v>3.0999999999999999E-3</v>
      </c>
      <c r="R15" s="27">
        <v>2.3999999999999998E-3</v>
      </c>
      <c r="S15" s="27">
        <v>1.5900000000000001E-2</v>
      </c>
      <c r="T15" s="27">
        <v>3.7499999999999999E-2</v>
      </c>
    </row>
    <row r="16" spans="1:20" x14ac:dyDescent="0.2">
      <c r="A16" s="26" t="s">
        <v>140</v>
      </c>
      <c r="B16" s="27">
        <v>0.30879999999999996</v>
      </c>
      <c r="C16" s="27">
        <v>0.31</v>
      </c>
      <c r="D16" s="27">
        <v>0.4592</v>
      </c>
      <c r="E16" s="27">
        <v>6.4600000000000005E-2</v>
      </c>
      <c r="F16" s="27">
        <v>0.11320000000000001</v>
      </c>
      <c r="G16" s="27">
        <v>0.14760000000000001</v>
      </c>
      <c r="H16" s="27">
        <v>0.12759999999999999</v>
      </c>
      <c r="I16" s="27">
        <v>2.1000000000000001E-2</v>
      </c>
      <c r="J16" s="27">
        <v>4.1399999999999999E-2</v>
      </c>
      <c r="K16" s="27">
        <v>1.4199999999999999E-2</v>
      </c>
      <c r="L16" s="27">
        <v>1.8799999999999997E-2</v>
      </c>
      <c r="M16" s="27">
        <v>6.3200000000000006E-2</v>
      </c>
      <c r="N16" s="27">
        <v>1.8100000000000002E-2</v>
      </c>
      <c r="O16" s="27">
        <v>4.6999999999999993E-3</v>
      </c>
      <c r="P16" s="27">
        <v>4.1999999999999997E-3</v>
      </c>
      <c r="Q16" s="27">
        <v>3.0000000000000001E-3</v>
      </c>
      <c r="R16" s="27">
        <v>3.0999999999999999E-3</v>
      </c>
      <c r="S16" s="27">
        <v>2.7300000000000001E-2</v>
      </c>
      <c r="T16" s="27">
        <v>1.78E-2</v>
      </c>
    </row>
    <row r="17" spans="1:20" x14ac:dyDescent="0.2">
      <c r="A17" s="26" t="s">
        <v>139</v>
      </c>
      <c r="B17" s="27">
        <v>0.34990000000000004</v>
      </c>
      <c r="C17" s="27">
        <v>0.32369999999999999</v>
      </c>
      <c r="D17" s="27">
        <v>0.45140000000000002</v>
      </c>
      <c r="E17" s="27">
        <v>6.3299999999999995E-2</v>
      </c>
      <c r="F17" s="27">
        <v>0.10980000000000001</v>
      </c>
      <c r="G17" s="27">
        <v>0.14730000000000001</v>
      </c>
      <c r="H17" s="27">
        <v>9.9900000000000003E-2</v>
      </c>
      <c r="I17" s="27">
        <v>2.7300000000000001E-2</v>
      </c>
      <c r="J17" s="27">
        <v>7.3399999999999993E-2</v>
      </c>
      <c r="K17" s="27">
        <v>1.9599999999999999E-2</v>
      </c>
      <c r="L17" s="27">
        <v>0.04</v>
      </c>
      <c r="M17" s="27">
        <v>5.2400000000000002E-2</v>
      </c>
      <c r="N17" s="27">
        <v>1.5300000000000001E-2</v>
      </c>
      <c r="O17" s="27">
        <v>3.8E-3</v>
      </c>
      <c r="P17" s="27">
        <v>4.4000000000000003E-3</v>
      </c>
      <c r="Q17" s="27">
        <v>4.5999999999999999E-3</v>
      </c>
      <c r="R17" s="27">
        <v>3.7000000000000002E-3</v>
      </c>
      <c r="S17" s="27">
        <v>1.9299999999999998E-2</v>
      </c>
      <c r="T17" s="27">
        <v>2.6000000000000002E-2</v>
      </c>
    </row>
    <row r="18" spans="1:20" x14ac:dyDescent="0.2">
      <c r="A18" s="26" t="s">
        <v>162</v>
      </c>
      <c r="B18" s="27">
        <v>0.2712</v>
      </c>
      <c r="C18" s="27">
        <v>0.26640000000000003</v>
      </c>
      <c r="D18" s="27">
        <v>0.48020000000000002</v>
      </c>
      <c r="E18" s="27">
        <v>9.1799999999999993E-2</v>
      </c>
      <c r="F18" s="27">
        <v>0.11720000000000001</v>
      </c>
      <c r="G18" s="27">
        <v>0.1283</v>
      </c>
      <c r="H18" s="27">
        <v>0.16440000000000002</v>
      </c>
      <c r="I18" s="27">
        <v>3.0299999999999997E-2</v>
      </c>
      <c r="J18" s="27">
        <v>3.9399999999999998E-2</v>
      </c>
      <c r="K18" s="27">
        <v>2.1099999999999997E-2</v>
      </c>
      <c r="L18" s="27">
        <v>1.7299999999999999E-2</v>
      </c>
      <c r="M18" s="27">
        <v>5.3899999999999997E-2</v>
      </c>
      <c r="N18" s="27">
        <v>2.1099999999999997E-2</v>
      </c>
      <c r="O18" s="27">
        <v>4.3E-3</v>
      </c>
      <c r="P18" s="27">
        <v>4.3E-3</v>
      </c>
      <c r="Q18" s="27">
        <v>3.2000000000000002E-3</v>
      </c>
      <c r="R18" s="27">
        <v>6.8000000000000005E-3</v>
      </c>
      <c r="S18" s="27">
        <v>2.5600000000000001E-2</v>
      </c>
      <c r="T18" s="27">
        <v>2.1099999999999997E-2</v>
      </c>
    </row>
    <row r="19" spans="1:20" x14ac:dyDescent="0.2">
      <c r="A19" s="26" t="s">
        <v>163</v>
      </c>
      <c r="B19" s="27">
        <v>0.34570000000000001</v>
      </c>
      <c r="C19" s="27">
        <v>0.34049999999999997</v>
      </c>
      <c r="D19" s="27">
        <v>0.435</v>
      </c>
      <c r="E19" s="27">
        <v>5.7000000000000002E-2</v>
      </c>
      <c r="F19" s="27">
        <v>0.15810000000000002</v>
      </c>
      <c r="G19" s="27">
        <v>0.10949999999999999</v>
      </c>
      <c r="H19" s="27">
        <v>0.106</v>
      </c>
      <c r="I19" s="27">
        <v>2.6000000000000002E-2</v>
      </c>
      <c r="J19" s="27">
        <v>6.9500000000000006E-2</v>
      </c>
      <c r="K19" s="27">
        <v>1.34E-2</v>
      </c>
      <c r="L19" s="27">
        <v>1.95E-2</v>
      </c>
      <c r="M19" s="27">
        <v>7.9000000000000001E-2</v>
      </c>
      <c r="N19" s="27">
        <v>1.72E-2</v>
      </c>
      <c r="O19" s="27">
        <v>6.3E-3</v>
      </c>
      <c r="P19" s="27">
        <v>7.0999999999999995E-3</v>
      </c>
      <c r="Q19" s="27">
        <v>1.9E-3</v>
      </c>
      <c r="R19" s="27">
        <v>6.6E-3</v>
      </c>
      <c r="S19" s="27">
        <v>2.87E-2</v>
      </c>
      <c r="T19" s="27">
        <v>1.7500000000000002E-2</v>
      </c>
    </row>
    <row r="20" spans="1:20" x14ac:dyDescent="0.2">
      <c r="A20" s="26" t="s">
        <v>164</v>
      </c>
      <c r="B20" s="27">
        <v>0.30380000000000001</v>
      </c>
      <c r="C20" s="27">
        <v>0.27960000000000002</v>
      </c>
      <c r="D20" s="27">
        <v>0.50649999999999995</v>
      </c>
      <c r="E20" s="27">
        <v>5.33E-2</v>
      </c>
      <c r="F20" s="27">
        <v>0.2072</v>
      </c>
      <c r="G20" s="27">
        <v>0.161</v>
      </c>
      <c r="H20" s="27">
        <v>0.13339999999999999</v>
      </c>
      <c r="I20" s="27">
        <v>1.8100000000000002E-2</v>
      </c>
      <c r="J20" s="27">
        <v>4.0399999999999998E-2</v>
      </c>
      <c r="K20" s="27">
        <v>2.0199999999999999E-2</v>
      </c>
      <c r="L20" s="27">
        <v>1.84E-2</v>
      </c>
      <c r="M20" s="27">
        <v>6.0599999999999994E-2</v>
      </c>
      <c r="N20" s="27">
        <v>1.9299999999999998E-2</v>
      </c>
      <c r="O20" s="27">
        <v>5.4000000000000003E-3</v>
      </c>
      <c r="P20" s="27">
        <v>3.4999999999999996E-3</v>
      </c>
      <c r="Q20" s="27">
        <v>2.3E-3</v>
      </c>
      <c r="R20" s="27">
        <v>5.3E-3</v>
      </c>
      <c r="S20" s="27">
        <v>1.6399999999999998E-2</v>
      </c>
      <c r="T20" s="27">
        <v>2.3199999999999998E-2</v>
      </c>
    </row>
    <row r="21" spans="1:20" x14ac:dyDescent="0.2">
      <c r="A21" s="26" t="s">
        <v>165</v>
      </c>
      <c r="B21" s="27">
        <v>0.30079999999999996</v>
      </c>
      <c r="C21" s="27">
        <v>0.2732</v>
      </c>
      <c r="D21" s="27">
        <v>0.54239999999999999</v>
      </c>
      <c r="E21" s="27">
        <v>5.5E-2</v>
      </c>
      <c r="F21" s="27">
        <v>0.18079999999999999</v>
      </c>
      <c r="G21" s="27">
        <v>0.19640000000000002</v>
      </c>
      <c r="H21" s="27">
        <v>0.1457</v>
      </c>
      <c r="I21" s="27">
        <v>2.2200000000000001E-2</v>
      </c>
      <c r="J21" s="27">
        <v>4.9599999999999998E-2</v>
      </c>
      <c r="K21" s="27">
        <v>3.2400000000000005E-2</v>
      </c>
      <c r="L21" s="27">
        <v>3.1300000000000001E-2</v>
      </c>
      <c r="M21" s="27">
        <v>5.45E-2</v>
      </c>
      <c r="N21" s="27">
        <v>1.9699999999999999E-2</v>
      </c>
      <c r="O21" s="27">
        <v>4.5000000000000005E-3</v>
      </c>
      <c r="P21" s="27">
        <v>4.3E-3</v>
      </c>
      <c r="Q21" s="27">
        <v>2.7000000000000001E-3</v>
      </c>
      <c r="R21" s="27">
        <v>3.2000000000000002E-3</v>
      </c>
      <c r="S21" s="27">
        <v>1.8799999999999997E-2</v>
      </c>
      <c r="T21" s="27">
        <v>2.1600000000000001E-2</v>
      </c>
    </row>
    <row r="22" spans="1:20" x14ac:dyDescent="0.2">
      <c r="A22" s="26" t="s">
        <v>166</v>
      </c>
      <c r="B22" s="27">
        <v>0.3856</v>
      </c>
      <c r="C22" s="27">
        <v>0.3579</v>
      </c>
      <c r="D22" s="27">
        <v>0.37409999999999999</v>
      </c>
      <c r="E22" s="27">
        <v>6.5599999999999992E-2</v>
      </c>
      <c r="F22" s="27">
        <v>0.27649999999999997</v>
      </c>
      <c r="G22" s="27">
        <v>0.11710000000000001</v>
      </c>
      <c r="H22" s="27">
        <v>9.6099999999999991E-2</v>
      </c>
      <c r="I22" s="27">
        <v>2.0499999999999997E-2</v>
      </c>
      <c r="J22" s="27">
        <v>4.0999999999999995E-2</v>
      </c>
      <c r="K22" s="27">
        <v>1.9799999999999998E-2</v>
      </c>
      <c r="L22" s="27">
        <v>2.0199999999999999E-2</v>
      </c>
      <c r="M22" s="27">
        <v>6.1799999999999994E-2</v>
      </c>
      <c r="N22" s="27">
        <v>2.1099999999999997E-2</v>
      </c>
      <c r="O22" s="27">
        <v>4.5000000000000005E-3</v>
      </c>
      <c r="P22" s="27">
        <v>4.6999999999999993E-3</v>
      </c>
      <c r="Q22" s="27">
        <v>2.2000000000000001E-3</v>
      </c>
      <c r="R22" s="27">
        <v>4.0000000000000001E-3</v>
      </c>
      <c r="S22" s="27">
        <v>1.5300000000000001E-2</v>
      </c>
      <c r="T22" s="27">
        <v>8.1000000000000013E-3</v>
      </c>
    </row>
    <row r="23" spans="1:20" x14ac:dyDescent="0.2">
      <c r="A23" s="26" t="s">
        <v>167</v>
      </c>
      <c r="B23" s="27">
        <v>0.2697</v>
      </c>
      <c r="C23" s="27">
        <v>0.27779999999999999</v>
      </c>
      <c r="D23" s="27">
        <v>0.48100000000000004</v>
      </c>
      <c r="E23" s="27">
        <v>4.6399999999999997E-2</v>
      </c>
      <c r="F23" s="27">
        <v>0.2029</v>
      </c>
      <c r="G23" s="27">
        <v>0.1399</v>
      </c>
      <c r="H23" s="27">
        <v>0.2014</v>
      </c>
      <c r="I23" s="27">
        <v>2.1299999999999999E-2</v>
      </c>
      <c r="J23" s="27">
        <v>3.85E-2</v>
      </c>
      <c r="K23" s="27">
        <v>2.6499999999999999E-2</v>
      </c>
      <c r="L23" s="27">
        <v>1.3000000000000001E-2</v>
      </c>
      <c r="M23" s="27">
        <v>4.3200000000000002E-2</v>
      </c>
      <c r="N23" s="27">
        <v>1.6E-2</v>
      </c>
      <c r="O23" s="27">
        <v>4.0000000000000001E-3</v>
      </c>
      <c r="P23" s="27">
        <v>3.3E-3</v>
      </c>
      <c r="Q23" s="27">
        <v>1.6000000000000001E-3</v>
      </c>
      <c r="R23" s="27">
        <v>3.8E-3</v>
      </c>
      <c r="S23" s="27">
        <v>1.46E-2</v>
      </c>
      <c r="T23" s="27">
        <v>1.1399999999999999E-2</v>
      </c>
    </row>
    <row r="24" spans="1:20" x14ac:dyDescent="0.2">
      <c r="A24" s="26" t="s">
        <v>168</v>
      </c>
      <c r="B24" s="27">
        <v>0.27279999999999999</v>
      </c>
      <c r="C24" s="27">
        <v>0.27679999999999999</v>
      </c>
      <c r="D24" s="27">
        <v>0.39549999999999996</v>
      </c>
      <c r="E24" s="27">
        <v>6.0700000000000004E-2</v>
      </c>
      <c r="F24" s="27">
        <v>0.1946</v>
      </c>
      <c r="G24" s="27">
        <v>8.5199999999999998E-2</v>
      </c>
      <c r="H24" s="27">
        <v>0.1011</v>
      </c>
      <c r="I24" s="27">
        <v>4.4500000000000005E-2</v>
      </c>
      <c r="J24" s="27">
        <v>4.4600000000000001E-2</v>
      </c>
      <c r="K24" s="27">
        <v>3.5900000000000001E-2</v>
      </c>
      <c r="L24" s="27">
        <v>1.61E-2</v>
      </c>
      <c r="M24" s="27">
        <v>4.41E-2</v>
      </c>
      <c r="N24" s="27">
        <v>3.0699999999999998E-2</v>
      </c>
      <c r="O24" s="27">
        <v>5.8999999999999999E-3</v>
      </c>
      <c r="P24" s="27">
        <v>3.5999999999999999E-3</v>
      </c>
      <c r="Q24" s="27">
        <v>2.2000000000000001E-3</v>
      </c>
      <c r="R24" s="27">
        <v>3.3E-3</v>
      </c>
      <c r="S24" s="27">
        <v>1.5600000000000001E-2</v>
      </c>
      <c r="T24" s="27">
        <v>1.23E-2</v>
      </c>
    </row>
    <row r="25" spans="1:20" x14ac:dyDescent="0.2">
      <c r="A25" s="26" t="s">
        <v>169</v>
      </c>
      <c r="B25" s="27">
        <v>0.37990000000000002</v>
      </c>
      <c r="C25" s="27">
        <v>0.26700000000000002</v>
      </c>
      <c r="D25" s="27">
        <v>0.37939999999999996</v>
      </c>
      <c r="E25" s="27">
        <v>5.8700000000000002E-2</v>
      </c>
      <c r="F25" s="27">
        <v>0.1711</v>
      </c>
      <c r="G25" s="27">
        <v>0.16390000000000002</v>
      </c>
      <c r="H25" s="27">
        <v>9.74E-2</v>
      </c>
      <c r="I25" s="27">
        <v>1.5700000000000002E-2</v>
      </c>
      <c r="J25" s="27">
        <v>5.6799999999999996E-2</v>
      </c>
      <c r="K25" s="27">
        <v>2.07E-2</v>
      </c>
      <c r="L25" s="27">
        <v>1.26E-2</v>
      </c>
      <c r="M25" s="27">
        <v>4.24E-2</v>
      </c>
      <c r="N25" s="27">
        <v>1.3300000000000001E-2</v>
      </c>
      <c r="O25" s="27">
        <v>4.6999999999999993E-3</v>
      </c>
      <c r="P25" s="27">
        <v>2.8000000000000004E-3</v>
      </c>
      <c r="Q25" s="27">
        <v>3.2000000000000002E-3</v>
      </c>
      <c r="R25" s="27">
        <v>3.7000000000000002E-3</v>
      </c>
      <c r="S25" s="27">
        <v>1.34E-2</v>
      </c>
      <c r="T25" s="27">
        <v>1.0700000000000001E-2</v>
      </c>
    </row>
    <row r="26" spans="1:20" x14ac:dyDescent="0.2">
      <c r="A26" s="26" t="s">
        <v>169</v>
      </c>
      <c r="B26" s="27">
        <v>0.37990000000000002</v>
      </c>
      <c r="C26" s="27">
        <v>0.26700000000000002</v>
      </c>
      <c r="D26" s="27">
        <v>0.37939999999999996</v>
      </c>
      <c r="E26" s="27">
        <v>5.8700000000000002E-2</v>
      </c>
      <c r="F26" s="27">
        <v>0.1711</v>
      </c>
      <c r="G26" s="27">
        <v>0.16390000000000002</v>
      </c>
      <c r="H26" s="27">
        <v>9.74E-2</v>
      </c>
      <c r="I26" s="27">
        <v>1.5700000000000002E-2</v>
      </c>
      <c r="J26" s="27">
        <v>5.6799999999999996E-2</v>
      </c>
      <c r="K26" s="27">
        <v>2.07E-2</v>
      </c>
      <c r="L26" s="27">
        <v>1.26E-2</v>
      </c>
      <c r="M26" s="27">
        <v>4.24E-2</v>
      </c>
      <c r="N26" s="27">
        <v>1.3300000000000001E-2</v>
      </c>
      <c r="O26" s="27">
        <v>4.6999999999999993E-3</v>
      </c>
      <c r="P26" s="27">
        <v>2.8000000000000004E-3</v>
      </c>
      <c r="Q26" s="27">
        <v>3.2000000000000002E-3</v>
      </c>
      <c r="R26" s="27">
        <v>3.7000000000000002E-3</v>
      </c>
      <c r="S26" s="27">
        <v>1.34E-2</v>
      </c>
      <c r="T26" s="27">
        <v>1.0700000000000001E-2</v>
      </c>
    </row>
    <row r="27" spans="1:20" x14ac:dyDescent="0.2">
      <c r="A27" s="26" t="s">
        <v>169</v>
      </c>
      <c r="B27" s="27">
        <v>0.37990000000000002</v>
      </c>
      <c r="C27" s="27">
        <v>0.26700000000000002</v>
      </c>
      <c r="D27" s="27">
        <v>0.37939999999999996</v>
      </c>
      <c r="E27" s="27">
        <v>5.8700000000000002E-2</v>
      </c>
      <c r="F27" s="27">
        <v>0.1711</v>
      </c>
      <c r="G27" s="27">
        <v>0.16390000000000002</v>
      </c>
      <c r="H27" s="27">
        <v>9.74E-2</v>
      </c>
      <c r="I27" s="27">
        <v>1.5700000000000002E-2</v>
      </c>
      <c r="J27" s="27">
        <v>5.6799999999999996E-2</v>
      </c>
      <c r="K27" s="27">
        <v>2.07E-2</v>
      </c>
      <c r="L27" s="27">
        <v>1.26E-2</v>
      </c>
      <c r="M27" s="27">
        <v>4.24E-2</v>
      </c>
      <c r="N27" s="27">
        <v>1.3300000000000001E-2</v>
      </c>
      <c r="O27" s="27">
        <v>4.6999999999999993E-3</v>
      </c>
      <c r="P27" s="27">
        <v>2.8000000000000004E-3</v>
      </c>
      <c r="Q27" s="27">
        <v>3.2000000000000002E-3</v>
      </c>
      <c r="R27" s="27">
        <v>3.7000000000000002E-3</v>
      </c>
      <c r="S27" s="27">
        <v>1.34E-2</v>
      </c>
      <c r="T27" s="27">
        <v>1.0700000000000001E-2</v>
      </c>
    </row>
    <row r="28" spans="1:20" x14ac:dyDescent="0.2">
      <c r="A28" s="26" t="s">
        <v>170</v>
      </c>
      <c r="B28" s="27">
        <v>0.30130000000000001</v>
      </c>
      <c r="C28" s="27">
        <v>0.25190000000000001</v>
      </c>
      <c r="D28" s="27">
        <v>0.42409999999999998</v>
      </c>
      <c r="E28" s="27">
        <v>7.3399999999999993E-2</v>
      </c>
      <c r="F28" s="27">
        <v>0.17579999999999998</v>
      </c>
      <c r="G28" s="27">
        <v>8.3599999999999994E-2</v>
      </c>
      <c r="H28" s="27">
        <v>8.6899999999999991E-2</v>
      </c>
      <c r="I28" s="27">
        <v>3.6499999999999998E-2</v>
      </c>
      <c r="J28" s="27">
        <v>6.6000000000000003E-2</v>
      </c>
      <c r="K28" s="27">
        <v>2.46E-2</v>
      </c>
      <c r="L28" s="27">
        <v>2.6600000000000002E-2</v>
      </c>
      <c r="M28" s="27">
        <v>7.0800000000000002E-2</v>
      </c>
      <c r="N28" s="27">
        <v>2.5399999999999999E-2</v>
      </c>
      <c r="O28" s="27">
        <v>1.11E-2</v>
      </c>
      <c r="P28" s="27">
        <v>5.5000000000000005E-3</v>
      </c>
      <c r="Q28" s="27">
        <v>2E-3</v>
      </c>
      <c r="R28" s="27">
        <v>9.0000000000000011E-3</v>
      </c>
      <c r="S28" s="27">
        <v>1.34E-2</v>
      </c>
      <c r="T28" s="27">
        <v>1.38E-2</v>
      </c>
    </row>
    <row r="29" spans="1:20" x14ac:dyDescent="0.2">
      <c r="A29" s="26" t="s">
        <v>171</v>
      </c>
      <c r="B29" s="27">
        <v>0.26079999999999998</v>
      </c>
      <c r="C29" s="27">
        <v>0.2848</v>
      </c>
      <c r="D29" s="27">
        <v>0.37540000000000001</v>
      </c>
      <c r="E29" s="27">
        <v>5.9800000000000006E-2</v>
      </c>
      <c r="F29" s="27">
        <v>0.20149999999999998</v>
      </c>
      <c r="G29" s="27">
        <v>8.4199999999999997E-2</v>
      </c>
      <c r="H29" s="27">
        <v>7.5499999999999998E-2</v>
      </c>
      <c r="I29" s="27">
        <v>2.7200000000000002E-2</v>
      </c>
      <c r="J29" s="27">
        <v>8.5699999999999998E-2</v>
      </c>
      <c r="K29" s="27">
        <v>1.9199999999999998E-2</v>
      </c>
      <c r="L29" s="27">
        <v>1.43E-2</v>
      </c>
      <c r="M29" s="27">
        <v>6.7400000000000002E-2</v>
      </c>
      <c r="N29" s="27">
        <v>1.21E-2</v>
      </c>
      <c r="O29" s="27">
        <v>3.3E-3</v>
      </c>
      <c r="P29" s="27">
        <v>3.5999999999999999E-3</v>
      </c>
      <c r="Q29" s="27">
        <v>2.8000000000000004E-3</v>
      </c>
      <c r="R29" s="27">
        <v>3.9000000000000003E-3</v>
      </c>
      <c r="S29" s="27">
        <v>1.7600000000000001E-2</v>
      </c>
      <c r="T29" s="27">
        <v>2.3399999999999997E-2</v>
      </c>
    </row>
    <row r="30" spans="1:20" x14ac:dyDescent="0.2">
      <c r="A30" s="26" t="s">
        <v>172</v>
      </c>
      <c r="B30" s="27">
        <v>0.31219999999999998</v>
      </c>
      <c r="C30" s="27">
        <v>0.27149999999999996</v>
      </c>
      <c r="D30" s="27">
        <v>0.44259999999999999</v>
      </c>
      <c r="E30" s="27">
        <v>6.9699999999999998E-2</v>
      </c>
      <c r="F30" s="27">
        <v>0.1772</v>
      </c>
      <c r="G30" s="27">
        <v>0.1082</v>
      </c>
      <c r="H30" s="27">
        <v>0.14349999999999999</v>
      </c>
      <c r="I30" s="27">
        <v>2.9900000000000003E-2</v>
      </c>
      <c r="J30" s="27">
        <v>7.7199999999999991E-2</v>
      </c>
      <c r="K30" s="27">
        <v>1.9E-2</v>
      </c>
      <c r="L30" s="27">
        <v>2.87E-2</v>
      </c>
      <c r="M30" s="27">
        <v>5.3800000000000001E-2</v>
      </c>
      <c r="N30" s="27">
        <v>1.1699999999999999E-2</v>
      </c>
      <c r="O30" s="27">
        <v>2.2000000000000001E-3</v>
      </c>
      <c r="P30" s="27">
        <v>1.44E-2</v>
      </c>
      <c r="Q30" s="27">
        <v>1.1999999999999999E-3</v>
      </c>
      <c r="R30" s="27">
        <v>4.3E-3</v>
      </c>
      <c r="S30" s="27">
        <v>1.11E-2</v>
      </c>
      <c r="T30" s="27">
        <v>2.1000000000000001E-2</v>
      </c>
    </row>
    <row r="31" spans="1:20" x14ac:dyDescent="0.2">
      <c r="A31" s="26" t="s">
        <v>173</v>
      </c>
      <c r="B31" s="27">
        <v>0.3085</v>
      </c>
      <c r="C31" s="27">
        <v>0.28039999999999998</v>
      </c>
      <c r="D31" s="27">
        <v>0.35240000000000005</v>
      </c>
      <c r="E31" s="27">
        <v>5.2499999999999998E-2</v>
      </c>
      <c r="F31" s="27">
        <v>0.20649999999999999</v>
      </c>
      <c r="G31" s="27">
        <v>8.6300000000000002E-2</v>
      </c>
      <c r="H31" s="27">
        <v>8.9399999999999993E-2</v>
      </c>
      <c r="I31" s="27">
        <v>1.4199999999999999E-2</v>
      </c>
      <c r="J31" s="27">
        <v>6.7799999999999999E-2</v>
      </c>
      <c r="K31" s="27">
        <v>3.2300000000000002E-2</v>
      </c>
      <c r="L31" s="27">
        <v>1.46E-2</v>
      </c>
      <c r="M31" s="27">
        <v>4.4900000000000002E-2</v>
      </c>
      <c r="N31" s="27">
        <v>1.9099999999999999E-2</v>
      </c>
      <c r="O31" s="27">
        <v>2E-3</v>
      </c>
      <c r="P31" s="27">
        <v>7.1999999999999998E-3</v>
      </c>
      <c r="Q31" s="27">
        <v>1.8E-3</v>
      </c>
      <c r="R31" s="27">
        <v>2.3999999999999998E-3</v>
      </c>
      <c r="S31" s="27">
        <v>1.3000000000000001E-2</v>
      </c>
      <c r="T31" s="27">
        <v>1.5100000000000001E-2</v>
      </c>
    </row>
    <row r="32" spans="1:20" x14ac:dyDescent="0.2">
      <c r="A32" s="26" t="s">
        <v>174</v>
      </c>
      <c r="B32" s="27">
        <v>0.33909999999999996</v>
      </c>
      <c r="C32" s="27">
        <v>0.2974</v>
      </c>
      <c r="D32" s="27">
        <v>0.39500000000000002</v>
      </c>
      <c r="E32" s="27">
        <v>5.6399999999999999E-2</v>
      </c>
      <c r="F32" s="27">
        <v>0.19469999999999998</v>
      </c>
      <c r="G32" s="27">
        <v>0.16440000000000002</v>
      </c>
      <c r="H32" s="27">
        <v>9.2899999999999996E-2</v>
      </c>
      <c r="I32" s="27">
        <v>1.3899999999999999E-2</v>
      </c>
      <c r="J32" s="27">
        <v>4.6300000000000001E-2</v>
      </c>
      <c r="K32" s="27">
        <v>2.7300000000000001E-2</v>
      </c>
      <c r="L32" s="27">
        <v>2.1000000000000001E-2</v>
      </c>
      <c r="M32" s="27">
        <v>5.0199999999999995E-2</v>
      </c>
      <c r="N32" s="27">
        <v>0.02</v>
      </c>
      <c r="O32" s="27">
        <v>2.0999999999999999E-3</v>
      </c>
      <c r="P32" s="27">
        <v>9.5999999999999992E-3</v>
      </c>
      <c r="Q32" s="27">
        <v>2.5000000000000001E-3</v>
      </c>
      <c r="R32" s="27">
        <v>4.0999999999999995E-3</v>
      </c>
      <c r="S32" s="27">
        <v>1.2199999999999999E-2</v>
      </c>
      <c r="T32" s="27">
        <v>8.3000000000000001E-3</v>
      </c>
    </row>
    <row r="33" spans="1:20" x14ac:dyDescent="0.2">
      <c r="A33" s="26" t="s">
        <v>175</v>
      </c>
      <c r="B33" s="27">
        <v>0.34369999999999995</v>
      </c>
      <c r="C33" s="27">
        <v>0.29189999999999999</v>
      </c>
      <c r="D33" s="27">
        <v>0.43640000000000001</v>
      </c>
      <c r="E33" s="27">
        <v>0.06</v>
      </c>
      <c r="F33" s="27">
        <v>0.19870000000000002</v>
      </c>
      <c r="G33" s="27">
        <v>0.11689999999999999</v>
      </c>
      <c r="H33" s="27">
        <v>8.1300000000000011E-2</v>
      </c>
      <c r="I33" s="27">
        <v>1.7299999999999999E-2</v>
      </c>
      <c r="J33" s="27">
        <v>5.6299999999999996E-2</v>
      </c>
      <c r="K33" s="27">
        <v>2.4700000000000003E-2</v>
      </c>
      <c r="L33" s="27">
        <v>2.5899999999999999E-2</v>
      </c>
      <c r="M33" s="27">
        <v>0.1133</v>
      </c>
      <c r="N33" s="27">
        <v>1.5800000000000002E-2</v>
      </c>
      <c r="O33" s="27">
        <v>2.0999999999999999E-3</v>
      </c>
      <c r="P33" s="27">
        <v>8.3999999999999995E-3</v>
      </c>
      <c r="Q33" s="27">
        <v>2.2000000000000001E-3</v>
      </c>
      <c r="R33" s="27">
        <v>2E-3</v>
      </c>
      <c r="S33" s="27">
        <v>1.1899999999999999E-2</v>
      </c>
      <c r="T33" s="27">
        <v>1.6500000000000001E-2</v>
      </c>
    </row>
    <row r="34" spans="1:20" x14ac:dyDescent="0.2">
      <c r="A34" s="26" t="s">
        <v>176</v>
      </c>
      <c r="B34" s="27">
        <v>0.32479999999999998</v>
      </c>
      <c r="C34" s="27">
        <v>0.30409999999999998</v>
      </c>
      <c r="D34" s="27">
        <v>0.44579999999999997</v>
      </c>
      <c r="E34" s="27">
        <v>4.5599999999999995E-2</v>
      </c>
      <c r="F34" s="27">
        <v>0.19149999999999998</v>
      </c>
      <c r="G34" s="27">
        <v>0.10349999999999999</v>
      </c>
      <c r="H34" s="27">
        <v>0.1245</v>
      </c>
      <c r="I34" s="27">
        <v>2.7999999999999997E-2</v>
      </c>
      <c r="J34" s="27">
        <v>0.1222</v>
      </c>
      <c r="K34" s="27">
        <v>1.83E-2</v>
      </c>
      <c r="L34" s="27">
        <v>1.6399999999999998E-2</v>
      </c>
      <c r="M34" s="27">
        <v>8.8399999999999992E-2</v>
      </c>
      <c r="N34" s="27">
        <v>1.1699999999999999E-2</v>
      </c>
      <c r="O34" s="27">
        <v>2.3999999999999998E-3</v>
      </c>
      <c r="P34" s="27">
        <v>3.3E-3</v>
      </c>
      <c r="Q34" s="27">
        <v>2.0999999999999999E-3</v>
      </c>
      <c r="R34" s="27">
        <v>2.7000000000000001E-3</v>
      </c>
      <c r="S34" s="27">
        <v>1.1299999999999999E-2</v>
      </c>
      <c r="T34" s="27">
        <v>8.3999999999999995E-3</v>
      </c>
    </row>
    <row r="35" spans="1:20" x14ac:dyDescent="0.2">
      <c r="A35" s="26" t="s">
        <v>177</v>
      </c>
      <c r="B35" s="27">
        <v>0.35840000000000005</v>
      </c>
      <c r="C35" s="27">
        <v>0.33950000000000002</v>
      </c>
      <c r="D35" s="27">
        <v>0.375</v>
      </c>
      <c r="E35" s="27">
        <v>5.5999999999999994E-2</v>
      </c>
      <c r="F35" s="27">
        <v>0.23329999999999998</v>
      </c>
      <c r="G35" s="27">
        <v>0.13150000000000001</v>
      </c>
      <c r="H35" s="27">
        <v>9.6500000000000002E-2</v>
      </c>
      <c r="I35" s="27">
        <v>2.23E-2</v>
      </c>
      <c r="J35" s="27">
        <v>4.9699999999999994E-2</v>
      </c>
      <c r="K35" s="27">
        <v>3.61E-2</v>
      </c>
      <c r="L35" s="27">
        <v>2.2200000000000001E-2</v>
      </c>
      <c r="M35" s="27">
        <v>3.4200000000000001E-2</v>
      </c>
      <c r="N35" s="27">
        <v>1.6899999999999998E-2</v>
      </c>
      <c r="O35" s="27">
        <v>3.3E-3</v>
      </c>
      <c r="P35" s="27">
        <v>4.3E-3</v>
      </c>
      <c r="Q35" s="27">
        <v>3.0000000000000001E-3</v>
      </c>
      <c r="R35" s="27">
        <v>3.7000000000000002E-3</v>
      </c>
      <c r="S35" s="27">
        <v>2.2099999999999998E-2</v>
      </c>
      <c r="T35" s="27">
        <v>1.44E-2</v>
      </c>
    </row>
    <row r="36" spans="1:20" x14ac:dyDescent="0.2">
      <c r="A36" s="26">
        <v>45309</v>
      </c>
      <c r="B36" s="27">
        <v>0.32030000000000003</v>
      </c>
      <c r="C36" s="27">
        <v>0.2747</v>
      </c>
      <c r="D36" s="27">
        <v>0.41229999999999994</v>
      </c>
      <c r="E36" s="27">
        <v>5.6600000000000004E-2</v>
      </c>
      <c r="F36" s="27">
        <v>0.19760000000000003</v>
      </c>
      <c r="G36" s="27">
        <v>0.1091</v>
      </c>
      <c r="H36" s="27">
        <v>0.1489</v>
      </c>
      <c r="I36" s="27">
        <v>1.6399999999999998E-2</v>
      </c>
      <c r="J36" s="27">
        <v>6.4100000000000004E-2</v>
      </c>
      <c r="K36" s="27">
        <v>3.0099999999999998E-2</v>
      </c>
      <c r="L36" s="27">
        <v>2.23E-2</v>
      </c>
      <c r="M36" s="27">
        <v>4.58E-2</v>
      </c>
      <c r="N36" s="27">
        <v>1.7899999999999999E-2</v>
      </c>
      <c r="O36" s="27">
        <v>4.0999999999999995E-3</v>
      </c>
      <c r="P36" s="27">
        <v>4.4000000000000003E-3</v>
      </c>
      <c r="Q36" s="27">
        <v>2.5999999999999999E-3</v>
      </c>
      <c r="R36" s="27">
        <v>3.5999999999999999E-3</v>
      </c>
      <c r="S36" s="27">
        <v>1.38E-2</v>
      </c>
      <c r="T36" s="27">
        <v>8.8999999999999999E-3</v>
      </c>
    </row>
    <row r="37" spans="1:20" x14ac:dyDescent="0.2">
      <c r="A37" s="26" t="s">
        <v>178</v>
      </c>
      <c r="B37" s="27">
        <v>0.33529999999999999</v>
      </c>
      <c r="C37" s="27">
        <v>0.23960000000000001</v>
      </c>
      <c r="D37" s="27">
        <v>0.43979999999999997</v>
      </c>
      <c r="E37" s="27">
        <v>5.4699999999999999E-2</v>
      </c>
      <c r="F37" s="27">
        <v>0.16260000000000002</v>
      </c>
      <c r="G37" s="27">
        <v>0.19519999999999998</v>
      </c>
      <c r="H37" s="27">
        <v>0.10529999999999999</v>
      </c>
      <c r="I37" s="27">
        <v>1.38E-2</v>
      </c>
      <c r="J37" s="27">
        <v>6.7599999999999993E-2</v>
      </c>
      <c r="K37" s="27">
        <v>2.69E-2</v>
      </c>
      <c r="L37" s="27">
        <v>1.9099999999999999E-2</v>
      </c>
      <c r="M37" s="27">
        <v>4.1799999999999997E-2</v>
      </c>
      <c r="N37" s="27">
        <v>1.7399999999999999E-2</v>
      </c>
      <c r="O37" s="27">
        <v>4.4000000000000003E-3</v>
      </c>
      <c r="P37" s="27">
        <v>3.4999999999999996E-3</v>
      </c>
      <c r="Q37" s="27">
        <v>1.8E-3</v>
      </c>
      <c r="R37" s="27">
        <v>2.3999999999999998E-3</v>
      </c>
      <c r="S37" s="27">
        <v>1.3899999999999999E-2</v>
      </c>
      <c r="T37" s="27">
        <v>7.8000000000000005E-3</v>
      </c>
    </row>
    <row r="38" spans="1:20" x14ac:dyDescent="0.2">
      <c r="A38" s="26" t="s">
        <v>179</v>
      </c>
      <c r="B38" s="27">
        <v>0.36820000000000003</v>
      </c>
      <c r="C38" s="27">
        <v>0.28039999999999998</v>
      </c>
      <c r="D38" s="27">
        <v>0.4022</v>
      </c>
      <c r="E38" s="27">
        <v>6.7299999999999999E-2</v>
      </c>
      <c r="F38" s="27">
        <v>0.18600000000000003</v>
      </c>
      <c r="G38" s="27">
        <v>0.1176</v>
      </c>
      <c r="H38" s="27">
        <v>9.3100000000000002E-2</v>
      </c>
      <c r="I38" s="27">
        <v>1.4999999999999999E-2</v>
      </c>
      <c r="J38" s="27">
        <v>0.10589999999999999</v>
      </c>
      <c r="K38" s="27">
        <v>4.1200000000000001E-2</v>
      </c>
      <c r="L38" s="27">
        <v>1.5900000000000001E-2</v>
      </c>
      <c r="M38" s="27">
        <v>5.0599999999999999E-2</v>
      </c>
      <c r="N38" s="27">
        <v>1.47E-2</v>
      </c>
      <c r="O38" s="27">
        <v>3.7000000000000002E-3</v>
      </c>
      <c r="P38" s="27">
        <v>4.8999999999999998E-3</v>
      </c>
      <c r="Q38" s="27">
        <v>2.7000000000000001E-3</v>
      </c>
      <c r="R38" s="27">
        <v>3.5999999999999999E-3</v>
      </c>
      <c r="S38" s="27">
        <v>1.5900000000000001E-2</v>
      </c>
      <c r="T38" s="27">
        <v>8.8999999999999999E-3</v>
      </c>
    </row>
    <row r="39" spans="1:20" x14ac:dyDescent="0.2">
      <c r="A39" s="26" t="s">
        <v>180</v>
      </c>
      <c r="B39" s="27">
        <v>0.36749999999999999</v>
      </c>
      <c r="C39" s="27">
        <v>0.26750000000000002</v>
      </c>
      <c r="D39" s="27">
        <v>0.37180000000000002</v>
      </c>
      <c r="E39" s="27">
        <v>7.0400000000000004E-2</v>
      </c>
      <c r="F39" s="27">
        <v>0.20149999999999998</v>
      </c>
      <c r="G39" s="27">
        <v>0.125</v>
      </c>
      <c r="H39" s="27">
        <v>9.5000000000000001E-2</v>
      </c>
      <c r="I39" s="27">
        <v>1.6799999999999999E-2</v>
      </c>
      <c r="J39" s="27">
        <v>4.2699999999999995E-2</v>
      </c>
      <c r="K39" s="27">
        <v>2.52E-2</v>
      </c>
      <c r="L39" s="27">
        <v>2.3399999999999997E-2</v>
      </c>
      <c r="M39" s="27">
        <v>4.9200000000000001E-2</v>
      </c>
      <c r="N39" s="27">
        <v>1.6200000000000003E-2</v>
      </c>
      <c r="O39" s="27">
        <v>3.4999999999999996E-3</v>
      </c>
      <c r="P39" s="27">
        <v>4.1999999999999997E-3</v>
      </c>
      <c r="Q39" s="27">
        <v>2.3999999999999998E-3</v>
      </c>
      <c r="R39" s="27">
        <v>2.3E-3</v>
      </c>
      <c r="S39" s="27">
        <v>1.84E-2</v>
      </c>
      <c r="T39" s="27">
        <v>7.4000000000000003E-3</v>
      </c>
    </row>
    <row r="40" spans="1:20" x14ac:dyDescent="0.2">
      <c r="A40" s="26" t="s">
        <v>181</v>
      </c>
      <c r="B40" s="27">
        <v>0.35460000000000003</v>
      </c>
      <c r="C40" s="27">
        <v>0.2964</v>
      </c>
      <c r="D40" s="27">
        <v>0.40139999999999998</v>
      </c>
      <c r="E40" s="27">
        <v>8.6199999999999999E-2</v>
      </c>
      <c r="F40" s="27">
        <v>0.2311</v>
      </c>
      <c r="G40" s="27">
        <v>0.11109999999999999</v>
      </c>
      <c r="H40" s="27">
        <v>0.1162</v>
      </c>
      <c r="I40" s="27">
        <v>1.9699999999999999E-2</v>
      </c>
      <c r="J40" s="27">
        <v>4.82E-2</v>
      </c>
      <c r="K40" s="27">
        <v>1.55E-2</v>
      </c>
      <c r="L40" s="27">
        <v>2.2000000000000002E-2</v>
      </c>
      <c r="M40" s="27">
        <v>2.8300000000000002E-2</v>
      </c>
      <c r="N40" s="27">
        <v>1.6200000000000003E-2</v>
      </c>
      <c r="O40" s="27">
        <v>4.0999999999999995E-3</v>
      </c>
      <c r="P40" s="27">
        <v>5.1000000000000004E-3</v>
      </c>
      <c r="Q40" s="27">
        <v>3.5999999999999999E-3</v>
      </c>
      <c r="R40" s="27">
        <v>3.0999999999999999E-3</v>
      </c>
      <c r="S40" s="27">
        <v>2.7900000000000001E-2</v>
      </c>
      <c r="T40" s="27">
        <v>1.1399999999999999E-2</v>
      </c>
    </row>
    <row r="41" spans="1:20" x14ac:dyDescent="0.2">
      <c r="A41" s="26" t="s">
        <v>182</v>
      </c>
      <c r="B41" s="27">
        <v>0.33390000000000003</v>
      </c>
      <c r="C41" s="27">
        <v>0.2676</v>
      </c>
      <c r="D41" s="27">
        <v>0.37060000000000004</v>
      </c>
      <c r="E41" s="27">
        <v>5.6399999999999999E-2</v>
      </c>
      <c r="F41" s="27">
        <v>0.21489999999999998</v>
      </c>
      <c r="G41" s="27">
        <v>0.13689999999999999</v>
      </c>
      <c r="H41" s="27">
        <v>7.3599999999999999E-2</v>
      </c>
      <c r="I41" s="27">
        <v>1.67E-2</v>
      </c>
      <c r="J41" s="27">
        <v>3.9599999999999996E-2</v>
      </c>
      <c r="K41" s="27">
        <v>1.44E-2</v>
      </c>
      <c r="L41" s="27">
        <v>1.84E-2</v>
      </c>
      <c r="M41" s="27">
        <v>2.0400000000000001E-2</v>
      </c>
      <c r="N41" s="27">
        <v>1.15E-2</v>
      </c>
      <c r="O41" s="27">
        <v>3.4999999999999996E-3</v>
      </c>
      <c r="P41" s="27">
        <v>3.2000000000000002E-3</v>
      </c>
      <c r="Q41" s="27">
        <v>2.5000000000000001E-3</v>
      </c>
      <c r="R41" s="27">
        <v>2.5000000000000001E-3</v>
      </c>
      <c r="S41" s="27">
        <v>2.0799999999999999E-2</v>
      </c>
      <c r="T41" s="27">
        <v>7.9000000000000008E-3</v>
      </c>
    </row>
    <row r="42" spans="1:20" x14ac:dyDescent="0.2">
      <c r="A42" s="26" t="s">
        <v>183</v>
      </c>
      <c r="B42" s="27">
        <v>0.37070000000000003</v>
      </c>
      <c r="C42" s="27">
        <v>0.27140000000000003</v>
      </c>
      <c r="D42" s="27">
        <v>0.37530000000000002</v>
      </c>
      <c r="E42" s="27">
        <v>7.5899999999999995E-2</v>
      </c>
      <c r="F42" s="27">
        <v>0.19899999999999998</v>
      </c>
      <c r="G42" s="27">
        <v>0.1079</v>
      </c>
      <c r="H42" s="27">
        <v>9.9299999999999999E-2</v>
      </c>
      <c r="I42" s="27">
        <v>1.89E-2</v>
      </c>
      <c r="J42" s="27">
        <v>6.7199999999999996E-2</v>
      </c>
      <c r="K42" s="27">
        <v>1.7899999999999999E-2</v>
      </c>
      <c r="L42" s="27">
        <v>2.2400000000000003E-2</v>
      </c>
      <c r="M42" s="27">
        <v>2.69E-2</v>
      </c>
      <c r="N42" s="27">
        <v>2.1600000000000001E-2</v>
      </c>
      <c r="O42" s="27">
        <v>2.5000000000000001E-3</v>
      </c>
      <c r="P42" s="27">
        <v>3.5999999999999999E-3</v>
      </c>
      <c r="Q42" s="27">
        <v>3.4000000000000002E-3</v>
      </c>
      <c r="R42" s="27">
        <v>3.4000000000000002E-3</v>
      </c>
      <c r="S42" s="27">
        <v>1.9099999999999999E-2</v>
      </c>
      <c r="T42" s="27">
        <v>1.18E-2</v>
      </c>
    </row>
    <row r="43" spans="1:20" x14ac:dyDescent="0.2">
      <c r="A43" s="26" t="s">
        <v>184</v>
      </c>
      <c r="B43" s="27">
        <v>0.27960000000000002</v>
      </c>
      <c r="C43" s="27">
        <v>0.22690000000000002</v>
      </c>
      <c r="D43" s="27">
        <v>0.44119999999999998</v>
      </c>
      <c r="E43" s="27">
        <v>7.9899999999999999E-2</v>
      </c>
      <c r="F43" s="27">
        <v>0.14419999999999999</v>
      </c>
      <c r="G43" s="27">
        <v>0.1074</v>
      </c>
      <c r="H43" s="27">
        <v>0.11349999999999999</v>
      </c>
      <c r="I43" s="27">
        <v>2.2599999999999999E-2</v>
      </c>
      <c r="J43" s="27">
        <v>7.0999999999999994E-2</v>
      </c>
      <c r="K43" s="27">
        <v>2.06E-2</v>
      </c>
      <c r="L43" s="27">
        <v>3.4599999999999999E-2</v>
      </c>
      <c r="M43" s="27">
        <v>2.5699999999999997E-2</v>
      </c>
      <c r="N43" s="27">
        <v>2.0099999999999996E-2</v>
      </c>
      <c r="O43" s="27">
        <v>7.3000000000000001E-3</v>
      </c>
      <c r="P43" s="27">
        <v>4.5000000000000005E-3</v>
      </c>
      <c r="Q43" s="27">
        <v>3.2000000000000002E-3</v>
      </c>
      <c r="R43" s="27">
        <v>2.3E-3</v>
      </c>
      <c r="S43" s="27">
        <v>2.46E-2</v>
      </c>
      <c r="T43" s="27">
        <v>1.54E-2</v>
      </c>
    </row>
    <row r="44" spans="1:20" x14ac:dyDescent="0.2">
      <c r="A44" s="26" t="s">
        <v>185</v>
      </c>
      <c r="B44" s="27">
        <v>0.30609999999999998</v>
      </c>
      <c r="C44" s="27">
        <v>0.21870000000000001</v>
      </c>
      <c r="D44" s="27">
        <v>0.41249999999999998</v>
      </c>
      <c r="E44" s="27">
        <v>7.8200000000000006E-2</v>
      </c>
      <c r="F44" s="27">
        <v>0.1343</v>
      </c>
      <c r="G44" s="27">
        <v>0.10220000000000001</v>
      </c>
      <c r="H44" s="27">
        <v>0.1288</v>
      </c>
      <c r="I44" s="27">
        <v>1.4800000000000001E-2</v>
      </c>
      <c r="J44" s="27">
        <v>6.0599999999999994E-2</v>
      </c>
      <c r="K44" s="27">
        <v>1.8200000000000001E-2</v>
      </c>
      <c r="L44" s="27">
        <v>1.95E-2</v>
      </c>
      <c r="M44" s="27">
        <v>2.7999999999999997E-2</v>
      </c>
      <c r="N44" s="27">
        <v>1.3500000000000002E-2</v>
      </c>
      <c r="O44" s="27">
        <v>4.1999999999999997E-3</v>
      </c>
      <c r="P44" s="27">
        <v>3.8E-3</v>
      </c>
      <c r="Q44" s="27">
        <v>3.8E-3</v>
      </c>
      <c r="R44" s="27">
        <v>4.8999999999999998E-3</v>
      </c>
      <c r="S44" s="27">
        <v>1.6E-2</v>
      </c>
      <c r="T44" s="27">
        <v>1.1000000000000001E-2</v>
      </c>
    </row>
    <row r="45" spans="1:20" x14ac:dyDescent="0.2">
      <c r="A45" s="26" t="s">
        <v>186</v>
      </c>
      <c r="B45" s="27">
        <v>0.29699999999999999</v>
      </c>
      <c r="C45" s="27">
        <v>0.23769999999999999</v>
      </c>
      <c r="D45" s="27">
        <v>0.39840000000000003</v>
      </c>
      <c r="E45" s="27">
        <v>9.1400000000000009E-2</v>
      </c>
      <c r="F45" s="27">
        <v>0.1578</v>
      </c>
      <c r="G45" s="27">
        <v>0.1106</v>
      </c>
      <c r="H45" s="27">
        <v>0.1079</v>
      </c>
      <c r="I45" s="27">
        <v>1.9099999999999999E-2</v>
      </c>
      <c r="J45" s="27">
        <v>4.7599999999999996E-2</v>
      </c>
      <c r="K45" s="27">
        <v>2.2799999999999997E-2</v>
      </c>
      <c r="L45" s="27">
        <v>1.5600000000000001E-2</v>
      </c>
      <c r="M45" s="27">
        <v>2.7300000000000001E-2</v>
      </c>
      <c r="N45" s="27">
        <v>1.3899999999999999E-2</v>
      </c>
      <c r="O45" s="27">
        <v>4.0000000000000001E-3</v>
      </c>
      <c r="P45" s="27">
        <v>7.4999999999999997E-3</v>
      </c>
      <c r="Q45" s="27">
        <v>4.5000000000000005E-3</v>
      </c>
      <c r="R45" s="27">
        <v>4.5000000000000005E-3</v>
      </c>
      <c r="S45" s="27">
        <v>2.7400000000000001E-2</v>
      </c>
      <c r="T45" s="27">
        <v>9.3999999999999986E-3</v>
      </c>
    </row>
    <row r="46" spans="1:20" x14ac:dyDescent="0.2">
      <c r="A46" s="26" t="s">
        <v>187</v>
      </c>
      <c r="B46" s="27">
        <v>0.36979999999999996</v>
      </c>
      <c r="C46" s="27">
        <v>0.31759999999999999</v>
      </c>
      <c r="D46" s="27">
        <v>0.38469999999999999</v>
      </c>
      <c r="E46" s="27">
        <v>1.54E-2</v>
      </c>
      <c r="F46" s="27">
        <v>0.21710000000000002</v>
      </c>
      <c r="G46" s="27">
        <v>0.1588</v>
      </c>
      <c r="H46" s="27">
        <v>8.3400000000000002E-2</v>
      </c>
      <c r="I46" s="27">
        <v>2.1000000000000001E-2</v>
      </c>
      <c r="J46" s="27">
        <v>5.1799999999999999E-2</v>
      </c>
      <c r="K46" s="27">
        <v>1.6E-2</v>
      </c>
      <c r="L46" s="27">
        <v>1.9099999999999999E-2</v>
      </c>
      <c r="M46" s="27">
        <v>2.2499999999999999E-2</v>
      </c>
      <c r="N46" s="27">
        <v>1.4499999999999999E-2</v>
      </c>
      <c r="O46" s="27">
        <v>3.0000000000000001E-3</v>
      </c>
      <c r="P46" s="27">
        <v>4.3E-3</v>
      </c>
      <c r="Q46" s="27">
        <v>4.0000000000000002E-4</v>
      </c>
      <c r="R46" s="27">
        <v>2.2000000000000001E-3</v>
      </c>
      <c r="S46" s="27">
        <v>2.5000000000000001E-2</v>
      </c>
      <c r="T46" s="27">
        <v>1.41E-2</v>
      </c>
    </row>
    <row r="47" spans="1:20" x14ac:dyDescent="0.2">
      <c r="A47" s="26" t="s">
        <v>188</v>
      </c>
      <c r="B47" s="27">
        <v>0.27639999999999998</v>
      </c>
      <c r="C47" s="27">
        <v>0.20449999999999999</v>
      </c>
      <c r="D47" s="27">
        <v>0.36969999999999997</v>
      </c>
      <c r="E47" s="27">
        <v>1.83E-2</v>
      </c>
      <c r="F47" s="27">
        <v>0.13819999999999999</v>
      </c>
      <c r="G47" s="27">
        <v>8.8699999999999987E-2</v>
      </c>
      <c r="H47" s="27">
        <v>6.480000000000001E-2</v>
      </c>
      <c r="I47" s="27">
        <v>2.1600000000000001E-2</v>
      </c>
      <c r="J47" s="27">
        <v>4.5599999999999995E-2</v>
      </c>
      <c r="K47" s="27">
        <v>2.46E-2</v>
      </c>
      <c r="L47" s="27">
        <v>1.5600000000000001E-2</v>
      </c>
      <c r="M47" s="27">
        <v>5.6600000000000004E-2</v>
      </c>
      <c r="N47" s="27">
        <v>1.2800000000000001E-2</v>
      </c>
      <c r="O47" s="27">
        <v>5.5000000000000005E-3</v>
      </c>
      <c r="P47" s="27">
        <v>6.8999999999999999E-3</v>
      </c>
      <c r="Q47" s="27">
        <v>2.9999999999999997E-4</v>
      </c>
      <c r="R47" s="27">
        <v>9.1999999999999998E-3</v>
      </c>
      <c r="S47" s="27">
        <v>2.41E-2</v>
      </c>
      <c r="T47" s="27">
        <v>8.6999999999999994E-3</v>
      </c>
    </row>
    <row r="48" spans="1:20" x14ac:dyDescent="0.2">
      <c r="A48" s="26" t="s">
        <v>189</v>
      </c>
      <c r="B48" s="27">
        <v>0.25540000000000002</v>
      </c>
      <c r="C48" s="27">
        <v>0.18940000000000001</v>
      </c>
      <c r="D48" s="27">
        <v>0.47979999999999995</v>
      </c>
      <c r="E48" s="27">
        <v>9.6600000000000005E-2</v>
      </c>
      <c r="F48" s="27">
        <v>0.1137</v>
      </c>
      <c r="G48" s="27">
        <v>0.17010000000000003</v>
      </c>
      <c r="H48" s="27">
        <v>9.1499999999999998E-2</v>
      </c>
      <c r="I48" s="27">
        <v>1.9E-2</v>
      </c>
      <c r="J48" s="27">
        <v>5.8200000000000002E-2</v>
      </c>
      <c r="K48" s="27">
        <v>1.84E-2</v>
      </c>
      <c r="L48" s="27">
        <v>1.4999999999999999E-2</v>
      </c>
      <c r="M48" s="27">
        <v>2.41E-2</v>
      </c>
      <c r="N48" s="27">
        <v>1.1000000000000001E-2</v>
      </c>
      <c r="O48" s="27">
        <v>3.5999999999999999E-3</v>
      </c>
      <c r="P48" s="27">
        <v>4.0000000000000001E-3</v>
      </c>
      <c r="Q48" s="27">
        <v>9.5999999999999992E-3</v>
      </c>
      <c r="R48" s="27">
        <v>1.8E-3</v>
      </c>
      <c r="S48" s="27">
        <v>6.0400000000000002E-2</v>
      </c>
      <c r="T48" s="27">
        <v>1.38E-2</v>
      </c>
    </row>
  </sheetData>
  <mergeCells count="1">
    <mergeCell ref="A1:T1"/>
  </mergeCells>
  <conditionalFormatting sqref="E13:E48">
    <cfRule type="cellIs" dxfId="62" priority="33" operator="greaterThan">
      <formula>0.09</formula>
    </cfRule>
  </conditionalFormatting>
  <conditionalFormatting sqref="D13:D48">
    <cfRule type="cellIs" dxfId="61" priority="31" stopIfTrue="1" operator="greaterThan">
      <formula>0.48</formula>
    </cfRule>
    <cfRule type="cellIs" dxfId="60" priority="32" stopIfTrue="1" operator="lessThan">
      <formula>0.38</formula>
    </cfRule>
  </conditionalFormatting>
  <conditionalFormatting sqref="K30:K48">
    <cfRule type="cellIs" dxfId="59" priority="30" operator="greaterThan">
      <formula>AVERAGE($K30:K47)+AVERAGE($K30:K47)*0.2</formula>
    </cfRule>
  </conditionalFormatting>
  <conditionalFormatting sqref="J30:J48">
    <cfRule type="cellIs" dxfId="58" priority="29" operator="greaterThan">
      <formula>AVERAGE($J30:J47)+AVERAGE($J30:J47)*0.2</formula>
    </cfRule>
  </conditionalFormatting>
  <conditionalFormatting sqref="I29:I48">
    <cfRule type="cellIs" dxfId="57" priority="28" operator="greaterThan">
      <formula>AVERAGE($I29:I46)+AVERAGE($I29:I46)*0.2</formula>
    </cfRule>
  </conditionalFormatting>
  <conditionalFormatting sqref="H30:H48 H7:H23">
    <cfRule type="cellIs" dxfId="56" priority="27" operator="greaterThan">
      <formula>AVERAGE($H7:H24)+AVERAGE($H7:H24)*0.2</formula>
    </cfRule>
  </conditionalFormatting>
  <conditionalFormatting sqref="G30:G48 G22">
    <cfRule type="cellIs" dxfId="55" priority="26" operator="greaterThan">
      <formula>AVERAGE($G22:G39)+AVERAGE($G22:G39)*0.2</formula>
    </cfRule>
  </conditionalFormatting>
  <conditionalFormatting sqref="F13:F48">
    <cfRule type="cellIs" dxfId="54" priority="25" operator="greaterThan">
      <formula>AVERAGE($F13:F30)+AVERAGE($F13:F30)*0.2</formula>
    </cfRule>
  </conditionalFormatting>
  <conditionalFormatting sqref="L7:L48">
    <cfRule type="cellIs" dxfId="53" priority="24" operator="greaterThan">
      <formula>AVERAGE($L7:L24)+AVERAGE($L7:L24)*0.2</formula>
    </cfRule>
  </conditionalFormatting>
  <conditionalFormatting sqref="M7:M48">
    <cfRule type="cellIs" dxfId="52" priority="23" operator="greaterThan">
      <formula>AVERAGE($M7:M24)+AVERAGE($M7:M24)*0.2</formula>
    </cfRule>
  </conditionalFormatting>
  <conditionalFormatting sqref="N13:N48">
    <cfRule type="cellIs" dxfId="51" priority="22" operator="greaterThan">
      <formula>AVERAGE($N13:N30)+AVERAGE($N13:N30)*0.2</formula>
    </cfRule>
  </conditionalFormatting>
  <conditionalFormatting sqref="O38:O48">
    <cfRule type="cellIs" dxfId="50" priority="21" operator="greaterThan">
      <formula>AVERAGE($O38:O48)+AVERAGE($O38:O48)*0.2</formula>
    </cfRule>
  </conditionalFormatting>
  <conditionalFormatting sqref="P12:P48">
    <cfRule type="cellIs" dxfId="49" priority="20" operator="greaterThan">
      <formula>AVERAGE($P12:P29)+AVERAGE($P12:P29)*0.2</formula>
    </cfRule>
  </conditionalFormatting>
  <conditionalFormatting sqref="Q12:Q48">
    <cfRule type="cellIs" dxfId="48" priority="19" operator="greaterThan">
      <formula>AVERAGE($Q12:Q29)+AVERAGE($Q12:Q29)*0.2</formula>
    </cfRule>
  </conditionalFormatting>
  <conditionalFormatting sqref="R13:R48">
    <cfRule type="cellIs" dxfId="47" priority="18" operator="greaterThan">
      <formula>AVERAGE($R13:R30)+AVERAGE($R13:R30)*0.2</formula>
    </cfRule>
  </conditionalFormatting>
  <conditionalFormatting sqref="S29:S48">
    <cfRule type="cellIs" dxfId="46" priority="17" operator="greaterThan">
      <formula>AVERAGE($S29:S46)+AVERAGE($S29:S46)*0.2</formula>
    </cfRule>
  </conditionalFormatting>
  <conditionalFormatting sqref="T13:T48">
    <cfRule type="cellIs" dxfId="45" priority="16" operator="greaterThan">
      <formula>AVERAGE($T13:T30)+AVERAGE($T13:T30)*0.2</formula>
    </cfRule>
  </conditionalFormatting>
  <conditionalFormatting sqref="K36:K37">
    <cfRule type="cellIs" dxfId="44" priority="34" operator="greaterThan">
      <formula>AVERAGE($K36:K48)+AVERAGE($K36:K48)*0.2</formula>
    </cfRule>
  </conditionalFormatting>
  <conditionalFormatting sqref="J36:J37">
    <cfRule type="cellIs" dxfId="43" priority="35" operator="greaterThan">
      <formula>AVERAGE($J36:J48)+AVERAGE($J36:J48)*0.2</formula>
    </cfRule>
  </conditionalFormatting>
  <conditionalFormatting sqref="I36:I37">
    <cfRule type="cellIs" dxfId="42" priority="36" operator="greaterThan">
      <formula>AVERAGE($I36:I48)+AVERAGE($I36:I48)*0.2</formula>
    </cfRule>
  </conditionalFormatting>
  <conditionalFormatting sqref="H36:H37">
    <cfRule type="cellIs" dxfId="41" priority="37" operator="greaterThan">
      <formula>AVERAGE($H36:H48)+AVERAGE($H36:H48)*0.2</formula>
    </cfRule>
  </conditionalFormatting>
  <conditionalFormatting sqref="G36:G37">
    <cfRule type="cellIs" dxfId="40" priority="38" operator="greaterThan">
      <formula>AVERAGE($G36:G48)+AVERAGE($G36:G48)*0.2</formula>
    </cfRule>
  </conditionalFormatting>
  <conditionalFormatting sqref="F36:F37">
    <cfRule type="cellIs" dxfId="39" priority="39" operator="greaterThan">
      <formula>AVERAGE($F36:F48)+AVERAGE($F36:F48)*0.2</formula>
    </cfRule>
  </conditionalFormatting>
  <conditionalFormatting sqref="L36:L37">
    <cfRule type="cellIs" dxfId="38" priority="40" operator="greaterThan">
      <formula>AVERAGE($L36:L48)+AVERAGE($L36:L48)*0.2</formula>
    </cfRule>
  </conditionalFormatting>
  <conditionalFormatting sqref="M36:M37">
    <cfRule type="cellIs" dxfId="37" priority="41" operator="greaterThan">
      <formula>AVERAGE($M36:M48)+AVERAGE($M36:M48)*0.2</formula>
    </cfRule>
  </conditionalFormatting>
  <conditionalFormatting sqref="N36:N37">
    <cfRule type="cellIs" dxfId="36" priority="42" operator="greaterThan">
      <formula>AVERAGE($N36:N48)+AVERAGE($N36:N48)*0.2</formula>
    </cfRule>
  </conditionalFormatting>
  <conditionalFormatting sqref="O13:O37">
    <cfRule type="cellIs" dxfId="35" priority="43" operator="greaterThan">
      <formula>AVERAGE($O13:O25)+AVERAGE($O13:O25)*0.2</formula>
    </cfRule>
  </conditionalFormatting>
  <conditionalFormatting sqref="P36:P37">
    <cfRule type="cellIs" dxfId="34" priority="44" operator="greaterThan">
      <formula>AVERAGE($P36:P48)+AVERAGE($P36:P48)*0.2</formula>
    </cfRule>
  </conditionalFormatting>
  <conditionalFormatting sqref="Q36:Q37">
    <cfRule type="cellIs" dxfId="33" priority="45" operator="greaterThan">
      <formula>AVERAGE($Q36:Q48)+AVERAGE($Q36:Q48)*0.2</formula>
    </cfRule>
  </conditionalFormatting>
  <conditionalFormatting sqref="R36:R37">
    <cfRule type="cellIs" dxfId="32" priority="46" operator="greaterThan">
      <formula>AVERAGE($R36:R48)+AVERAGE($R36:R48)*0.2</formula>
    </cfRule>
  </conditionalFormatting>
  <conditionalFormatting sqref="S36:S37">
    <cfRule type="cellIs" dxfId="31" priority="47" operator="greaterThan">
      <formula>AVERAGE($S36:S48)+AVERAGE($S36:S48)*0.2</formula>
    </cfRule>
  </conditionalFormatting>
  <conditionalFormatting sqref="T36:T37">
    <cfRule type="cellIs" dxfId="30" priority="48" operator="greaterThan">
      <formula>AVERAGE($T36:T48)+AVERAGE($T36:T48)*0.2</formula>
    </cfRule>
  </conditionalFormatting>
  <conditionalFormatting sqref="K35">
    <cfRule type="cellIs" dxfId="29" priority="49" operator="greaterThan">
      <formula>AVERAGE($K35:K46)+AVERAGE($K35:K46)*0.2</formula>
    </cfRule>
  </conditionalFormatting>
  <conditionalFormatting sqref="J35">
    <cfRule type="cellIs" dxfId="28" priority="50" operator="greaterThan">
      <formula>AVERAGE($J35:J46)+AVERAGE($J35:J46)*0.2</formula>
    </cfRule>
  </conditionalFormatting>
  <conditionalFormatting sqref="I35">
    <cfRule type="cellIs" dxfId="27" priority="51" operator="greaterThan">
      <formula>AVERAGE($I35:I46)+AVERAGE($I35:I46)*0.2</formula>
    </cfRule>
  </conditionalFormatting>
  <conditionalFormatting sqref="H35">
    <cfRule type="cellIs" dxfId="26" priority="52" operator="greaterThan">
      <formula>AVERAGE($H35:H46)+AVERAGE($H35:H46)*0.2</formula>
    </cfRule>
  </conditionalFormatting>
  <conditionalFormatting sqref="G35">
    <cfRule type="cellIs" dxfId="25" priority="53" operator="greaterThan">
      <formula>AVERAGE($G35:G46)+AVERAGE($G35:G46)*0.2</formula>
    </cfRule>
  </conditionalFormatting>
  <conditionalFormatting sqref="F13:F35">
    <cfRule type="cellIs" dxfId="24" priority="54" operator="greaterThan">
      <formula>AVERAGE($F13:F24)+AVERAGE($F13:F24)*0.2</formula>
    </cfRule>
  </conditionalFormatting>
  <conditionalFormatting sqref="L35">
    <cfRule type="cellIs" dxfId="23" priority="55" operator="greaterThan">
      <formula>AVERAGE($L35:L46)+AVERAGE($L35:L46)*0.2</formula>
    </cfRule>
  </conditionalFormatting>
  <conditionalFormatting sqref="M35">
    <cfRule type="cellIs" dxfId="22" priority="56" operator="greaterThan">
      <formula>AVERAGE($M35:M46)+AVERAGE($M35:M46)*0.2</formula>
    </cfRule>
  </conditionalFormatting>
  <conditionalFormatting sqref="N35">
    <cfRule type="cellIs" dxfId="21" priority="57" operator="greaterThan">
      <formula>AVERAGE($N35:N46)+AVERAGE($N35:N46)*0.2</formula>
    </cfRule>
  </conditionalFormatting>
  <conditionalFormatting sqref="O35">
    <cfRule type="cellIs" dxfId="20" priority="58" operator="greaterThan">
      <formula>AVERAGE($O35:O46)+AVERAGE($O35:O46)*0.2</formula>
    </cfRule>
  </conditionalFormatting>
  <conditionalFormatting sqref="P35">
    <cfRule type="cellIs" dxfId="19" priority="59" operator="greaterThan">
      <formula>AVERAGE($P35:P46)+AVERAGE($P35:P46)*0.2</formula>
    </cfRule>
  </conditionalFormatting>
  <conditionalFormatting sqref="Q35">
    <cfRule type="cellIs" dxfId="18" priority="60" operator="greaterThan">
      <formula>AVERAGE($Q35:Q46)+AVERAGE($Q35:Q46)*0.2</formula>
    </cfRule>
  </conditionalFormatting>
  <conditionalFormatting sqref="R35">
    <cfRule type="cellIs" dxfId="17" priority="61" operator="greaterThan">
      <formula>AVERAGE($R35:R46)+AVERAGE($R35:R46)*0.2</formula>
    </cfRule>
  </conditionalFormatting>
  <conditionalFormatting sqref="S35">
    <cfRule type="cellIs" dxfId="16" priority="62" operator="greaterThan">
      <formula>AVERAGE($S35:S46)+AVERAGE($S35:S46)*0.2</formula>
    </cfRule>
  </conditionalFormatting>
  <conditionalFormatting sqref="T35">
    <cfRule type="cellIs" dxfId="15" priority="63" operator="greaterThan">
      <formula>AVERAGE($T35:T46)+AVERAGE($T35:T46)*0.2</formula>
    </cfRule>
  </conditionalFormatting>
  <conditionalFormatting sqref="O29">
    <cfRule type="cellIs" dxfId="14" priority="15" operator="greaterThan">
      <formula>AVERAGE($O29:O41)+AVERAGE($O29:O41)*0.2</formula>
    </cfRule>
  </conditionalFormatting>
  <conditionalFormatting sqref="B7:B48">
    <cfRule type="cellIs" dxfId="13" priority="13" operator="lessThan">
      <formula>0.25</formula>
    </cfRule>
    <cfRule type="cellIs" dxfId="12" priority="14" operator="greaterThan">
      <formula>0.31</formula>
    </cfRule>
  </conditionalFormatting>
  <conditionalFormatting sqref="I7:I24">
    <cfRule type="cellIs" dxfId="11" priority="12" operator="greaterThan">
      <formula>AVERAGE($I7:I24)+AVERAGE($I7:I24)*0.2</formula>
    </cfRule>
  </conditionalFormatting>
  <conditionalFormatting sqref="J7:J24">
    <cfRule type="cellIs" dxfId="10" priority="11" operator="greaterThan">
      <formula>AVERAGE($J7:J24)+AVERAGE($J7:J24)*0.2</formula>
    </cfRule>
  </conditionalFormatting>
  <conditionalFormatting sqref="H24">
    <cfRule type="cellIs" dxfId="9" priority="10" operator="greaterThan">
      <formula>AVERAGE($H24:H41)+AVERAGE($H24:H41)*0.2</formula>
    </cfRule>
  </conditionalFormatting>
  <conditionalFormatting sqref="K14:K25">
    <cfRule type="cellIs" dxfId="8" priority="9" operator="greaterThan">
      <formula>AVERAGE($K14:K31)+AVERAGE($K14:K31)*0.2</formula>
    </cfRule>
  </conditionalFormatting>
  <conditionalFormatting sqref="F24">
    <cfRule type="cellIs" dxfId="7" priority="7" operator="greaterThan">
      <formula>AVERAGE($F24:F43)+AVERAGE($F24:F43)*0.2</formula>
    </cfRule>
  </conditionalFormatting>
  <conditionalFormatting sqref="F24">
    <cfRule type="cellIs" dxfId="6" priority="8" operator="greaterThan">
      <formula>AVERAGE($F24:F37)+AVERAGE($F24:F37)*0.2</formula>
    </cfRule>
  </conditionalFormatting>
  <conditionalFormatting sqref="F20">
    <cfRule type="cellIs" dxfId="5" priority="5" operator="greaterThan">
      <formula>AVERAGE($F20:F37)+AVERAGE($F20:F37)*0.2</formula>
    </cfRule>
  </conditionalFormatting>
  <conditionalFormatting sqref="F20">
    <cfRule type="cellIs" dxfId="4" priority="6" operator="greaterThan">
      <formula>AVERAGE($F20:F31)+AVERAGE($F20:F31)*0.2</formula>
    </cfRule>
  </conditionalFormatting>
  <conditionalFormatting sqref="G7:G20">
    <cfRule type="cellIs" dxfId="3" priority="4" operator="greaterThan">
      <formula>AVERAGE($G7:G24)+AVERAGE($G7:G24)*0.2</formula>
    </cfRule>
  </conditionalFormatting>
  <conditionalFormatting sqref="H20">
    <cfRule type="cellIs" dxfId="2" priority="3" operator="greaterThan">
      <formula>AVERAGE($H20:H37)+AVERAGE($H20:H37)*0.2</formula>
    </cfRule>
  </conditionalFormatting>
  <conditionalFormatting sqref="M20">
    <cfRule type="cellIs" dxfId="1" priority="2" operator="greaterThan">
      <formula>AVERAGE($M20:M37)+AVERAGE($M20:M37)*0.2</formula>
    </cfRule>
  </conditionalFormatting>
  <conditionalFormatting sqref="T20:T21">
    <cfRule type="cellIs" dxfId="0" priority="1" operator="greaterThan">
      <formula>AVERAGE($T20:T37)+AVERAGE($T20:T37)*0.2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T2-2024</vt:lpstr>
      <vt:lpstr>T1-2024</vt:lpstr>
      <vt:lpstr>2024</vt:lpstr>
      <vt:lpstr>Template</vt:lpstr>
      <vt:lpstr>Intraday</vt:lpstr>
      <vt:lpstr>Volatile_Foreign_Buy</vt:lpstr>
      <vt:lpstr>Volatile_Foreign_Sell</vt:lpstr>
      <vt:lpstr>Volatile_Proprietary_Buy</vt:lpstr>
      <vt:lpstr>Volatile_Proprietary_Sell</vt:lpstr>
      <vt:lpstr>MoneyFlow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2024-03-09T00:35:02Z</dcterms:modified>
</cp:coreProperties>
</file>