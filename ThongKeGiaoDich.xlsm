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BBC9A8D4-96B0-AB4A-A6C8-F0CAD2DD653B}" xr6:coauthVersionLast="47" xr6:coauthVersionMax="47" xr10:uidLastSave="{00000000-0000-0000-0000-000000000000}"/>
  <bookViews>
    <workbookView xWindow="0" yWindow="760" windowWidth="30240" windowHeight="16680" activeTab="11" xr2:uid="{4F6761C8-C7AD-6642-9EED-09E5A9408C33}"/>
  </bookViews>
  <sheets>
    <sheet name="VN30" sheetId="29" r:id="rId1"/>
    <sheet name="Intraday" sheetId="1" r:id="rId2"/>
    <sheet name="MoneyFlow" sheetId="14" r:id="rId3"/>
    <sheet name="NN_Mua" sheetId="32" r:id="rId4"/>
    <sheet name="NN_Ban" sheetId="33" r:id="rId5"/>
    <sheet name="TD_Mua" sheetId="30" r:id="rId6"/>
    <sheet name="TD_Ban" sheetId="31" r:id="rId7"/>
    <sheet name="Top_NN_Mua" sheetId="15" r:id="rId8"/>
    <sheet name="Top_NN_Ban" sheetId="16" r:id="rId9"/>
    <sheet name="Top_TD_Mua" sheetId="18" r:id="rId10"/>
    <sheet name="Top_TD_Ban" sheetId="17" r:id="rId11"/>
    <sheet name="2024" sheetId="12" r:id="rId12"/>
    <sheet name="Ty_Trong_Nganh" sheetId="28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H3" i="1"/>
  <c r="Q3" i="1"/>
  <c r="S3" i="1"/>
  <c r="W3" i="1"/>
  <c r="AA3" i="1"/>
  <c r="N6" i="12"/>
  <c r="R3" i="29"/>
  <c r="L3" i="29"/>
  <c r="C3" i="29"/>
  <c r="C6" i="29"/>
  <c r="C5" i="29" s="1"/>
  <c r="C4" i="29" s="1"/>
  <c r="K25" i="28"/>
  <c r="K19" i="28"/>
  <c r="K18" i="28"/>
  <c r="K21" i="28"/>
  <c r="K20" i="28"/>
  <c r="K17" i="28"/>
  <c r="K8" i="28"/>
  <c r="K15" i="28"/>
  <c r="K14" i="28"/>
  <c r="K13" i="28"/>
  <c r="K11" i="28"/>
  <c r="K10" i="28"/>
  <c r="K16" i="28"/>
  <c r="K12" i="28"/>
  <c r="K9" i="28"/>
  <c r="K7" i="28"/>
  <c r="K6" i="28"/>
  <c r="K5" i="28"/>
  <c r="K4" i="28"/>
  <c r="K3" i="28"/>
  <c r="K2" i="28"/>
  <c r="R13" i="29"/>
  <c r="R12" i="29" s="1"/>
  <c r="R11" i="29" s="1"/>
  <c r="R10" i="29" s="1"/>
  <c r="R9" i="29" s="1"/>
  <c r="R8" i="29" s="1"/>
  <c r="R7" i="29" s="1"/>
  <c r="R6" i="29" s="1"/>
  <c r="R5" i="29" s="1"/>
  <c r="R4" i="29" s="1"/>
  <c r="L13" i="29"/>
  <c r="L12" i="29" s="1"/>
  <c r="L11" i="29" s="1"/>
  <c r="L10" i="29" s="1"/>
  <c r="L9" i="29" s="1"/>
  <c r="L8" i="29" s="1"/>
  <c r="L7" i="29" s="1"/>
  <c r="L6" i="29" s="1"/>
  <c r="L5" i="29" s="1"/>
  <c r="L4" i="29" s="1"/>
  <c r="L58" i="29"/>
  <c r="L57" i="29" s="1"/>
  <c r="L56" i="29" s="1"/>
  <c r="L55" i="29" s="1"/>
  <c r="L54" i="29" s="1"/>
  <c r="L53" i="29" s="1"/>
  <c r="L52" i="29" s="1"/>
  <c r="L51" i="29" s="1"/>
  <c r="L50" i="29" s="1"/>
  <c r="L49" i="29" s="1"/>
  <c r="L48" i="29" s="1"/>
  <c r="L47" i="29" s="1"/>
  <c r="L46" i="29" s="1"/>
  <c r="L45" i="29" s="1"/>
  <c r="L44" i="29" s="1"/>
  <c r="L43" i="29" s="1"/>
  <c r="L42" i="29" s="1"/>
  <c r="L41" i="29" s="1"/>
  <c r="L40" i="29" s="1"/>
  <c r="L39" i="29" s="1"/>
  <c r="L38" i="29" s="1"/>
  <c r="L37" i="29" s="1"/>
  <c r="L36" i="29" s="1"/>
  <c r="L35" i="29" s="1"/>
  <c r="L33" i="29"/>
  <c r="L32" i="29" s="1"/>
  <c r="L31" i="29" s="1"/>
  <c r="L30" i="29" s="1"/>
  <c r="L29" i="29" s="1"/>
  <c r="L28" i="29" s="1"/>
  <c r="L27" i="29" s="1"/>
  <c r="L26" i="29" s="1"/>
  <c r="L25" i="29" s="1"/>
  <c r="L24" i="29" s="1"/>
  <c r="L23" i="29" s="1"/>
  <c r="L22" i="29" s="1"/>
  <c r="L21" i="29" s="1"/>
  <c r="L20" i="29" s="1"/>
  <c r="L19" i="29" s="1"/>
  <c r="L18" i="29" s="1"/>
  <c r="L17" i="29" s="1"/>
  <c r="L16" i="29" s="1"/>
  <c r="L15" i="29" s="1"/>
  <c r="C147" i="29"/>
  <c r="C146" i="29" s="1"/>
  <c r="C145" i="29" s="1"/>
  <c r="C144" i="29" s="1"/>
  <c r="C143" i="29" s="1"/>
  <c r="C142" i="29" s="1"/>
  <c r="C141" i="29" s="1"/>
  <c r="C140" i="29" s="1"/>
  <c r="C139" i="29" s="1"/>
  <c r="C138" i="29" s="1"/>
  <c r="C137" i="29" s="1"/>
  <c r="C136" i="29" s="1"/>
  <c r="C135" i="29" s="1"/>
  <c r="C134" i="29" s="1"/>
  <c r="C133" i="29" s="1"/>
  <c r="C132" i="29" s="1"/>
  <c r="C131" i="29" s="1"/>
  <c r="C130" i="29" s="1"/>
  <c r="C129" i="29" s="1"/>
  <c r="C128" i="29" s="1"/>
  <c r="C127" i="29" s="1"/>
  <c r="C126" i="29" s="1"/>
  <c r="C125" i="29" s="1"/>
  <c r="C124" i="29" s="1"/>
  <c r="C123" i="29" s="1"/>
  <c r="C122" i="29" s="1"/>
  <c r="C121" i="29" s="1"/>
  <c r="C120" i="29" s="1"/>
  <c r="C119" i="29" s="1"/>
  <c r="C118" i="29" s="1"/>
  <c r="C117" i="29" s="1"/>
  <c r="C116" i="29" s="1"/>
  <c r="C115" i="29" s="1"/>
  <c r="C114" i="29" s="1"/>
  <c r="C113" i="29" s="1"/>
  <c r="C112" i="29" s="1"/>
  <c r="C111" i="29" s="1"/>
  <c r="C110" i="29" s="1"/>
  <c r="C109" i="29" s="1"/>
  <c r="C108" i="29" s="1"/>
  <c r="C107" i="29" s="1"/>
  <c r="C106" i="29" s="1"/>
  <c r="C105" i="29" s="1"/>
  <c r="C104" i="29" s="1"/>
  <c r="C103" i="29" s="1"/>
  <c r="C102" i="29" s="1"/>
  <c r="C101" i="29" s="1"/>
  <c r="C100" i="29" s="1"/>
  <c r="C99" i="29" s="1"/>
  <c r="C98" i="29" s="1"/>
  <c r="C97" i="29" s="1"/>
  <c r="C96" i="29" s="1"/>
  <c r="C95" i="29" s="1"/>
  <c r="C94" i="29" s="1"/>
  <c r="C93" i="29" s="1"/>
  <c r="C92" i="29" s="1"/>
  <c r="C91" i="29" s="1"/>
  <c r="C90" i="29" s="1"/>
  <c r="C89" i="29" s="1"/>
  <c r="C88" i="29" s="1"/>
  <c r="C87" i="29" s="1"/>
  <c r="C86" i="29" s="1"/>
  <c r="C85" i="29" s="1"/>
  <c r="C84" i="29" s="1"/>
  <c r="C83" i="29" s="1"/>
  <c r="C82" i="29" s="1"/>
  <c r="C81" i="29" s="1"/>
  <c r="C80" i="29" s="1"/>
  <c r="C79" i="29" s="1"/>
  <c r="C78" i="29" s="1"/>
  <c r="C77" i="29" s="1"/>
  <c r="C76" i="29" s="1"/>
  <c r="C75" i="29" s="1"/>
  <c r="C74" i="29" s="1"/>
  <c r="C73" i="29" s="1"/>
  <c r="C72" i="29" s="1"/>
  <c r="C71" i="29" s="1"/>
  <c r="C70" i="29" s="1"/>
  <c r="C69" i="29" s="1"/>
  <c r="C68" i="29" s="1"/>
  <c r="C67" i="29" s="1"/>
  <c r="C66" i="29" s="1"/>
  <c r="C65" i="29" s="1"/>
  <c r="C64" i="29" s="1"/>
  <c r="C63" i="29" s="1"/>
  <c r="C62" i="29" s="1"/>
  <c r="C61" i="29" s="1"/>
  <c r="C60" i="29" s="1"/>
  <c r="C59" i="29" s="1"/>
  <c r="C58" i="29" s="1"/>
  <c r="C57" i="29" s="1"/>
  <c r="C56" i="29" s="1"/>
  <c r="C55" i="29" s="1"/>
  <c r="C54" i="29" s="1"/>
  <c r="C53" i="29" s="1"/>
  <c r="C52" i="29" s="1"/>
  <c r="C51" i="29" s="1"/>
  <c r="C50" i="29" s="1"/>
  <c r="C49" i="29" s="1"/>
  <c r="C48" i="29" s="1"/>
  <c r="C47" i="29" s="1"/>
  <c r="C46" i="29" s="1"/>
  <c r="C45" i="29" s="1"/>
  <c r="C44" i="29" s="1"/>
  <c r="C43" i="29" s="1"/>
  <c r="C42" i="29" s="1"/>
  <c r="C41" i="29" s="1"/>
  <c r="C40" i="29" s="1"/>
  <c r="C39" i="29" s="1"/>
  <c r="C38" i="29" s="1"/>
  <c r="C37" i="29" s="1"/>
  <c r="C36" i="29" s="1"/>
  <c r="C35" i="29" s="1"/>
  <c r="C34" i="29" s="1"/>
  <c r="C33" i="29" s="1"/>
  <c r="C32" i="29" s="1"/>
  <c r="C31" i="29" s="1"/>
  <c r="C30" i="29" s="1"/>
  <c r="C29" i="29" s="1"/>
  <c r="C28" i="29" s="1"/>
  <c r="C27" i="29" s="1"/>
  <c r="C26" i="29" s="1"/>
  <c r="C25" i="29" s="1"/>
  <c r="C24" i="29" s="1"/>
  <c r="C23" i="29" s="1"/>
  <c r="C22" i="29" s="1"/>
  <c r="C21" i="29" s="1"/>
  <c r="C20" i="29" s="1"/>
  <c r="C19" i="29" s="1"/>
  <c r="C18" i="29" s="1"/>
  <c r="C17" i="29" s="1"/>
  <c r="C16" i="29" s="1"/>
  <c r="C15" i="29" s="1"/>
  <c r="C14" i="29" s="1"/>
  <c r="C13" i="29" s="1"/>
  <c r="C12" i="29" s="1"/>
  <c r="C11" i="29" s="1"/>
  <c r="C10" i="29" s="1"/>
  <c r="C9" i="29" s="1"/>
  <c r="C8" i="29" s="1"/>
  <c r="C7" i="29" s="1"/>
  <c r="B25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2" i="28"/>
  <c r="D25" i="28"/>
  <c r="C25" i="28"/>
  <c r="E25" i="28"/>
  <c r="F25" i="28"/>
  <c r="G25" i="28"/>
  <c r="H25" i="28"/>
  <c r="I25" i="28"/>
  <c r="J25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I21" i="28"/>
  <c r="I20" i="28"/>
  <c r="I19" i="28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I3" i="28"/>
  <c r="I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G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D2" i="28"/>
  <c r="C21" i="28"/>
  <c r="C20" i="28"/>
  <c r="C19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4" i="28"/>
  <c r="C3" i="28"/>
  <c r="C2" i="28"/>
  <c r="B5" i="28"/>
  <c r="B4" i="28"/>
  <c r="B3" i="28"/>
  <c r="N4" i="12"/>
  <c r="N5" i="12"/>
  <c r="N3" i="12"/>
  <c r="W152" i="1"/>
  <c r="S152" i="1"/>
  <c r="Q152" i="1"/>
  <c r="H152" i="1"/>
  <c r="C152" i="1"/>
  <c r="W151" i="1"/>
  <c r="S151" i="1"/>
  <c r="Q151" i="1"/>
  <c r="H151" i="1"/>
  <c r="C151" i="1"/>
  <c r="W150" i="1"/>
  <c r="S150" i="1"/>
  <c r="Q150" i="1"/>
  <c r="H150" i="1"/>
  <c r="C150" i="1"/>
  <c r="W149" i="1"/>
  <c r="S149" i="1"/>
  <c r="Q149" i="1"/>
  <c r="H149" i="1"/>
  <c r="C149" i="1"/>
  <c r="W148" i="1"/>
  <c r="S148" i="1"/>
  <c r="Q148" i="1"/>
  <c r="H148" i="1"/>
  <c r="C148" i="1"/>
  <c r="W147" i="1"/>
  <c r="S147" i="1"/>
  <c r="Q147" i="1"/>
  <c r="H147" i="1"/>
  <c r="C147" i="1"/>
  <c r="W146" i="1"/>
  <c r="S146" i="1"/>
  <c r="Q146" i="1"/>
  <c r="H146" i="1"/>
  <c r="C146" i="1"/>
  <c r="W145" i="1"/>
  <c r="S145" i="1"/>
  <c r="Q145" i="1"/>
  <c r="H145" i="1"/>
  <c r="C145" i="1"/>
  <c r="W144" i="1"/>
  <c r="S144" i="1"/>
  <c r="Q144" i="1"/>
  <c r="H144" i="1"/>
  <c r="C144" i="1"/>
  <c r="W143" i="1"/>
  <c r="S143" i="1"/>
  <c r="Q143" i="1"/>
  <c r="H143" i="1"/>
  <c r="C143" i="1"/>
  <c r="W142" i="1"/>
  <c r="S142" i="1"/>
  <c r="Q142" i="1"/>
  <c r="H142" i="1"/>
  <c r="C142" i="1"/>
  <c r="W141" i="1"/>
  <c r="S141" i="1"/>
  <c r="Q141" i="1"/>
  <c r="H141" i="1"/>
  <c r="C141" i="1"/>
  <c r="W140" i="1"/>
  <c r="S140" i="1"/>
  <c r="Q140" i="1"/>
  <c r="H140" i="1"/>
  <c r="C140" i="1"/>
  <c r="W139" i="1"/>
  <c r="S139" i="1"/>
  <c r="Q139" i="1"/>
  <c r="H139" i="1"/>
  <c r="C139" i="1"/>
  <c r="AA138" i="1"/>
  <c r="W138" i="1"/>
  <c r="S138" i="1"/>
  <c r="Q138" i="1"/>
  <c r="H138" i="1"/>
  <c r="C138" i="1"/>
  <c r="AA137" i="1"/>
  <c r="W137" i="1"/>
  <c r="S137" i="1"/>
  <c r="Q137" i="1"/>
  <c r="H137" i="1"/>
  <c r="C137" i="1"/>
  <c r="AA136" i="1"/>
  <c r="W136" i="1"/>
  <c r="S136" i="1"/>
  <c r="Q136" i="1"/>
  <c r="H136" i="1"/>
  <c r="C136" i="1"/>
  <c r="AA135" i="1"/>
  <c r="W135" i="1"/>
  <c r="S135" i="1"/>
  <c r="Q135" i="1"/>
  <c r="H135" i="1"/>
  <c r="C135" i="1"/>
  <c r="AA134" i="1"/>
  <c r="W134" i="1"/>
  <c r="S134" i="1"/>
  <c r="Q134" i="1"/>
  <c r="H134" i="1"/>
  <c r="C134" i="1"/>
  <c r="AA133" i="1"/>
  <c r="W133" i="1"/>
  <c r="S133" i="1"/>
  <c r="Q133" i="1"/>
  <c r="H133" i="1"/>
  <c r="C133" i="1"/>
  <c r="AA132" i="1"/>
  <c r="W132" i="1"/>
  <c r="S132" i="1"/>
  <c r="Q132" i="1"/>
  <c r="H132" i="1"/>
  <c r="C132" i="1"/>
  <c r="AA131" i="1"/>
  <c r="W131" i="1"/>
  <c r="S131" i="1"/>
  <c r="Q131" i="1"/>
  <c r="H131" i="1"/>
  <c r="C131" i="1"/>
  <c r="AA130" i="1"/>
  <c r="W130" i="1"/>
  <c r="S130" i="1"/>
  <c r="Q130" i="1"/>
  <c r="H130" i="1"/>
  <c r="C130" i="1"/>
  <c r="AA129" i="1"/>
  <c r="W129" i="1"/>
  <c r="S129" i="1"/>
  <c r="Q129" i="1"/>
  <c r="H129" i="1"/>
  <c r="C129" i="1"/>
  <c r="AA128" i="1"/>
  <c r="W128" i="1"/>
  <c r="S128" i="1"/>
  <c r="Q128" i="1"/>
  <c r="H128" i="1"/>
  <c r="C128" i="1"/>
  <c r="AA127" i="1"/>
  <c r="W127" i="1"/>
  <c r="S127" i="1"/>
  <c r="Q127" i="1"/>
  <c r="H127" i="1"/>
  <c r="C127" i="1"/>
  <c r="AA126" i="1"/>
  <c r="W126" i="1"/>
  <c r="S126" i="1"/>
  <c r="Q126" i="1"/>
  <c r="H126" i="1"/>
  <c r="C126" i="1"/>
  <c r="AA125" i="1"/>
  <c r="W125" i="1"/>
  <c r="S125" i="1"/>
  <c r="Q125" i="1"/>
  <c r="H125" i="1"/>
  <c r="C125" i="1"/>
  <c r="AA124" i="1"/>
  <c r="W124" i="1"/>
  <c r="S124" i="1"/>
  <c r="Q124" i="1"/>
  <c r="H124" i="1"/>
  <c r="C124" i="1"/>
  <c r="AA123" i="1"/>
  <c r="W123" i="1"/>
  <c r="S123" i="1"/>
  <c r="Q123" i="1"/>
  <c r="H123" i="1"/>
  <c r="C123" i="1"/>
  <c r="AA122" i="1"/>
  <c r="W122" i="1"/>
  <c r="S122" i="1"/>
  <c r="Q122" i="1"/>
  <c r="H122" i="1"/>
  <c r="C122" i="1"/>
  <c r="AA121" i="1"/>
  <c r="W121" i="1"/>
  <c r="S121" i="1"/>
  <c r="Q121" i="1"/>
  <c r="H121" i="1"/>
  <c r="C121" i="1"/>
  <c r="AA120" i="1"/>
  <c r="W120" i="1"/>
  <c r="S120" i="1"/>
  <c r="Q120" i="1"/>
  <c r="H120" i="1"/>
  <c r="C120" i="1"/>
  <c r="AA119" i="1"/>
  <c r="W119" i="1"/>
  <c r="S119" i="1"/>
  <c r="Q119" i="1"/>
  <c r="H119" i="1"/>
  <c r="C119" i="1"/>
  <c r="AA118" i="1"/>
  <c r="W118" i="1"/>
  <c r="S118" i="1"/>
  <c r="Q118" i="1"/>
  <c r="H118" i="1"/>
  <c r="C118" i="1"/>
  <c r="AA117" i="1"/>
  <c r="W117" i="1"/>
  <c r="S117" i="1"/>
  <c r="Q117" i="1"/>
  <c r="H117" i="1"/>
  <c r="C117" i="1"/>
  <c r="AA116" i="1"/>
  <c r="W116" i="1"/>
  <c r="S116" i="1"/>
  <c r="Q116" i="1"/>
  <c r="H116" i="1"/>
  <c r="C116" i="1"/>
  <c r="AA115" i="1"/>
  <c r="W115" i="1"/>
  <c r="S115" i="1"/>
  <c r="Q115" i="1"/>
  <c r="H115" i="1"/>
  <c r="C115" i="1"/>
  <c r="AA114" i="1"/>
  <c r="W114" i="1"/>
  <c r="S114" i="1"/>
  <c r="Q114" i="1"/>
  <c r="H114" i="1"/>
  <c r="C114" i="1"/>
  <c r="AA113" i="1"/>
  <c r="W113" i="1"/>
  <c r="S113" i="1"/>
  <c r="Q113" i="1"/>
  <c r="H113" i="1"/>
  <c r="C113" i="1"/>
  <c r="AA112" i="1"/>
  <c r="W112" i="1"/>
  <c r="S112" i="1"/>
  <c r="Q112" i="1"/>
  <c r="H112" i="1"/>
  <c r="C112" i="1"/>
  <c r="AA111" i="1"/>
  <c r="W111" i="1"/>
  <c r="S111" i="1"/>
  <c r="Q111" i="1"/>
  <c r="H111" i="1"/>
  <c r="C111" i="1"/>
  <c r="AA110" i="1"/>
  <c r="W110" i="1"/>
  <c r="S110" i="1"/>
  <c r="Q110" i="1"/>
  <c r="H110" i="1"/>
  <c r="C110" i="1"/>
  <c r="AA109" i="1"/>
  <c r="W109" i="1"/>
  <c r="S109" i="1"/>
  <c r="Q109" i="1"/>
  <c r="H109" i="1"/>
  <c r="C109" i="1"/>
  <c r="AA108" i="1"/>
  <c r="W108" i="1"/>
  <c r="S108" i="1"/>
  <c r="Q108" i="1"/>
  <c r="H108" i="1"/>
  <c r="C108" i="1"/>
  <c r="AA107" i="1"/>
  <c r="W107" i="1"/>
  <c r="S107" i="1"/>
  <c r="Q107" i="1"/>
  <c r="H107" i="1"/>
  <c r="C107" i="1"/>
  <c r="AA106" i="1"/>
  <c r="W106" i="1"/>
  <c r="S106" i="1"/>
  <c r="Q106" i="1"/>
  <c r="H106" i="1"/>
  <c r="C106" i="1"/>
  <c r="AA105" i="1"/>
  <c r="W105" i="1"/>
  <c r="S105" i="1"/>
  <c r="Q105" i="1"/>
  <c r="H105" i="1"/>
  <c r="C105" i="1"/>
  <c r="AA104" i="1"/>
  <c r="W104" i="1"/>
  <c r="S104" i="1"/>
  <c r="Q104" i="1"/>
  <c r="H104" i="1"/>
  <c r="C104" i="1"/>
  <c r="AA103" i="1"/>
  <c r="W103" i="1"/>
  <c r="S103" i="1"/>
  <c r="Q103" i="1"/>
  <c r="H103" i="1"/>
  <c r="C103" i="1"/>
  <c r="AA102" i="1"/>
  <c r="W102" i="1"/>
  <c r="S102" i="1"/>
  <c r="Q102" i="1"/>
  <c r="H102" i="1"/>
  <c r="C102" i="1"/>
  <c r="AA101" i="1"/>
  <c r="W101" i="1"/>
  <c r="S101" i="1"/>
  <c r="Q101" i="1"/>
  <c r="H101" i="1"/>
  <c r="C101" i="1"/>
  <c r="AA100" i="1"/>
  <c r="W100" i="1"/>
  <c r="S100" i="1"/>
  <c r="Q100" i="1"/>
  <c r="H100" i="1"/>
  <c r="C100" i="1"/>
  <c r="AA99" i="1"/>
  <c r="W99" i="1"/>
  <c r="S99" i="1"/>
  <c r="Q99" i="1"/>
  <c r="H99" i="1"/>
  <c r="C99" i="1"/>
  <c r="AA98" i="1"/>
  <c r="W98" i="1"/>
  <c r="S98" i="1"/>
  <c r="Q98" i="1"/>
  <c r="H98" i="1"/>
  <c r="C98" i="1"/>
  <c r="AA97" i="1"/>
  <c r="W97" i="1"/>
  <c r="S97" i="1"/>
  <c r="Q97" i="1"/>
  <c r="H97" i="1"/>
  <c r="C97" i="1"/>
  <c r="AA96" i="1"/>
  <c r="W96" i="1"/>
  <c r="S96" i="1"/>
  <c r="Q96" i="1"/>
  <c r="H96" i="1"/>
  <c r="C96" i="1"/>
  <c r="AA95" i="1"/>
  <c r="W95" i="1"/>
  <c r="S95" i="1"/>
  <c r="Q95" i="1"/>
  <c r="H95" i="1"/>
  <c r="C95" i="1"/>
  <c r="AA94" i="1"/>
  <c r="W94" i="1"/>
  <c r="S94" i="1"/>
  <c r="Q94" i="1"/>
  <c r="H94" i="1"/>
  <c r="C94" i="1"/>
  <c r="AA93" i="1"/>
  <c r="W93" i="1"/>
  <c r="S93" i="1"/>
  <c r="Q93" i="1"/>
  <c r="H93" i="1"/>
  <c r="C93" i="1"/>
  <c r="AA92" i="1"/>
  <c r="W92" i="1"/>
  <c r="S92" i="1"/>
  <c r="Q92" i="1"/>
  <c r="H92" i="1"/>
  <c r="C92" i="1"/>
  <c r="AA91" i="1"/>
  <c r="W91" i="1"/>
  <c r="S91" i="1"/>
  <c r="Q91" i="1"/>
  <c r="H91" i="1"/>
  <c r="C91" i="1"/>
  <c r="AA90" i="1"/>
  <c r="W90" i="1"/>
  <c r="S90" i="1"/>
  <c r="Q90" i="1"/>
  <c r="H90" i="1"/>
  <c r="C90" i="1"/>
  <c r="AA89" i="1"/>
  <c r="W89" i="1"/>
  <c r="S89" i="1"/>
  <c r="Q89" i="1"/>
  <c r="H89" i="1"/>
  <c r="C89" i="1"/>
  <c r="AA88" i="1"/>
  <c r="W88" i="1"/>
  <c r="S88" i="1"/>
  <c r="Q88" i="1"/>
  <c r="H88" i="1"/>
  <c r="C88" i="1"/>
  <c r="AA87" i="1"/>
  <c r="W87" i="1"/>
  <c r="S87" i="1"/>
  <c r="Q87" i="1"/>
  <c r="H87" i="1"/>
  <c r="C87" i="1"/>
  <c r="AA86" i="1"/>
  <c r="W86" i="1"/>
  <c r="S86" i="1"/>
  <c r="Q86" i="1"/>
  <c r="H86" i="1"/>
  <c r="C86" i="1"/>
  <c r="AA85" i="1"/>
  <c r="W85" i="1"/>
  <c r="S85" i="1"/>
  <c r="Q85" i="1"/>
  <c r="H85" i="1"/>
  <c r="C85" i="1"/>
  <c r="AA84" i="1"/>
  <c r="W84" i="1"/>
  <c r="S84" i="1"/>
  <c r="Q84" i="1"/>
  <c r="H84" i="1"/>
  <c r="C84" i="1"/>
  <c r="AA83" i="1"/>
  <c r="W83" i="1"/>
  <c r="S83" i="1"/>
  <c r="Q83" i="1"/>
  <c r="H83" i="1"/>
  <c r="C83" i="1"/>
  <c r="AA82" i="1"/>
  <c r="W82" i="1"/>
  <c r="S82" i="1"/>
  <c r="Q82" i="1"/>
  <c r="H82" i="1"/>
  <c r="C82" i="1"/>
  <c r="AA81" i="1"/>
  <c r="W81" i="1"/>
  <c r="S81" i="1"/>
  <c r="Q81" i="1"/>
  <c r="H81" i="1"/>
  <c r="C81" i="1"/>
  <c r="AA80" i="1"/>
  <c r="W80" i="1"/>
  <c r="S80" i="1"/>
  <c r="Q80" i="1"/>
  <c r="H80" i="1"/>
  <c r="C80" i="1"/>
  <c r="AA79" i="1"/>
  <c r="W79" i="1"/>
  <c r="S79" i="1"/>
  <c r="Q79" i="1"/>
  <c r="H79" i="1"/>
  <c r="C79" i="1"/>
  <c r="AA78" i="1"/>
  <c r="W78" i="1"/>
  <c r="S78" i="1"/>
  <c r="Q78" i="1"/>
  <c r="H78" i="1"/>
  <c r="C78" i="1"/>
  <c r="AA77" i="1"/>
  <c r="W77" i="1"/>
  <c r="S77" i="1"/>
  <c r="Q77" i="1"/>
  <c r="H77" i="1"/>
  <c r="C77" i="1"/>
  <c r="AA76" i="1"/>
  <c r="W76" i="1"/>
  <c r="S76" i="1"/>
  <c r="Q76" i="1"/>
  <c r="H76" i="1"/>
  <c r="C76" i="1"/>
  <c r="AA75" i="1"/>
  <c r="W75" i="1"/>
  <c r="S75" i="1"/>
  <c r="Q75" i="1"/>
  <c r="H75" i="1"/>
  <c r="C75" i="1"/>
  <c r="AA74" i="1"/>
  <c r="W74" i="1"/>
  <c r="S74" i="1"/>
  <c r="Q74" i="1"/>
  <c r="H74" i="1"/>
  <c r="C74" i="1"/>
  <c r="AA73" i="1"/>
  <c r="W73" i="1"/>
  <c r="S73" i="1"/>
  <c r="Q73" i="1"/>
  <c r="H73" i="1"/>
  <c r="C73" i="1"/>
  <c r="AA72" i="1"/>
  <c r="W72" i="1"/>
  <c r="S72" i="1"/>
  <c r="Q72" i="1"/>
  <c r="H72" i="1"/>
  <c r="C72" i="1"/>
  <c r="AA71" i="1"/>
  <c r="W71" i="1"/>
  <c r="S71" i="1"/>
  <c r="Q71" i="1"/>
  <c r="H71" i="1"/>
  <c r="C71" i="1"/>
  <c r="AA70" i="1"/>
  <c r="W70" i="1"/>
  <c r="S70" i="1"/>
  <c r="Q70" i="1"/>
  <c r="H70" i="1"/>
  <c r="C70" i="1"/>
  <c r="AA69" i="1"/>
  <c r="W69" i="1"/>
  <c r="S69" i="1"/>
  <c r="Q69" i="1"/>
  <c r="H69" i="1"/>
  <c r="C69" i="1"/>
  <c r="AA68" i="1"/>
  <c r="W68" i="1"/>
  <c r="S68" i="1"/>
  <c r="Q68" i="1"/>
  <c r="H68" i="1"/>
  <c r="C68" i="1"/>
  <c r="AA67" i="1"/>
  <c r="W67" i="1"/>
  <c r="S67" i="1"/>
  <c r="Q67" i="1"/>
  <c r="H67" i="1"/>
  <c r="C67" i="1"/>
  <c r="AA66" i="1"/>
  <c r="W66" i="1"/>
  <c r="S66" i="1"/>
  <c r="Q66" i="1"/>
  <c r="H66" i="1"/>
  <c r="C66" i="1"/>
  <c r="AA65" i="1"/>
  <c r="W65" i="1"/>
  <c r="S65" i="1"/>
  <c r="Q65" i="1"/>
  <c r="H65" i="1"/>
  <c r="C65" i="1"/>
  <c r="AA64" i="1"/>
  <c r="W64" i="1"/>
  <c r="S64" i="1"/>
  <c r="Q64" i="1"/>
  <c r="H64" i="1"/>
  <c r="C64" i="1"/>
  <c r="AA63" i="1"/>
  <c r="W63" i="1"/>
  <c r="S63" i="1"/>
  <c r="Q63" i="1"/>
  <c r="H63" i="1"/>
  <c r="C63" i="1"/>
  <c r="AA62" i="1"/>
  <c r="W62" i="1"/>
  <c r="S62" i="1"/>
  <c r="Q62" i="1"/>
  <c r="H62" i="1"/>
  <c r="C62" i="1"/>
  <c r="AA61" i="1"/>
  <c r="W61" i="1"/>
  <c r="S61" i="1"/>
  <c r="Q61" i="1"/>
  <c r="H61" i="1"/>
  <c r="C61" i="1"/>
  <c r="AA60" i="1"/>
  <c r="W60" i="1"/>
  <c r="S60" i="1"/>
  <c r="Q60" i="1"/>
  <c r="H60" i="1"/>
  <c r="C60" i="1"/>
  <c r="AA59" i="1"/>
  <c r="W59" i="1"/>
  <c r="S59" i="1"/>
  <c r="Q59" i="1"/>
  <c r="H59" i="1"/>
  <c r="C59" i="1"/>
  <c r="AA58" i="1"/>
  <c r="W58" i="1"/>
  <c r="S58" i="1"/>
  <c r="Q58" i="1"/>
  <c r="H58" i="1"/>
  <c r="C58" i="1"/>
  <c r="AA57" i="1"/>
  <c r="W57" i="1"/>
  <c r="S57" i="1"/>
  <c r="Q57" i="1"/>
  <c r="H57" i="1"/>
  <c r="C57" i="1"/>
  <c r="AA56" i="1"/>
  <c r="W56" i="1"/>
  <c r="S56" i="1"/>
  <c r="Q56" i="1"/>
  <c r="H56" i="1"/>
  <c r="C56" i="1"/>
  <c r="AA55" i="1"/>
  <c r="W55" i="1"/>
  <c r="S55" i="1"/>
  <c r="Q55" i="1"/>
  <c r="H55" i="1"/>
  <c r="C55" i="1"/>
  <c r="AA54" i="1"/>
  <c r="W54" i="1"/>
  <c r="S54" i="1"/>
  <c r="Q54" i="1"/>
  <c r="H54" i="1"/>
  <c r="C54" i="1"/>
  <c r="AA53" i="1"/>
  <c r="W53" i="1"/>
  <c r="S53" i="1"/>
  <c r="Q53" i="1"/>
  <c r="H53" i="1"/>
  <c r="C53" i="1"/>
  <c r="AA52" i="1"/>
  <c r="W52" i="1"/>
  <c r="S52" i="1"/>
  <c r="Q52" i="1"/>
  <c r="H52" i="1"/>
  <c r="C52" i="1"/>
  <c r="AA51" i="1"/>
  <c r="W51" i="1"/>
  <c r="S51" i="1"/>
  <c r="Q51" i="1"/>
  <c r="H51" i="1"/>
  <c r="C51" i="1"/>
  <c r="AA50" i="1"/>
  <c r="W50" i="1"/>
  <c r="S50" i="1"/>
  <c r="Q50" i="1"/>
  <c r="H50" i="1"/>
  <c r="C50" i="1"/>
  <c r="AA49" i="1"/>
  <c r="W49" i="1"/>
  <c r="S49" i="1"/>
  <c r="Q49" i="1"/>
  <c r="H49" i="1"/>
  <c r="C49" i="1"/>
  <c r="AA48" i="1"/>
  <c r="W48" i="1"/>
  <c r="S48" i="1"/>
  <c r="Q48" i="1"/>
  <c r="H48" i="1"/>
  <c r="C48" i="1"/>
  <c r="AA47" i="1"/>
  <c r="W47" i="1"/>
  <c r="S47" i="1"/>
  <c r="Q47" i="1"/>
  <c r="H47" i="1"/>
  <c r="C47" i="1"/>
  <c r="AA46" i="1"/>
  <c r="W46" i="1"/>
  <c r="S46" i="1"/>
  <c r="Q46" i="1"/>
  <c r="H46" i="1"/>
  <c r="C46" i="1"/>
  <c r="AA45" i="1"/>
  <c r="W45" i="1"/>
  <c r="S45" i="1"/>
  <c r="Q45" i="1"/>
  <c r="H45" i="1"/>
  <c r="C45" i="1"/>
  <c r="AA44" i="1"/>
  <c r="W44" i="1"/>
  <c r="S44" i="1"/>
  <c r="Q44" i="1"/>
  <c r="H44" i="1"/>
  <c r="C44" i="1"/>
  <c r="AA43" i="1"/>
  <c r="W43" i="1"/>
  <c r="S43" i="1"/>
  <c r="Q43" i="1"/>
  <c r="H43" i="1"/>
  <c r="C43" i="1"/>
  <c r="AA42" i="1"/>
  <c r="W42" i="1"/>
  <c r="S42" i="1"/>
  <c r="Q42" i="1"/>
  <c r="H42" i="1"/>
  <c r="C42" i="1"/>
  <c r="AA41" i="1"/>
  <c r="W41" i="1"/>
  <c r="S41" i="1"/>
  <c r="Q41" i="1"/>
  <c r="H41" i="1"/>
  <c r="C41" i="1"/>
  <c r="AA40" i="1"/>
  <c r="W40" i="1"/>
  <c r="S40" i="1"/>
  <c r="Q40" i="1"/>
  <c r="H40" i="1"/>
  <c r="C40" i="1"/>
  <c r="AA39" i="1"/>
  <c r="W39" i="1"/>
  <c r="S39" i="1"/>
  <c r="Q39" i="1"/>
  <c r="H39" i="1"/>
  <c r="C39" i="1"/>
  <c r="AA38" i="1"/>
  <c r="W38" i="1"/>
  <c r="S38" i="1"/>
  <c r="Q38" i="1"/>
  <c r="H38" i="1"/>
  <c r="C38" i="1"/>
  <c r="AA37" i="1"/>
  <c r="W37" i="1"/>
  <c r="S37" i="1"/>
  <c r="Q37" i="1"/>
  <c r="H37" i="1"/>
  <c r="C37" i="1"/>
  <c r="AA36" i="1"/>
  <c r="W36" i="1"/>
  <c r="S36" i="1"/>
  <c r="Q36" i="1"/>
  <c r="H36" i="1"/>
  <c r="C36" i="1"/>
  <c r="AA35" i="1"/>
  <c r="W35" i="1"/>
  <c r="S35" i="1"/>
  <c r="Q35" i="1"/>
  <c r="H35" i="1"/>
  <c r="C35" i="1"/>
  <c r="AA34" i="1"/>
  <c r="W34" i="1"/>
  <c r="S34" i="1"/>
  <c r="Q34" i="1"/>
  <c r="H34" i="1"/>
  <c r="C34" i="1"/>
  <c r="AA33" i="1"/>
  <c r="W33" i="1"/>
  <c r="S33" i="1"/>
  <c r="Q33" i="1"/>
  <c r="H33" i="1"/>
  <c r="C33" i="1"/>
  <c r="AA32" i="1"/>
  <c r="W32" i="1"/>
  <c r="S32" i="1"/>
  <c r="Q32" i="1"/>
  <c r="H32" i="1"/>
  <c r="C32" i="1"/>
  <c r="AA31" i="1"/>
  <c r="W31" i="1"/>
  <c r="S31" i="1"/>
  <c r="Q31" i="1"/>
  <c r="H31" i="1"/>
  <c r="C31" i="1"/>
  <c r="AA30" i="1"/>
  <c r="W30" i="1"/>
  <c r="S30" i="1"/>
  <c r="Q30" i="1"/>
  <c r="H30" i="1"/>
  <c r="C30" i="1"/>
  <c r="AA29" i="1"/>
  <c r="W29" i="1"/>
  <c r="S29" i="1"/>
  <c r="Q29" i="1"/>
  <c r="H29" i="1"/>
  <c r="C29" i="1"/>
  <c r="AA28" i="1"/>
  <c r="W28" i="1"/>
  <c r="S28" i="1"/>
  <c r="Q28" i="1"/>
  <c r="H28" i="1"/>
  <c r="C28" i="1"/>
  <c r="AA27" i="1"/>
  <c r="W27" i="1"/>
  <c r="S27" i="1"/>
  <c r="Q27" i="1"/>
  <c r="H27" i="1"/>
  <c r="C27" i="1"/>
  <c r="AA26" i="1"/>
  <c r="W26" i="1"/>
  <c r="S26" i="1"/>
  <c r="Q26" i="1"/>
  <c r="H26" i="1"/>
  <c r="C26" i="1"/>
  <c r="AA25" i="1"/>
  <c r="W25" i="1"/>
  <c r="S25" i="1"/>
  <c r="Q25" i="1"/>
  <c r="H25" i="1"/>
  <c r="C25" i="1"/>
  <c r="AA24" i="1"/>
  <c r="W24" i="1"/>
  <c r="S24" i="1"/>
  <c r="Q24" i="1"/>
  <c r="H24" i="1"/>
  <c r="C24" i="1"/>
  <c r="AA23" i="1"/>
  <c r="W23" i="1"/>
  <c r="S23" i="1"/>
  <c r="Q23" i="1"/>
  <c r="H23" i="1"/>
  <c r="C23" i="1"/>
  <c r="AA22" i="1"/>
  <c r="W22" i="1"/>
  <c r="S22" i="1"/>
  <c r="Q22" i="1"/>
  <c r="H22" i="1"/>
  <c r="C22" i="1"/>
  <c r="AA21" i="1"/>
  <c r="W21" i="1"/>
  <c r="S21" i="1"/>
  <c r="Q21" i="1"/>
  <c r="H21" i="1"/>
  <c r="C21" i="1"/>
  <c r="AA20" i="1"/>
  <c r="W20" i="1"/>
  <c r="S20" i="1"/>
  <c r="Q20" i="1"/>
  <c r="H20" i="1"/>
  <c r="C20" i="1"/>
  <c r="AA19" i="1"/>
  <c r="W19" i="1"/>
  <c r="S19" i="1"/>
  <c r="Q19" i="1"/>
  <c r="H19" i="1"/>
  <c r="C19" i="1"/>
  <c r="AA18" i="1"/>
  <c r="W18" i="1"/>
  <c r="S18" i="1"/>
  <c r="Q18" i="1"/>
  <c r="H18" i="1"/>
  <c r="C18" i="1"/>
  <c r="AA17" i="1"/>
  <c r="W17" i="1"/>
  <c r="S17" i="1"/>
  <c r="Q17" i="1"/>
  <c r="H17" i="1"/>
  <c r="C17" i="1"/>
  <c r="AA16" i="1"/>
  <c r="W16" i="1"/>
  <c r="S16" i="1"/>
  <c r="Q16" i="1"/>
  <c r="H16" i="1"/>
  <c r="C16" i="1"/>
  <c r="AA15" i="1"/>
  <c r="W15" i="1"/>
  <c r="S15" i="1"/>
  <c r="Q15" i="1"/>
  <c r="H15" i="1"/>
  <c r="C15" i="1"/>
  <c r="AA14" i="1"/>
  <c r="W14" i="1"/>
  <c r="S14" i="1"/>
  <c r="Q14" i="1"/>
  <c r="H14" i="1"/>
  <c r="C14" i="1"/>
  <c r="AA13" i="1"/>
  <c r="W13" i="1"/>
  <c r="S13" i="1"/>
  <c r="Q13" i="1"/>
  <c r="H13" i="1"/>
  <c r="C13" i="1"/>
  <c r="AA12" i="1"/>
  <c r="W12" i="1"/>
  <c r="S12" i="1"/>
  <c r="Q12" i="1"/>
  <c r="H12" i="1"/>
  <c r="C12" i="1"/>
  <c r="AA11" i="1"/>
  <c r="W11" i="1"/>
  <c r="S11" i="1"/>
  <c r="Q11" i="1"/>
  <c r="H11" i="1"/>
  <c r="C11" i="1"/>
  <c r="AA10" i="1"/>
  <c r="W10" i="1"/>
  <c r="S10" i="1"/>
  <c r="Q10" i="1"/>
  <c r="H10" i="1"/>
  <c r="C10" i="1"/>
  <c r="AA9" i="1"/>
  <c r="W9" i="1"/>
  <c r="S9" i="1"/>
  <c r="Q9" i="1"/>
  <c r="H9" i="1"/>
  <c r="C9" i="1"/>
  <c r="AA8" i="1"/>
  <c r="W8" i="1"/>
  <c r="S8" i="1"/>
  <c r="Q8" i="1"/>
  <c r="H8" i="1"/>
  <c r="C8" i="1"/>
  <c r="AA7" i="1"/>
  <c r="W7" i="1"/>
  <c r="S7" i="1"/>
  <c r="Q7" i="1"/>
  <c r="H7" i="1"/>
  <c r="C7" i="1"/>
  <c r="AA6" i="1"/>
  <c r="W6" i="1"/>
  <c r="S6" i="1"/>
  <c r="Q6" i="1"/>
  <c r="H6" i="1"/>
  <c r="C6" i="1"/>
  <c r="AA5" i="1"/>
  <c r="W5" i="1"/>
  <c r="S5" i="1"/>
  <c r="Q5" i="1"/>
  <c r="H5" i="1"/>
  <c r="C5" i="1"/>
  <c r="AA4" i="1"/>
  <c r="W4" i="1"/>
  <c r="S4" i="1"/>
  <c r="Q4" i="1"/>
  <c r="H4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tc={A369C6D6-513A-5540-93C9-EF7BC1F1ACDB}</author>
    <author>tc={33D70AE5-58E3-5E49-912B-378AC4125A44}</author>
    <author>tc={3A54B74B-1928-4F45-9392-D689C336520F}</author>
    <author>tc={74C526D3-544B-DC47-A35E-A0E83EDCFF86}</author>
  </authors>
  <commentList>
    <comment ref="A14" authorId="0" shapeId="0" xr:uid="{A369C6D6-513A-5540-93C9-EF7BC1F1ACDB}">
      <text>
        <t>[Threaded comment]
Your version of Excel allows you to read this threaded comment; however, any edits to it will get removed if the file is opened in a newer version of Excel. Learn more: https://go.microsoft.com/fwlink/?linkid=870924
Comment:
    DHPS</t>
      </text>
    </comment>
    <comment ref="A21" authorId="1" shapeId="0" xr:uid="{33D70AE5-58E3-5E49-912B-378AC4125A44}">
      <text>
        <t>[Threaded comment]
Your version of Excel allows you to read this threaded comment; however, any edits to it will get removed if the file is opened in a newer version of Excel. Learn more: https://go.microsoft.com/fwlink/?linkid=870924
Comment:
    Bull trap</t>
      </text>
    </comment>
    <comment ref="A34" authorId="2" shapeId="0" xr:uid="{3A54B74B-1928-4F45-9392-D689C336520F}">
      <text>
        <t>[Threaded comment]
Your version of Excel allows you to read this threaded comment; however, any edits to it will get removed if the file is opened in a newer version of Excel. Learn more: https://go.microsoft.com/fwlink/?linkid=870924
Comment:
    DHPS</t>
      </text>
    </comment>
    <comment ref="A59" authorId="3" shapeId="0" xr:uid="{74C526D3-544B-DC47-A35E-A0E83EDCFF86}">
      <text>
        <t>[Threaded comment]
Your version of Excel allows you to read this threaded comment; however, any edits to it will get removed if the file is opened in a newer version of Excel. Learn more: https://go.microsoft.com/fwlink/?linkid=870924
Comment:
    DHPS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tc={016908DF-1999-5F4D-A9B2-F7F6ECD53798}</author>
    <author>tc={08B598F6-6ABF-814E-8777-BED97115733F}</author>
    <author>tc={006943C3-A722-4E44-AC5A-244E0B17B415}</author>
    <author>tc={E052B674-5053-6149-979A-5F5C7B7D9F5D}</author>
    <author>tc={5E26DE02-5100-6644-855A-E9C54B3B21FB}</author>
    <author>tc={26D8E6C3-4284-1742-8890-236F6BB96463}</author>
  </authors>
  <commentList>
    <comment ref="A18" authorId="0" shapeId="0" xr:uid="{016908DF-1999-5F4D-A9B2-F7F6ECD53798}">
      <text>
        <t>[Threaded comment]
Your version of Excel allows you to read this threaded comment; however, any edits to it will get removed if the file is opened in a newer version of Excel. Learn more: https://go.microsoft.com/fwlink/?linkid=870924
Comment:
    TBT NPT qua đời</t>
      </text>
    </comment>
    <comment ref="A28" authorId="1" shapeId="0" xr:uid="{08B598F6-6ABF-814E-8777-BED97115733F}">
      <text>
        <t>[Threaded comment]
Your version of Excel allows you to read this threaded comment; however, any edits to it will get removed if the file is opened in a newer version of Excel. Learn more: https://go.microsoft.com/fwlink/?linkid=870924
Comment:
    Mất điện tại một số ctck dẫn đến mất kết nối đến sở GDCK =&gt; thanh khoản thấp</t>
      </text>
    </comment>
    <comment ref="A43" authorId="2" shapeId="0" xr:uid="{006943C3-A722-4E44-AC5A-244E0B17B415}">
      <text>
        <t>[Threaded comment]
Your version of Excel allows you to read this threaded comment; however, any edits to it will get removed if the file is opened in a newer version of Excel. Learn more: https://go.microsoft.com/fwlink/?linkid=870924
Comment:
    Cưa chân bàn</t>
      </text>
    </comment>
    <comment ref="A45" authorId="3" shapeId="0" xr:uid="{E052B674-5053-6149-979A-5F5C7B7D9F5D}">
      <text>
        <t>[Threaded comment]
Your version of Excel allows you to read this threaded comment; however, any edits to it will get removed if the file is opened in a newer version of Excel. Learn more: https://go.microsoft.com/fwlink/?linkid=870924
Comment:
    Bull trap</t>
      </text>
    </comment>
    <comment ref="P70" authorId="4" shapeId="0" xr:uid="{5E26DE02-5100-6644-855A-E9C54B3B21FB}">
      <text>
        <t>[Threaded comment]
Your version of Excel allows you to read this threaded comment; however, any edits to it will get removed if the file is opened in a newer version of Excel. Learn more: https://go.microsoft.com/fwlink/?linkid=870924
Comment:
    Áp lực tỉ giá. Tỉ giá lập đỉnh</t>
      </text>
    </comment>
    <comment ref="A77" authorId="5" shapeId="0" xr:uid="{26D8E6C3-4284-1742-8890-236F6BB96463}">
      <text>
        <t>[Threaded comment]
Your version of Excel allows you to read this threaded comment; however, any edits to it will get removed if the file is opened in a newer version of Excel. Learn more: https://go.microsoft.com/fwlink/?linkid=870924
Comment:
    FTD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tc={CD513B2F-E228-0F4B-987A-EF5A95798E2C}</author>
    <author>tc={3A20368C-42D0-AF40-B9B4-1C3D98F84A6F}</author>
    <author>tc={C43F2031-3882-6F4E-80FA-37DC7016F985}</author>
    <author>tc={C2C9774C-23B7-3D4B-9664-065090C1B924}</author>
    <author>tc={09FF699A-099B-E540-8097-439716925914}</author>
    <author>tc={8375259F-1AEE-9043-9677-933EAA53528F}</author>
    <author>tc={46B08587-79A7-7745-B2DD-D77C2F816166}</author>
    <author>tc={FEA8D2DB-BE62-6C45-91A6-03762F9AD3D8}</author>
    <author>tc={8E363F63-18BC-D345-8A08-7AA808F5B0B9}</author>
    <author>tc={2C9B8D45-47FE-7542-965F-871496238751}</author>
    <author>tc={C9F2B7FA-1AF4-7B4B-B76A-5DA79150A537}</author>
    <author>tc={FDDD2D0E-523C-CB4E-993B-351005C55DCB}</author>
    <author>tc={A77DCDA6-C773-9249-A22D-BAFDBAFFEFBC}</author>
    <author>tc={4E7EB458-4149-1542-A005-36B204964054}</author>
    <author>tc={0024D084-3814-1445-AFFA-03B3522D6DD7}</author>
    <author>tc={2E6DF121-A91B-1740-9966-E41E78330CDE}</author>
    <author>tc={101E06BC-FFFB-6543-B741-A73C5DDC3D8E}</author>
    <author>tc={9EBFDE32-5693-1E44-84FB-173C68EC77FF}</author>
    <author>tc={B9CDF998-3F6C-024C-AF0A-77AD8B82E1CD}</author>
    <author>tc={3307DD59-5652-444C-AA35-26CCC19E3304}</author>
    <author>tc={9602EF0C-BBBD-4D48-8815-463914D8604D}</author>
    <author>tc={BAC63297-BB0B-0843-A86C-0B349156FFB4}</author>
    <author>tc={EF2E373C-24B9-0649-890E-871FF88285B0}</author>
    <author>tc={DCF5ECF6-A785-D844-BB0A-AC21E83AC10B}</author>
    <author>tc={24185B3F-1365-DC4E-95D4-721114BB049D}</author>
    <author>tc={B8C86A40-F444-EC4C-A42C-B1B93FEF16BE}</author>
    <author>tc={158640FF-865F-934D-9660-2922C5A1391A}</author>
    <author>tc={4FED1D24-5018-DF40-AFE5-4EC319368A52}</author>
    <author>tc={E457C49D-D82E-C84D-A5BD-FA8F93B9166E}</author>
    <author>tc={0DAB9DC4-B174-634F-835B-DFF3D9FC8BF2}</author>
    <author>tc={2E9E15B2-3EC5-BB42-BCBB-937F4EB7B834}</author>
    <author>tc={9D9BAB95-0BE1-4C45-B13A-0136AF24B3A4}</author>
    <author>tc={8A084FC6-AEC2-7842-9094-5D76B2435123}</author>
    <author>tc={1293EB94-5586-4B48-BD63-C4C35297997A}</author>
    <author>tc={B9D5862B-C8B6-A547-BA57-A774F7574821}</author>
    <author>tc={19E23772-153F-D043-9DCE-DE1158494CB3}</author>
    <author>tc={AFFBBEDB-6C2C-DD43-8DB2-6551FF49C9EB}</author>
    <author>tc={D97C1015-9938-5E47-8F95-9FB395366E99}</author>
  </authors>
  <commentList>
    <comment ref="V12" authorId="0" shapeId="0" xr:uid="{CD513B2F-E228-0F4B-987A-EF5A95798E2C}">
      <text>
        <t>[Threaded comment]
Your version of Excel allows you to read this threaded comment; however, any edits to it will get removed if the file is opened in a newer version of Excel. Learn more: https://go.microsoft.com/fwlink/?linkid=870924
Comment:
    Bộ Công Thương điều tra chống bán phá giá thép HRC nhập khẩu từ Trung Quốc và Ấn Độ</t>
      </text>
    </comment>
    <comment ref="CL18" authorId="1" shapeId="0" xr:uid="{3A20368C-42D0-AF40-B9B4-1C3D98F84A6F}">
      <text>
        <t>[Threaded comment]
Your version of Excel allows you to read this threaded comment; however, any edits to it will get removed if the file is opened in a newer version of Excel. Learn more: https://go.microsoft.com/fwlink/?linkid=870924
Comment:
    Câu chuyện của SBT</t>
      </text>
    </comment>
    <comment ref="N21" authorId="2" shapeId="0" xr:uid="{C43F2031-3882-6F4E-80FA-37DC7016F985}">
      <text>
        <t>[Threaded comment]
Your version of Excel allows you to read this threaded comment; however, any edits to it will get removed if the file is opened in a newer version of Excel. Learn more: https://go.microsoft.com/fwlink/?linkid=870924
Comment:
    NVL(Nova group bán CP NVL)</t>
      </text>
    </comment>
    <comment ref="N25" authorId="3" shapeId="0" xr:uid="{C2C9774C-23B7-3D4B-9664-065090C1B924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Chủ tịch DXG từ nhiệm</t>
      </text>
    </comment>
    <comment ref="N27" authorId="4" shapeId="0" xr:uid="{09FF699A-099B-E540-8097-439716925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DXG tin đồn quỵt nợ trái phiếu</t>
      </text>
    </comment>
    <comment ref="B35" authorId="5" shapeId="0" xr:uid="{8375259F-1AEE-9043-9677-933EAA53528F}">
      <text>
        <t>[Threaded comment]
Your version of Excel allows you to read this threaded comment; however, any edits to it will get removed if the file is opened in a newer version of Excel. Learn more: https://go.microsoft.com/fwlink/?linkid=870924
Comment:
    Kéo BCM, GVR</t>
      </text>
    </comment>
    <comment ref="J37" authorId="6" shapeId="0" xr:uid="{46B08587-79A7-7745-B2DD-D77C2F816166}">
      <text>
        <t>[Threaded comment]
Your version of Excel allows you to read this threaded comment; however, any edits to it will get removed if the file is opened in a newer version of Excel. Learn more: https://go.microsoft.com/fwlink/?linkid=870924
Comment:
    Tin đồn bỏ triển khai hệ thống KRX</t>
      </text>
    </comment>
    <comment ref="AT40" authorId="7" shapeId="0" xr:uid="{FEA8D2DB-BE62-6C45-91A6-03762F9AD3D8}">
      <text>
        <t>[Threaded comment]
Your version of Excel allows you to read this threaded comment; however, any edits to it will get removed if the file is opened in a newer version of Excel. Learn more: https://go.microsoft.com/fwlink/?linkid=870924
Comment:
    Khối ngoại bán ròng kỉ lục cổ phiếu VHC chỉ sau phiên 9/5/2024. Giá trị 69 tỉ</t>
      </text>
    </comment>
    <comment ref="BN40" authorId="8" shapeId="0" xr:uid="{8E363F63-18BC-D345-8A08-7AA808F5B0B9}">
      <text>
        <t>[Threaded comment]
Your version of Excel allows you to read this threaded comment; however, any edits to it will get removed if the file is opened in a newer version of Excel. Learn more: https://go.microsoft.com/fwlink/?linkid=870924
Comment:
    HAG</t>
      </text>
    </comment>
    <comment ref="V42" authorId="9" shapeId="0" xr:uid="{2C9B8D45-47FE-7542-965F-871496238751}">
      <text>
        <t>[Threaded comment]
Your version of Excel allows you to read this threaded comment; however, any edits to it will get removed if the file is opened in a newer version of Excel. Learn more: https://go.microsoft.com/fwlink/?linkid=870924
Comment:
    HSG,NKG</t>
      </text>
    </comment>
    <comment ref="BF43" authorId="10" shapeId="0" xr:uid="{C9F2B7FA-1AF4-7B4B-B76A-5DA79150A537}">
      <text>
        <t>[Threaded comment]
Your version of Excel allows you to read this threaded comment; however, any edits to it will get removed if the file is opened in a newer version of Excel. Learn more: https://go.microsoft.com/fwlink/?linkid=870924
Comment:
    NN bán ròng HDG với giá trị cao nhất 6 tháng gần nhất. 53 tỉ</t>
      </text>
    </comment>
    <comment ref="R46" authorId="11" shapeId="0" xr:uid="{FDDD2D0E-523C-CB4E-993B-351005C55DCB}">
      <text>
        <t>[Threaded comment]
Your version of Excel allows you to read this threaded comment; however, any edits to it will get removed if the file is opened in a newer version of Excel. Learn more: https://go.microsoft.com/fwlink/?linkid=870924
Comment:
    LHG, IJC</t>
      </text>
    </comment>
    <comment ref="AL47" authorId="12" shapeId="0" xr:uid="{A77DCDA6-C773-9249-A22D-BAFDBAFFEFBC}">
      <text>
        <t>[Threaded comment]
Your version of Excel allows you to read this threaded comment; however, any edits to it will get removed if the file is opened in a newer version of Excel. Learn more: https://go.microsoft.com/fwlink/?linkid=870924
Comment:
    VSC,HAH,VOS,GMD,DVP,PVT,SGP,VIP</t>
      </text>
    </comment>
    <comment ref="AT47" authorId="13" shapeId="0" xr:uid="{4E7EB458-4149-1542-A005-36B204964054}">
      <text>
        <t>[Threaded comment]
Your version of Excel allows you to read this threaded comment; however, any edits to it will get removed if the file is opened in a newer version of Excel. Learn more: https://go.microsoft.com/fwlink/?linkid=870924
Comment:
    ANV,VHC,ACL,IDI</t>
      </text>
    </comment>
    <comment ref="BJ48" authorId="14" shapeId="0" xr:uid="{0024D084-3814-1445-AFFA-03B3522D6DD7}">
      <text>
        <t>[Threaded comment]
Your version of Excel allows you to read this threaded comment; however, any edits to it will get removed if the file is opened in a newer version of Excel. Learn more: https://go.microsoft.com/fwlink/?linkid=870924
Comment:
    DCM,DPM,BFC</t>
      </text>
    </comment>
    <comment ref="AX50" authorId="15" shapeId="0" xr:uid="{2E6DF121-A91B-1740-9966-E41E78330CDE}">
      <text>
        <t>[Threaded comment]
Your version of Excel allows you to read this threaded comment; however, any edits to it will get removed if the file is opened in a newer version of Excel. Learn more: https://go.microsoft.com/fwlink/?linkid=870924
Comment:
    VCS,GDT</t>
      </text>
    </comment>
    <comment ref="V51" authorId="16" shapeId="0" xr:uid="{101E06BC-FFFB-6543-B741-A73C5DDC3D8E}">
      <text>
        <t>[Threaded comment]
Your version of Excel allows you to read this threaded comment; however, any edits to it will get removed if the file is opened in a newer version of Excel. Learn more: https://go.microsoft.com/fwlink/?linkid=870924
Comment:
    HSG</t>
      </text>
    </comment>
    <comment ref="AP53" authorId="17" shapeId="0" xr:uid="{9EBFDE32-5693-1E44-84FB-173C68EC77FF}">
      <text>
        <t>[Threaded comment]
Your version of Excel allows you to read this threaded comment; however, any edits to it will get removed if the file is opened in a newer version of Excel. Learn more: https://go.microsoft.com/fwlink/?linkid=870924
Comment:
    Tăng trưởng mạnh của nguyên vật liệu dệt may (tăng 33% trong tháng 5/2024 và hơn 20% trong 5 tháng đầu năm) báo hiệu đơn hàng dệt may sẽ tăng tốt trong nửa cuối năm 2024.</t>
      </text>
    </comment>
    <comment ref="AT53" authorId="18" shapeId="0" xr:uid="{B9CDF998-3F6C-024C-AF0A-77AD8B82E1CD}">
      <text>
        <t>[Threaded comment]
Your version of Excel allows you to read this threaded comment; however, any edits to it will get removed if the file is opened in a newer version of Excel. Learn more: https://go.microsoft.com/fwlink/?linkid=870924
Comment:
    ANV</t>
      </text>
    </comment>
    <comment ref="AX55" authorId="19" shapeId="0" xr:uid="{3307DD59-5652-444C-AA35-26CCC19E3304}">
      <text>
        <t>[Threaded comment]
Your version of Excel allows you to read this threaded comment; however, any edits to it will get removed if the file is opened in a newer version of Excel. Learn more: https://go.microsoft.com/fwlink/?linkid=870924
Comment:
    Xuất khẩu gỗ và sản phẩm gỗ tăng 23,5% so với cùng kì</t>
      </text>
    </comment>
    <comment ref="R56" authorId="20" shapeId="0" xr:uid="{9602EF0C-BBBD-4D48-8815-463914D8604D}">
      <text>
        <t>[Threaded comment]
Your version of Excel allows you to read this threaded comment; however, any edits to it will get removed if the file is opened in a newer version of Excel. Learn more: https://go.microsoft.com/fwlink/?linkid=870924
Comment:
    SZC</t>
      </text>
    </comment>
    <comment ref="F59" authorId="21" shapeId="0" xr:uid="{BAC63297-BB0B-0843-A86C-0B349156FFB4}">
      <text>
        <t>[Threaded comment]
Your version of Excel allows you to read this threaded comment; however, any edits to it will get removed if the file is opened in a newer version of Excel. Learn more: https://go.microsoft.com/fwlink/?linkid=870924
Comment:
    tăng trưởng tín dụng chậm chỉ đạt hơn 2% trong 5 tháng đầu năm</t>
      </text>
    </comment>
    <comment ref="Z59" authorId="22" shapeId="0" xr:uid="{EF2E373C-24B9-0649-890E-871FF88285B0}">
      <text>
        <t>[Threaded comment]
Your version of Excel allows you to read this threaded comment; however, any edits to it will get removed if the file is opened in a newer version of Excel. Learn more: https://go.microsoft.com/fwlink/?linkid=870924
Comment:
    Thoái vốn MSR -&gt; MSN</t>
      </text>
    </comment>
    <comment ref="BF59" authorId="23" shapeId="0" xr:uid="{DCF5ECF6-A785-D844-BB0A-AC21E83AC10B}">
      <text>
        <t>[Threaded comment]
Your version of Excel allows you to read this threaded comment; however, any edits to it will get removed if the file is opened in a newer version of Excel. Learn more: https://go.microsoft.com/fwlink/?linkid=870924
Comment:
    Tiêu thụ điện đạt kỉ lục</t>
      </text>
    </comment>
    <comment ref="BN60" authorId="24" shapeId="0" xr:uid="{24185B3F-1365-DC4E-95D4-721114BB049D}">
      <text>
        <t>[Threaded comment]
Your version of Excel allows you to read this threaded comment; however, any edits to it will get removed if the file is opened in a newer version of Excel. Learn more: https://go.microsoft.com/fwlink/?linkid=870924
Comment:
    NN bán kỉ lục HAG. GTGD 55 tỉ (ATH)</t>
      </text>
    </comment>
    <comment ref="BN63" authorId="25" shapeId="0" xr:uid="{B8C86A40-F444-EC4C-A42C-B1B93FEF16B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heo cao kỉ lục 5 năm</t>
      </text>
    </comment>
    <comment ref="F64" authorId="26" shapeId="0" xr:uid="{158640FF-865F-934D-9660-2922C5A1391A}">
      <text>
        <t>[Threaded comment]
Your version of Excel allows you to read this threaded comment; however, any edits to it will get removed if the file is opened in a newer version of Excel. Learn more: https://go.microsoft.com/fwlink/?linkid=870924
Comment:
    LPB</t>
      </text>
    </comment>
    <comment ref="V65" authorId="27" shapeId="0" xr:uid="{4FED1D24-5018-DF40-AFE5-4EC319368A52}">
      <text>
        <t>[Threaded comment]
Your version of Excel allows you to read this threaded comment; however, any edits to it will get removed if the file is opened in a newer version of Excel. Learn more: https://go.microsoft.com/fwlink/?linkid=870924
Comment:
    HPG</t>
      </text>
    </comment>
    <comment ref="BN67" authorId="28" shapeId="0" xr:uid="{E457C49D-D82E-C84D-A5BD-FA8F93B9166E}">
      <text>
        <t>[Threaded comment]
Your version of Excel allows you to read this threaded comment; however, any edits to it will get removed if the file is opened in a newer version of Excel. Learn more: https://go.microsoft.com/fwlink/?linkid=870924
Comment:
    BAF</t>
      </text>
    </comment>
    <comment ref="BN68" authorId="29" shapeId="0" xr:uid="{0DAB9DC4-B174-634F-835B-DFF3D9FC8BF2}">
      <text>
        <t>[Threaded comment]
Your version of Excel allows you to read this threaded comment; however, any edits to it will get removed if the file is opened in a newer version of Excel. Learn more: https://go.microsoft.com/fwlink/?linkid=870924
Comment:
    DBC</t>
      </text>
    </comment>
    <comment ref="AL69" authorId="30" shapeId="0" xr:uid="{2E9E15B2-3EC5-BB42-BCBB-937F4EB7B834}">
      <text>
        <t>[Threaded comment]
Your version of Excel allows you to read this threaded comment; however, any edits to it will get removed if the file is opened in a newer version of Excel. Learn more: https://go.microsoft.com/fwlink/?linkid=870924
Comment:
    PVT,VOS,SGP</t>
      </text>
    </comment>
    <comment ref="AT69" authorId="31" shapeId="0" xr:uid="{9D9BAB95-0BE1-4C45-B13A-0136AF24B3A4}">
      <text>
        <t>[Threaded comment]
Your version of Excel allows you to read this threaded comment; however, any edits to it will get removed if the file is opened in a newer version of Excel. Learn more: https://go.microsoft.com/fwlink/?linkid=870924
Comment:
    Khối ngoại bán ròng kỉ lục cổ phiếu VHC. Giá trị 100 tỉ</t>
      </text>
    </comment>
    <comment ref="AP70" authorId="32" shapeId="0" xr:uid="{8A084FC6-AEC2-7842-9094-5D76B2435123}">
      <text>
        <t>[Threaded comment]
Your version of Excel allows you to read this threaded comment; however, any edits to it will get removed if the file is opened in a newer version of Excel. Learn more: https://go.microsoft.com/fwlink/?linkid=870924
Comment:
    STK,TCM,MSH,VGT,TNG</t>
      </text>
    </comment>
    <comment ref="Z71" authorId="33" shapeId="0" xr:uid="{1293EB94-5586-4B48-BD63-C4C35297997A}">
      <text>
        <t>[Threaded comment]
Your version of Excel allows you to read this threaded comment; however, any edits to it will get removed if the file is opened in a newer version of Excel. Learn more: https://go.microsoft.com/fwlink/?linkid=870924
Comment:
    VNM,PNJ</t>
      </text>
    </comment>
    <comment ref="AP71" authorId="34" shapeId="0" xr:uid="{B9D5862B-C8B6-A547-BA57-A774F7574821}">
      <text>
        <t>[Threaded comment]
Your version of Excel allows you to read this threaded comment; however, any edits to it will get removed if the file is opened in a newer version of Excel. Learn more: https://go.microsoft.com/fwlink/?linkid=870924
Comment:
    TNG,VGT</t>
      </text>
    </comment>
    <comment ref="V72" authorId="35" shapeId="0" xr:uid="{19E23772-153F-D043-9DCE-DE1158494CB3}">
      <text>
        <t>[Threaded comment]
Your version of Excel allows you to read this threaded comment; however, any edits to it will get removed if the file is opened in a newer version of Excel. Learn more: https://go.microsoft.com/fwlink/?linkid=870924
Comment:
    HPG,VPG,NKG,HSG,VGS</t>
      </text>
    </comment>
    <comment ref="AL72" authorId="36" shapeId="0" xr:uid="{AFFBBEDB-6C2C-DD43-8DB2-6551FF49C9EB}">
      <text>
        <t>[Threaded comment]
Your version of Excel allows you to read this threaded comment; however, any edits to it will get removed if the file is opened in a newer version of Excel. Learn more: https://go.microsoft.com/fwlink/?linkid=870924
Comment:
    HAH,VOS,VIP</t>
      </text>
    </comment>
    <comment ref="F84" authorId="37" shapeId="0" xr:uid="{D97C1015-9938-5E47-8F95-9FB395366E99}">
      <text>
        <t>[Threaded comment]
Your version of Excel allows you to read this threaded comment; however, any edits to it will get removed if the file is opened in a newer version of Excel. Learn more: https://go.microsoft.com/fwlink/?linkid=870924
Comment:
    Bull trap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tc={DAAE6924-6F14-BD4A-BD6E-ECDAB60B368E}</author>
  </authors>
  <commentList>
    <comment ref="F3" authorId="0" shapeId="0" xr:uid="{DAAE6924-6F14-BD4A-BD6E-ECDAB60B368E}">
      <text>
        <t>[Threaded comment]
Your version of Excel allows you to read this threaded comment; however, any edits to it will get removed if the file is opened in a newer version of Excel. Learn more: https://go.microsoft.com/fwlink/?linkid=870924
Comment:
    Sau 23 tháng xuất siêu, Việt Nam đã nhập siêu trở lại trong tháng 5/2025 với con số 1 tỷ USD. =&gt; Áp lực tỉ giá. Tỉ giá lập đỉnh</t>
      </text>
    </comment>
  </commentList>
</comments>
</file>

<file path=xl/sharedStrings.xml><?xml version="1.0" encoding="utf-8"?>
<sst xmlns="http://schemas.openxmlformats.org/spreadsheetml/2006/main" count="20232" uniqueCount="510">
  <si>
    <t>VNINDEX</t>
  </si>
  <si>
    <t>SLCP tăng</t>
  </si>
  <si>
    <t>SLCP ko đổi</t>
  </si>
  <si>
    <t>SLCP giảm</t>
  </si>
  <si>
    <t>VN30</t>
  </si>
  <si>
    <t>SSI</t>
  </si>
  <si>
    <t>VND</t>
  </si>
  <si>
    <t>MBS</t>
  </si>
  <si>
    <t>HCM</t>
  </si>
  <si>
    <t>VCI</t>
  </si>
  <si>
    <t>SHS</t>
  </si>
  <si>
    <t>VIX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</si>
  <si>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</si>
  <si>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</si>
  <si>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</si>
  <si>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</si>
  <si>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</si>
  <si>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</si>
  <si>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</si>
  <si>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</si>
  <si>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</si>
  <si>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</si>
  <si>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</si>
  <si>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</si>
  <si>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</si>
  <si>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</si>
  <si>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</si>
  <si>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</si>
  <si>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</si>
  <si>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</si>
  <si>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</si>
  <si>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</si>
  <si>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</si>
  <si>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</si>
  <si>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</si>
  <si>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</si>
  <si>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</si>
  <si>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</si>
  <si>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</si>
  <si>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</si>
  <si>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</si>
  <si>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</si>
  <si>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</si>
  <si>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</si>
  <si>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</si>
  <si>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</si>
  <si>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</si>
  <si>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</si>
  <si>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</si>
  <si>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</si>
  <si>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</si>
  <si>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</si>
  <si>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</si>
  <si>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</si>
  <si>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</si>
  <si>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</si>
  <si>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</si>
  <si>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</si>
  <si>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</si>
  <si>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</si>
  <si>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</si>
  <si>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</si>
  <si>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</si>
  <si>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</si>
  <si>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</si>
  <si>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</si>
  <si>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</si>
  <si>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</si>
  <si>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</si>
  <si>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</si>
  <si>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</si>
  <si>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</si>
  <si>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</si>
  <si>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</si>
  <si>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</si>
  <si>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</si>
  <si>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</si>
  <si>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</si>
  <si>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</si>
  <si>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</si>
  <si>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</si>
  <si>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</si>
  <si>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HUT</t>
  </si>
  <si>
    <t>CEO</t>
  </si>
  <si>
    <t>BAF</t>
  </si>
  <si>
    <t>HAG</t>
  </si>
  <si>
    <t>GEX</t>
  </si>
  <si>
    <t>NKG</t>
  </si>
  <si>
    <t>DXG</t>
  </si>
  <si>
    <t>DIG</t>
  </si>
  <si>
    <t>CSV</t>
  </si>
  <si>
    <t>DRC</t>
  </si>
  <si>
    <t>LAS</t>
  </si>
  <si>
    <t>DDV</t>
  </si>
  <si>
    <t>VGS</t>
  </si>
  <si>
    <t>PTB</t>
  </si>
  <si>
    <t>HDC</t>
  </si>
  <si>
    <t>EVF</t>
  </si>
  <si>
    <t>SCR</t>
  </si>
  <si>
    <t>KBC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</si>
  <si>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</si>
  <si>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</si>
  <si>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</si>
  <si>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</si>
  <si>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</si>
  <si>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</si>
  <si>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</si>
  <si>
    <t>19/02/2024</t>
  </si>
  <si>
    <t>20/02/2024</t>
  </si>
  <si>
    <t>21/02/2024</t>
  </si>
  <si>
    <t>22/02/2024</t>
  </si>
  <si>
    <t>23/02/2024</t>
  </si>
  <si>
    <t>BLUECHIP</t>
  </si>
  <si>
    <t>MIDCAP</t>
  </si>
  <si>
    <t>SMALLCAP</t>
  </si>
  <si>
    <t>Ngân Hàng</t>
  </si>
  <si>
    <t>Chứng Khoán</t>
  </si>
  <si>
    <t>BĐS</t>
  </si>
  <si>
    <t>BĐS KCN</t>
  </si>
  <si>
    <t>Thép</t>
  </si>
  <si>
    <t>Bán Lẻ</t>
  </si>
  <si>
    <t>Dầu Khí</t>
  </si>
  <si>
    <t>Xây Dựng</t>
  </si>
  <si>
    <t>Cảng, VT Biển</t>
  </si>
  <si>
    <t>Dệt May</t>
  </si>
  <si>
    <t>Thuỷ Sản</t>
  </si>
  <si>
    <t>Vật liệu xây dựng</t>
  </si>
  <si>
    <t>Điện</t>
  </si>
  <si>
    <t>Hoá chất, Phân bón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</si>
  <si>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</si>
  <si>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</si>
  <si>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</si>
  <si>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</si>
  <si>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</si>
  <si>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</si>
  <si>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</si>
  <si>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</si>
  <si>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</si>
  <si>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</si>
  <si>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</si>
  <si>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</si>
  <si>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</si>
  <si>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</si>
  <si>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</si>
  <si>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</si>
  <si>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</si>
  <si>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</si>
  <si>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</si>
  <si>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</si>
  <si>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</si>
  <si>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</si>
  <si>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</si>
  <si>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</si>
  <si>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</si>
  <si>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</si>
  <si>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</si>
  <si>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</si>
  <si>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1M</t>
  </si>
  <si>
    <t>QTP</t>
  </si>
  <si>
    <t>TCM</t>
  </si>
  <si>
    <t>3M</t>
  </si>
  <si>
    <t>6M</t>
  </si>
  <si>
    <t>12M</t>
  </si>
  <si>
    <t>BID</t>
  </si>
  <si>
    <t>Duration</t>
  </si>
  <si>
    <t>SBT</t>
  </si>
  <si>
    <t>SCS</t>
  </si>
  <si>
    <t>STK</t>
  </si>
  <si>
    <t>PAN</t>
  </si>
  <si>
    <t>VHC</t>
  </si>
  <si>
    <t>IDI</t>
  </si>
  <si>
    <t>BCM</t>
  </si>
  <si>
    <t>FCN</t>
  </si>
  <si>
    <t>LHG</t>
  </si>
  <si>
    <t>HT1</t>
  </si>
  <si>
    <t>26/02/2024</t>
  </si>
  <si>
    <t>REE</t>
  </si>
  <si>
    <t/>
  </si>
  <si>
    <t>27/02/2024</t>
  </si>
  <si>
    <t>ANV</t>
  </si>
  <si>
    <t>PDR</t>
  </si>
  <si>
    <t>28/02/2024</t>
  </si>
  <si>
    <t>DPR</t>
  </si>
  <si>
    <t>PVT</t>
  </si>
  <si>
    <t>ELC</t>
  </si>
  <si>
    <t>29/02/2024</t>
  </si>
  <si>
    <t>GVR</t>
  </si>
  <si>
    <t>POW</t>
  </si>
  <si>
    <t>FTS</t>
  </si>
  <si>
    <t>01/03/2024</t>
  </si>
  <si>
    <t>BVH</t>
  </si>
  <si>
    <t>GEE</t>
  </si>
  <si>
    <t>VSC</t>
  </si>
  <si>
    <t>04/03/2024</t>
  </si>
  <si>
    <t>HAX</t>
  </si>
  <si>
    <t>05/03/2024</t>
  </si>
  <si>
    <t>06/03/2024</t>
  </si>
  <si>
    <t>VGI</t>
  </si>
  <si>
    <t>PHR</t>
  </si>
  <si>
    <t>07/03/2024</t>
  </si>
  <si>
    <t>08/03/2024</t>
  </si>
  <si>
    <t>11/03/2024</t>
  </si>
  <si>
    <t>TNG</t>
  </si>
  <si>
    <t>12/03/2024</t>
  </si>
  <si>
    <t>13/03/2024</t>
  </si>
  <si>
    <t>14/03/2024</t>
  </si>
  <si>
    <t>15/03/2024</t>
  </si>
  <si>
    <t>DPG</t>
  </si>
  <si>
    <t>18/03/2024</t>
  </si>
  <si>
    <t>19/03/2024</t>
  </si>
  <si>
    <t>20/03/2024</t>
  </si>
  <si>
    <t>21/03/2024</t>
  </si>
  <si>
    <t>VJC</t>
  </si>
  <si>
    <t>22/03/2024</t>
  </si>
  <si>
    <t>25/03/2024</t>
  </si>
  <si>
    <t>26/03/2024</t>
  </si>
  <si>
    <t>27/03/2024</t>
  </si>
  <si>
    <t>28/03/2024</t>
  </si>
  <si>
    <t>29/03/2024</t>
  </si>
  <si>
    <t>01/04/2024</t>
  </si>
  <si>
    <t>02/04/2024</t>
  </si>
  <si>
    <t>03/04/2024</t>
  </si>
  <si>
    <t>04/04/2024</t>
  </si>
  <si>
    <t>05/04/2024</t>
  </si>
  <si>
    <t>08/04/2024</t>
  </si>
  <si>
    <t>09/04/2024</t>
  </si>
  <si>
    <t>10/04/2024</t>
  </si>
  <si>
    <t>11/04/2024</t>
  </si>
  <si>
    <t>12/04/2024</t>
  </si>
  <si>
    <t>15/04/2024</t>
  </si>
  <si>
    <t>16/04/2024</t>
  </si>
  <si>
    <t>17/04/2024</t>
  </si>
  <si>
    <t>19/04/2024</t>
  </si>
  <si>
    <t>22/04/2024</t>
  </si>
  <si>
    <t>23/04/2024</t>
  </si>
  <si>
    <t>24/04/2024</t>
  </si>
  <si>
    <t>25/04/2024</t>
  </si>
  <si>
    <t>26/04/2024</t>
  </si>
  <si>
    <t>02/05/2024</t>
  </si>
  <si>
    <t>03/05/2024</t>
  </si>
  <si>
    <t>06/05/2024</t>
  </si>
  <si>
    <t>07/05/2024</t>
  </si>
  <si>
    <t>08/05/2024</t>
  </si>
  <si>
    <t>09/05/2024</t>
  </si>
  <si>
    <t>Luỹ kế</t>
  </si>
  <si>
    <t>Luỹ kế (-Vin)</t>
  </si>
  <si>
    <t>GT M/B (-Vin)</t>
  </si>
  <si>
    <t>10/05/2024</t>
  </si>
  <si>
    <t>13/05/2024</t>
  </si>
  <si>
    <t>14/05/2024</t>
  </si>
  <si>
    <t>15/05/2024</t>
  </si>
  <si>
    <t>16/05/2024</t>
  </si>
  <si>
    <t>17/05/2024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</si>
  <si>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</si>
  <si>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</si>
  <si>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</si>
  <si>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</si>
  <si>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</si>
  <si>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</si>
  <si>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</si>
  <si>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</si>
  <si>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BMP</t>
  </si>
  <si>
    <t>NTL</t>
  </si>
  <si>
    <t>MCH</t>
  </si>
  <si>
    <t>KSB</t>
  </si>
  <si>
    <t>HVN</t>
  </si>
  <si>
    <t>VGT</t>
  </si>
  <si>
    <t>SZC</t>
  </si>
  <si>
    <t>KDC</t>
  </si>
  <si>
    <t>BCG</t>
  </si>
  <si>
    <t>NT2</t>
  </si>
  <si>
    <t>HAH</t>
  </si>
  <si>
    <t>PVP</t>
  </si>
  <si>
    <t>PLC</t>
  </si>
  <si>
    <t>SJS</t>
  </si>
  <si>
    <t>BCC</t>
  </si>
  <si>
    <t>APH</t>
  </si>
  <si>
    <t>PPC</t>
  </si>
  <si>
    <t>DHA</t>
  </si>
  <si>
    <t>CTR</t>
  </si>
  <si>
    <t>TIG</t>
  </si>
  <si>
    <t>VCS</t>
  </si>
  <si>
    <t>ACV</t>
  </si>
  <si>
    <t>DHG</t>
  </si>
  <si>
    <t>CMG</t>
  </si>
  <si>
    <t>AGG</t>
  </si>
  <si>
    <t>HHV</t>
  </si>
  <si>
    <t>SIP</t>
  </si>
  <si>
    <t>NTC</t>
  </si>
  <si>
    <t>BFC</t>
  </si>
  <si>
    <t>C4G</t>
  </si>
  <si>
    <t>HHS</t>
  </si>
  <si>
    <t>NTP</t>
  </si>
  <si>
    <t>PVC</t>
  </si>
  <si>
    <t>CTS</t>
  </si>
  <si>
    <t>QNS</t>
  </si>
  <si>
    <t>SAB</t>
  </si>
  <si>
    <t>BMI</t>
  </si>
  <si>
    <t>CNG</t>
  </si>
  <si>
    <t>VLB</t>
  </si>
  <si>
    <t>VIP</t>
  </si>
  <si>
    <t>CII</t>
  </si>
  <si>
    <t>TV2</t>
  </si>
  <si>
    <t>CRE</t>
  </si>
  <si>
    <t>VN30 / VNI</t>
  </si>
  <si>
    <t>30/05/2024</t>
  </si>
  <si>
    <t>Chăn nuôi</t>
  </si>
  <si>
    <t>Bảo hiểm</t>
  </si>
  <si>
    <t>Hàng không</t>
  </si>
  <si>
    <t>31/05/2024</t>
  </si>
  <si>
    <t>GIL</t>
  </si>
  <si>
    <t>DTD</t>
  </si>
  <si>
    <t>IJC</t>
  </si>
  <si>
    <t>DGW</t>
  </si>
  <si>
    <t>ORS</t>
  </si>
  <si>
    <t>MFI</t>
  </si>
  <si>
    <t>AVG MFI</t>
  </si>
  <si>
    <t>03/06/2024</t>
  </si>
  <si>
    <t>Order Book</t>
  </si>
  <si>
    <t xml:space="preserve">Strong Buy </t>
  </si>
  <si>
    <t>Strong Sell</t>
  </si>
  <si>
    <t>04/06/2024</t>
  </si>
  <si>
    <t>KHG</t>
  </si>
  <si>
    <t>05/06/2024</t>
  </si>
  <si>
    <t>06/06/2024</t>
  </si>
  <si>
    <t>CTD</t>
  </si>
  <si>
    <t>IMP</t>
  </si>
  <si>
    <t>07/06/2024</t>
  </si>
  <si>
    <t>Gỗ, Đá</t>
  </si>
  <si>
    <t>Nhựa</t>
  </si>
  <si>
    <t>Công nghệ</t>
  </si>
  <si>
    <t>10/06/2024</t>
  </si>
  <si>
    <t>11/06/2024</t>
  </si>
  <si>
    <t>BSI</t>
  </si>
  <si>
    <t>12/06/2024</t>
  </si>
  <si>
    <t>ACG</t>
  </si>
  <si>
    <t>LCG</t>
  </si>
  <si>
    <t>CMX</t>
  </si>
  <si>
    <t>13/06/2024</t>
  </si>
  <si>
    <t>VDS</t>
  </si>
  <si>
    <t>14/06/2024</t>
  </si>
  <si>
    <t>17/06/2024</t>
  </si>
  <si>
    <t>MIG</t>
  </si>
  <si>
    <t>18/06/2024</t>
  </si>
  <si>
    <t>19/06/2024</t>
  </si>
  <si>
    <t>20/06/2024</t>
  </si>
  <si>
    <t>21/06/2024</t>
  </si>
  <si>
    <t>24/06/2024</t>
  </si>
  <si>
    <t>SSB</t>
  </si>
  <si>
    <t>Tỉ trọng</t>
  </si>
  <si>
    <t>KL Mua</t>
  </si>
  <si>
    <t>KL Bán</t>
  </si>
  <si>
    <t>25/06/2024</t>
  </si>
  <si>
    <t>26/06/2024</t>
  </si>
  <si>
    <t>27/06/2024</t>
  </si>
  <si>
    <t>Dược</t>
  </si>
  <si>
    <t>18/01/2024</t>
  </si>
  <si>
    <t>NBB</t>
  </si>
  <si>
    <t>28/06/2024</t>
  </si>
  <si>
    <t>L18</t>
  </si>
  <si>
    <t>NN -V</t>
  </si>
  <si>
    <t>SUM</t>
  </si>
  <si>
    <t>01/07/2024</t>
  </si>
  <si>
    <t>02/07/2024</t>
  </si>
  <si>
    <t>03/07/2024</t>
  </si>
  <si>
    <t>04/07/2024</t>
  </si>
  <si>
    <t>Volume</t>
  </si>
  <si>
    <t>05/07/2024</t>
  </si>
  <si>
    <t>s</t>
  </si>
  <si>
    <t>Daily</t>
  </si>
  <si>
    <t>Weekly</t>
  </si>
  <si>
    <t>Week</t>
  </si>
  <si>
    <t>2024-1</t>
  </si>
  <si>
    <t>2024-2</t>
  </si>
  <si>
    <t>2024-3</t>
  </si>
  <si>
    <t>2024-4</t>
  </si>
  <si>
    <t>2024-5</t>
  </si>
  <si>
    <t>2024-6</t>
  </si>
  <si>
    <t>2024-7</t>
  </si>
  <si>
    <t>2024-8</t>
  </si>
  <si>
    <t>2024-9</t>
  </si>
  <si>
    <t>2024-10</t>
  </si>
  <si>
    <t>2024-11</t>
  </si>
  <si>
    <t>2024-12</t>
  </si>
  <si>
    <t>2024-13</t>
  </si>
  <si>
    <t>2024-14</t>
  </si>
  <si>
    <t>2024-15</t>
  </si>
  <si>
    <t>2024-16</t>
  </si>
  <si>
    <t>2024-17</t>
  </si>
  <si>
    <t>2024-18</t>
  </si>
  <si>
    <t>2024-19</t>
  </si>
  <si>
    <t>2024-20</t>
  </si>
  <si>
    <t>2024-21</t>
  </si>
  <si>
    <t>2024-22</t>
  </si>
  <si>
    <t>2024-23</t>
  </si>
  <si>
    <t>2024-24</t>
  </si>
  <si>
    <t>2024-25</t>
  </si>
  <si>
    <t>2024-26</t>
  </si>
  <si>
    <t>2024-27</t>
  </si>
  <si>
    <t>NGÀNH</t>
  </si>
  <si>
    <t>Bất Động Sản</t>
  </si>
  <si>
    <t>Khu Công Nghiệp</t>
  </si>
  <si>
    <t>Hoá Chất</t>
  </si>
  <si>
    <t>TN Cơ Bản</t>
  </si>
  <si>
    <t>Cảng VT Biển</t>
  </si>
  <si>
    <t>Công Nghệ</t>
  </si>
  <si>
    <t>Bảo Hiểm</t>
  </si>
  <si>
    <t>Chăn Nuôi</t>
  </si>
  <si>
    <t>Hàng Không, Du Lịch</t>
  </si>
  <si>
    <t>VIN</t>
  </si>
  <si>
    <t>Đường</t>
  </si>
  <si>
    <t>Dược, Y Tế</t>
  </si>
  <si>
    <t>Cao Su</t>
  </si>
  <si>
    <t>08/07/2024</t>
  </si>
  <si>
    <t>09/07/2024</t>
  </si>
  <si>
    <t>PVI</t>
  </si>
  <si>
    <t>10/07/2024</t>
  </si>
  <si>
    <t>11/07/2024</t>
  </si>
  <si>
    <t>12/07/2024</t>
  </si>
  <si>
    <t>2024-28</t>
  </si>
  <si>
    <t>15/07/2024</t>
  </si>
  <si>
    <t>Mía Đường</t>
  </si>
  <si>
    <t>16/07/2024</t>
  </si>
  <si>
    <t>17/07/2024</t>
  </si>
  <si>
    <t>18/07/2024</t>
  </si>
  <si>
    <t>19/07/2024</t>
  </si>
  <si>
    <t>2024-29</t>
  </si>
  <si>
    <t>22/07/2024</t>
  </si>
  <si>
    <t>23/07/2024</t>
  </si>
  <si>
    <t>EVE</t>
  </si>
  <si>
    <t>GDT</t>
  </si>
  <si>
    <t>MSH</t>
  </si>
  <si>
    <t>THG</t>
  </si>
  <si>
    <t>TTF</t>
  </si>
  <si>
    <t>FMC</t>
  </si>
  <si>
    <t>PET</t>
  </si>
  <si>
    <t>LTG</t>
  </si>
  <si>
    <t>SGP</t>
  </si>
  <si>
    <t>ACL</t>
  </si>
  <si>
    <t>ADS</t>
  </si>
  <si>
    <t>VPG</t>
  </si>
  <si>
    <t>HQC</t>
  </si>
  <si>
    <t>HNG</t>
  </si>
  <si>
    <t>HBC</t>
  </si>
  <si>
    <t>DVP</t>
  </si>
  <si>
    <t>SLS</t>
  </si>
  <si>
    <t>GEG</t>
  </si>
  <si>
    <t>ST8</t>
  </si>
  <si>
    <t>OIL</t>
  </si>
  <si>
    <t>SMC</t>
  </si>
  <si>
    <t>PAT</t>
  </si>
  <si>
    <t>AMV</t>
  </si>
  <si>
    <t>LSS</t>
  </si>
  <si>
    <t>TLH</t>
  </si>
  <si>
    <t>NCT</t>
  </si>
  <si>
    <t>TVS</t>
  </si>
  <si>
    <t>BIC</t>
  </si>
  <si>
    <t>NHA</t>
  </si>
  <si>
    <t>SGN</t>
  </si>
  <si>
    <t>SKG</t>
  </si>
  <si>
    <t>SAS</t>
  </si>
  <si>
    <t>VNR</t>
  </si>
  <si>
    <t>PPH</t>
  </si>
  <si>
    <t>AGR</t>
  </si>
  <si>
    <t>MPC</t>
  </si>
  <si>
    <t>NNC</t>
  </si>
  <si>
    <t>HHC</t>
  </si>
  <si>
    <t>VPI</t>
  </si>
  <si>
    <t>TLG</t>
  </si>
  <si>
    <t>KOS</t>
  </si>
  <si>
    <t>BRC</t>
  </si>
  <si>
    <t>BCR</t>
  </si>
  <si>
    <t>24/07/2024</t>
  </si>
  <si>
    <t>25/07/2024</t>
  </si>
  <si>
    <t>DAG</t>
  </si>
  <si>
    <t>FIT</t>
  </si>
  <si>
    <t>HAP</t>
  </si>
  <si>
    <t>26/07/2024</t>
  </si>
  <si>
    <t>2024-30</t>
  </si>
  <si>
    <t>Tổng KL</t>
  </si>
  <si>
    <t>Mua VN30</t>
  </si>
  <si>
    <t>Bán VN30</t>
  </si>
  <si>
    <t>/</t>
  </si>
  <si>
    <t>29/07/2024</t>
  </si>
  <si>
    <t>M/B Ròng</t>
  </si>
  <si>
    <t>30/07/2024</t>
  </si>
  <si>
    <t>DNP</t>
  </si>
  <si>
    <t>TDM</t>
  </si>
  <si>
    <t>PGR</t>
  </si>
  <si>
    <t>GKM</t>
  </si>
  <si>
    <t>TCI</t>
  </si>
  <si>
    <t>31/07/2024</t>
  </si>
  <si>
    <t>01/08/2024</t>
  </si>
  <si>
    <t>Phái Sinh</t>
  </si>
  <si>
    <t>02/08/2024</t>
  </si>
  <si>
    <t>2024-31</t>
  </si>
  <si>
    <t>TD -VN30</t>
  </si>
  <si>
    <t>05/08/2024</t>
  </si>
  <si>
    <t>FOX</t>
  </si>
  <si>
    <t>APF</t>
  </si>
  <si>
    <t>06/08/2024</t>
  </si>
  <si>
    <t>GTA</t>
  </si>
  <si>
    <t>VNE</t>
  </si>
  <si>
    <t>07/08/2024</t>
  </si>
  <si>
    <t>TDC</t>
  </si>
  <si>
    <t>08/08/2024</t>
  </si>
  <si>
    <t>YTC</t>
  </si>
  <si>
    <t>LIX</t>
  </si>
  <si>
    <t>09/08/2024</t>
  </si>
  <si>
    <t>2024-32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</si>
</sst>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_(* #,##0.00_);_(* \(#,##0.00\);_(* &quot;-&quot;_);_(@_)"/>
  </numFmts>
  <fonts count="142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437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FF8AD8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76D6FF"/>
        <bgColor indexed="64"/>
      </patternFill>
    </fill>
    <fill>
      <patternFill patternType="solid">
        <fgColor rgb="FF009051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A81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D5FC79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97">
    <xf numFmtId="0" fontId="0" fillId="0" borderId="0" xfId="0"/>
    <xf numFmtId="0" fontId="1" fillId="0" borderId="0" xfId="0" applyFont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0" fontId="0" fillId="0" borderId="0" xfId="2" applyNumberFormat="1" applyFont="1"/>
    <xf numFmtId="14" fontId="3" fillId="0" borderId="0" xfId="0" applyNumberFormat="1" applyFont="1"/>
    <xf numFmtId="14" fontId="0" fillId="0" borderId="0" xfId="0" applyNumberFormat="1" applyAlignment="1">
      <alignment horizontal="right"/>
    </xf>
    <xf numFmtId="10" fontId="0" fillId="0" borderId="0" xfId="0" applyNumberFormat="1"/>
    <xf numFmtId="0" fontId="1" fillId="11" borderId="0" xfId="0" applyFont="1" applyFill="1"/>
    <xf numFmtId="0" fontId="1" fillId="2" borderId="0" xfId="0" applyFont="1" applyFill="1"/>
    <xf numFmtId="14" fontId="0" fillId="3" borderId="0" xfId="0" applyNumberFormat="1" applyFill="1" applyAlignment="1">
      <alignment horizontal="right"/>
    </xf>
    <xf numFmtId="0" fontId="1" fillId="1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right"/>
    </xf>
    <xf numFmtId="2" fontId="0" fillId="0" borderId="0" xfId="0" applyNumberFormat="1"/>
    <xf numFmtId="164" fontId="0" fillId="0" borderId="0" xfId="1" applyNumberFormat="1" applyFont="1"/>
    <xf numFmtId="3" fontId="0" fillId="0" borderId="1" xfId="0" applyNumberFormat="1" applyBorder="1"/>
    <xf numFmtId="0" fontId="0" fillId="0" borderId="2" xfId="0" applyBorder="1"/>
    <xf numFmtId="0" fontId="0" fillId="0" borderId="0" xfId="0" applyAlignment="1">
      <alignment horizontal="right"/>
    </xf>
    <xf numFmtId="14" fontId="0" fillId="23" borderId="0" xfId="0" applyNumberFormat="1" applyFill="1" applyAlignment="1">
      <alignment horizontal="right"/>
    </xf>
    <xf numFmtId="0" fontId="5" fillId="33" borderId="0" xfId="0" applyFont="1" applyFill="1" applyAlignment="1">
      <alignment horizontal="center"/>
    </xf>
    <xf numFmtId="10" fontId="0" fillId="7" borderId="0" xfId="2" applyNumberFormat="1" applyFont="1" applyFill="1"/>
    <xf numFmtId="10" fontId="0" fillId="2" borderId="0" xfId="2" applyNumberFormat="1" applyFont="1" applyFill="1"/>
    <xf numFmtId="10" fontId="0" fillId="6" borderId="0" xfId="2" applyNumberFormat="1" applyFont="1" applyFill="1"/>
    <xf numFmtId="10" fontId="0" fillId="10" borderId="0" xfId="2" applyNumberFormat="1" applyFont="1" applyFill="1"/>
    <xf numFmtId="10" fontId="0" fillId="9" borderId="0" xfId="2" applyNumberFormat="1" applyFont="1" applyFill="1"/>
    <xf numFmtId="10" fontId="0" fillId="3" borderId="0" xfId="2" applyNumberFormat="1" applyFont="1" applyFill="1"/>
    <xf numFmtId="17" fontId="4" fillId="14" borderId="0" xfId="0" applyNumberFormat="1" applyFont="1" applyFill="1"/>
    <xf numFmtId="10" fontId="0" fillId="8" borderId="0" xfId="2" applyNumberFormat="1" applyFont="1" applyFill="1"/>
    <xf numFmtId="10" fontId="0" fillId="4" borderId="0" xfId="2" applyNumberFormat="1" applyFont="1" applyFill="1"/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1" xfId="2" applyNumberFormat="1" applyFont="1" applyBorder="1"/>
    <xf numFmtId="10" fontId="0" fillId="0" borderId="0" xfId="2" applyNumberFormat="1" applyFont="1" applyBorder="1"/>
    <xf numFmtId="49" fontId="0" fillId="3" borderId="0" xfId="0" applyNumberFormat="1" applyFill="1" applyAlignment="1">
      <alignment horizontal="right"/>
    </xf>
    <xf numFmtId="0" fontId="6" fillId="37" borderId="0" xfId="0" applyFont="1" applyFill="1"/>
    <xf numFmtId="0" fontId="6" fillId="39" borderId="0" xfId="0" applyFont="1" applyFill="1" applyAlignment="1">
      <alignment horizontal="center" vertical="center"/>
    </xf>
    <xf numFmtId="3" fontId="7" fillId="0" borderId="0" xfId="0" applyNumberFormat="1" applyFont="1"/>
    <xf numFmtId="3" fontId="8" fillId="0" borderId="0" xfId="0" applyNumberFormat="1" applyFont="1"/>
    <xf numFmtId="3" fontId="9" fillId="0" borderId="0" xfId="0" applyNumberFormat="1" applyFont="1"/>
    <xf numFmtId="3" fontId="10" fillId="0" borderId="0" xfId="0" applyNumberFormat="1" applyFont="1"/>
    <xf numFmtId="3" fontId="11" fillId="0" borderId="0" xfId="0" applyNumberFormat="1" applyFont="1"/>
    <xf numFmtId="3" fontId="12" fillId="0" borderId="0" xfId="0" applyNumberFormat="1" applyFont="1"/>
    <xf numFmtId="3" fontId="13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16" fillId="0" borderId="0" xfId="0" applyNumberFormat="1" applyFont="1"/>
    <xf numFmtId="3" fontId="17" fillId="0" borderId="0" xfId="0" applyNumberFormat="1" applyFont="1"/>
    <xf numFmtId="3" fontId="18" fillId="0" borderId="0" xfId="0" applyNumberFormat="1" applyFont="1"/>
    <xf numFmtId="3" fontId="19" fillId="0" borderId="0" xfId="0" applyNumberFormat="1" applyFont="1"/>
    <xf numFmtId="3" fontId="20" fillId="0" borderId="0" xfId="0" applyNumberFormat="1" applyFont="1"/>
    <xf numFmtId="3" fontId="21" fillId="0" borderId="0" xfId="0" applyNumberFormat="1" applyFont="1"/>
    <xf numFmtId="3" fontId="22" fillId="0" borderId="0" xfId="0" applyNumberFormat="1" applyFont="1"/>
    <xf numFmtId="3" fontId="23" fillId="0" borderId="0" xfId="0" applyNumberFormat="1" applyFont="1"/>
    <xf numFmtId="3" fontId="24" fillId="0" borderId="0" xfId="0" applyNumberFormat="1" applyFont="1"/>
    <xf numFmtId="3" fontId="25" fillId="0" borderId="0" xfId="0" applyNumberFormat="1" applyFont="1"/>
    <xf numFmtId="3" fontId="26" fillId="0" borderId="0" xfId="0" applyNumberFormat="1" applyFont="1"/>
    <xf numFmtId="3" fontId="27" fillId="0" borderId="0" xfId="0" applyNumberFormat="1" applyFont="1"/>
    <xf numFmtId="3" fontId="28" fillId="0" borderId="0" xfId="0" applyNumberFormat="1" applyFont="1"/>
    <xf numFmtId="3" fontId="29" fillId="0" borderId="0" xfId="0" applyNumberFormat="1" applyFont="1"/>
    <xf numFmtId="3" fontId="30" fillId="0" borderId="0" xfId="0" applyNumberFormat="1" applyFont="1"/>
    <xf numFmtId="3" fontId="31" fillId="0" borderId="0" xfId="0" applyNumberFormat="1" applyFont="1"/>
    <xf numFmtId="3" fontId="32" fillId="0" borderId="0" xfId="0" applyNumberFormat="1" applyFont="1"/>
    <xf numFmtId="3" fontId="33" fillId="0" borderId="0" xfId="0" applyNumberFormat="1" applyFont="1"/>
    <xf numFmtId="3" fontId="34" fillId="0" borderId="0" xfId="0" applyNumberFormat="1" applyFont="1"/>
    <xf numFmtId="3" fontId="35" fillId="0" borderId="0" xfId="0" applyNumberFormat="1" applyFont="1"/>
    <xf numFmtId="3" fontId="36" fillId="0" borderId="0" xfId="0" applyNumberFormat="1" applyFont="1"/>
    <xf numFmtId="3" fontId="37" fillId="0" borderId="0" xfId="0" applyNumberFormat="1" applyFont="1"/>
    <xf numFmtId="3" fontId="38" fillId="0" borderId="0" xfId="0" applyNumberFormat="1" applyFont="1"/>
    <xf numFmtId="3" fontId="39" fillId="0" borderId="0" xfId="0" applyNumberFormat="1" applyFont="1"/>
    <xf numFmtId="3" fontId="40" fillId="0" borderId="0" xfId="0" applyNumberFormat="1" applyFont="1"/>
    <xf numFmtId="3" fontId="41" fillId="0" borderId="0" xfId="0" applyNumberFormat="1" applyFont="1"/>
    <xf numFmtId="3" fontId="42" fillId="0" borderId="0" xfId="0" applyNumberFormat="1" applyFont="1"/>
    <xf numFmtId="3" fontId="43" fillId="0" borderId="0" xfId="0" applyNumberFormat="1" applyFont="1"/>
    <xf numFmtId="3" fontId="44" fillId="0" borderId="0" xfId="0" applyNumberFormat="1" applyFont="1"/>
    <xf numFmtId="3" fontId="45" fillId="0" borderId="0" xfId="0" applyNumberFormat="1" applyFont="1"/>
    <xf numFmtId="3" fontId="46" fillId="0" borderId="0" xfId="0" applyNumberFormat="1" applyFont="1"/>
    <xf numFmtId="3" fontId="47" fillId="0" borderId="0" xfId="0" applyNumberFormat="1" applyFont="1"/>
    <xf numFmtId="3" fontId="48" fillId="0" borderId="0" xfId="0" applyNumberFormat="1" applyFont="1"/>
    <xf numFmtId="3" fontId="49" fillId="0" borderId="0" xfId="0" applyNumberFormat="1" applyFont="1"/>
    <xf numFmtId="3" fontId="50" fillId="0" borderId="0" xfId="0" applyNumberFormat="1" applyFont="1"/>
    <xf numFmtId="3" fontId="51" fillId="0" borderId="0" xfId="0" applyNumberFormat="1" applyFont="1"/>
    <xf numFmtId="3" fontId="52" fillId="0" borderId="0" xfId="0" applyNumberFormat="1" applyFont="1"/>
    <xf numFmtId="3" fontId="53" fillId="0" borderId="0" xfId="0" applyNumberFormat="1" applyFont="1"/>
    <xf numFmtId="3" fontId="54" fillId="0" borderId="0" xfId="0" applyNumberFormat="1" applyFont="1"/>
    <xf numFmtId="3" fontId="55" fillId="0" borderId="0" xfId="0" applyNumberFormat="1" applyFont="1"/>
    <xf numFmtId="3" fontId="56" fillId="0" borderId="0" xfId="0" applyNumberFormat="1" applyFont="1"/>
    <xf numFmtId="3" fontId="57" fillId="0" borderId="0" xfId="0" applyNumberFormat="1" applyFont="1"/>
    <xf numFmtId="3" fontId="58" fillId="0" borderId="0" xfId="0" applyNumberFormat="1" applyFont="1"/>
    <xf numFmtId="3" fontId="59" fillId="0" borderId="0" xfId="0" applyNumberFormat="1" applyFont="1"/>
    <xf numFmtId="3" fontId="60" fillId="0" borderId="0" xfId="0" applyNumberFormat="1" applyFont="1"/>
    <xf numFmtId="3" fontId="61" fillId="0" borderId="0" xfId="0" applyNumberFormat="1" applyFont="1"/>
    <xf numFmtId="3" fontId="62" fillId="0" borderId="0" xfId="0" applyNumberFormat="1" applyFont="1"/>
    <xf numFmtId="3" fontId="63" fillId="0" borderId="0" xfId="0" applyNumberFormat="1" applyFont="1"/>
    <xf numFmtId="3" fontId="64" fillId="0" borderId="0" xfId="0" applyNumberFormat="1" applyFont="1"/>
    <xf numFmtId="3" fontId="65" fillId="0" borderId="0" xfId="0" applyNumberFormat="1" applyFont="1"/>
    <xf numFmtId="3" fontId="66" fillId="0" borderId="0" xfId="0" applyNumberFormat="1" applyFont="1"/>
    <xf numFmtId="3" fontId="67" fillId="0" borderId="0" xfId="0" applyNumberFormat="1" applyFont="1"/>
    <xf numFmtId="3" fontId="68" fillId="0" borderId="0" xfId="0" applyNumberFormat="1" applyFont="1"/>
    <xf numFmtId="3" fontId="69" fillId="0" borderId="0" xfId="0" applyNumberFormat="1" applyFont="1"/>
    <xf numFmtId="3" fontId="70" fillId="0" borderId="0" xfId="0" applyNumberFormat="1" applyFont="1"/>
    <xf numFmtId="3" fontId="71" fillId="0" borderId="0" xfId="0" applyNumberFormat="1" applyFont="1"/>
    <xf numFmtId="3" fontId="72" fillId="0" borderId="0" xfId="0" applyNumberFormat="1" applyFont="1"/>
    <xf numFmtId="3" fontId="73" fillId="0" borderId="0" xfId="0" applyNumberFormat="1" applyFont="1"/>
    <xf numFmtId="3" fontId="74" fillId="0" borderId="0" xfId="0" applyNumberFormat="1" applyFont="1"/>
    <xf numFmtId="3" fontId="75" fillId="0" borderId="0" xfId="0" applyNumberFormat="1" applyFont="1"/>
    <xf numFmtId="3" fontId="76" fillId="0" borderId="0" xfId="0" applyNumberFormat="1" applyFont="1"/>
    <xf numFmtId="3" fontId="77" fillId="0" borderId="0" xfId="0" applyNumberFormat="1" applyFont="1"/>
    <xf numFmtId="3" fontId="78" fillId="0" borderId="0" xfId="0" applyNumberFormat="1" applyFont="1"/>
    <xf numFmtId="3" fontId="79" fillId="0" borderId="0" xfId="0" applyNumberFormat="1" applyFont="1"/>
    <xf numFmtId="3" fontId="80" fillId="0" borderId="0" xfId="0" applyNumberFormat="1" applyFont="1"/>
    <xf numFmtId="3" fontId="81" fillId="0" borderId="0" xfId="0" applyNumberFormat="1" applyFont="1"/>
    <xf numFmtId="3" fontId="82" fillId="0" borderId="0" xfId="0" applyNumberFormat="1" applyFont="1"/>
    <xf numFmtId="3" fontId="83" fillId="0" borderId="0" xfId="0" applyNumberFormat="1" applyFont="1"/>
    <xf numFmtId="3" fontId="84" fillId="0" borderId="0" xfId="0" applyNumberFormat="1" applyFont="1"/>
    <xf numFmtId="3" fontId="85" fillId="0" borderId="0" xfId="0" applyNumberFormat="1" applyFont="1"/>
    <xf numFmtId="3" fontId="86" fillId="0" borderId="0" xfId="0" applyNumberFormat="1" applyFont="1"/>
    <xf numFmtId="3" fontId="87" fillId="0" borderId="0" xfId="0" applyNumberFormat="1" applyFont="1"/>
    <xf numFmtId="3" fontId="88" fillId="0" borderId="0" xfId="0" applyNumberFormat="1" applyFont="1"/>
    <xf numFmtId="3" fontId="89" fillId="0" borderId="0" xfId="0" applyNumberFormat="1" applyFont="1"/>
    <xf numFmtId="3" fontId="90" fillId="0" borderId="0" xfId="0" applyNumberFormat="1" applyFont="1"/>
    <xf numFmtId="3" fontId="91" fillId="0" borderId="0" xfId="0" applyNumberFormat="1" applyFont="1"/>
    <xf numFmtId="3" fontId="92" fillId="0" borderId="0" xfId="0" applyNumberFormat="1" applyFont="1"/>
    <xf numFmtId="3" fontId="93" fillId="0" borderId="0" xfId="0" applyNumberFormat="1" applyFont="1"/>
    <xf numFmtId="3" fontId="94" fillId="0" borderId="0" xfId="0" applyNumberFormat="1" applyFont="1"/>
    <xf numFmtId="3" fontId="95" fillId="0" borderId="0" xfId="0" applyNumberFormat="1" applyFont="1"/>
    <xf numFmtId="3" fontId="96" fillId="0" borderId="0" xfId="0" applyNumberFormat="1" applyFont="1"/>
    <xf numFmtId="3" fontId="97" fillId="0" borderId="0" xfId="0" applyNumberFormat="1" applyFont="1"/>
    <xf numFmtId="3" fontId="98" fillId="0" borderId="0" xfId="0" applyNumberFormat="1" applyFont="1"/>
    <xf numFmtId="3" fontId="99" fillId="0" borderId="0" xfId="0" applyNumberFormat="1" applyFont="1"/>
    <xf numFmtId="3" fontId="100" fillId="0" borderId="0" xfId="0" applyNumberFormat="1" applyFont="1"/>
    <xf numFmtId="3" fontId="101" fillId="0" borderId="0" xfId="0" applyNumberFormat="1" applyFont="1"/>
    <xf numFmtId="3" fontId="102" fillId="0" borderId="0" xfId="0" applyNumberFormat="1" applyFont="1"/>
    <xf numFmtId="3" fontId="103" fillId="0" borderId="0" xfId="0" applyNumberFormat="1" applyFont="1"/>
    <xf numFmtId="3" fontId="104" fillId="0" borderId="0" xfId="0" applyNumberFormat="1" applyFont="1"/>
    <xf numFmtId="3" fontId="105" fillId="0" borderId="0" xfId="0" applyNumberFormat="1" applyFont="1"/>
    <xf numFmtId="3" fontId="106" fillId="0" borderId="0" xfId="0" applyNumberFormat="1" applyFont="1"/>
    <xf numFmtId="3" fontId="107" fillId="0" borderId="0" xfId="0" applyNumberFormat="1" applyFont="1"/>
    <xf numFmtId="3" fontId="108" fillId="0" borderId="0" xfId="0" applyNumberFormat="1" applyFont="1"/>
    <xf numFmtId="3" fontId="109" fillId="0" borderId="0" xfId="0" applyNumberFormat="1" applyFont="1"/>
    <xf numFmtId="3" fontId="110" fillId="0" borderId="0" xfId="0" applyNumberFormat="1" applyFont="1"/>
    <xf numFmtId="3" fontId="111" fillId="0" borderId="0" xfId="0" applyNumberFormat="1" applyFont="1"/>
    <xf numFmtId="3" fontId="112" fillId="0" borderId="0" xfId="0" applyNumberFormat="1" applyFont="1"/>
    <xf numFmtId="3" fontId="113" fillId="0" borderId="0" xfId="0" applyNumberFormat="1" applyFont="1"/>
    <xf numFmtId="3" fontId="114" fillId="0" borderId="0" xfId="0" applyNumberFormat="1" applyFont="1"/>
    <xf numFmtId="3" fontId="115" fillId="0" borderId="0" xfId="0" applyNumberFormat="1" applyFont="1"/>
    <xf numFmtId="3" fontId="116" fillId="0" borderId="0" xfId="0" applyNumberFormat="1" applyFont="1"/>
    <xf numFmtId="3" fontId="117" fillId="0" borderId="0" xfId="0" applyNumberFormat="1" applyFont="1"/>
    <xf numFmtId="3" fontId="118" fillId="0" borderId="0" xfId="0" applyNumberFormat="1" applyFont="1"/>
    <xf numFmtId="3" fontId="119" fillId="0" borderId="0" xfId="0" applyNumberFormat="1" applyFont="1"/>
    <xf numFmtId="3" fontId="120" fillId="0" borderId="0" xfId="0" applyNumberFormat="1" applyFont="1"/>
    <xf numFmtId="3" fontId="121" fillId="0" borderId="0" xfId="0" applyNumberFormat="1" applyFont="1"/>
    <xf numFmtId="3" fontId="122" fillId="0" borderId="0" xfId="0" applyNumberFormat="1" applyFont="1"/>
    <xf numFmtId="3" fontId="123" fillId="0" borderId="0" xfId="0" applyNumberFormat="1" applyFont="1"/>
    <xf numFmtId="3" fontId="124" fillId="0" borderId="0" xfId="0" applyNumberFormat="1" applyFont="1"/>
    <xf numFmtId="3" fontId="125" fillId="0" borderId="0" xfId="0" applyNumberFormat="1" applyFont="1"/>
    <xf numFmtId="3" fontId="126" fillId="0" borderId="0" xfId="0" applyNumberFormat="1" applyFont="1"/>
    <xf numFmtId="3" fontId="127" fillId="0" borderId="0" xfId="0" applyNumberFormat="1" applyFont="1"/>
    <xf numFmtId="3" fontId="128" fillId="0" borderId="0" xfId="0" applyNumberFormat="1" applyFont="1"/>
    <xf numFmtId="3" fontId="129" fillId="0" borderId="0" xfId="0" applyNumberFormat="1" applyFont="1"/>
    <xf numFmtId="3" fontId="130" fillId="0" borderId="0" xfId="0" applyNumberFormat="1" applyFont="1"/>
    <xf numFmtId="3" fontId="131" fillId="0" borderId="0" xfId="0" applyNumberFormat="1" applyFont="1"/>
    <xf numFmtId="3" fontId="132" fillId="0" borderId="0" xfId="0" applyNumberFormat="1" applyFont="1"/>
    <xf numFmtId="3" fontId="133" fillId="0" borderId="0" xfId="0" applyNumberFormat="1" applyFont="1"/>
    <xf numFmtId="3" fontId="134" fillId="0" borderId="0" xfId="0" applyNumberFormat="1" applyFont="1"/>
    <xf numFmtId="3" fontId="135" fillId="0" borderId="0" xfId="0" applyNumberFormat="1" applyFont="1"/>
    <xf numFmtId="3" fontId="136" fillId="0" borderId="0" xfId="0" applyNumberFormat="1" applyFont="1"/>
    <xf numFmtId="3" fontId="137" fillId="0" borderId="0" xfId="0" applyNumberFormat="1" applyFont="1"/>
    <xf numFmtId="3" fontId="138" fillId="0" borderId="0" xfId="0" applyNumberFormat="1" applyFont="1"/>
    <xf numFmtId="3" fontId="139" fillId="0" borderId="0" xfId="0" applyNumberFormat="1" applyFont="1"/>
    <xf numFmtId="3" fontId="140" fillId="0" borderId="0" xfId="0" applyNumberFormat="1" applyFont="1"/>
    <xf numFmtId="3" fontId="141" fillId="0" borderId="0" xfId="0" applyNumberFormat="1" applyFont="1"/>
    <xf numFmtId="3" fontId="142" fillId="0" borderId="0" xfId="0" applyNumberFormat="1" applyFont="1"/>
    <xf numFmtId="3" fontId="143" fillId="0" borderId="0" xfId="0" applyNumberFormat="1" applyFont="1"/>
    <xf numFmtId="3" fontId="144" fillId="0" borderId="0" xfId="0" applyNumberFormat="1" applyFont="1"/>
    <xf numFmtId="3" fontId="145" fillId="0" borderId="0" xfId="0" applyNumberFormat="1" applyFont="1"/>
    <xf numFmtId="3" fontId="146" fillId="0" borderId="0" xfId="0" applyNumberFormat="1" applyFont="1"/>
    <xf numFmtId="3" fontId="147" fillId="0" borderId="0" xfId="0" applyNumberFormat="1" applyFont="1"/>
    <xf numFmtId="3" fontId="148" fillId="0" borderId="0" xfId="0" applyNumberFormat="1" applyFont="1"/>
    <xf numFmtId="3" fontId="149" fillId="0" borderId="0" xfId="0" applyNumberFormat="1" applyFont="1"/>
    <xf numFmtId="3" fontId="150" fillId="0" borderId="0" xfId="0" applyNumberFormat="1" applyFont="1"/>
    <xf numFmtId="3" fontId="151" fillId="0" borderId="0" xfId="0" applyNumberFormat="1" applyFont="1"/>
    <xf numFmtId="3" fontId="152" fillId="0" borderId="0" xfId="0" applyNumberFormat="1" applyFont="1"/>
    <xf numFmtId="3" fontId="153" fillId="0" borderId="0" xfId="0" applyNumberFormat="1" applyFont="1"/>
    <xf numFmtId="3" fontId="154" fillId="0" borderId="0" xfId="0" applyNumberFormat="1" applyFont="1"/>
    <xf numFmtId="3" fontId="155" fillId="0" borderId="0" xfId="0" applyNumberFormat="1" applyFont="1"/>
    <xf numFmtId="3" fontId="156" fillId="0" borderId="0" xfId="0" applyNumberFormat="1" applyFont="1"/>
    <xf numFmtId="3" fontId="157" fillId="0" borderId="0" xfId="0" applyNumberFormat="1" applyFont="1"/>
    <xf numFmtId="3" fontId="158" fillId="0" borderId="0" xfId="0" applyNumberFormat="1" applyFont="1"/>
    <xf numFmtId="3" fontId="159" fillId="0" borderId="0" xfId="0" applyNumberFormat="1" applyFont="1"/>
    <xf numFmtId="3" fontId="160" fillId="0" borderId="0" xfId="0" applyNumberFormat="1" applyFont="1"/>
    <xf numFmtId="3" fontId="161" fillId="0" borderId="0" xfId="0" applyNumberFormat="1" applyFont="1"/>
    <xf numFmtId="3" fontId="162" fillId="0" borderId="0" xfId="0" applyNumberFormat="1" applyFont="1"/>
    <xf numFmtId="3" fontId="163" fillId="0" borderId="0" xfId="0" applyNumberFormat="1" applyFont="1"/>
    <xf numFmtId="3" fontId="164" fillId="0" borderId="0" xfId="0" applyNumberFormat="1" applyFont="1"/>
    <xf numFmtId="3" fontId="165" fillId="0" borderId="0" xfId="0" applyNumberFormat="1" applyFont="1"/>
    <xf numFmtId="3" fontId="166" fillId="0" borderId="0" xfId="0" applyNumberFormat="1" applyFont="1"/>
    <xf numFmtId="3" fontId="167" fillId="0" borderId="0" xfId="0" applyNumberFormat="1" applyFont="1"/>
    <xf numFmtId="3" fontId="168" fillId="0" borderId="0" xfId="0" applyNumberFormat="1" applyFont="1"/>
    <xf numFmtId="3" fontId="169" fillId="0" borderId="0" xfId="0" applyNumberFormat="1" applyFont="1"/>
    <xf numFmtId="3" fontId="170" fillId="0" borderId="0" xfId="0" applyNumberFormat="1" applyFont="1"/>
    <xf numFmtId="3" fontId="171" fillId="0" borderId="0" xfId="0" applyNumberFormat="1" applyFont="1"/>
    <xf numFmtId="3" fontId="172" fillId="0" borderId="0" xfId="0" applyNumberFormat="1" applyFont="1"/>
    <xf numFmtId="3" fontId="173" fillId="0" borderId="0" xfId="0" applyNumberFormat="1" applyFont="1"/>
    <xf numFmtId="3" fontId="174" fillId="0" borderId="0" xfId="0" applyNumberFormat="1" applyFont="1"/>
    <xf numFmtId="3" fontId="175" fillId="0" borderId="0" xfId="0" applyNumberFormat="1" applyFont="1"/>
    <xf numFmtId="3" fontId="176" fillId="0" borderId="0" xfId="0" applyNumberFormat="1" applyFont="1"/>
    <xf numFmtId="3" fontId="177" fillId="0" borderId="0" xfId="0" applyNumberFormat="1" applyFont="1"/>
    <xf numFmtId="3" fontId="178" fillId="0" borderId="0" xfId="0" applyNumberFormat="1" applyFont="1"/>
    <xf numFmtId="3" fontId="179" fillId="0" borderId="0" xfId="0" applyNumberFormat="1" applyFont="1"/>
    <xf numFmtId="3" fontId="180" fillId="0" borderId="0" xfId="0" applyNumberFormat="1" applyFont="1"/>
    <xf numFmtId="3" fontId="181" fillId="0" borderId="0" xfId="0" applyNumberFormat="1" applyFont="1"/>
    <xf numFmtId="3" fontId="182" fillId="0" borderId="0" xfId="0" applyNumberFormat="1" applyFont="1"/>
    <xf numFmtId="3" fontId="183" fillId="0" borderId="0" xfId="0" applyNumberFormat="1" applyFont="1"/>
    <xf numFmtId="3" fontId="184" fillId="0" borderId="0" xfId="0" applyNumberFormat="1" applyFont="1"/>
    <xf numFmtId="3" fontId="185" fillId="0" borderId="0" xfId="0" applyNumberFormat="1" applyFont="1"/>
    <xf numFmtId="3" fontId="186" fillId="0" borderId="0" xfId="0" applyNumberFormat="1" applyFont="1"/>
    <xf numFmtId="3" fontId="187" fillId="0" borderId="0" xfId="0" applyNumberFormat="1" applyFont="1"/>
    <xf numFmtId="3" fontId="188" fillId="0" borderId="0" xfId="0" applyNumberFormat="1" applyFont="1"/>
    <xf numFmtId="3" fontId="189" fillId="0" borderId="0" xfId="0" applyNumberFormat="1" applyFont="1"/>
    <xf numFmtId="3" fontId="190" fillId="0" borderId="0" xfId="0" applyNumberFormat="1" applyFont="1"/>
    <xf numFmtId="3" fontId="191" fillId="0" borderId="0" xfId="0" applyNumberFormat="1" applyFont="1"/>
    <xf numFmtId="3" fontId="192" fillId="0" borderId="0" xfId="0" applyNumberFormat="1" applyFont="1"/>
    <xf numFmtId="3" fontId="193" fillId="0" borderId="0" xfId="0" applyNumberFormat="1" applyFont="1"/>
    <xf numFmtId="3" fontId="194" fillId="0" borderId="0" xfId="0" applyNumberFormat="1" applyFont="1"/>
    <xf numFmtId="3" fontId="195" fillId="0" borderId="0" xfId="0" applyNumberFormat="1" applyFont="1"/>
    <xf numFmtId="3" fontId="196" fillId="0" borderId="0" xfId="0" applyNumberFormat="1" applyFont="1"/>
    <xf numFmtId="3" fontId="197" fillId="0" borderId="0" xfId="0" applyNumberFormat="1" applyFont="1"/>
    <xf numFmtId="3" fontId="198" fillId="0" borderId="0" xfId="0" applyNumberFormat="1" applyFont="1"/>
    <xf numFmtId="3" fontId="199" fillId="0" borderId="0" xfId="0" applyNumberFormat="1" applyFont="1"/>
    <xf numFmtId="3" fontId="200" fillId="0" borderId="0" xfId="0" applyNumberFormat="1" applyFont="1"/>
    <xf numFmtId="3" fontId="201" fillId="0" borderId="0" xfId="0" applyNumberFormat="1" applyFont="1"/>
    <xf numFmtId="3" fontId="202" fillId="0" borderId="0" xfId="0" applyNumberFormat="1" applyFont="1"/>
    <xf numFmtId="3" fontId="203" fillId="0" borderId="0" xfId="0" applyNumberFormat="1" applyFont="1"/>
    <xf numFmtId="3" fontId="204" fillId="0" borderId="0" xfId="0" applyNumberFormat="1" applyFont="1"/>
    <xf numFmtId="3" fontId="205" fillId="0" borderId="0" xfId="0" applyNumberFormat="1" applyFont="1"/>
    <xf numFmtId="3" fontId="206" fillId="0" borderId="0" xfId="0" applyNumberFormat="1" applyFont="1"/>
    <xf numFmtId="3" fontId="207" fillId="0" borderId="0" xfId="0" applyNumberFormat="1" applyFont="1"/>
    <xf numFmtId="3" fontId="208" fillId="0" borderId="0" xfId="0" applyNumberFormat="1" applyFont="1"/>
    <xf numFmtId="3" fontId="209" fillId="0" borderId="0" xfId="0" applyNumberFormat="1" applyFont="1"/>
    <xf numFmtId="3" fontId="210" fillId="0" borderId="0" xfId="0" applyNumberFormat="1" applyFont="1"/>
    <xf numFmtId="3" fontId="211" fillId="0" borderId="0" xfId="0" applyNumberFormat="1" applyFont="1"/>
    <xf numFmtId="3" fontId="212" fillId="0" borderId="0" xfId="0" applyNumberFormat="1" applyFont="1"/>
    <xf numFmtId="3" fontId="213" fillId="0" borderId="0" xfId="0" applyNumberFormat="1" applyFont="1"/>
    <xf numFmtId="3" fontId="214" fillId="0" borderId="0" xfId="0" applyNumberFormat="1" applyFont="1"/>
    <xf numFmtId="3" fontId="215" fillId="0" borderId="0" xfId="0" applyNumberFormat="1" applyFont="1"/>
    <xf numFmtId="3" fontId="216" fillId="0" borderId="0" xfId="0" applyNumberFormat="1" applyFont="1"/>
    <xf numFmtId="3" fontId="217" fillId="0" borderId="0" xfId="0" applyNumberFormat="1" applyFont="1"/>
    <xf numFmtId="3" fontId="218" fillId="0" borderId="0" xfId="0" applyNumberFormat="1" applyFont="1"/>
    <xf numFmtId="3" fontId="219" fillId="0" borderId="0" xfId="0" applyNumberFormat="1" applyFont="1"/>
    <xf numFmtId="3" fontId="220" fillId="0" borderId="0" xfId="0" applyNumberFormat="1" applyFont="1"/>
    <xf numFmtId="3" fontId="221" fillId="0" borderId="0" xfId="0" applyNumberFormat="1" applyFont="1"/>
    <xf numFmtId="3" fontId="222" fillId="0" borderId="0" xfId="0" applyNumberFormat="1" applyFont="1"/>
    <xf numFmtId="3" fontId="223" fillId="0" borderId="0" xfId="0" applyNumberFormat="1" applyFont="1"/>
    <xf numFmtId="3" fontId="224" fillId="0" borderId="0" xfId="0" applyNumberFormat="1" applyFont="1"/>
    <xf numFmtId="3" fontId="225" fillId="0" borderId="0" xfId="0" applyNumberFormat="1" applyFont="1"/>
    <xf numFmtId="3" fontId="226" fillId="0" borderId="0" xfId="0" applyNumberFormat="1" applyFont="1"/>
    <xf numFmtId="3" fontId="227" fillId="0" borderId="0" xfId="0" applyNumberFormat="1" applyFont="1"/>
    <xf numFmtId="3" fontId="228" fillId="0" borderId="0" xfId="0" applyNumberFormat="1" applyFont="1"/>
    <xf numFmtId="3" fontId="229" fillId="0" borderId="0" xfId="0" applyNumberFormat="1" applyFont="1"/>
    <xf numFmtId="3" fontId="230" fillId="0" borderId="0" xfId="0" applyNumberFormat="1" applyFont="1"/>
    <xf numFmtId="3" fontId="231" fillId="0" borderId="0" xfId="0" applyNumberFormat="1" applyFont="1"/>
    <xf numFmtId="3" fontId="232" fillId="0" borderId="0" xfId="0" applyNumberFormat="1" applyFont="1"/>
    <xf numFmtId="3" fontId="233" fillId="0" borderId="0" xfId="0" applyNumberFormat="1" applyFont="1"/>
    <xf numFmtId="3" fontId="234" fillId="0" borderId="0" xfId="0" applyNumberFormat="1" applyFont="1"/>
    <xf numFmtId="3" fontId="235" fillId="0" borderId="0" xfId="0" applyNumberFormat="1" applyFont="1"/>
    <xf numFmtId="3" fontId="236" fillId="0" borderId="0" xfId="0" applyNumberFormat="1" applyFont="1"/>
    <xf numFmtId="3" fontId="237" fillId="0" borderId="0" xfId="0" applyNumberFormat="1" applyFont="1"/>
    <xf numFmtId="3" fontId="238" fillId="0" borderId="0" xfId="0" applyNumberFormat="1" applyFont="1"/>
    <xf numFmtId="3" fontId="239" fillId="0" borderId="0" xfId="0" applyNumberFormat="1" applyFont="1"/>
    <xf numFmtId="3" fontId="240" fillId="0" borderId="0" xfId="0" applyNumberFormat="1" applyFont="1"/>
    <xf numFmtId="3" fontId="241" fillId="0" borderId="0" xfId="0" applyNumberFormat="1" applyFont="1"/>
    <xf numFmtId="3" fontId="242" fillId="0" borderId="0" xfId="0" applyNumberFormat="1" applyFont="1"/>
    <xf numFmtId="3" fontId="243" fillId="0" borderId="0" xfId="0" applyNumberFormat="1" applyFont="1"/>
    <xf numFmtId="3" fontId="244" fillId="0" borderId="0" xfId="0" applyNumberFormat="1" applyFont="1"/>
    <xf numFmtId="3" fontId="245" fillId="0" borderId="0" xfId="0" applyNumberFormat="1" applyFont="1"/>
    <xf numFmtId="3" fontId="246" fillId="0" borderId="0" xfId="0" applyNumberFormat="1" applyFont="1"/>
    <xf numFmtId="3" fontId="247" fillId="0" borderId="0" xfId="0" applyNumberFormat="1" applyFont="1"/>
    <xf numFmtId="3" fontId="248" fillId="0" borderId="0" xfId="0" applyNumberFormat="1" applyFont="1"/>
    <xf numFmtId="3" fontId="249" fillId="0" borderId="0" xfId="0" applyNumberFormat="1" applyFont="1"/>
    <xf numFmtId="3" fontId="250" fillId="0" borderId="0" xfId="0" applyNumberFormat="1" applyFont="1"/>
    <xf numFmtId="3" fontId="251" fillId="0" borderId="0" xfId="0" applyNumberFormat="1" applyFont="1"/>
    <xf numFmtId="3" fontId="252" fillId="0" borderId="0" xfId="0" applyNumberFormat="1" applyFont="1"/>
    <xf numFmtId="3" fontId="253" fillId="0" borderId="0" xfId="0" applyNumberFormat="1" applyFont="1"/>
    <xf numFmtId="3" fontId="254" fillId="0" borderId="0" xfId="0" applyNumberFormat="1" applyFont="1"/>
    <xf numFmtId="3" fontId="255" fillId="0" borderId="0" xfId="0" applyNumberFormat="1" applyFont="1"/>
    <xf numFmtId="3" fontId="256" fillId="0" borderId="0" xfId="0" applyNumberFormat="1" applyFont="1"/>
    <xf numFmtId="3" fontId="257" fillId="0" borderId="0" xfId="0" applyNumberFormat="1" applyFont="1"/>
    <xf numFmtId="3" fontId="258" fillId="0" borderId="0" xfId="0" applyNumberFormat="1" applyFont="1"/>
    <xf numFmtId="3" fontId="259" fillId="0" borderId="0" xfId="0" applyNumberFormat="1" applyFont="1"/>
    <xf numFmtId="3" fontId="260" fillId="0" borderId="0" xfId="0" applyNumberFormat="1" applyFont="1"/>
    <xf numFmtId="3" fontId="261" fillId="0" borderId="0" xfId="0" applyNumberFormat="1" applyFont="1"/>
    <xf numFmtId="3" fontId="262" fillId="0" borderId="0" xfId="0" applyNumberFormat="1" applyFont="1"/>
    <xf numFmtId="3" fontId="263" fillId="0" borderId="0" xfId="0" applyNumberFormat="1" applyFont="1"/>
    <xf numFmtId="3" fontId="264" fillId="0" borderId="0" xfId="0" applyNumberFormat="1" applyFont="1"/>
    <xf numFmtId="3" fontId="265" fillId="0" borderId="0" xfId="0" applyNumberFormat="1" applyFont="1"/>
    <xf numFmtId="3" fontId="266" fillId="0" borderId="0" xfId="0" applyNumberFormat="1" applyFont="1"/>
    <xf numFmtId="3" fontId="267" fillId="0" borderId="0" xfId="0" applyNumberFormat="1" applyFont="1"/>
    <xf numFmtId="3" fontId="268" fillId="0" borderId="0" xfId="0" applyNumberFormat="1" applyFont="1"/>
    <xf numFmtId="3" fontId="269" fillId="0" borderId="0" xfId="0" applyNumberFormat="1" applyFont="1"/>
    <xf numFmtId="3" fontId="270" fillId="0" borderId="0" xfId="0" applyNumberFormat="1" applyFont="1"/>
    <xf numFmtId="3" fontId="271" fillId="0" borderId="0" xfId="0" applyNumberFormat="1" applyFont="1"/>
    <xf numFmtId="3" fontId="272" fillId="0" borderId="0" xfId="0" applyNumberFormat="1" applyFont="1"/>
    <xf numFmtId="3" fontId="273" fillId="0" borderId="0" xfId="0" applyNumberFormat="1" applyFont="1"/>
    <xf numFmtId="3" fontId="274" fillId="0" borderId="0" xfId="0" applyNumberFormat="1" applyFont="1"/>
    <xf numFmtId="3" fontId="275" fillId="0" borderId="0" xfId="0" applyNumberFormat="1" applyFont="1"/>
    <xf numFmtId="3" fontId="276" fillId="0" borderId="0" xfId="0" applyNumberFormat="1" applyFont="1"/>
    <xf numFmtId="3" fontId="277" fillId="0" borderId="0" xfId="0" applyNumberFormat="1" applyFont="1"/>
    <xf numFmtId="3" fontId="278" fillId="0" borderId="0" xfId="0" applyNumberFormat="1" applyFont="1"/>
    <xf numFmtId="3" fontId="279" fillId="0" borderId="0" xfId="0" applyNumberFormat="1" applyFont="1"/>
    <xf numFmtId="3" fontId="280" fillId="0" borderId="0" xfId="0" applyNumberFormat="1" applyFont="1"/>
    <xf numFmtId="3" fontId="281" fillId="0" borderId="0" xfId="0" applyNumberFormat="1" applyFont="1"/>
    <xf numFmtId="3" fontId="282" fillId="0" borderId="0" xfId="0" applyNumberFormat="1" applyFont="1"/>
    <xf numFmtId="3" fontId="283" fillId="0" borderId="0" xfId="0" applyNumberFormat="1" applyFont="1"/>
    <xf numFmtId="3" fontId="284" fillId="0" borderId="0" xfId="0" applyNumberFormat="1" applyFont="1"/>
    <xf numFmtId="3" fontId="285" fillId="0" borderId="0" xfId="0" applyNumberFormat="1" applyFont="1"/>
    <xf numFmtId="3" fontId="286" fillId="0" borderId="0" xfId="0" applyNumberFormat="1" applyFont="1"/>
    <xf numFmtId="3" fontId="287" fillId="0" borderId="0" xfId="0" applyNumberFormat="1" applyFont="1"/>
    <xf numFmtId="3" fontId="288" fillId="0" borderId="0" xfId="0" applyNumberFormat="1" applyFont="1"/>
    <xf numFmtId="3" fontId="289" fillId="0" borderId="0" xfId="0" applyNumberFormat="1" applyFont="1"/>
    <xf numFmtId="3" fontId="290" fillId="0" borderId="0" xfId="0" applyNumberFormat="1" applyFont="1"/>
    <xf numFmtId="3" fontId="291" fillId="0" borderId="0" xfId="0" applyNumberFormat="1" applyFont="1"/>
    <xf numFmtId="3" fontId="292" fillId="0" borderId="0" xfId="0" applyNumberFormat="1" applyFont="1"/>
    <xf numFmtId="3" fontId="293" fillId="0" borderId="0" xfId="0" applyNumberFormat="1" applyFont="1"/>
    <xf numFmtId="3" fontId="294" fillId="0" borderId="0" xfId="0" applyNumberFormat="1" applyFont="1"/>
    <xf numFmtId="3" fontId="295" fillId="0" borderId="0" xfId="0" applyNumberFormat="1" applyFont="1"/>
    <xf numFmtId="3" fontId="296" fillId="0" borderId="0" xfId="0" applyNumberFormat="1" applyFont="1"/>
    <xf numFmtId="3" fontId="297" fillId="0" borderId="0" xfId="0" applyNumberFormat="1" applyFont="1"/>
    <xf numFmtId="3" fontId="298" fillId="0" borderId="0" xfId="0" applyNumberFormat="1" applyFont="1"/>
    <xf numFmtId="3" fontId="299" fillId="0" borderId="0" xfId="0" applyNumberFormat="1" applyFont="1"/>
    <xf numFmtId="3" fontId="300" fillId="0" borderId="0" xfId="0" applyNumberFormat="1" applyFont="1"/>
    <xf numFmtId="3" fontId="301" fillId="0" borderId="0" xfId="0" applyNumberFormat="1" applyFont="1"/>
    <xf numFmtId="3" fontId="302" fillId="0" borderId="0" xfId="0" applyNumberFormat="1" applyFont="1"/>
    <xf numFmtId="3" fontId="303" fillId="0" borderId="0" xfId="0" applyNumberFormat="1" applyFont="1"/>
    <xf numFmtId="3" fontId="304" fillId="0" borderId="0" xfId="0" applyNumberFormat="1" applyFont="1"/>
    <xf numFmtId="3" fontId="305" fillId="0" borderId="0" xfId="0" applyNumberFormat="1" applyFont="1"/>
    <xf numFmtId="3" fontId="306" fillId="0" borderId="0" xfId="0" applyNumberFormat="1" applyFont="1"/>
    <xf numFmtId="3" fontId="307" fillId="0" borderId="0" xfId="0" applyNumberFormat="1" applyFont="1"/>
    <xf numFmtId="3" fontId="308" fillId="0" borderId="0" xfId="0" applyNumberFormat="1" applyFont="1"/>
    <xf numFmtId="3" fontId="309" fillId="0" borderId="0" xfId="0" applyNumberFormat="1" applyFont="1"/>
    <xf numFmtId="3" fontId="310" fillId="0" borderId="0" xfId="0" applyNumberFormat="1" applyFont="1"/>
    <xf numFmtId="3" fontId="311" fillId="0" borderId="0" xfId="0" applyNumberFormat="1" applyFont="1"/>
    <xf numFmtId="3" fontId="312" fillId="0" borderId="0" xfId="0" applyNumberFormat="1" applyFont="1"/>
    <xf numFmtId="3" fontId="313" fillId="0" borderId="0" xfId="0" applyNumberFormat="1" applyFont="1"/>
    <xf numFmtId="3" fontId="314" fillId="0" borderId="0" xfId="0" applyNumberFormat="1" applyFont="1"/>
    <xf numFmtId="3" fontId="315" fillId="0" borderId="0" xfId="0" applyNumberFormat="1" applyFont="1"/>
    <xf numFmtId="3" fontId="316" fillId="0" borderId="0" xfId="0" applyNumberFormat="1" applyFont="1"/>
    <xf numFmtId="3" fontId="317" fillId="0" borderId="0" xfId="0" applyNumberFormat="1" applyFont="1"/>
    <xf numFmtId="3" fontId="318" fillId="0" borderId="0" xfId="0" applyNumberFormat="1" applyFont="1"/>
    <xf numFmtId="3" fontId="319" fillId="0" borderId="0" xfId="0" applyNumberFormat="1" applyFont="1"/>
    <xf numFmtId="3" fontId="320" fillId="0" borderId="0" xfId="0" applyNumberFormat="1" applyFont="1"/>
    <xf numFmtId="3" fontId="321" fillId="0" borderId="0" xfId="0" applyNumberFormat="1" applyFont="1"/>
    <xf numFmtId="3" fontId="322" fillId="0" borderId="0" xfId="0" applyNumberFormat="1" applyFont="1"/>
    <xf numFmtId="3" fontId="323" fillId="0" borderId="0" xfId="0" applyNumberFormat="1" applyFont="1"/>
    <xf numFmtId="3" fontId="324" fillId="0" borderId="0" xfId="0" applyNumberFormat="1" applyFont="1"/>
    <xf numFmtId="3" fontId="325" fillId="0" borderId="0" xfId="0" applyNumberFormat="1" applyFont="1"/>
    <xf numFmtId="3" fontId="326" fillId="0" borderId="0" xfId="0" applyNumberFormat="1" applyFont="1"/>
    <xf numFmtId="3" fontId="327" fillId="0" borderId="0" xfId="0" applyNumberFormat="1" applyFont="1"/>
    <xf numFmtId="3" fontId="328" fillId="0" borderId="0" xfId="0" applyNumberFormat="1" applyFont="1"/>
    <xf numFmtId="3" fontId="329" fillId="0" borderId="0" xfId="0" applyNumberFormat="1" applyFont="1"/>
    <xf numFmtId="3" fontId="330" fillId="0" borderId="0" xfId="0" applyNumberFormat="1" applyFont="1"/>
    <xf numFmtId="3" fontId="331" fillId="0" borderId="0" xfId="0" applyNumberFormat="1" applyFont="1"/>
    <xf numFmtId="3" fontId="332" fillId="0" borderId="0" xfId="0" applyNumberFormat="1" applyFont="1"/>
    <xf numFmtId="3" fontId="333" fillId="0" borderId="0" xfId="0" applyNumberFormat="1" applyFont="1"/>
    <xf numFmtId="3" fontId="334" fillId="0" borderId="0" xfId="0" applyNumberFormat="1" applyFont="1"/>
    <xf numFmtId="3" fontId="335" fillId="0" borderId="0" xfId="0" applyNumberFormat="1" applyFont="1"/>
    <xf numFmtId="3" fontId="336" fillId="0" borderId="0" xfId="0" applyNumberFormat="1" applyFont="1"/>
    <xf numFmtId="3" fontId="337" fillId="0" borderId="0" xfId="0" applyNumberFormat="1" applyFont="1"/>
    <xf numFmtId="3" fontId="338" fillId="0" borderId="0" xfId="0" applyNumberFormat="1" applyFont="1"/>
    <xf numFmtId="3" fontId="339" fillId="0" borderId="0" xfId="0" applyNumberFormat="1" applyFont="1"/>
    <xf numFmtId="3" fontId="340" fillId="0" borderId="0" xfId="0" applyNumberFormat="1" applyFont="1"/>
    <xf numFmtId="3" fontId="341" fillId="0" borderId="0" xfId="0" applyNumberFormat="1" applyFont="1"/>
    <xf numFmtId="3" fontId="342" fillId="0" borderId="0" xfId="0" applyNumberFormat="1" applyFont="1"/>
    <xf numFmtId="3" fontId="343" fillId="0" borderId="0" xfId="0" applyNumberFormat="1" applyFont="1"/>
    <xf numFmtId="3" fontId="344" fillId="0" borderId="0" xfId="0" applyNumberFormat="1" applyFont="1"/>
    <xf numFmtId="3" fontId="345" fillId="0" borderId="0" xfId="0" applyNumberFormat="1" applyFont="1"/>
    <xf numFmtId="3" fontId="346" fillId="0" borderId="0" xfId="0" applyNumberFormat="1" applyFont="1"/>
    <xf numFmtId="3" fontId="347" fillId="0" borderId="0" xfId="0" applyNumberFormat="1" applyFont="1"/>
    <xf numFmtId="3" fontId="348" fillId="0" borderId="0" xfId="0" applyNumberFormat="1" applyFont="1"/>
    <xf numFmtId="3" fontId="349" fillId="0" borderId="0" xfId="0" applyNumberFormat="1" applyFont="1"/>
    <xf numFmtId="3" fontId="350" fillId="0" borderId="0" xfId="0" applyNumberFormat="1" applyFont="1"/>
    <xf numFmtId="3" fontId="351" fillId="0" borderId="0" xfId="0" applyNumberFormat="1" applyFont="1"/>
    <xf numFmtId="3" fontId="352" fillId="0" borderId="0" xfId="0" applyNumberFormat="1" applyFont="1"/>
    <xf numFmtId="3" fontId="353" fillId="0" borderId="0" xfId="0" applyNumberFormat="1" applyFont="1"/>
    <xf numFmtId="3" fontId="354" fillId="0" borderId="0" xfId="0" applyNumberFormat="1" applyFont="1"/>
    <xf numFmtId="3" fontId="355" fillId="0" borderId="0" xfId="0" applyNumberFormat="1" applyFont="1"/>
    <xf numFmtId="3" fontId="356" fillId="0" borderId="0" xfId="0" applyNumberFormat="1" applyFont="1"/>
    <xf numFmtId="3" fontId="357" fillId="0" borderId="0" xfId="0" applyNumberFormat="1" applyFont="1"/>
    <xf numFmtId="3" fontId="358" fillId="0" borderId="0" xfId="0" applyNumberFormat="1" applyFont="1"/>
    <xf numFmtId="3" fontId="359" fillId="0" borderId="0" xfId="0" applyNumberFormat="1" applyFont="1"/>
    <xf numFmtId="3" fontId="360" fillId="0" borderId="0" xfId="0" applyNumberFormat="1" applyFont="1"/>
    <xf numFmtId="3" fontId="361" fillId="0" borderId="0" xfId="0" applyNumberFormat="1" applyFont="1"/>
    <xf numFmtId="3" fontId="362" fillId="0" borderId="0" xfId="0" applyNumberFormat="1" applyFont="1"/>
    <xf numFmtId="3" fontId="363" fillId="0" borderId="0" xfId="0" applyNumberFormat="1" applyFont="1"/>
    <xf numFmtId="3" fontId="364" fillId="0" borderId="0" xfId="0" applyNumberFormat="1" applyFont="1"/>
    <xf numFmtId="3" fontId="365" fillId="0" borderId="0" xfId="0" applyNumberFormat="1" applyFont="1"/>
    <xf numFmtId="3" fontId="366" fillId="0" borderId="0" xfId="0" applyNumberFormat="1" applyFont="1"/>
    <xf numFmtId="3" fontId="367" fillId="0" borderId="0" xfId="0" applyNumberFormat="1" applyFont="1"/>
    <xf numFmtId="3" fontId="368" fillId="0" borderId="0" xfId="0" applyNumberFormat="1" applyFont="1"/>
    <xf numFmtId="3" fontId="369" fillId="0" borderId="0" xfId="0" applyNumberFormat="1" applyFont="1"/>
    <xf numFmtId="3" fontId="370" fillId="0" borderId="0" xfId="0" applyNumberFormat="1" applyFont="1"/>
    <xf numFmtId="3" fontId="371" fillId="0" borderId="0" xfId="0" applyNumberFormat="1" applyFont="1"/>
    <xf numFmtId="3" fontId="372" fillId="0" borderId="0" xfId="0" applyNumberFormat="1" applyFont="1"/>
    <xf numFmtId="3" fontId="373" fillId="0" borderId="0" xfId="0" applyNumberFormat="1" applyFont="1"/>
    <xf numFmtId="3" fontId="374" fillId="0" borderId="0" xfId="0" applyNumberFormat="1" applyFont="1"/>
    <xf numFmtId="3" fontId="375" fillId="0" borderId="0" xfId="0" applyNumberFormat="1" applyFont="1"/>
    <xf numFmtId="3" fontId="376" fillId="0" borderId="0" xfId="0" applyNumberFormat="1" applyFont="1"/>
    <xf numFmtId="3" fontId="377" fillId="0" borderId="0" xfId="0" applyNumberFormat="1" applyFont="1"/>
    <xf numFmtId="3" fontId="378" fillId="0" borderId="0" xfId="0" applyNumberFormat="1" applyFont="1"/>
    <xf numFmtId="3" fontId="379" fillId="0" borderId="0" xfId="0" applyNumberFormat="1" applyFont="1"/>
    <xf numFmtId="3" fontId="380" fillId="0" borderId="0" xfId="0" applyNumberFormat="1" applyFont="1"/>
    <xf numFmtId="3" fontId="381" fillId="0" borderId="0" xfId="0" applyNumberFormat="1" applyFont="1"/>
    <xf numFmtId="3" fontId="382" fillId="0" borderId="0" xfId="0" applyNumberFormat="1" applyFont="1"/>
    <xf numFmtId="3" fontId="383" fillId="0" borderId="0" xfId="0" applyNumberFormat="1" applyFont="1"/>
    <xf numFmtId="3" fontId="384" fillId="0" borderId="0" xfId="0" applyNumberFormat="1" applyFont="1"/>
    <xf numFmtId="3" fontId="385" fillId="0" borderId="0" xfId="0" applyNumberFormat="1" applyFont="1"/>
    <xf numFmtId="3" fontId="386" fillId="0" borderId="0" xfId="0" applyNumberFormat="1" applyFont="1"/>
    <xf numFmtId="3" fontId="387" fillId="0" borderId="0" xfId="0" applyNumberFormat="1" applyFont="1"/>
    <xf numFmtId="3" fontId="388" fillId="0" borderId="0" xfId="0" applyNumberFormat="1" applyFont="1"/>
    <xf numFmtId="3" fontId="389" fillId="0" borderId="0" xfId="0" applyNumberFormat="1" applyFont="1"/>
    <xf numFmtId="3" fontId="390" fillId="0" borderId="0" xfId="0" applyNumberFormat="1" applyFont="1"/>
    <xf numFmtId="3" fontId="391" fillId="0" borderId="0" xfId="0" applyNumberFormat="1" applyFont="1"/>
    <xf numFmtId="3" fontId="392" fillId="0" borderId="0" xfId="0" applyNumberFormat="1" applyFont="1"/>
    <xf numFmtId="3" fontId="393" fillId="0" borderId="0" xfId="0" applyNumberFormat="1" applyFont="1"/>
    <xf numFmtId="3" fontId="394" fillId="0" borderId="0" xfId="0" applyNumberFormat="1" applyFont="1"/>
    <xf numFmtId="3" fontId="395" fillId="0" borderId="0" xfId="0" applyNumberFormat="1" applyFont="1"/>
    <xf numFmtId="3" fontId="396" fillId="0" borderId="0" xfId="0" applyNumberFormat="1" applyFont="1"/>
    <xf numFmtId="3" fontId="397" fillId="0" borderId="0" xfId="0" applyNumberFormat="1" applyFont="1"/>
    <xf numFmtId="3" fontId="398" fillId="0" borderId="0" xfId="0" applyNumberFormat="1" applyFont="1"/>
    <xf numFmtId="3" fontId="399" fillId="0" borderId="0" xfId="0" applyNumberFormat="1" applyFont="1"/>
    <xf numFmtId="3" fontId="400" fillId="0" borderId="0" xfId="0" applyNumberFormat="1" applyFont="1"/>
    <xf numFmtId="3" fontId="401" fillId="0" borderId="0" xfId="0" applyNumberFormat="1" applyFont="1"/>
    <xf numFmtId="3" fontId="402" fillId="0" borderId="0" xfId="0" applyNumberFormat="1" applyFont="1"/>
    <xf numFmtId="3" fontId="403" fillId="0" borderId="0" xfId="0" applyNumberFormat="1" applyFont="1"/>
    <xf numFmtId="3" fontId="404" fillId="0" borderId="0" xfId="0" applyNumberFormat="1" applyFont="1"/>
    <xf numFmtId="3" fontId="405" fillId="0" borderId="0" xfId="0" applyNumberFormat="1" applyFont="1"/>
    <xf numFmtId="3" fontId="406" fillId="0" borderId="0" xfId="0" applyNumberFormat="1" applyFont="1"/>
    <xf numFmtId="3" fontId="407" fillId="0" borderId="0" xfId="0" applyNumberFormat="1" applyFont="1"/>
    <xf numFmtId="3" fontId="408" fillId="0" borderId="0" xfId="0" applyNumberFormat="1" applyFont="1"/>
    <xf numFmtId="3" fontId="409" fillId="0" borderId="0" xfId="0" applyNumberFormat="1" applyFont="1"/>
    <xf numFmtId="3" fontId="410" fillId="0" borderId="0" xfId="0" applyNumberFormat="1" applyFont="1"/>
    <xf numFmtId="3" fontId="411" fillId="0" borderId="0" xfId="0" applyNumberFormat="1" applyFont="1"/>
    <xf numFmtId="3" fontId="412" fillId="0" borderId="0" xfId="0" applyNumberFormat="1" applyFont="1"/>
    <xf numFmtId="3" fontId="413" fillId="0" borderId="0" xfId="0" applyNumberFormat="1" applyFont="1"/>
    <xf numFmtId="3" fontId="414" fillId="0" borderId="0" xfId="0" applyNumberFormat="1" applyFont="1"/>
    <xf numFmtId="3" fontId="415" fillId="0" borderId="0" xfId="0" applyNumberFormat="1" applyFont="1"/>
    <xf numFmtId="3" fontId="416" fillId="0" borderId="0" xfId="0" applyNumberFormat="1" applyFont="1"/>
    <xf numFmtId="3" fontId="417" fillId="0" borderId="0" xfId="0" applyNumberFormat="1" applyFont="1"/>
    <xf numFmtId="3" fontId="418" fillId="0" borderId="0" xfId="0" applyNumberFormat="1" applyFont="1"/>
    <xf numFmtId="3" fontId="419" fillId="0" borderId="0" xfId="0" applyNumberFormat="1" applyFont="1"/>
    <xf numFmtId="3" fontId="420" fillId="0" borderId="0" xfId="0" applyNumberFormat="1" applyFont="1"/>
    <xf numFmtId="3" fontId="421" fillId="0" borderId="0" xfId="0" applyNumberFormat="1" applyFont="1"/>
    <xf numFmtId="3" fontId="422" fillId="0" borderId="0" xfId="0" applyNumberFormat="1" applyFont="1"/>
    <xf numFmtId="3" fontId="423" fillId="0" borderId="0" xfId="0" applyNumberFormat="1" applyFont="1"/>
    <xf numFmtId="3" fontId="424" fillId="0" borderId="0" xfId="0" applyNumberFormat="1" applyFont="1"/>
    <xf numFmtId="3" fontId="425" fillId="0" borderId="0" xfId="0" applyNumberFormat="1" applyFont="1"/>
    <xf numFmtId="3" fontId="426" fillId="0" borderId="0" xfId="0" applyNumberFormat="1" applyFont="1"/>
    <xf numFmtId="3" fontId="427" fillId="0" borderId="0" xfId="0" applyNumberFormat="1" applyFont="1"/>
    <xf numFmtId="3" fontId="428" fillId="0" borderId="0" xfId="0" applyNumberFormat="1" applyFont="1"/>
    <xf numFmtId="3" fontId="429" fillId="0" borderId="0" xfId="0" applyNumberFormat="1" applyFont="1"/>
    <xf numFmtId="3" fontId="430" fillId="0" borderId="0" xfId="0" applyNumberFormat="1" applyFont="1"/>
    <xf numFmtId="3" fontId="431" fillId="0" borderId="0" xfId="0" applyNumberFormat="1" applyFont="1"/>
    <xf numFmtId="3" fontId="432" fillId="0" borderId="0" xfId="0" applyNumberFormat="1" applyFont="1"/>
    <xf numFmtId="3" fontId="433" fillId="0" borderId="0" xfId="0" applyNumberFormat="1" applyFont="1"/>
    <xf numFmtId="3" fontId="434" fillId="0" borderId="0" xfId="0" applyNumberFormat="1" applyFont="1"/>
    <xf numFmtId="3" fontId="435" fillId="0" borderId="0" xfId="0" applyNumberFormat="1" applyFont="1"/>
    <xf numFmtId="3" fontId="436" fillId="0" borderId="0" xfId="0" applyNumberFormat="1" applyFont="1"/>
    <xf numFmtId="3" fontId="437" fillId="0" borderId="0" xfId="0" applyNumberFormat="1" applyFont="1"/>
    <xf numFmtId="3" fontId="438" fillId="0" borderId="0" xfId="0" applyNumberFormat="1" applyFont="1"/>
    <xf numFmtId="3" fontId="439" fillId="0" borderId="0" xfId="0" applyNumberFormat="1" applyFont="1"/>
    <xf numFmtId="3" fontId="440" fillId="0" borderId="0" xfId="0" applyNumberFormat="1" applyFont="1"/>
    <xf numFmtId="3" fontId="441" fillId="0" borderId="0" xfId="0" applyNumberFormat="1" applyFont="1"/>
    <xf numFmtId="3" fontId="442" fillId="0" borderId="0" xfId="0" applyNumberFormat="1" applyFont="1"/>
    <xf numFmtId="3" fontId="443" fillId="0" borderId="0" xfId="0" applyNumberFormat="1" applyFont="1"/>
    <xf numFmtId="3" fontId="444" fillId="0" borderId="0" xfId="0" applyNumberFormat="1" applyFont="1"/>
    <xf numFmtId="3" fontId="445" fillId="0" borderId="0" xfId="0" applyNumberFormat="1" applyFont="1"/>
    <xf numFmtId="3" fontId="446" fillId="0" borderId="0" xfId="0" applyNumberFormat="1" applyFont="1"/>
    <xf numFmtId="3" fontId="447" fillId="0" borderId="0" xfId="0" applyNumberFormat="1" applyFont="1"/>
    <xf numFmtId="3" fontId="448" fillId="0" borderId="0" xfId="0" applyNumberFormat="1" applyFont="1"/>
    <xf numFmtId="3" fontId="449" fillId="0" borderId="0" xfId="0" applyNumberFormat="1" applyFont="1"/>
    <xf numFmtId="3" fontId="450" fillId="0" borderId="0" xfId="0" applyNumberFormat="1" applyFont="1"/>
    <xf numFmtId="3" fontId="451" fillId="0" borderId="0" xfId="0" applyNumberFormat="1" applyFont="1"/>
    <xf numFmtId="3" fontId="452" fillId="0" borderId="0" xfId="0" applyNumberFormat="1" applyFont="1"/>
    <xf numFmtId="3" fontId="453" fillId="0" borderId="0" xfId="0" applyNumberFormat="1" applyFont="1"/>
    <xf numFmtId="3" fontId="454" fillId="0" borderId="0" xfId="0" applyNumberFormat="1" applyFont="1"/>
    <xf numFmtId="3" fontId="455" fillId="0" borderId="0" xfId="0" applyNumberFormat="1" applyFont="1"/>
    <xf numFmtId="3" fontId="456" fillId="0" borderId="0" xfId="0" applyNumberFormat="1" applyFont="1"/>
    <xf numFmtId="3" fontId="457" fillId="0" borderId="0" xfId="0" applyNumberFormat="1" applyFont="1"/>
    <xf numFmtId="3" fontId="458" fillId="0" borderId="0" xfId="0" applyNumberFormat="1" applyFont="1"/>
    <xf numFmtId="3" fontId="459" fillId="0" borderId="0" xfId="0" applyNumberFormat="1" applyFont="1"/>
    <xf numFmtId="3" fontId="460" fillId="0" borderId="0" xfId="0" applyNumberFormat="1" applyFont="1"/>
    <xf numFmtId="3" fontId="461" fillId="0" borderId="0" xfId="0" applyNumberFormat="1" applyFont="1"/>
    <xf numFmtId="3" fontId="462" fillId="0" borderId="0" xfId="0" applyNumberFormat="1" applyFont="1"/>
    <xf numFmtId="3" fontId="463" fillId="0" borderId="0" xfId="0" applyNumberFormat="1" applyFont="1"/>
    <xf numFmtId="3" fontId="464" fillId="0" borderId="0" xfId="0" applyNumberFormat="1" applyFont="1"/>
    <xf numFmtId="3" fontId="465" fillId="0" borderId="0" xfId="0" applyNumberFormat="1" applyFont="1"/>
    <xf numFmtId="3" fontId="466" fillId="0" borderId="0" xfId="0" applyNumberFormat="1" applyFont="1"/>
    <xf numFmtId="3" fontId="467" fillId="0" borderId="0" xfId="0" applyNumberFormat="1" applyFont="1"/>
    <xf numFmtId="3" fontId="468" fillId="0" borderId="0" xfId="0" applyNumberFormat="1" applyFont="1"/>
    <xf numFmtId="3" fontId="469" fillId="0" borderId="0" xfId="0" applyNumberFormat="1" applyFont="1"/>
    <xf numFmtId="3" fontId="470" fillId="0" borderId="0" xfId="0" applyNumberFormat="1" applyFont="1"/>
    <xf numFmtId="3" fontId="471" fillId="0" borderId="0" xfId="0" applyNumberFormat="1" applyFont="1"/>
    <xf numFmtId="3" fontId="472" fillId="0" borderId="0" xfId="0" applyNumberFormat="1" applyFont="1"/>
    <xf numFmtId="3" fontId="473" fillId="0" borderId="0" xfId="0" applyNumberFormat="1" applyFont="1"/>
    <xf numFmtId="3" fontId="474" fillId="0" borderId="0" xfId="0" applyNumberFormat="1" applyFont="1"/>
    <xf numFmtId="3" fontId="475" fillId="0" borderId="0" xfId="0" applyNumberFormat="1" applyFont="1"/>
    <xf numFmtId="3" fontId="476" fillId="0" borderId="0" xfId="0" applyNumberFormat="1" applyFont="1"/>
    <xf numFmtId="3" fontId="477" fillId="0" borderId="0" xfId="0" applyNumberFormat="1" applyFont="1"/>
    <xf numFmtId="3" fontId="478" fillId="0" borderId="0" xfId="0" applyNumberFormat="1" applyFont="1"/>
    <xf numFmtId="3" fontId="479" fillId="0" borderId="0" xfId="0" applyNumberFormat="1" applyFont="1"/>
    <xf numFmtId="3" fontId="480" fillId="0" borderId="0" xfId="0" applyNumberFormat="1" applyFont="1"/>
    <xf numFmtId="3" fontId="481" fillId="0" borderId="0" xfId="0" applyNumberFormat="1" applyFont="1"/>
    <xf numFmtId="3" fontId="482" fillId="0" borderId="0" xfId="0" applyNumberFormat="1" applyFont="1"/>
    <xf numFmtId="3" fontId="483" fillId="0" borderId="0" xfId="0" applyNumberFormat="1" applyFont="1"/>
    <xf numFmtId="3" fontId="484" fillId="0" borderId="0" xfId="0" applyNumberFormat="1" applyFont="1"/>
    <xf numFmtId="3" fontId="485" fillId="0" borderId="0" xfId="0" applyNumberFormat="1" applyFont="1"/>
    <xf numFmtId="3" fontId="486" fillId="0" borderId="0" xfId="0" applyNumberFormat="1" applyFont="1"/>
    <xf numFmtId="3" fontId="487" fillId="0" borderId="0" xfId="0" applyNumberFormat="1" applyFont="1"/>
    <xf numFmtId="3" fontId="488" fillId="0" borderId="0" xfId="0" applyNumberFormat="1" applyFont="1"/>
    <xf numFmtId="3" fontId="489" fillId="0" borderId="0" xfId="0" applyNumberFormat="1" applyFont="1"/>
    <xf numFmtId="3" fontId="490" fillId="0" borderId="0" xfId="0" applyNumberFormat="1" applyFont="1"/>
    <xf numFmtId="3" fontId="491" fillId="0" borderId="0" xfId="0" applyNumberFormat="1" applyFont="1"/>
    <xf numFmtId="3" fontId="492" fillId="0" borderId="0" xfId="0" applyNumberFormat="1" applyFont="1"/>
    <xf numFmtId="3" fontId="493" fillId="0" borderId="0" xfId="0" applyNumberFormat="1" applyFont="1"/>
    <xf numFmtId="3" fontId="494" fillId="0" borderId="0" xfId="0" applyNumberFormat="1" applyFont="1"/>
    <xf numFmtId="3" fontId="495" fillId="0" borderId="0" xfId="0" applyNumberFormat="1" applyFont="1"/>
    <xf numFmtId="3" fontId="496" fillId="0" borderId="0" xfId="0" applyNumberFormat="1" applyFont="1"/>
    <xf numFmtId="3" fontId="497" fillId="0" borderId="0" xfId="0" applyNumberFormat="1" applyFont="1"/>
    <xf numFmtId="3" fontId="498" fillId="0" borderId="0" xfId="0" applyNumberFormat="1" applyFont="1"/>
    <xf numFmtId="3" fontId="499" fillId="0" borderId="0" xfId="0" applyNumberFormat="1" applyFont="1"/>
    <xf numFmtId="3" fontId="500" fillId="0" borderId="0" xfId="0" applyNumberFormat="1" applyFont="1"/>
    <xf numFmtId="3" fontId="501" fillId="0" borderId="0" xfId="0" applyNumberFormat="1" applyFont="1"/>
    <xf numFmtId="3" fontId="502" fillId="0" borderId="0" xfId="0" applyNumberFormat="1" applyFont="1"/>
    <xf numFmtId="3" fontId="503" fillId="0" borderId="0" xfId="0" applyNumberFormat="1" applyFont="1"/>
    <xf numFmtId="3" fontId="504" fillId="0" borderId="0" xfId="0" applyNumberFormat="1" applyFont="1"/>
    <xf numFmtId="3" fontId="505" fillId="0" borderId="0" xfId="0" applyNumberFormat="1" applyFont="1"/>
    <xf numFmtId="3" fontId="506" fillId="0" borderId="0" xfId="0" applyNumberFormat="1" applyFont="1"/>
    <xf numFmtId="3" fontId="507" fillId="0" borderId="0" xfId="0" applyNumberFormat="1" applyFont="1"/>
    <xf numFmtId="3" fontId="508" fillId="0" borderId="0" xfId="0" applyNumberFormat="1" applyFont="1"/>
    <xf numFmtId="3" fontId="509" fillId="0" borderId="0" xfId="0" applyNumberFormat="1" applyFont="1"/>
    <xf numFmtId="3" fontId="510" fillId="0" borderId="0" xfId="0" applyNumberFormat="1" applyFont="1"/>
    <xf numFmtId="3" fontId="511" fillId="0" borderId="0" xfId="0" applyNumberFormat="1" applyFont="1"/>
    <xf numFmtId="3" fontId="512" fillId="0" borderId="0" xfId="0" applyNumberFormat="1" applyFont="1"/>
    <xf numFmtId="3" fontId="513" fillId="0" borderId="0" xfId="0" applyNumberFormat="1" applyFont="1"/>
    <xf numFmtId="3" fontId="514" fillId="0" borderId="0" xfId="0" applyNumberFormat="1" applyFont="1"/>
    <xf numFmtId="3" fontId="515" fillId="0" borderId="0" xfId="0" applyNumberFormat="1" applyFont="1"/>
    <xf numFmtId="3" fontId="516" fillId="0" borderId="0" xfId="0" applyNumberFormat="1" applyFont="1"/>
    <xf numFmtId="3" fontId="517" fillId="0" borderId="0" xfId="0" applyNumberFormat="1" applyFont="1"/>
    <xf numFmtId="3" fontId="518" fillId="0" borderId="0" xfId="0" applyNumberFormat="1" applyFont="1"/>
    <xf numFmtId="3" fontId="519" fillId="0" borderId="0" xfId="0" applyNumberFormat="1" applyFont="1"/>
    <xf numFmtId="3" fontId="520" fillId="0" borderId="0" xfId="0" applyNumberFormat="1" applyFont="1"/>
    <xf numFmtId="3" fontId="521" fillId="0" borderId="0" xfId="0" applyNumberFormat="1" applyFont="1"/>
    <xf numFmtId="3" fontId="522" fillId="0" borderId="0" xfId="0" applyNumberFormat="1" applyFont="1"/>
    <xf numFmtId="3" fontId="523" fillId="0" borderId="0" xfId="0" applyNumberFormat="1" applyFont="1"/>
    <xf numFmtId="3" fontId="524" fillId="0" borderId="0" xfId="0" applyNumberFormat="1" applyFont="1"/>
    <xf numFmtId="3" fontId="525" fillId="0" borderId="0" xfId="0" applyNumberFormat="1" applyFont="1"/>
    <xf numFmtId="3" fontId="526" fillId="0" borderId="0" xfId="0" applyNumberFormat="1" applyFont="1"/>
    <xf numFmtId="3" fontId="527" fillId="0" borderId="0" xfId="0" applyNumberFormat="1" applyFont="1"/>
    <xf numFmtId="3" fontId="528" fillId="0" borderId="0" xfId="0" applyNumberFormat="1" applyFont="1"/>
    <xf numFmtId="3" fontId="529" fillId="0" borderId="0" xfId="0" applyNumberFormat="1" applyFont="1"/>
    <xf numFmtId="3" fontId="530" fillId="0" borderId="0" xfId="0" applyNumberFormat="1" applyFont="1"/>
    <xf numFmtId="3" fontId="531" fillId="0" borderId="0" xfId="0" applyNumberFormat="1" applyFont="1"/>
    <xf numFmtId="3" fontId="532" fillId="0" borderId="0" xfId="0" applyNumberFormat="1" applyFont="1"/>
    <xf numFmtId="3" fontId="533" fillId="0" borderId="0" xfId="0" applyNumberFormat="1" applyFont="1"/>
    <xf numFmtId="3" fontId="534" fillId="0" borderId="0" xfId="0" applyNumberFormat="1" applyFont="1"/>
    <xf numFmtId="3" fontId="535" fillId="0" borderId="0" xfId="0" applyNumberFormat="1" applyFont="1"/>
    <xf numFmtId="3" fontId="536" fillId="0" borderId="0" xfId="0" applyNumberFormat="1" applyFont="1"/>
    <xf numFmtId="3" fontId="537" fillId="0" borderId="0" xfId="0" applyNumberFormat="1" applyFont="1"/>
    <xf numFmtId="3" fontId="538" fillId="0" borderId="0" xfId="0" applyNumberFormat="1" applyFont="1"/>
    <xf numFmtId="3" fontId="539" fillId="0" borderId="0" xfId="0" applyNumberFormat="1" applyFont="1"/>
    <xf numFmtId="3" fontId="540" fillId="0" borderId="0" xfId="0" applyNumberFormat="1" applyFont="1"/>
    <xf numFmtId="3" fontId="541" fillId="0" borderId="0" xfId="0" applyNumberFormat="1" applyFont="1"/>
    <xf numFmtId="3" fontId="542" fillId="0" borderId="0" xfId="0" applyNumberFormat="1" applyFont="1"/>
    <xf numFmtId="3" fontId="543" fillId="0" borderId="0" xfId="0" applyNumberFormat="1" applyFont="1"/>
    <xf numFmtId="3" fontId="544" fillId="0" borderId="0" xfId="0" applyNumberFormat="1" applyFont="1"/>
    <xf numFmtId="3" fontId="545" fillId="0" borderId="0" xfId="0" applyNumberFormat="1" applyFont="1"/>
    <xf numFmtId="3" fontId="546" fillId="0" borderId="0" xfId="0" applyNumberFormat="1" applyFont="1"/>
    <xf numFmtId="3" fontId="547" fillId="0" borderId="0" xfId="0" applyNumberFormat="1" applyFont="1"/>
    <xf numFmtId="3" fontId="548" fillId="0" borderId="0" xfId="0" applyNumberFormat="1" applyFont="1"/>
    <xf numFmtId="3" fontId="549" fillId="0" borderId="0" xfId="0" applyNumberFormat="1" applyFont="1"/>
    <xf numFmtId="3" fontId="550" fillId="0" borderId="0" xfId="0" applyNumberFormat="1" applyFont="1"/>
    <xf numFmtId="3" fontId="551" fillId="0" borderId="0" xfId="0" applyNumberFormat="1" applyFont="1"/>
    <xf numFmtId="3" fontId="552" fillId="0" borderId="0" xfId="0" applyNumberFormat="1" applyFont="1"/>
    <xf numFmtId="3" fontId="553" fillId="0" borderId="0" xfId="0" applyNumberFormat="1" applyFont="1"/>
    <xf numFmtId="3" fontId="554" fillId="0" borderId="0" xfId="0" applyNumberFormat="1" applyFont="1"/>
    <xf numFmtId="3" fontId="555" fillId="0" borderId="0" xfId="0" applyNumberFormat="1" applyFont="1"/>
    <xf numFmtId="3" fontId="556" fillId="0" borderId="0" xfId="0" applyNumberFormat="1" applyFont="1"/>
    <xf numFmtId="3" fontId="557" fillId="0" borderId="0" xfId="0" applyNumberFormat="1" applyFont="1"/>
    <xf numFmtId="3" fontId="558" fillId="0" borderId="0" xfId="0" applyNumberFormat="1" applyFont="1"/>
    <xf numFmtId="3" fontId="559" fillId="0" borderId="0" xfId="0" applyNumberFormat="1" applyFont="1"/>
    <xf numFmtId="3" fontId="560" fillId="0" borderId="0" xfId="0" applyNumberFormat="1" applyFont="1"/>
    <xf numFmtId="3" fontId="561" fillId="0" borderId="0" xfId="0" applyNumberFormat="1" applyFont="1"/>
    <xf numFmtId="3" fontId="562" fillId="0" borderId="0" xfId="0" applyNumberFormat="1" applyFont="1"/>
    <xf numFmtId="3" fontId="563" fillId="0" borderId="0" xfId="0" applyNumberFormat="1" applyFont="1"/>
    <xf numFmtId="3" fontId="564" fillId="0" borderId="0" xfId="0" applyNumberFormat="1" applyFont="1"/>
    <xf numFmtId="3" fontId="565" fillId="0" borderId="0" xfId="0" applyNumberFormat="1" applyFont="1"/>
    <xf numFmtId="3" fontId="566" fillId="0" borderId="0" xfId="0" applyNumberFormat="1" applyFont="1"/>
    <xf numFmtId="3" fontId="567" fillId="0" borderId="0" xfId="0" applyNumberFormat="1" applyFont="1"/>
    <xf numFmtId="3" fontId="568" fillId="0" borderId="0" xfId="0" applyNumberFormat="1" applyFont="1"/>
    <xf numFmtId="3" fontId="569" fillId="0" borderId="0" xfId="0" applyNumberFormat="1" applyFont="1"/>
    <xf numFmtId="3" fontId="570" fillId="0" borderId="0" xfId="0" applyNumberFormat="1" applyFont="1"/>
    <xf numFmtId="3" fontId="571" fillId="0" borderId="0" xfId="0" applyNumberFormat="1" applyFont="1"/>
    <xf numFmtId="3" fontId="572" fillId="0" borderId="0" xfId="0" applyNumberFormat="1" applyFont="1"/>
    <xf numFmtId="3" fontId="573" fillId="0" borderId="0" xfId="0" applyNumberFormat="1" applyFont="1"/>
    <xf numFmtId="3" fontId="574" fillId="0" borderId="0" xfId="0" applyNumberFormat="1" applyFont="1"/>
    <xf numFmtId="3" fontId="575" fillId="0" borderId="0" xfId="0" applyNumberFormat="1" applyFont="1"/>
    <xf numFmtId="3" fontId="576" fillId="0" borderId="0" xfId="0" applyNumberFormat="1" applyFont="1"/>
    <xf numFmtId="3" fontId="577" fillId="0" borderId="0" xfId="0" applyNumberFormat="1" applyFont="1"/>
    <xf numFmtId="3" fontId="578" fillId="0" borderId="0" xfId="0" applyNumberFormat="1" applyFont="1"/>
    <xf numFmtId="3" fontId="579" fillId="0" borderId="0" xfId="0" applyNumberFormat="1" applyFont="1"/>
    <xf numFmtId="3" fontId="580" fillId="0" borderId="0" xfId="0" applyNumberFormat="1" applyFont="1"/>
    <xf numFmtId="3" fontId="581" fillId="0" borderId="0" xfId="0" applyNumberFormat="1" applyFont="1"/>
    <xf numFmtId="3" fontId="582" fillId="0" borderId="0" xfId="0" applyNumberFormat="1" applyFont="1"/>
    <xf numFmtId="3" fontId="583" fillId="0" borderId="0" xfId="0" applyNumberFormat="1" applyFont="1"/>
    <xf numFmtId="3" fontId="584" fillId="0" borderId="0" xfId="0" applyNumberFormat="1" applyFont="1"/>
    <xf numFmtId="3" fontId="585" fillId="0" borderId="0" xfId="0" applyNumberFormat="1" applyFont="1"/>
    <xf numFmtId="3" fontId="586" fillId="0" borderId="0" xfId="0" applyNumberFormat="1" applyFont="1"/>
    <xf numFmtId="3" fontId="587" fillId="0" borderId="0" xfId="0" applyNumberFormat="1" applyFont="1"/>
    <xf numFmtId="3" fontId="588" fillId="0" borderId="0" xfId="0" applyNumberFormat="1" applyFont="1"/>
    <xf numFmtId="3" fontId="589" fillId="0" borderId="0" xfId="0" applyNumberFormat="1" applyFont="1"/>
    <xf numFmtId="3" fontId="590" fillId="0" borderId="0" xfId="0" applyNumberFormat="1" applyFont="1"/>
    <xf numFmtId="3" fontId="591" fillId="0" borderId="0" xfId="0" applyNumberFormat="1" applyFont="1"/>
    <xf numFmtId="3" fontId="592" fillId="0" borderId="0" xfId="0" applyNumberFormat="1" applyFont="1"/>
    <xf numFmtId="3" fontId="593" fillId="0" borderId="0" xfId="0" applyNumberFormat="1" applyFont="1"/>
    <xf numFmtId="3" fontId="594" fillId="0" borderId="0" xfId="0" applyNumberFormat="1" applyFont="1"/>
    <xf numFmtId="3" fontId="595" fillId="0" borderId="0" xfId="0" applyNumberFormat="1" applyFont="1"/>
    <xf numFmtId="3" fontId="596" fillId="0" borderId="0" xfId="0" applyNumberFormat="1" applyFont="1"/>
    <xf numFmtId="3" fontId="597" fillId="0" borderId="0" xfId="0" applyNumberFormat="1" applyFont="1"/>
    <xf numFmtId="3" fontId="598" fillId="0" borderId="0" xfId="0" applyNumberFormat="1" applyFont="1"/>
    <xf numFmtId="3" fontId="599" fillId="0" borderId="0" xfId="0" applyNumberFormat="1" applyFont="1"/>
    <xf numFmtId="3" fontId="600" fillId="0" borderId="0" xfId="0" applyNumberFormat="1" applyFont="1"/>
    <xf numFmtId="3" fontId="601" fillId="0" borderId="0" xfId="0" applyNumberFormat="1" applyFont="1"/>
    <xf numFmtId="3" fontId="602" fillId="0" borderId="0" xfId="0" applyNumberFormat="1" applyFont="1"/>
    <xf numFmtId="3" fontId="603" fillId="0" borderId="0" xfId="0" applyNumberFormat="1" applyFont="1"/>
    <xf numFmtId="3" fontId="604" fillId="0" borderId="0" xfId="0" applyNumberFormat="1" applyFont="1"/>
    <xf numFmtId="3" fontId="605" fillId="0" borderId="0" xfId="0" applyNumberFormat="1" applyFont="1"/>
    <xf numFmtId="3" fontId="606" fillId="0" borderId="0" xfId="0" applyNumberFormat="1" applyFont="1"/>
    <xf numFmtId="3" fontId="607" fillId="0" borderId="0" xfId="0" applyNumberFormat="1" applyFont="1"/>
    <xf numFmtId="3" fontId="608" fillId="0" borderId="0" xfId="0" applyNumberFormat="1" applyFont="1"/>
    <xf numFmtId="3" fontId="609" fillId="0" borderId="0" xfId="0" applyNumberFormat="1" applyFont="1"/>
    <xf numFmtId="3" fontId="610" fillId="0" borderId="0" xfId="0" applyNumberFormat="1" applyFont="1"/>
    <xf numFmtId="3" fontId="611" fillId="0" borderId="0" xfId="0" applyNumberFormat="1" applyFont="1"/>
    <xf numFmtId="3" fontId="612" fillId="0" borderId="0" xfId="0" applyNumberFormat="1" applyFont="1"/>
    <xf numFmtId="3" fontId="613" fillId="0" borderId="0" xfId="0" applyNumberFormat="1" applyFont="1"/>
    <xf numFmtId="3" fontId="614" fillId="0" borderId="0" xfId="0" applyNumberFormat="1" applyFont="1"/>
    <xf numFmtId="3" fontId="615" fillId="0" borderId="0" xfId="0" applyNumberFormat="1" applyFont="1"/>
    <xf numFmtId="3" fontId="616" fillId="0" borderId="0" xfId="0" applyNumberFormat="1" applyFont="1"/>
    <xf numFmtId="3" fontId="617" fillId="0" borderId="0" xfId="0" applyNumberFormat="1" applyFont="1"/>
    <xf numFmtId="3" fontId="618" fillId="0" borderId="0" xfId="0" applyNumberFormat="1" applyFont="1"/>
    <xf numFmtId="3" fontId="619" fillId="0" borderId="0" xfId="0" applyNumberFormat="1" applyFont="1"/>
    <xf numFmtId="3" fontId="620" fillId="0" borderId="0" xfId="0" applyNumberFormat="1" applyFont="1"/>
    <xf numFmtId="3" fontId="621" fillId="0" borderId="0" xfId="0" applyNumberFormat="1" applyFont="1"/>
    <xf numFmtId="3" fontId="622" fillId="0" borderId="0" xfId="0" applyNumberFormat="1" applyFont="1"/>
    <xf numFmtId="3" fontId="623" fillId="0" borderId="0" xfId="0" applyNumberFormat="1" applyFont="1"/>
    <xf numFmtId="3" fontId="624" fillId="0" borderId="0" xfId="0" applyNumberFormat="1" applyFont="1"/>
    <xf numFmtId="3" fontId="625" fillId="0" borderId="0" xfId="0" applyNumberFormat="1" applyFont="1"/>
    <xf numFmtId="3" fontId="626" fillId="0" borderId="0" xfId="0" applyNumberFormat="1" applyFont="1"/>
    <xf numFmtId="3" fontId="627" fillId="0" borderId="0" xfId="0" applyNumberFormat="1" applyFont="1"/>
    <xf numFmtId="3" fontId="628" fillId="0" borderId="0" xfId="0" applyNumberFormat="1" applyFont="1"/>
    <xf numFmtId="3" fontId="629" fillId="0" borderId="0" xfId="0" applyNumberFormat="1" applyFont="1"/>
    <xf numFmtId="3" fontId="630" fillId="0" borderId="0" xfId="0" applyNumberFormat="1" applyFont="1"/>
    <xf numFmtId="3" fontId="631" fillId="0" borderId="0" xfId="0" applyNumberFormat="1" applyFont="1"/>
    <xf numFmtId="3" fontId="632" fillId="0" borderId="0" xfId="0" applyNumberFormat="1" applyFont="1"/>
    <xf numFmtId="3" fontId="633" fillId="0" borderId="0" xfId="0" applyNumberFormat="1" applyFont="1"/>
    <xf numFmtId="3" fontId="634" fillId="0" borderId="0" xfId="0" applyNumberFormat="1" applyFont="1"/>
    <xf numFmtId="3" fontId="635" fillId="0" borderId="0" xfId="0" applyNumberFormat="1" applyFont="1"/>
    <xf numFmtId="3" fontId="636" fillId="0" borderId="0" xfId="0" applyNumberFormat="1" applyFont="1"/>
    <xf numFmtId="3" fontId="637" fillId="0" borderId="0" xfId="0" applyNumberFormat="1" applyFont="1"/>
    <xf numFmtId="3" fontId="638" fillId="0" borderId="0" xfId="0" applyNumberFormat="1" applyFont="1"/>
    <xf numFmtId="3" fontId="639" fillId="0" borderId="0" xfId="0" applyNumberFormat="1" applyFont="1"/>
    <xf numFmtId="3" fontId="640" fillId="0" borderId="0" xfId="0" applyNumberFormat="1" applyFont="1"/>
    <xf numFmtId="3" fontId="641" fillId="0" borderId="0" xfId="0" applyNumberFormat="1" applyFont="1"/>
    <xf numFmtId="3" fontId="642" fillId="0" borderId="0" xfId="0" applyNumberFormat="1" applyFont="1"/>
    <xf numFmtId="3" fontId="643" fillId="0" borderId="0" xfId="0" applyNumberFormat="1" applyFont="1"/>
    <xf numFmtId="3" fontId="644" fillId="0" borderId="0" xfId="0" applyNumberFormat="1" applyFont="1"/>
    <xf numFmtId="3" fontId="645" fillId="0" borderId="0" xfId="0" applyNumberFormat="1" applyFont="1"/>
    <xf numFmtId="3" fontId="646" fillId="0" borderId="0" xfId="0" applyNumberFormat="1" applyFont="1"/>
    <xf numFmtId="3" fontId="647" fillId="0" borderId="0" xfId="0" applyNumberFormat="1" applyFont="1"/>
    <xf numFmtId="3" fontId="648" fillId="0" borderId="0" xfId="0" applyNumberFormat="1" applyFont="1"/>
    <xf numFmtId="3" fontId="649" fillId="0" borderId="0" xfId="0" applyNumberFormat="1" applyFont="1"/>
    <xf numFmtId="3" fontId="650" fillId="0" borderId="0" xfId="0" applyNumberFormat="1" applyFont="1"/>
    <xf numFmtId="3" fontId="651" fillId="0" borderId="0" xfId="0" applyNumberFormat="1" applyFont="1"/>
    <xf numFmtId="3" fontId="652" fillId="0" borderId="0" xfId="0" applyNumberFormat="1" applyFont="1"/>
    <xf numFmtId="3" fontId="653" fillId="0" borderId="0" xfId="0" applyNumberFormat="1" applyFont="1"/>
    <xf numFmtId="3" fontId="654" fillId="0" borderId="0" xfId="0" applyNumberFormat="1" applyFont="1"/>
    <xf numFmtId="3" fontId="655" fillId="0" borderId="0" xfId="0" applyNumberFormat="1" applyFont="1"/>
    <xf numFmtId="3" fontId="656" fillId="0" borderId="0" xfId="0" applyNumberFormat="1" applyFont="1"/>
    <xf numFmtId="3" fontId="657" fillId="0" borderId="0" xfId="0" applyNumberFormat="1" applyFont="1"/>
    <xf numFmtId="3" fontId="658" fillId="0" borderId="0" xfId="0" applyNumberFormat="1" applyFont="1"/>
    <xf numFmtId="3" fontId="659" fillId="0" borderId="0" xfId="0" applyNumberFormat="1" applyFont="1"/>
    <xf numFmtId="3" fontId="660" fillId="0" borderId="0" xfId="0" applyNumberFormat="1" applyFont="1"/>
    <xf numFmtId="3" fontId="661" fillId="0" borderId="0" xfId="0" applyNumberFormat="1" applyFont="1"/>
    <xf numFmtId="3" fontId="662" fillId="0" borderId="0" xfId="0" applyNumberFormat="1" applyFont="1"/>
    <xf numFmtId="3" fontId="663" fillId="0" borderId="0" xfId="0" applyNumberFormat="1" applyFont="1"/>
    <xf numFmtId="3" fontId="664" fillId="0" borderId="0" xfId="0" applyNumberFormat="1" applyFont="1"/>
    <xf numFmtId="3" fontId="665" fillId="0" borderId="0" xfId="0" applyNumberFormat="1" applyFont="1"/>
    <xf numFmtId="3" fontId="666" fillId="0" borderId="0" xfId="0" applyNumberFormat="1" applyFont="1"/>
    <xf numFmtId="3" fontId="667" fillId="0" borderId="0" xfId="0" applyNumberFormat="1" applyFont="1"/>
    <xf numFmtId="3" fontId="668" fillId="0" borderId="0" xfId="0" applyNumberFormat="1" applyFont="1"/>
    <xf numFmtId="3" fontId="669" fillId="0" borderId="0" xfId="0" applyNumberFormat="1" applyFont="1"/>
    <xf numFmtId="3" fontId="670" fillId="0" borderId="0" xfId="0" applyNumberFormat="1" applyFont="1"/>
    <xf numFmtId="3" fontId="671" fillId="0" borderId="0" xfId="0" applyNumberFormat="1" applyFont="1"/>
    <xf numFmtId="3" fontId="672" fillId="0" borderId="0" xfId="0" applyNumberFormat="1" applyFont="1"/>
    <xf numFmtId="3" fontId="673" fillId="0" borderId="0" xfId="0" applyNumberFormat="1" applyFont="1"/>
    <xf numFmtId="3" fontId="674" fillId="0" borderId="0" xfId="0" applyNumberFormat="1" applyFont="1"/>
    <xf numFmtId="3" fontId="675" fillId="0" borderId="0" xfId="0" applyNumberFormat="1" applyFont="1"/>
    <xf numFmtId="3" fontId="676" fillId="0" borderId="0" xfId="0" applyNumberFormat="1" applyFont="1"/>
    <xf numFmtId="3" fontId="677" fillId="0" borderId="0" xfId="0" applyNumberFormat="1" applyFont="1"/>
    <xf numFmtId="3" fontId="678" fillId="0" borderId="0" xfId="0" applyNumberFormat="1" applyFont="1"/>
    <xf numFmtId="3" fontId="679" fillId="0" borderId="0" xfId="0" applyNumberFormat="1" applyFont="1"/>
    <xf numFmtId="3" fontId="680" fillId="0" borderId="0" xfId="0" applyNumberFormat="1" applyFont="1"/>
    <xf numFmtId="3" fontId="681" fillId="0" borderId="0" xfId="0" applyNumberFormat="1" applyFont="1"/>
    <xf numFmtId="3" fontId="682" fillId="0" borderId="0" xfId="0" applyNumberFormat="1" applyFont="1"/>
    <xf numFmtId="3" fontId="683" fillId="0" borderId="0" xfId="0" applyNumberFormat="1" applyFont="1"/>
    <xf numFmtId="3" fontId="684" fillId="0" borderId="0" xfId="0" applyNumberFormat="1" applyFont="1"/>
    <xf numFmtId="3" fontId="685" fillId="0" borderId="0" xfId="0" applyNumberFormat="1" applyFont="1"/>
    <xf numFmtId="3" fontId="686" fillId="0" borderId="0" xfId="0" applyNumberFormat="1" applyFont="1"/>
    <xf numFmtId="3" fontId="687" fillId="0" borderId="0" xfId="0" applyNumberFormat="1" applyFont="1"/>
    <xf numFmtId="3" fontId="688" fillId="0" borderId="0" xfId="0" applyNumberFormat="1" applyFont="1"/>
    <xf numFmtId="3" fontId="689" fillId="0" borderId="0" xfId="0" applyNumberFormat="1" applyFont="1"/>
    <xf numFmtId="3" fontId="690" fillId="0" borderId="0" xfId="0" applyNumberFormat="1" applyFont="1"/>
    <xf numFmtId="3" fontId="691" fillId="0" borderId="0" xfId="0" applyNumberFormat="1" applyFont="1"/>
    <xf numFmtId="3" fontId="692" fillId="0" borderId="0" xfId="0" applyNumberFormat="1" applyFont="1"/>
    <xf numFmtId="3" fontId="693" fillId="0" borderId="0" xfId="0" applyNumberFormat="1" applyFont="1"/>
    <xf numFmtId="3" fontId="694" fillId="0" borderId="0" xfId="0" applyNumberFormat="1" applyFont="1"/>
    <xf numFmtId="3" fontId="695" fillId="0" borderId="0" xfId="0" applyNumberFormat="1" applyFont="1"/>
    <xf numFmtId="3" fontId="696" fillId="0" borderId="0" xfId="0" applyNumberFormat="1" applyFont="1"/>
    <xf numFmtId="3" fontId="697" fillId="0" borderId="0" xfId="0" applyNumberFormat="1" applyFont="1"/>
    <xf numFmtId="3" fontId="698" fillId="0" borderId="0" xfId="0" applyNumberFormat="1" applyFont="1"/>
    <xf numFmtId="3" fontId="699" fillId="0" borderId="0" xfId="0" applyNumberFormat="1" applyFont="1"/>
    <xf numFmtId="3" fontId="700" fillId="0" borderId="0" xfId="0" applyNumberFormat="1" applyFont="1"/>
    <xf numFmtId="3" fontId="701" fillId="0" borderId="0" xfId="0" applyNumberFormat="1" applyFont="1"/>
    <xf numFmtId="3" fontId="702" fillId="0" borderId="0" xfId="0" applyNumberFormat="1" applyFont="1"/>
    <xf numFmtId="3" fontId="703" fillId="0" borderId="0" xfId="0" applyNumberFormat="1" applyFont="1"/>
    <xf numFmtId="3" fontId="704" fillId="0" borderId="0" xfId="0" applyNumberFormat="1" applyFont="1"/>
    <xf numFmtId="3" fontId="705" fillId="0" borderId="0" xfId="0" applyNumberFormat="1" applyFont="1"/>
    <xf numFmtId="3" fontId="706" fillId="0" borderId="0" xfId="0" applyNumberFormat="1" applyFont="1"/>
    <xf numFmtId="3" fontId="707" fillId="0" borderId="0" xfId="0" applyNumberFormat="1" applyFont="1"/>
    <xf numFmtId="3" fontId="708" fillId="0" borderId="0" xfId="0" applyNumberFormat="1" applyFont="1"/>
    <xf numFmtId="3" fontId="709" fillId="0" borderId="0" xfId="0" applyNumberFormat="1" applyFont="1"/>
    <xf numFmtId="3" fontId="710" fillId="0" borderId="0" xfId="0" applyNumberFormat="1" applyFont="1"/>
    <xf numFmtId="3" fontId="711" fillId="0" borderId="0" xfId="0" applyNumberFormat="1" applyFont="1"/>
    <xf numFmtId="3" fontId="712" fillId="0" borderId="0" xfId="0" applyNumberFormat="1" applyFont="1"/>
    <xf numFmtId="3" fontId="713" fillId="0" borderId="0" xfId="0" applyNumberFormat="1" applyFont="1"/>
    <xf numFmtId="3" fontId="714" fillId="0" borderId="0" xfId="0" applyNumberFormat="1" applyFont="1"/>
    <xf numFmtId="3" fontId="715" fillId="0" borderId="0" xfId="0" applyNumberFormat="1" applyFont="1"/>
    <xf numFmtId="3" fontId="716" fillId="0" borderId="0" xfId="0" applyNumberFormat="1" applyFont="1"/>
    <xf numFmtId="3" fontId="717" fillId="0" borderId="0" xfId="0" applyNumberFormat="1" applyFont="1"/>
    <xf numFmtId="3" fontId="718" fillId="0" borderId="0" xfId="0" applyNumberFormat="1" applyFont="1"/>
    <xf numFmtId="3" fontId="719" fillId="0" borderId="0" xfId="0" applyNumberFormat="1" applyFont="1"/>
    <xf numFmtId="3" fontId="720" fillId="0" borderId="0" xfId="0" applyNumberFormat="1" applyFont="1"/>
    <xf numFmtId="3" fontId="721" fillId="0" borderId="0" xfId="0" applyNumberFormat="1" applyFont="1"/>
    <xf numFmtId="3" fontId="722" fillId="0" borderId="0" xfId="0" applyNumberFormat="1" applyFont="1"/>
    <xf numFmtId="3" fontId="723" fillId="0" borderId="0" xfId="0" applyNumberFormat="1" applyFont="1"/>
    <xf numFmtId="3" fontId="724" fillId="0" borderId="0" xfId="0" applyNumberFormat="1" applyFont="1"/>
    <xf numFmtId="3" fontId="725" fillId="0" borderId="0" xfId="0" applyNumberFormat="1" applyFont="1"/>
    <xf numFmtId="3" fontId="726" fillId="0" borderId="0" xfId="0" applyNumberFormat="1" applyFont="1"/>
    <xf numFmtId="3" fontId="727" fillId="0" borderId="0" xfId="0" applyNumberFormat="1" applyFont="1"/>
    <xf numFmtId="3" fontId="728" fillId="0" borderId="0" xfId="0" applyNumberFormat="1" applyFont="1"/>
    <xf numFmtId="3" fontId="729" fillId="0" borderId="0" xfId="0" applyNumberFormat="1" applyFont="1"/>
    <xf numFmtId="3" fontId="730" fillId="0" borderId="0" xfId="0" applyNumberFormat="1" applyFont="1"/>
    <xf numFmtId="3" fontId="731" fillId="0" borderId="0" xfId="0" applyNumberFormat="1" applyFont="1"/>
    <xf numFmtId="3" fontId="732" fillId="0" borderId="0" xfId="0" applyNumberFormat="1" applyFont="1"/>
    <xf numFmtId="3" fontId="733" fillId="0" borderId="0" xfId="0" applyNumberFormat="1" applyFont="1"/>
    <xf numFmtId="3" fontId="734" fillId="0" borderId="0" xfId="0" applyNumberFormat="1" applyFont="1"/>
    <xf numFmtId="3" fontId="735" fillId="0" borderId="0" xfId="0" applyNumberFormat="1" applyFont="1"/>
    <xf numFmtId="3" fontId="736" fillId="0" borderId="0" xfId="0" applyNumberFormat="1" applyFont="1"/>
    <xf numFmtId="3" fontId="737" fillId="0" borderId="0" xfId="0" applyNumberFormat="1" applyFont="1"/>
    <xf numFmtId="3" fontId="738" fillId="0" borderId="0" xfId="0" applyNumberFormat="1" applyFont="1"/>
    <xf numFmtId="3" fontId="739" fillId="0" borderId="0" xfId="0" applyNumberFormat="1" applyFont="1"/>
    <xf numFmtId="3" fontId="740" fillId="0" borderId="0" xfId="0" applyNumberFormat="1" applyFont="1"/>
    <xf numFmtId="3" fontId="741" fillId="0" borderId="0" xfId="0" applyNumberFormat="1" applyFont="1"/>
    <xf numFmtId="3" fontId="742" fillId="0" borderId="0" xfId="0" applyNumberFormat="1" applyFont="1"/>
    <xf numFmtId="3" fontId="743" fillId="0" borderId="0" xfId="0" applyNumberFormat="1" applyFont="1"/>
    <xf numFmtId="3" fontId="744" fillId="0" borderId="0" xfId="0" applyNumberFormat="1" applyFont="1"/>
    <xf numFmtId="3" fontId="745" fillId="0" borderId="0" xfId="0" applyNumberFormat="1" applyFont="1"/>
    <xf numFmtId="3" fontId="746" fillId="0" borderId="0" xfId="0" applyNumberFormat="1" applyFont="1"/>
    <xf numFmtId="3" fontId="747" fillId="0" borderId="0" xfId="0" applyNumberFormat="1" applyFont="1"/>
    <xf numFmtId="3" fontId="748" fillId="0" borderId="0" xfId="0" applyNumberFormat="1" applyFont="1"/>
    <xf numFmtId="3" fontId="749" fillId="0" borderId="0" xfId="0" applyNumberFormat="1" applyFont="1"/>
    <xf numFmtId="3" fontId="750" fillId="0" borderId="0" xfId="0" applyNumberFormat="1" applyFont="1"/>
    <xf numFmtId="3" fontId="751" fillId="0" borderId="0" xfId="0" applyNumberFormat="1" applyFont="1"/>
    <xf numFmtId="3" fontId="752" fillId="0" borderId="0" xfId="0" applyNumberFormat="1" applyFont="1"/>
    <xf numFmtId="3" fontId="753" fillId="0" borderId="0" xfId="0" applyNumberFormat="1" applyFont="1"/>
    <xf numFmtId="3" fontId="754" fillId="0" borderId="0" xfId="0" applyNumberFormat="1" applyFont="1"/>
    <xf numFmtId="3" fontId="755" fillId="0" borderId="0" xfId="0" applyNumberFormat="1" applyFont="1"/>
    <xf numFmtId="3" fontId="756" fillId="0" borderId="0" xfId="0" applyNumberFormat="1" applyFont="1"/>
    <xf numFmtId="3" fontId="757" fillId="0" borderId="0" xfId="0" applyNumberFormat="1" applyFont="1"/>
    <xf numFmtId="3" fontId="758" fillId="0" borderId="0" xfId="0" applyNumberFormat="1" applyFont="1"/>
    <xf numFmtId="3" fontId="759" fillId="0" borderId="0" xfId="0" applyNumberFormat="1" applyFont="1"/>
    <xf numFmtId="3" fontId="760" fillId="0" borderId="0" xfId="0" applyNumberFormat="1" applyFont="1"/>
    <xf numFmtId="3" fontId="761" fillId="0" borderId="0" xfId="0" applyNumberFormat="1" applyFont="1"/>
    <xf numFmtId="3" fontId="762" fillId="0" borderId="0" xfId="0" applyNumberFormat="1" applyFont="1"/>
    <xf numFmtId="3" fontId="763" fillId="0" borderId="0" xfId="0" applyNumberFormat="1" applyFont="1"/>
    <xf numFmtId="3" fontId="764" fillId="0" borderId="0" xfId="0" applyNumberFormat="1" applyFont="1"/>
    <xf numFmtId="3" fontId="765" fillId="0" borderId="0" xfId="0" applyNumberFormat="1" applyFont="1"/>
    <xf numFmtId="3" fontId="766" fillId="0" borderId="0" xfId="0" applyNumberFormat="1" applyFont="1"/>
    <xf numFmtId="3" fontId="767" fillId="0" borderId="0" xfId="0" applyNumberFormat="1" applyFont="1"/>
    <xf numFmtId="3" fontId="768" fillId="0" borderId="0" xfId="0" applyNumberFormat="1" applyFont="1"/>
    <xf numFmtId="3" fontId="769" fillId="0" borderId="0" xfId="0" applyNumberFormat="1" applyFont="1"/>
    <xf numFmtId="3" fontId="770" fillId="0" borderId="0" xfId="0" applyNumberFormat="1" applyFont="1"/>
    <xf numFmtId="3" fontId="771" fillId="0" borderId="0" xfId="0" applyNumberFormat="1" applyFont="1"/>
    <xf numFmtId="3" fontId="772" fillId="0" borderId="0" xfId="0" applyNumberFormat="1" applyFont="1"/>
    <xf numFmtId="3" fontId="773" fillId="0" borderId="0" xfId="0" applyNumberFormat="1" applyFont="1"/>
    <xf numFmtId="3" fontId="774" fillId="0" borderId="0" xfId="0" applyNumberFormat="1" applyFont="1"/>
    <xf numFmtId="3" fontId="775" fillId="0" borderId="0" xfId="0" applyNumberFormat="1" applyFont="1"/>
    <xf numFmtId="3" fontId="776" fillId="0" borderId="0" xfId="0" applyNumberFormat="1" applyFont="1"/>
    <xf numFmtId="3" fontId="777" fillId="0" borderId="0" xfId="0" applyNumberFormat="1" applyFont="1"/>
    <xf numFmtId="3" fontId="778" fillId="0" borderId="0" xfId="0" applyNumberFormat="1" applyFont="1"/>
    <xf numFmtId="3" fontId="779" fillId="0" borderId="0" xfId="0" applyNumberFormat="1" applyFont="1"/>
    <xf numFmtId="3" fontId="780" fillId="0" borderId="0" xfId="0" applyNumberFormat="1" applyFont="1"/>
    <xf numFmtId="3" fontId="781" fillId="0" borderId="0" xfId="0" applyNumberFormat="1" applyFont="1"/>
    <xf numFmtId="3" fontId="782" fillId="0" borderId="0" xfId="0" applyNumberFormat="1" applyFont="1"/>
    <xf numFmtId="3" fontId="783" fillId="0" borderId="0" xfId="0" applyNumberFormat="1" applyFont="1"/>
    <xf numFmtId="3" fontId="784" fillId="0" borderId="0" xfId="0" applyNumberFormat="1" applyFont="1"/>
    <xf numFmtId="3" fontId="785" fillId="0" borderId="0" xfId="0" applyNumberFormat="1" applyFont="1"/>
    <xf numFmtId="3" fontId="786" fillId="0" borderId="0" xfId="0" applyNumberFormat="1" applyFont="1"/>
    <xf numFmtId="3" fontId="787" fillId="0" borderId="0" xfId="0" applyNumberFormat="1" applyFont="1"/>
    <xf numFmtId="3" fontId="788" fillId="0" borderId="0" xfId="0" applyNumberFormat="1" applyFont="1"/>
    <xf numFmtId="3" fontId="789" fillId="0" borderId="0" xfId="0" applyNumberFormat="1" applyFont="1"/>
    <xf numFmtId="3" fontId="790" fillId="0" borderId="0" xfId="0" applyNumberFormat="1" applyFont="1"/>
    <xf numFmtId="3" fontId="791" fillId="0" borderId="0" xfId="0" applyNumberFormat="1" applyFont="1"/>
    <xf numFmtId="3" fontId="792" fillId="0" borderId="0" xfId="0" applyNumberFormat="1" applyFont="1"/>
    <xf numFmtId="3" fontId="793" fillId="0" borderId="0" xfId="0" applyNumberFormat="1" applyFont="1"/>
    <xf numFmtId="3" fontId="794" fillId="0" borderId="0" xfId="0" applyNumberFormat="1" applyFont="1"/>
    <xf numFmtId="3" fontId="795" fillId="0" borderId="0" xfId="0" applyNumberFormat="1" applyFont="1"/>
    <xf numFmtId="3" fontId="796" fillId="0" borderId="0" xfId="0" applyNumberFormat="1" applyFont="1"/>
    <xf numFmtId="3" fontId="797" fillId="0" borderId="0" xfId="0" applyNumberFormat="1" applyFont="1"/>
    <xf numFmtId="3" fontId="798" fillId="0" borderId="0" xfId="0" applyNumberFormat="1" applyFont="1"/>
    <xf numFmtId="3" fontId="799" fillId="0" borderId="0" xfId="0" applyNumberFormat="1" applyFont="1"/>
    <xf numFmtId="3" fontId="800" fillId="0" borderId="0" xfId="0" applyNumberFormat="1" applyFont="1"/>
    <xf numFmtId="3" fontId="801" fillId="0" borderId="0" xfId="0" applyNumberFormat="1" applyFont="1"/>
    <xf numFmtId="3" fontId="802" fillId="0" borderId="0" xfId="0" applyNumberFormat="1" applyFont="1"/>
    <xf numFmtId="3" fontId="803" fillId="0" borderId="0" xfId="0" applyNumberFormat="1" applyFont="1"/>
    <xf numFmtId="3" fontId="804" fillId="0" borderId="0" xfId="0" applyNumberFormat="1" applyFont="1"/>
    <xf numFmtId="3" fontId="805" fillId="0" borderId="0" xfId="0" applyNumberFormat="1" applyFont="1"/>
    <xf numFmtId="3" fontId="806" fillId="0" borderId="0" xfId="0" applyNumberFormat="1" applyFont="1"/>
    <xf numFmtId="3" fontId="807" fillId="0" borderId="0" xfId="0" applyNumberFormat="1" applyFont="1"/>
    <xf numFmtId="3" fontId="808" fillId="0" borderId="0" xfId="0" applyNumberFormat="1" applyFont="1"/>
    <xf numFmtId="3" fontId="809" fillId="0" borderId="0" xfId="0" applyNumberFormat="1" applyFont="1"/>
    <xf numFmtId="3" fontId="810" fillId="0" borderId="0" xfId="0" applyNumberFormat="1" applyFont="1"/>
    <xf numFmtId="3" fontId="811" fillId="0" borderId="0" xfId="0" applyNumberFormat="1" applyFont="1"/>
    <xf numFmtId="3" fontId="812" fillId="0" borderId="0" xfId="0" applyNumberFormat="1" applyFont="1"/>
    <xf numFmtId="3" fontId="813" fillId="0" borderId="0" xfId="0" applyNumberFormat="1" applyFont="1"/>
    <xf numFmtId="3" fontId="814" fillId="0" borderId="0" xfId="0" applyNumberFormat="1" applyFont="1"/>
    <xf numFmtId="3" fontId="815" fillId="0" borderId="0" xfId="0" applyNumberFormat="1" applyFont="1"/>
    <xf numFmtId="3" fontId="816" fillId="0" borderId="0" xfId="0" applyNumberFormat="1" applyFont="1"/>
    <xf numFmtId="3" fontId="817" fillId="0" borderId="0" xfId="0" applyNumberFormat="1" applyFont="1"/>
    <xf numFmtId="3" fontId="818" fillId="0" borderId="0" xfId="0" applyNumberFormat="1" applyFont="1"/>
    <xf numFmtId="3" fontId="819" fillId="0" borderId="0" xfId="0" applyNumberFormat="1" applyFont="1"/>
    <xf numFmtId="3" fontId="820" fillId="0" borderId="0" xfId="0" applyNumberFormat="1" applyFont="1"/>
    <xf numFmtId="3" fontId="821" fillId="0" borderId="0" xfId="0" applyNumberFormat="1" applyFont="1"/>
    <xf numFmtId="3" fontId="822" fillId="0" borderId="0" xfId="0" applyNumberFormat="1" applyFont="1"/>
    <xf numFmtId="3" fontId="823" fillId="0" borderId="0" xfId="0" applyNumberFormat="1" applyFont="1"/>
    <xf numFmtId="3" fontId="824" fillId="0" borderId="0" xfId="0" applyNumberFormat="1" applyFont="1"/>
    <xf numFmtId="3" fontId="825" fillId="0" borderId="0" xfId="0" applyNumberFormat="1" applyFont="1"/>
    <xf numFmtId="3" fontId="826" fillId="0" borderId="0" xfId="0" applyNumberFormat="1" applyFont="1"/>
    <xf numFmtId="3" fontId="827" fillId="0" borderId="0" xfId="0" applyNumberFormat="1" applyFont="1"/>
    <xf numFmtId="3" fontId="828" fillId="0" borderId="0" xfId="0" applyNumberFormat="1" applyFont="1"/>
    <xf numFmtId="3" fontId="829" fillId="0" borderId="0" xfId="0" applyNumberFormat="1" applyFont="1"/>
    <xf numFmtId="3" fontId="830" fillId="0" borderId="0" xfId="0" applyNumberFormat="1" applyFont="1"/>
    <xf numFmtId="3" fontId="831" fillId="0" borderId="0" xfId="0" applyNumberFormat="1" applyFont="1"/>
    <xf numFmtId="3" fontId="832" fillId="0" borderId="0" xfId="0" applyNumberFormat="1" applyFont="1"/>
    <xf numFmtId="3" fontId="833" fillId="0" borderId="0" xfId="0" applyNumberFormat="1" applyFont="1"/>
    <xf numFmtId="3" fontId="834" fillId="0" borderId="0" xfId="0" applyNumberFormat="1" applyFont="1"/>
    <xf numFmtId="3" fontId="835" fillId="0" borderId="0" xfId="0" applyNumberFormat="1" applyFont="1"/>
    <xf numFmtId="3" fontId="836" fillId="0" borderId="0" xfId="0" applyNumberFormat="1" applyFont="1"/>
    <xf numFmtId="3" fontId="837" fillId="0" borderId="0" xfId="0" applyNumberFormat="1" applyFont="1"/>
    <xf numFmtId="3" fontId="838" fillId="0" borderId="0" xfId="0" applyNumberFormat="1" applyFont="1"/>
    <xf numFmtId="3" fontId="839" fillId="0" borderId="0" xfId="0" applyNumberFormat="1" applyFont="1"/>
    <xf numFmtId="3" fontId="840" fillId="0" borderId="0" xfId="0" applyNumberFormat="1" applyFont="1"/>
    <xf numFmtId="3" fontId="841" fillId="0" borderId="0" xfId="0" applyNumberFormat="1" applyFont="1"/>
    <xf numFmtId="3" fontId="842" fillId="0" borderId="0" xfId="0" applyNumberFormat="1" applyFont="1"/>
    <xf numFmtId="3" fontId="843" fillId="0" borderId="0" xfId="0" applyNumberFormat="1" applyFont="1"/>
    <xf numFmtId="3" fontId="844" fillId="0" borderId="0" xfId="0" applyNumberFormat="1" applyFont="1"/>
    <xf numFmtId="3" fontId="845" fillId="0" borderId="0" xfId="0" applyNumberFormat="1" applyFont="1"/>
    <xf numFmtId="3" fontId="846" fillId="0" borderId="0" xfId="0" applyNumberFormat="1" applyFont="1"/>
    <xf numFmtId="3" fontId="847" fillId="0" borderId="0" xfId="0" applyNumberFormat="1" applyFont="1"/>
    <xf numFmtId="3" fontId="848" fillId="0" borderId="0" xfId="0" applyNumberFormat="1" applyFont="1"/>
    <xf numFmtId="3" fontId="849" fillId="0" borderId="0" xfId="0" applyNumberFormat="1" applyFont="1"/>
    <xf numFmtId="3" fontId="850" fillId="0" borderId="0" xfId="0" applyNumberFormat="1" applyFont="1"/>
    <xf numFmtId="3" fontId="851" fillId="0" borderId="0" xfId="0" applyNumberFormat="1" applyFont="1"/>
    <xf numFmtId="3" fontId="852" fillId="0" borderId="0" xfId="0" applyNumberFormat="1" applyFont="1"/>
    <xf numFmtId="3" fontId="853" fillId="0" borderId="0" xfId="0" applyNumberFormat="1" applyFont="1"/>
    <xf numFmtId="3" fontId="854" fillId="0" borderId="0" xfId="0" applyNumberFormat="1" applyFont="1"/>
    <xf numFmtId="3" fontId="855" fillId="0" borderId="0" xfId="0" applyNumberFormat="1" applyFont="1"/>
    <xf numFmtId="3" fontId="856" fillId="0" borderId="0" xfId="0" applyNumberFormat="1" applyFont="1"/>
    <xf numFmtId="3" fontId="857" fillId="0" borderId="0" xfId="0" applyNumberFormat="1" applyFont="1"/>
    <xf numFmtId="3" fontId="858" fillId="0" borderId="0" xfId="0" applyNumberFormat="1" applyFont="1"/>
    <xf numFmtId="3" fontId="859" fillId="0" borderId="0" xfId="0" applyNumberFormat="1" applyFont="1"/>
    <xf numFmtId="3" fontId="860" fillId="0" borderId="0" xfId="0" applyNumberFormat="1" applyFont="1"/>
    <xf numFmtId="3" fontId="861" fillId="0" borderId="0" xfId="0" applyNumberFormat="1" applyFont="1"/>
    <xf numFmtId="3" fontId="862" fillId="0" borderId="0" xfId="0" applyNumberFormat="1" applyFont="1"/>
    <xf numFmtId="3" fontId="863" fillId="0" borderId="0" xfId="0" applyNumberFormat="1" applyFont="1"/>
    <xf numFmtId="3" fontId="864" fillId="0" borderId="0" xfId="0" applyNumberFormat="1" applyFont="1"/>
    <xf numFmtId="3" fontId="865" fillId="0" borderId="0" xfId="0" applyNumberFormat="1" applyFont="1"/>
    <xf numFmtId="3" fontId="866" fillId="0" borderId="0" xfId="0" applyNumberFormat="1" applyFont="1"/>
    <xf numFmtId="3" fontId="867" fillId="0" borderId="0" xfId="0" applyNumberFormat="1" applyFont="1"/>
    <xf numFmtId="3" fontId="868" fillId="0" borderId="0" xfId="0" applyNumberFormat="1" applyFont="1"/>
    <xf numFmtId="3" fontId="869" fillId="0" borderId="0" xfId="0" applyNumberFormat="1" applyFont="1"/>
    <xf numFmtId="3" fontId="870" fillId="0" borderId="0" xfId="0" applyNumberFormat="1" applyFont="1"/>
    <xf numFmtId="3" fontId="871" fillId="0" borderId="0" xfId="0" applyNumberFormat="1" applyFont="1"/>
    <xf numFmtId="3" fontId="872" fillId="0" borderId="0" xfId="0" applyNumberFormat="1" applyFont="1"/>
    <xf numFmtId="3" fontId="873" fillId="0" borderId="0" xfId="0" applyNumberFormat="1" applyFont="1"/>
    <xf numFmtId="3" fontId="874" fillId="0" borderId="0" xfId="0" applyNumberFormat="1" applyFont="1"/>
    <xf numFmtId="3" fontId="875" fillId="0" borderId="0" xfId="0" applyNumberFormat="1" applyFont="1"/>
    <xf numFmtId="3" fontId="876" fillId="0" borderId="0" xfId="0" applyNumberFormat="1" applyFont="1"/>
    <xf numFmtId="3" fontId="877" fillId="0" borderId="0" xfId="0" applyNumberFormat="1" applyFont="1"/>
    <xf numFmtId="3" fontId="878" fillId="0" borderId="0" xfId="0" applyNumberFormat="1" applyFont="1"/>
    <xf numFmtId="3" fontId="879" fillId="0" borderId="0" xfId="0" applyNumberFormat="1" applyFont="1"/>
    <xf numFmtId="3" fontId="880" fillId="0" borderId="0" xfId="0" applyNumberFormat="1" applyFont="1"/>
    <xf numFmtId="3" fontId="881" fillId="0" borderId="0" xfId="0" applyNumberFormat="1" applyFont="1"/>
    <xf numFmtId="3" fontId="882" fillId="0" borderId="0" xfId="0" applyNumberFormat="1" applyFont="1"/>
    <xf numFmtId="3" fontId="883" fillId="0" borderId="0" xfId="0" applyNumberFormat="1" applyFont="1"/>
    <xf numFmtId="3" fontId="884" fillId="0" borderId="0" xfId="0" applyNumberFormat="1" applyFont="1"/>
    <xf numFmtId="3" fontId="885" fillId="0" borderId="0" xfId="0" applyNumberFormat="1" applyFont="1"/>
    <xf numFmtId="3" fontId="886" fillId="0" borderId="0" xfId="0" applyNumberFormat="1" applyFont="1"/>
    <xf numFmtId="3" fontId="887" fillId="0" borderId="0" xfId="0" applyNumberFormat="1" applyFont="1"/>
    <xf numFmtId="3" fontId="888" fillId="0" borderId="0" xfId="0" applyNumberFormat="1" applyFont="1"/>
    <xf numFmtId="3" fontId="889" fillId="0" borderId="0" xfId="0" applyNumberFormat="1" applyFont="1"/>
    <xf numFmtId="3" fontId="890" fillId="0" borderId="0" xfId="0" applyNumberFormat="1" applyFont="1"/>
    <xf numFmtId="3" fontId="891" fillId="0" borderId="0" xfId="0" applyNumberFormat="1" applyFont="1"/>
    <xf numFmtId="3" fontId="892" fillId="0" borderId="0" xfId="0" applyNumberFormat="1" applyFont="1"/>
    <xf numFmtId="3" fontId="893" fillId="0" borderId="0" xfId="0" applyNumberFormat="1" applyFont="1"/>
    <xf numFmtId="3" fontId="894" fillId="0" borderId="0" xfId="0" applyNumberFormat="1" applyFont="1"/>
    <xf numFmtId="3" fontId="895" fillId="0" borderId="0" xfId="0" applyNumberFormat="1" applyFont="1"/>
    <xf numFmtId="3" fontId="896" fillId="0" borderId="0" xfId="0" applyNumberFormat="1" applyFont="1"/>
    <xf numFmtId="3" fontId="897" fillId="0" borderId="0" xfId="0" applyNumberFormat="1" applyFont="1"/>
    <xf numFmtId="3" fontId="898" fillId="0" borderId="0" xfId="0" applyNumberFormat="1" applyFont="1"/>
    <xf numFmtId="3" fontId="899" fillId="0" borderId="0" xfId="0" applyNumberFormat="1" applyFont="1"/>
    <xf numFmtId="3" fontId="900" fillId="0" borderId="0" xfId="0" applyNumberFormat="1" applyFont="1"/>
    <xf numFmtId="3" fontId="901" fillId="0" borderId="0" xfId="0" applyNumberFormat="1" applyFont="1"/>
    <xf numFmtId="3" fontId="902" fillId="0" borderId="0" xfId="0" applyNumberFormat="1" applyFont="1"/>
    <xf numFmtId="3" fontId="903" fillId="0" borderId="0" xfId="0" applyNumberFormat="1" applyFont="1"/>
    <xf numFmtId="3" fontId="904" fillId="0" borderId="0" xfId="0" applyNumberFormat="1" applyFont="1"/>
    <xf numFmtId="3" fontId="905" fillId="0" borderId="0" xfId="0" applyNumberFormat="1" applyFont="1"/>
    <xf numFmtId="3" fontId="906" fillId="0" borderId="0" xfId="0" applyNumberFormat="1" applyFont="1"/>
    <xf numFmtId="3" fontId="907" fillId="0" borderId="0" xfId="0" applyNumberFormat="1" applyFont="1"/>
    <xf numFmtId="3" fontId="908" fillId="0" borderId="0" xfId="0" applyNumberFormat="1" applyFont="1"/>
    <xf numFmtId="3" fontId="909" fillId="0" borderId="0" xfId="0" applyNumberFormat="1" applyFont="1"/>
    <xf numFmtId="3" fontId="910" fillId="0" borderId="0" xfId="0" applyNumberFormat="1" applyFont="1"/>
    <xf numFmtId="3" fontId="911" fillId="0" borderId="0" xfId="0" applyNumberFormat="1" applyFont="1"/>
    <xf numFmtId="3" fontId="912" fillId="0" borderId="0" xfId="0" applyNumberFormat="1" applyFont="1"/>
    <xf numFmtId="3" fontId="913" fillId="0" borderId="0" xfId="0" applyNumberFormat="1" applyFont="1"/>
    <xf numFmtId="3" fontId="914" fillId="0" borderId="0" xfId="0" applyNumberFormat="1" applyFont="1"/>
    <xf numFmtId="3" fontId="915" fillId="0" borderId="0" xfId="0" applyNumberFormat="1" applyFont="1"/>
    <xf numFmtId="3" fontId="916" fillId="0" borderId="0" xfId="0" applyNumberFormat="1" applyFont="1"/>
    <xf numFmtId="3" fontId="917" fillId="0" borderId="0" xfId="0" applyNumberFormat="1" applyFont="1"/>
    <xf numFmtId="3" fontId="918" fillId="0" borderId="0" xfId="0" applyNumberFormat="1" applyFont="1"/>
    <xf numFmtId="3" fontId="919" fillId="0" borderId="0" xfId="0" applyNumberFormat="1" applyFont="1"/>
    <xf numFmtId="3" fontId="920" fillId="0" borderId="0" xfId="0" applyNumberFormat="1" applyFont="1"/>
    <xf numFmtId="3" fontId="921" fillId="0" borderId="0" xfId="0" applyNumberFormat="1" applyFont="1"/>
    <xf numFmtId="3" fontId="922" fillId="0" borderId="0" xfId="0" applyNumberFormat="1" applyFont="1"/>
    <xf numFmtId="3" fontId="923" fillId="0" borderId="0" xfId="0" applyNumberFormat="1" applyFont="1"/>
    <xf numFmtId="3" fontId="924" fillId="0" borderId="0" xfId="0" applyNumberFormat="1" applyFont="1"/>
    <xf numFmtId="3" fontId="925" fillId="0" borderId="0" xfId="0" applyNumberFormat="1" applyFont="1"/>
    <xf numFmtId="3" fontId="926" fillId="0" borderId="0" xfId="0" applyNumberFormat="1" applyFont="1"/>
    <xf numFmtId="3" fontId="927" fillId="0" borderId="0" xfId="0" applyNumberFormat="1" applyFont="1"/>
    <xf numFmtId="3" fontId="928" fillId="0" borderId="0" xfId="0" applyNumberFormat="1" applyFont="1"/>
    <xf numFmtId="3" fontId="929" fillId="0" borderId="0" xfId="0" applyNumberFormat="1" applyFont="1"/>
    <xf numFmtId="3" fontId="930" fillId="0" borderId="0" xfId="0" applyNumberFormat="1" applyFont="1"/>
    <xf numFmtId="3" fontId="931" fillId="0" borderId="0" xfId="0" applyNumberFormat="1" applyFont="1"/>
    <xf numFmtId="3" fontId="932" fillId="0" borderId="0" xfId="0" applyNumberFormat="1" applyFont="1"/>
    <xf numFmtId="3" fontId="933" fillId="0" borderId="0" xfId="0" applyNumberFormat="1" applyFont="1"/>
    <xf numFmtId="3" fontId="934" fillId="0" borderId="0" xfId="0" applyNumberFormat="1" applyFont="1"/>
    <xf numFmtId="3" fontId="935" fillId="0" borderId="0" xfId="0" applyNumberFormat="1" applyFont="1"/>
    <xf numFmtId="3" fontId="936" fillId="0" borderId="0" xfId="0" applyNumberFormat="1" applyFont="1"/>
    <xf numFmtId="3" fontId="937" fillId="0" borderId="0" xfId="0" applyNumberFormat="1" applyFont="1"/>
    <xf numFmtId="3" fontId="938" fillId="0" borderId="0" xfId="0" applyNumberFormat="1" applyFont="1"/>
    <xf numFmtId="3" fontId="939" fillId="0" borderId="0" xfId="0" applyNumberFormat="1" applyFont="1"/>
    <xf numFmtId="3" fontId="940" fillId="0" borderId="0" xfId="0" applyNumberFormat="1" applyFont="1"/>
    <xf numFmtId="3" fontId="941" fillId="0" borderId="0" xfId="0" applyNumberFormat="1" applyFont="1"/>
    <xf numFmtId="3" fontId="942" fillId="0" borderId="0" xfId="0" applyNumberFormat="1" applyFont="1"/>
    <xf numFmtId="3" fontId="943" fillId="0" borderId="0" xfId="0" applyNumberFormat="1" applyFont="1"/>
    <xf numFmtId="3" fontId="944" fillId="0" borderId="0" xfId="0" applyNumberFormat="1" applyFont="1"/>
    <xf numFmtId="3" fontId="945" fillId="0" borderId="0" xfId="0" applyNumberFormat="1" applyFont="1"/>
    <xf numFmtId="3" fontId="946" fillId="0" borderId="0" xfId="0" applyNumberFormat="1" applyFont="1"/>
    <xf numFmtId="3" fontId="947" fillId="0" borderId="0" xfId="0" applyNumberFormat="1" applyFont="1"/>
    <xf numFmtId="3" fontId="948" fillId="0" borderId="0" xfId="0" applyNumberFormat="1" applyFont="1"/>
    <xf numFmtId="3" fontId="949" fillId="0" borderId="0" xfId="0" applyNumberFormat="1" applyFont="1"/>
    <xf numFmtId="3" fontId="950" fillId="0" borderId="0" xfId="0" applyNumberFormat="1" applyFont="1"/>
    <xf numFmtId="3" fontId="951" fillId="0" borderId="0" xfId="0" applyNumberFormat="1" applyFont="1"/>
    <xf numFmtId="3" fontId="952" fillId="0" borderId="0" xfId="0" applyNumberFormat="1" applyFont="1"/>
    <xf numFmtId="3" fontId="953" fillId="0" borderId="0" xfId="0" applyNumberFormat="1" applyFont="1"/>
    <xf numFmtId="3" fontId="954" fillId="0" borderId="0" xfId="0" applyNumberFormat="1" applyFont="1"/>
    <xf numFmtId="3" fontId="955" fillId="0" borderId="0" xfId="0" applyNumberFormat="1" applyFont="1"/>
    <xf numFmtId="3" fontId="956" fillId="0" borderId="0" xfId="0" applyNumberFormat="1" applyFont="1"/>
    <xf numFmtId="3" fontId="957" fillId="0" borderId="0" xfId="0" applyNumberFormat="1" applyFont="1"/>
    <xf numFmtId="3" fontId="958" fillId="0" borderId="0" xfId="0" applyNumberFormat="1" applyFont="1"/>
    <xf numFmtId="3" fontId="959" fillId="0" borderId="0" xfId="0" applyNumberFormat="1" applyFont="1"/>
    <xf numFmtId="3" fontId="960" fillId="0" borderId="0" xfId="0" applyNumberFormat="1" applyFont="1"/>
    <xf numFmtId="3" fontId="961" fillId="0" borderId="0" xfId="0" applyNumberFormat="1" applyFont="1"/>
    <xf numFmtId="3" fontId="962" fillId="0" borderId="0" xfId="0" applyNumberFormat="1" applyFont="1"/>
    <xf numFmtId="3" fontId="963" fillId="0" borderId="0" xfId="0" applyNumberFormat="1" applyFont="1"/>
    <xf numFmtId="3" fontId="964" fillId="0" borderId="0" xfId="0" applyNumberFormat="1" applyFont="1"/>
    <xf numFmtId="3" fontId="965" fillId="0" borderId="0" xfId="0" applyNumberFormat="1" applyFont="1"/>
    <xf numFmtId="3" fontId="966" fillId="0" borderId="0" xfId="0" applyNumberFormat="1" applyFont="1"/>
    <xf numFmtId="3" fontId="967" fillId="0" borderId="0" xfId="0" applyNumberFormat="1" applyFont="1"/>
    <xf numFmtId="3" fontId="968" fillId="0" borderId="0" xfId="0" applyNumberFormat="1" applyFont="1"/>
    <xf numFmtId="3" fontId="969" fillId="0" borderId="0" xfId="0" applyNumberFormat="1" applyFont="1"/>
    <xf numFmtId="3" fontId="970" fillId="0" borderId="0" xfId="0" applyNumberFormat="1" applyFont="1"/>
    <xf numFmtId="3" fontId="971" fillId="0" borderId="0" xfId="0" applyNumberFormat="1" applyFont="1"/>
    <xf numFmtId="3" fontId="972" fillId="0" borderId="0" xfId="0" applyNumberFormat="1" applyFont="1"/>
    <xf numFmtId="3" fontId="973" fillId="0" borderId="0" xfId="0" applyNumberFormat="1" applyFont="1"/>
    <xf numFmtId="3" fontId="974" fillId="0" borderId="0" xfId="0" applyNumberFormat="1" applyFont="1"/>
    <xf numFmtId="3" fontId="975" fillId="0" borderId="0" xfId="0" applyNumberFormat="1" applyFont="1"/>
    <xf numFmtId="3" fontId="976" fillId="0" borderId="0" xfId="0" applyNumberFormat="1" applyFont="1"/>
    <xf numFmtId="3" fontId="977" fillId="0" borderId="0" xfId="0" applyNumberFormat="1" applyFont="1"/>
    <xf numFmtId="3" fontId="978" fillId="0" borderId="0" xfId="0" applyNumberFormat="1" applyFont="1"/>
    <xf numFmtId="3" fontId="979" fillId="0" borderId="0" xfId="0" applyNumberFormat="1" applyFont="1"/>
    <xf numFmtId="3" fontId="980" fillId="0" borderId="0" xfId="0" applyNumberFormat="1" applyFont="1"/>
    <xf numFmtId="3" fontId="981" fillId="0" borderId="0" xfId="0" applyNumberFormat="1" applyFont="1"/>
    <xf numFmtId="3" fontId="982" fillId="0" borderId="0" xfId="0" applyNumberFormat="1" applyFont="1"/>
    <xf numFmtId="3" fontId="983" fillId="0" borderId="0" xfId="0" applyNumberFormat="1" applyFont="1"/>
    <xf numFmtId="3" fontId="984" fillId="0" borderId="0" xfId="0" applyNumberFormat="1" applyFont="1"/>
    <xf numFmtId="3" fontId="985" fillId="0" borderId="0" xfId="0" applyNumberFormat="1" applyFont="1"/>
    <xf numFmtId="3" fontId="986" fillId="0" borderId="0" xfId="0" applyNumberFormat="1" applyFont="1"/>
    <xf numFmtId="3" fontId="987" fillId="0" borderId="0" xfId="0" applyNumberFormat="1" applyFont="1"/>
    <xf numFmtId="3" fontId="988" fillId="0" borderId="0" xfId="0" applyNumberFormat="1" applyFont="1"/>
    <xf numFmtId="3" fontId="989" fillId="0" borderId="0" xfId="0" applyNumberFormat="1" applyFont="1"/>
    <xf numFmtId="3" fontId="990" fillId="0" borderId="0" xfId="0" applyNumberFormat="1" applyFont="1"/>
    <xf numFmtId="3" fontId="991" fillId="0" borderId="0" xfId="0" applyNumberFormat="1" applyFont="1"/>
    <xf numFmtId="3" fontId="992" fillId="0" borderId="0" xfId="0" applyNumberFormat="1" applyFont="1"/>
    <xf numFmtId="3" fontId="993" fillId="0" borderId="0" xfId="0" applyNumberFormat="1" applyFont="1"/>
    <xf numFmtId="3" fontId="994" fillId="0" borderId="0" xfId="0" applyNumberFormat="1" applyFont="1"/>
    <xf numFmtId="3" fontId="995" fillId="0" borderId="0" xfId="0" applyNumberFormat="1" applyFont="1"/>
    <xf numFmtId="3" fontId="996" fillId="0" borderId="0" xfId="0" applyNumberFormat="1" applyFont="1"/>
    <xf numFmtId="3" fontId="997" fillId="0" borderId="0" xfId="0" applyNumberFormat="1" applyFont="1"/>
    <xf numFmtId="3" fontId="998" fillId="0" borderId="0" xfId="0" applyNumberFormat="1" applyFont="1"/>
    <xf numFmtId="3" fontId="999" fillId="0" borderId="0" xfId="0" applyNumberFormat="1" applyFont="1"/>
    <xf numFmtId="3" fontId="1000" fillId="0" borderId="0" xfId="0" applyNumberFormat="1" applyFont="1"/>
    <xf numFmtId="3" fontId="1001" fillId="0" borderId="0" xfId="0" applyNumberFormat="1" applyFont="1"/>
    <xf numFmtId="3" fontId="1002" fillId="0" borderId="0" xfId="0" applyNumberFormat="1" applyFont="1"/>
    <xf numFmtId="3" fontId="1003" fillId="0" borderId="0" xfId="0" applyNumberFormat="1" applyFont="1"/>
    <xf numFmtId="3" fontId="1004" fillId="0" borderId="0" xfId="0" applyNumberFormat="1" applyFont="1"/>
    <xf numFmtId="3" fontId="1005" fillId="0" borderId="0" xfId="0" applyNumberFormat="1" applyFont="1"/>
    <xf numFmtId="3" fontId="1006" fillId="0" borderId="0" xfId="0" applyNumberFormat="1" applyFont="1"/>
    <xf numFmtId="3" fontId="1007" fillId="0" borderId="0" xfId="0" applyNumberFormat="1" applyFont="1"/>
    <xf numFmtId="3" fontId="1008" fillId="0" borderId="0" xfId="0" applyNumberFormat="1" applyFont="1"/>
    <xf numFmtId="3" fontId="1009" fillId="0" borderId="0" xfId="0" applyNumberFormat="1" applyFont="1"/>
    <xf numFmtId="3" fontId="1010" fillId="0" borderId="0" xfId="0" applyNumberFormat="1" applyFont="1"/>
    <xf numFmtId="3" fontId="1011" fillId="0" borderId="0" xfId="0" applyNumberFormat="1" applyFont="1"/>
    <xf numFmtId="3" fontId="1012" fillId="0" borderId="0" xfId="0" applyNumberFormat="1" applyFont="1"/>
    <xf numFmtId="3" fontId="1013" fillId="0" borderId="0" xfId="0" applyNumberFormat="1" applyFont="1"/>
    <xf numFmtId="3" fontId="1014" fillId="0" borderId="0" xfId="0" applyNumberFormat="1" applyFont="1"/>
    <xf numFmtId="3" fontId="1015" fillId="0" borderId="0" xfId="0" applyNumberFormat="1" applyFont="1"/>
    <xf numFmtId="3" fontId="1016" fillId="0" borderId="0" xfId="0" applyNumberFormat="1" applyFont="1"/>
    <xf numFmtId="3" fontId="1017" fillId="0" borderId="0" xfId="0" applyNumberFormat="1" applyFont="1"/>
    <xf numFmtId="3" fontId="1018" fillId="0" borderId="0" xfId="0" applyNumberFormat="1" applyFont="1"/>
    <xf numFmtId="3" fontId="1019" fillId="0" borderId="0" xfId="0" applyNumberFormat="1" applyFont="1"/>
    <xf numFmtId="3" fontId="1020" fillId="0" borderId="0" xfId="0" applyNumberFormat="1" applyFont="1"/>
    <xf numFmtId="3" fontId="1021" fillId="0" borderId="0" xfId="0" applyNumberFormat="1" applyFont="1"/>
    <xf numFmtId="3" fontId="1022" fillId="0" borderId="0" xfId="0" applyNumberFormat="1" applyFont="1"/>
    <xf numFmtId="3" fontId="1023" fillId="0" borderId="0" xfId="0" applyNumberFormat="1" applyFont="1"/>
    <xf numFmtId="3" fontId="1024" fillId="0" borderId="0" xfId="0" applyNumberFormat="1" applyFont="1"/>
    <xf numFmtId="3" fontId="1025" fillId="0" borderId="0" xfId="0" applyNumberFormat="1" applyFont="1"/>
    <xf numFmtId="3" fontId="1026" fillId="0" borderId="0" xfId="0" applyNumberFormat="1" applyFont="1"/>
    <xf numFmtId="3" fontId="1027" fillId="0" borderId="0" xfId="0" applyNumberFormat="1" applyFont="1"/>
    <xf numFmtId="3" fontId="1028" fillId="0" borderId="0" xfId="0" applyNumberFormat="1" applyFont="1"/>
    <xf numFmtId="3" fontId="1029" fillId="0" borderId="0" xfId="0" applyNumberFormat="1" applyFont="1"/>
    <xf numFmtId="3" fontId="1030" fillId="0" borderId="0" xfId="0" applyNumberFormat="1" applyFont="1"/>
    <xf numFmtId="3" fontId="1031" fillId="0" borderId="0" xfId="0" applyNumberFormat="1" applyFont="1"/>
    <xf numFmtId="3" fontId="1032" fillId="0" borderId="0" xfId="0" applyNumberFormat="1" applyFont="1"/>
    <xf numFmtId="3" fontId="1033" fillId="0" borderId="0" xfId="0" applyNumberFormat="1" applyFont="1"/>
    <xf numFmtId="3" fontId="1034" fillId="0" borderId="0" xfId="0" applyNumberFormat="1" applyFont="1"/>
    <xf numFmtId="3" fontId="1035" fillId="0" borderId="0" xfId="0" applyNumberFormat="1" applyFont="1"/>
    <xf numFmtId="3" fontId="1036" fillId="0" borderId="0" xfId="0" applyNumberFormat="1" applyFont="1"/>
    <xf numFmtId="3" fontId="1037" fillId="0" borderId="0" xfId="0" applyNumberFormat="1" applyFont="1"/>
    <xf numFmtId="3" fontId="1038" fillId="0" borderId="0" xfId="0" applyNumberFormat="1" applyFont="1"/>
    <xf numFmtId="3" fontId="1039" fillId="0" borderId="0" xfId="0" applyNumberFormat="1" applyFont="1"/>
    <xf numFmtId="3" fontId="1040" fillId="0" borderId="0" xfId="0" applyNumberFormat="1" applyFont="1"/>
    <xf numFmtId="3" fontId="1041" fillId="0" borderId="0" xfId="0" applyNumberFormat="1" applyFont="1"/>
    <xf numFmtId="3" fontId="1042" fillId="0" borderId="0" xfId="0" applyNumberFormat="1" applyFont="1"/>
    <xf numFmtId="3" fontId="1043" fillId="0" borderId="0" xfId="0" applyNumberFormat="1" applyFont="1"/>
    <xf numFmtId="3" fontId="1044" fillId="0" borderId="0" xfId="0" applyNumberFormat="1" applyFont="1"/>
    <xf numFmtId="3" fontId="1045" fillId="0" borderId="0" xfId="0" applyNumberFormat="1" applyFont="1"/>
    <xf numFmtId="3" fontId="1046" fillId="0" borderId="0" xfId="0" applyNumberFormat="1" applyFont="1"/>
    <xf numFmtId="3" fontId="1047" fillId="0" borderId="0" xfId="0" applyNumberFormat="1" applyFont="1"/>
    <xf numFmtId="3" fontId="1048" fillId="0" borderId="0" xfId="0" applyNumberFormat="1" applyFont="1"/>
    <xf numFmtId="3" fontId="1049" fillId="0" borderId="0" xfId="0" applyNumberFormat="1" applyFont="1"/>
    <xf numFmtId="3" fontId="1050" fillId="0" borderId="0" xfId="0" applyNumberFormat="1" applyFont="1"/>
    <xf numFmtId="3" fontId="1051" fillId="0" borderId="0" xfId="0" applyNumberFormat="1" applyFont="1"/>
    <xf numFmtId="3" fontId="1052" fillId="0" borderId="0" xfId="0" applyNumberFormat="1" applyFont="1"/>
    <xf numFmtId="3" fontId="1053" fillId="0" borderId="0" xfId="0" applyNumberFormat="1" applyFont="1"/>
    <xf numFmtId="3" fontId="1054" fillId="0" borderId="0" xfId="0" applyNumberFormat="1" applyFont="1"/>
    <xf numFmtId="3" fontId="1055" fillId="0" borderId="0" xfId="0" applyNumberFormat="1" applyFont="1"/>
    <xf numFmtId="3" fontId="1056" fillId="0" borderId="0" xfId="0" applyNumberFormat="1" applyFont="1"/>
    <xf numFmtId="3" fontId="1057" fillId="0" borderId="0" xfId="0" applyNumberFormat="1" applyFont="1"/>
    <xf numFmtId="3" fontId="1058" fillId="0" borderId="0" xfId="0" applyNumberFormat="1" applyFont="1"/>
    <xf numFmtId="3" fontId="1059" fillId="0" borderId="0" xfId="0" applyNumberFormat="1" applyFont="1"/>
    <xf numFmtId="3" fontId="1060" fillId="0" borderId="0" xfId="0" applyNumberFormat="1" applyFont="1"/>
    <xf numFmtId="3" fontId="1061" fillId="0" borderId="0" xfId="0" applyNumberFormat="1" applyFont="1"/>
    <xf numFmtId="3" fontId="1062" fillId="0" borderId="0" xfId="0" applyNumberFormat="1" applyFont="1"/>
    <xf numFmtId="3" fontId="1063" fillId="0" borderId="0" xfId="0" applyNumberFormat="1" applyFont="1"/>
    <xf numFmtId="3" fontId="1064" fillId="0" borderId="0" xfId="0" applyNumberFormat="1" applyFont="1"/>
    <xf numFmtId="3" fontId="1065" fillId="0" borderId="0" xfId="0" applyNumberFormat="1" applyFont="1"/>
    <xf numFmtId="3" fontId="1066" fillId="0" borderId="0" xfId="0" applyNumberFormat="1" applyFont="1"/>
    <xf numFmtId="3" fontId="1067" fillId="0" borderId="0" xfId="0" applyNumberFormat="1" applyFont="1"/>
    <xf numFmtId="3" fontId="1068" fillId="0" borderId="0" xfId="0" applyNumberFormat="1" applyFont="1"/>
    <xf numFmtId="3" fontId="1069" fillId="0" borderId="0" xfId="0" applyNumberFormat="1" applyFont="1"/>
    <xf numFmtId="3" fontId="1070" fillId="0" borderId="0" xfId="0" applyNumberFormat="1" applyFont="1"/>
    <xf numFmtId="3" fontId="1071" fillId="0" borderId="0" xfId="0" applyNumberFormat="1" applyFont="1"/>
    <xf numFmtId="3" fontId="1072" fillId="0" borderId="0" xfId="0" applyNumberFormat="1" applyFont="1"/>
    <xf numFmtId="3" fontId="1073" fillId="0" borderId="0" xfId="0" applyNumberFormat="1" applyFont="1"/>
    <xf numFmtId="3" fontId="1074" fillId="0" borderId="0" xfId="0" applyNumberFormat="1" applyFont="1"/>
    <xf numFmtId="3" fontId="1075" fillId="0" borderId="0" xfId="0" applyNumberFormat="1" applyFont="1"/>
    <xf numFmtId="3" fontId="1076" fillId="0" borderId="0" xfId="0" applyNumberFormat="1" applyFont="1"/>
    <xf numFmtId="3" fontId="1077" fillId="0" borderId="0" xfId="0" applyNumberFormat="1" applyFont="1"/>
    <xf numFmtId="3" fontId="1078" fillId="0" borderId="0" xfId="0" applyNumberFormat="1" applyFont="1"/>
    <xf numFmtId="3" fontId="1079" fillId="0" borderId="0" xfId="0" applyNumberFormat="1" applyFont="1"/>
    <xf numFmtId="3" fontId="1080" fillId="0" borderId="0" xfId="0" applyNumberFormat="1" applyFont="1"/>
    <xf numFmtId="3" fontId="1081" fillId="0" borderId="0" xfId="0" applyNumberFormat="1" applyFont="1"/>
    <xf numFmtId="3" fontId="1082" fillId="0" borderId="0" xfId="0" applyNumberFormat="1" applyFont="1"/>
    <xf numFmtId="3" fontId="1083" fillId="0" borderId="0" xfId="0" applyNumberFormat="1" applyFont="1"/>
    <xf numFmtId="3" fontId="1084" fillId="0" borderId="0" xfId="0" applyNumberFormat="1" applyFont="1"/>
    <xf numFmtId="3" fontId="1085" fillId="0" borderId="0" xfId="0" applyNumberFormat="1" applyFont="1"/>
    <xf numFmtId="3" fontId="1086" fillId="0" borderId="0" xfId="0" applyNumberFormat="1" applyFont="1"/>
    <xf numFmtId="3" fontId="1087" fillId="0" borderId="0" xfId="0" applyNumberFormat="1" applyFont="1"/>
    <xf numFmtId="3" fontId="1088" fillId="0" borderId="0" xfId="0" applyNumberFormat="1" applyFont="1"/>
    <xf numFmtId="3" fontId="1089" fillId="0" borderId="0" xfId="0" applyNumberFormat="1" applyFont="1"/>
    <xf numFmtId="3" fontId="1090" fillId="0" borderId="0" xfId="0" applyNumberFormat="1" applyFont="1"/>
    <xf numFmtId="3" fontId="1091" fillId="0" borderId="0" xfId="0" applyNumberFormat="1" applyFont="1"/>
    <xf numFmtId="3" fontId="1092" fillId="0" borderId="0" xfId="0" applyNumberFormat="1" applyFont="1"/>
    <xf numFmtId="3" fontId="1093" fillId="0" borderId="0" xfId="0" applyNumberFormat="1" applyFont="1"/>
    <xf numFmtId="3" fontId="1094" fillId="0" borderId="0" xfId="0" applyNumberFormat="1" applyFont="1"/>
    <xf numFmtId="3" fontId="1095" fillId="0" borderId="0" xfId="0" applyNumberFormat="1" applyFont="1"/>
    <xf numFmtId="3" fontId="1096" fillId="0" borderId="0" xfId="0" applyNumberFormat="1" applyFont="1"/>
    <xf numFmtId="3" fontId="1097" fillId="0" borderId="0" xfId="0" applyNumberFormat="1" applyFont="1"/>
    <xf numFmtId="3" fontId="1098" fillId="0" borderId="0" xfId="0" applyNumberFormat="1" applyFont="1"/>
    <xf numFmtId="3" fontId="1099" fillId="0" borderId="0" xfId="0" applyNumberFormat="1" applyFont="1"/>
    <xf numFmtId="3" fontId="1100" fillId="0" borderId="0" xfId="0" applyNumberFormat="1" applyFont="1"/>
    <xf numFmtId="3" fontId="1101" fillId="0" borderId="0" xfId="0" applyNumberFormat="1" applyFont="1"/>
    <xf numFmtId="3" fontId="1102" fillId="0" borderId="0" xfId="0" applyNumberFormat="1" applyFont="1"/>
    <xf numFmtId="3" fontId="1103" fillId="0" borderId="0" xfId="0" applyNumberFormat="1" applyFont="1"/>
    <xf numFmtId="3" fontId="1104" fillId="0" borderId="0" xfId="0" applyNumberFormat="1" applyFont="1"/>
    <xf numFmtId="3" fontId="1105" fillId="0" borderId="0" xfId="0" applyNumberFormat="1" applyFont="1"/>
    <xf numFmtId="3" fontId="1106" fillId="0" borderId="0" xfId="0" applyNumberFormat="1" applyFont="1"/>
    <xf numFmtId="3" fontId="1107" fillId="0" borderId="0" xfId="0" applyNumberFormat="1" applyFont="1"/>
    <xf numFmtId="3" fontId="1108" fillId="0" borderId="0" xfId="0" applyNumberFormat="1" applyFont="1"/>
    <xf numFmtId="3" fontId="1109" fillId="0" borderId="0" xfId="0" applyNumberFormat="1" applyFont="1"/>
    <xf numFmtId="3" fontId="1110" fillId="0" borderId="0" xfId="0" applyNumberFormat="1" applyFont="1"/>
    <xf numFmtId="3" fontId="1111" fillId="0" borderId="0" xfId="0" applyNumberFormat="1" applyFont="1"/>
    <xf numFmtId="3" fontId="1112" fillId="0" borderId="0" xfId="0" applyNumberFormat="1" applyFont="1"/>
    <xf numFmtId="3" fontId="1113" fillId="0" borderId="0" xfId="0" applyNumberFormat="1" applyFont="1"/>
    <xf numFmtId="3" fontId="1114" fillId="0" borderId="0" xfId="0" applyNumberFormat="1" applyFont="1"/>
    <xf numFmtId="3" fontId="1115" fillId="0" borderId="0" xfId="0" applyNumberFormat="1" applyFont="1"/>
    <xf numFmtId="3" fontId="1116" fillId="0" borderId="0" xfId="0" applyNumberFormat="1" applyFont="1"/>
    <xf numFmtId="3" fontId="1117" fillId="0" borderId="0" xfId="0" applyNumberFormat="1" applyFont="1"/>
    <xf numFmtId="3" fontId="1118" fillId="0" borderId="0" xfId="0" applyNumberFormat="1" applyFont="1"/>
    <xf numFmtId="3" fontId="1119" fillId="0" borderId="0" xfId="0" applyNumberFormat="1" applyFont="1"/>
    <xf numFmtId="3" fontId="1120" fillId="0" borderId="0" xfId="0" applyNumberFormat="1" applyFont="1"/>
    <xf numFmtId="3" fontId="1121" fillId="0" borderId="0" xfId="0" applyNumberFormat="1" applyFont="1"/>
    <xf numFmtId="3" fontId="1122" fillId="0" borderId="0" xfId="0" applyNumberFormat="1" applyFont="1"/>
    <xf numFmtId="3" fontId="1123" fillId="0" borderId="0" xfId="0" applyNumberFormat="1" applyFont="1"/>
    <xf numFmtId="3" fontId="1124" fillId="0" borderId="0" xfId="0" applyNumberFormat="1" applyFont="1"/>
    <xf numFmtId="3" fontId="1125" fillId="0" borderId="0" xfId="0" applyNumberFormat="1" applyFont="1"/>
    <xf numFmtId="3" fontId="1126" fillId="0" borderId="0" xfId="0" applyNumberFormat="1" applyFont="1"/>
    <xf numFmtId="3" fontId="1127" fillId="0" borderId="0" xfId="0" applyNumberFormat="1" applyFont="1"/>
    <xf numFmtId="3" fontId="1128" fillId="0" borderId="0" xfId="0" applyNumberFormat="1" applyFont="1"/>
    <xf numFmtId="3" fontId="1129" fillId="0" borderId="0" xfId="0" applyNumberFormat="1" applyFont="1"/>
    <xf numFmtId="3" fontId="1130" fillId="0" borderId="0" xfId="0" applyNumberFormat="1" applyFont="1"/>
    <xf numFmtId="3" fontId="1131" fillId="0" borderId="0" xfId="0" applyNumberFormat="1" applyFont="1"/>
    <xf numFmtId="3" fontId="1132" fillId="0" borderId="0" xfId="0" applyNumberFormat="1" applyFont="1"/>
    <xf numFmtId="3" fontId="1133" fillId="0" borderId="0" xfId="0" applyNumberFormat="1" applyFont="1"/>
    <xf numFmtId="3" fontId="1134" fillId="0" borderId="0" xfId="0" applyNumberFormat="1" applyFont="1"/>
    <xf numFmtId="3" fontId="1135" fillId="0" borderId="0" xfId="0" applyNumberFormat="1" applyFont="1"/>
    <xf numFmtId="3" fontId="1136" fillId="0" borderId="0" xfId="0" applyNumberFormat="1" applyFont="1"/>
    <xf numFmtId="3" fontId="1137" fillId="0" borderId="0" xfId="0" applyNumberFormat="1" applyFont="1"/>
    <xf numFmtId="3" fontId="1138" fillId="0" borderId="0" xfId="0" applyNumberFormat="1" applyFont="1"/>
    <xf numFmtId="3" fontId="1139" fillId="0" borderId="0" xfId="0" applyNumberFormat="1" applyFont="1"/>
    <xf numFmtId="3" fontId="1140" fillId="0" borderId="0" xfId="0" applyNumberFormat="1" applyFont="1"/>
    <xf numFmtId="3" fontId="1141" fillId="0" borderId="0" xfId="0" applyNumberFormat="1" applyFont="1"/>
    <xf numFmtId="3" fontId="1142" fillId="0" borderId="0" xfId="0" applyNumberFormat="1" applyFont="1"/>
    <xf numFmtId="3" fontId="1143" fillId="0" borderId="0" xfId="0" applyNumberFormat="1" applyFont="1"/>
    <xf numFmtId="3" fontId="1144" fillId="0" borderId="0" xfId="0" applyNumberFormat="1" applyFont="1"/>
    <xf numFmtId="3" fontId="1145" fillId="0" borderId="0" xfId="0" applyNumberFormat="1" applyFont="1"/>
    <xf numFmtId="3" fontId="1146" fillId="0" borderId="0" xfId="0" applyNumberFormat="1" applyFont="1"/>
    <xf numFmtId="3" fontId="1147" fillId="0" borderId="0" xfId="0" applyNumberFormat="1" applyFont="1"/>
    <xf numFmtId="3" fontId="1148" fillId="0" borderId="0" xfId="0" applyNumberFormat="1" applyFont="1"/>
    <xf numFmtId="3" fontId="1149" fillId="0" borderId="0" xfId="0" applyNumberFormat="1" applyFont="1"/>
    <xf numFmtId="3" fontId="1150" fillId="0" borderId="0" xfId="0" applyNumberFormat="1" applyFont="1"/>
    <xf numFmtId="3" fontId="1151" fillId="0" borderId="0" xfId="0" applyNumberFormat="1" applyFont="1"/>
    <xf numFmtId="3" fontId="1152" fillId="0" borderId="0" xfId="0" applyNumberFormat="1" applyFont="1"/>
    <xf numFmtId="3" fontId="1153" fillId="0" borderId="0" xfId="0" applyNumberFormat="1" applyFont="1"/>
    <xf numFmtId="3" fontId="1154" fillId="0" borderId="0" xfId="0" applyNumberFormat="1" applyFont="1"/>
    <xf numFmtId="3" fontId="1155" fillId="0" borderId="0" xfId="0" applyNumberFormat="1" applyFont="1"/>
    <xf numFmtId="3" fontId="1156" fillId="0" borderId="0" xfId="0" applyNumberFormat="1" applyFont="1"/>
    <xf numFmtId="3" fontId="1157" fillId="0" borderId="0" xfId="0" applyNumberFormat="1" applyFont="1"/>
    <xf numFmtId="3" fontId="1158" fillId="0" borderId="0" xfId="0" applyNumberFormat="1" applyFont="1"/>
    <xf numFmtId="3" fontId="1159" fillId="0" borderId="0" xfId="0" applyNumberFormat="1" applyFont="1"/>
    <xf numFmtId="3" fontId="1160" fillId="0" borderId="0" xfId="0" applyNumberFormat="1" applyFont="1"/>
    <xf numFmtId="3" fontId="1161" fillId="0" borderId="0" xfId="0" applyNumberFormat="1" applyFont="1"/>
    <xf numFmtId="3" fontId="1162" fillId="0" borderId="0" xfId="0" applyNumberFormat="1" applyFont="1"/>
    <xf numFmtId="3" fontId="1163" fillId="0" borderId="0" xfId="0" applyNumberFormat="1" applyFont="1"/>
    <xf numFmtId="3" fontId="1164" fillId="0" borderId="0" xfId="0" applyNumberFormat="1" applyFont="1"/>
    <xf numFmtId="3" fontId="1165" fillId="0" borderId="0" xfId="0" applyNumberFormat="1" applyFont="1"/>
    <xf numFmtId="3" fontId="1166" fillId="0" borderId="0" xfId="0" applyNumberFormat="1" applyFont="1"/>
    <xf numFmtId="3" fontId="1167" fillId="0" borderId="0" xfId="0" applyNumberFormat="1" applyFont="1"/>
    <xf numFmtId="3" fontId="1168" fillId="0" borderId="0" xfId="0" applyNumberFormat="1" applyFont="1"/>
    <xf numFmtId="3" fontId="1169" fillId="0" borderId="0" xfId="0" applyNumberFormat="1" applyFont="1"/>
    <xf numFmtId="3" fontId="1170" fillId="0" borderId="0" xfId="0" applyNumberFormat="1" applyFont="1"/>
    <xf numFmtId="3" fontId="1171" fillId="0" borderId="0" xfId="0" applyNumberFormat="1" applyFont="1"/>
    <xf numFmtId="3" fontId="1172" fillId="0" borderId="0" xfId="0" applyNumberFormat="1" applyFont="1"/>
    <xf numFmtId="3" fontId="1173" fillId="0" borderId="0" xfId="0" applyNumberFormat="1" applyFont="1"/>
    <xf numFmtId="3" fontId="1174" fillId="0" borderId="0" xfId="0" applyNumberFormat="1" applyFont="1"/>
    <xf numFmtId="3" fontId="1175" fillId="0" borderId="0" xfId="0" applyNumberFormat="1" applyFont="1"/>
    <xf numFmtId="3" fontId="1176" fillId="0" borderId="0" xfId="0" applyNumberFormat="1" applyFont="1"/>
    <xf numFmtId="3" fontId="1177" fillId="0" borderId="0" xfId="0" applyNumberFormat="1" applyFont="1"/>
    <xf numFmtId="3" fontId="1178" fillId="0" borderId="0" xfId="0" applyNumberFormat="1" applyFont="1"/>
    <xf numFmtId="3" fontId="1179" fillId="0" borderId="0" xfId="0" applyNumberFormat="1" applyFont="1"/>
    <xf numFmtId="3" fontId="1180" fillId="0" borderId="0" xfId="0" applyNumberFormat="1" applyFont="1"/>
    <xf numFmtId="3" fontId="1181" fillId="0" borderId="0" xfId="0" applyNumberFormat="1" applyFont="1"/>
    <xf numFmtId="3" fontId="1182" fillId="0" borderId="0" xfId="0" applyNumberFormat="1" applyFont="1"/>
    <xf numFmtId="3" fontId="1183" fillId="0" borderId="0" xfId="0" applyNumberFormat="1" applyFont="1"/>
    <xf numFmtId="3" fontId="1184" fillId="0" borderId="0" xfId="0" applyNumberFormat="1" applyFont="1"/>
    <xf numFmtId="3" fontId="1185" fillId="0" borderId="0" xfId="0" applyNumberFormat="1" applyFont="1"/>
    <xf numFmtId="3" fontId="1186" fillId="0" borderId="0" xfId="0" applyNumberFormat="1" applyFont="1"/>
    <xf numFmtId="3" fontId="1187" fillId="0" borderId="0" xfId="0" applyNumberFormat="1" applyFont="1"/>
    <xf numFmtId="3" fontId="1188" fillId="0" borderId="0" xfId="0" applyNumberFormat="1" applyFont="1"/>
    <xf numFmtId="3" fontId="1189" fillId="0" borderId="0" xfId="0" applyNumberFormat="1" applyFont="1"/>
    <xf numFmtId="3" fontId="1190" fillId="0" borderId="0" xfId="0" applyNumberFormat="1" applyFont="1"/>
    <xf numFmtId="3" fontId="1191" fillId="0" borderId="0" xfId="0" applyNumberFormat="1" applyFont="1"/>
    <xf numFmtId="3" fontId="1192" fillId="0" borderId="0" xfId="0" applyNumberFormat="1" applyFont="1"/>
    <xf numFmtId="3" fontId="1193" fillId="0" borderId="0" xfId="0" applyNumberFormat="1" applyFont="1"/>
    <xf numFmtId="3" fontId="1194" fillId="0" borderId="0" xfId="0" applyNumberFormat="1" applyFont="1"/>
    <xf numFmtId="3" fontId="1195" fillId="0" borderId="0" xfId="0" applyNumberFormat="1" applyFont="1"/>
    <xf numFmtId="3" fontId="1196" fillId="0" borderId="0" xfId="0" applyNumberFormat="1" applyFont="1"/>
    <xf numFmtId="3" fontId="1197" fillId="0" borderId="0" xfId="0" applyNumberFormat="1" applyFont="1"/>
    <xf numFmtId="3" fontId="1198" fillId="0" borderId="0" xfId="0" applyNumberFormat="1" applyFont="1"/>
    <xf numFmtId="3" fontId="1199" fillId="0" borderId="0" xfId="0" applyNumberFormat="1" applyFont="1"/>
    <xf numFmtId="3" fontId="1200" fillId="0" borderId="0" xfId="0" applyNumberFormat="1" applyFont="1"/>
    <xf numFmtId="3" fontId="1201" fillId="0" borderId="0" xfId="0" applyNumberFormat="1" applyFont="1"/>
    <xf numFmtId="3" fontId="1202" fillId="0" borderId="0" xfId="0" applyNumberFormat="1" applyFont="1"/>
    <xf numFmtId="3" fontId="1203" fillId="0" borderId="0" xfId="0" applyNumberFormat="1" applyFont="1"/>
    <xf numFmtId="3" fontId="1204" fillId="0" borderId="0" xfId="0" applyNumberFormat="1" applyFont="1"/>
    <xf numFmtId="3" fontId="1205" fillId="0" borderId="0" xfId="0" applyNumberFormat="1" applyFont="1"/>
    <xf numFmtId="3" fontId="1206" fillId="0" borderId="0" xfId="0" applyNumberFormat="1" applyFont="1"/>
    <xf numFmtId="3" fontId="1207" fillId="0" borderId="0" xfId="0" applyNumberFormat="1" applyFont="1"/>
    <xf numFmtId="3" fontId="1208" fillId="0" borderId="0" xfId="0" applyNumberFormat="1" applyFont="1"/>
    <xf numFmtId="3" fontId="1209" fillId="0" borderId="0" xfId="0" applyNumberFormat="1" applyFont="1"/>
    <xf numFmtId="3" fontId="1210" fillId="0" borderId="0" xfId="0" applyNumberFormat="1" applyFont="1"/>
    <xf numFmtId="3" fontId="1211" fillId="0" borderId="0" xfId="0" applyNumberFormat="1" applyFont="1"/>
    <xf numFmtId="3" fontId="1212" fillId="0" borderId="0" xfId="0" applyNumberFormat="1" applyFont="1"/>
    <xf numFmtId="3" fontId="1213" fillId="0" borderId="0" xfId="0" applyNumberFormat="1" applyFont="1"/>
    <xf numFmtId="3" fontId="1214" fillId="0" borderId="0" xfId="0" applyNumberFormat="1" applyFont="1"/>
    <xf numFmtId="3" fontId="1215" fillId="0" borderId="0" xfId="0" applyNumberFormat="1" applyFont="1"/>
    <xf numFmtId="3" fontId="1216" fillId="0" borderId="0" xfId="0" applyNumberFormat="1" applyFont="1"/>
    <xf numFmtId="3" fontId="1217" fillId="0" borderId="0" xfId="0" applyNumberFormat="1" applyFont="1"/>
    <xf numFmtId="3" fontId="1218" fillId="0" borderId="0" xfId="0" applyNumberFormat="1" applyFont="1"/>
    <xf numFmtId="3" fontId="1219" fillId="0" borderId="0" xfId="0" applyNumberFormat="1" applyFont="1"/>
    <xf numFmtId="3" fontId="1220" fillId="0" borderId="0" xfId="0" applyNumberFormat="1" applyFont="1"/>
    <xf numFmtId="3" fontId="1221" fillId="0" borderId="0" xfId="0" applyNumberFormat="1" applyFont="1"/>
    <xf numFmtId="3" fontId="1222" fillId="0" borderId="0" xfId="0" applyNumberFormat="1" applyFont="1"/>
    <xf numFmtId="3" fontId="1223" fillId="0" borderId="0" xfId="0" applyNumberFormat="1" applyFont="1"/>
    <xf numFmtId="3" fontId="1224" fillId="0" borderId="0" xfId="0" applyNumberFormat="1" applyFont="1"/>
    <xf numFmtId="3" fontId="1225" fillId="0" borderId="0" xfId="0" applyNumberFormat="1" applyFont="1"/>
    <xf numFmtId="3" fontId="1226" fillId="0" borderId="0" xfId="0" applyNumberFormat="1" applyFont="1"/>
    <xf numFmtId="3" fontId="1227" fillId="0" borderId="0" xfId="0" applyNumberFormat="1" applyFont="1"/>
    <xf numFmtId="3" fontId="1228" fillId="0" borderId="0" xfId="0" applyNumberFormat="1" applyFont="1"/>
    <xf numFmtId="3" fontId="1229" fillId="0" borderId="0" xfId="0" applyNumberFormat="1" applyFont="1"/>
    <xf numFmtId="3" fontId="1230" fillId="0" borderId="0" xfId="0" applyNumberFormat="1" applyFont="1"/>
    <xf numFmtId="3" fontId="1231" fillId="0" borderId="0" xfId="0" applyNumberFormat="1" applyFont="1"/>
    <xf numFmtId="3" fontId="1232" fillId="0" borderId="0" xfId="0" applyNumberFormat="1" applyFont="1"/>
    <xf numFmtId="3" fontId="1233" fillId="0" borderId="0" xfId="0" applyNumberFormat="1" applyFont="1"/>
    <xf numFmtId="3" fontId="1234" fillId="0" borderId="0" xfId="0" applyNumberFormat="1" applyFont="1"/>
    <xf numFmtId="3" fontId="1235" fillId="0" borderId="0" xfId="0" applyNumberFormat="1" applyFont="1"/>
    <xf numFmtId="3" fontId="1236" fillId="0" borderId="0" xfId="0" applyNumberFormat="1" applyFont="1"/>
    <xf numFmtId="3" fontId="1237" fillId="0" borderId="0" xfId="0" applyNumberFormat="1" applyFont="1"/>
    <xf numFmtId="3" fontId="1238" fillId="0" borderId="0" xfId="0" applyNumberFormat="1" applyFont="1"/>
    <xf numFmtId="3" fontId="1239" fillId="0" borderId="0" xfId="0" applyNumberFormat="1" applyFont="1"/>
    <xf numFmtId="3" fontId="1240" fillId="0" borderId="0" xfId="0" applyNumberFormat="1" applyFont="1"/>
    <xf numFmtId="3" fontId="1241" fillId="0" borderId="0" xfId="0" applyNumberFormat="1" applyFont="1"/>
    <xf numFmtId="3" fontId="1242" fillId="0" borderId="0" xfId="0" applyNumberFormat="1" applyFont="1"/>
    <xf numFmtId="3" fontId="1243" fillId="0" borderId="0" xfId="0" applyNumberFormat="1" applyFont="1"/>
    <xf numFmtId="3" fontId="1244" fillId="0" borderId="0" xfId="0" applyNumberFormat="1" applyFont="1"/>
    <xf numFmtId="3" fontId="1245" fillId="0" borderId="0" xfId="0" applyNumberFormat="1" applyFont="1"/>
    <xf numFmtId="3" fontId="1246" fillId="0" borderId="0" xfId="0" applyNumberFormat="1" applyFont="1"/>
    <xf numFmtId="3" fontId="1247" fillId="0" borderId="0" xfId="0" applyNumberFormat="1" applyFont="1"/>
    <xf numFmtId="3" fontId="1248" fillId="0" borderId="0" xfId="0" applyNumberFormat="1" applyFont="1"/>
    <xf numFmtId="3" fontId="1249" fillId="0" borderId="0" xfId="0" applyNumberFormat="1" applyFont="1"/>
    <xf numFmtId="3" fontId="1250" fillId="0" borderId="0" xfId="0" applyNumberFormat="1" applyFont="1"/>
    <xf numFmtId="3" fontId="1251" fillId="0" borderId="0" xfId="0" applyNumberFormat="1" applyFont="1"/>
    <xf numFmtId="3" fontId="1252" fillId="0" borderId="0" xfId="0" applyNumberFormat="1" applyFont="1"/>
    <xf numFmtId="3" fontId="1253" fillId="0" borderId="0" xfId="0" applyNumberFormat="1" applyFont="1"/>
    <xf numFmtId="3" fontId="1254" fillId="0" borderId="0" xfId="0" applyNumberFormat="1" applyFont="1"/>
    <xf numFmtId="3" fontId="1255" fillId="0" borderId="0" xfId="0" applyNumberFormat="1" applyFont="1"/>
    <xf numFmtId="3" fontId="1256" fillId="0" borderId="0" xfId="0" applyNumberFormat="1" applyFont="1"/>
    <xf numFmtId="3" fontId="1257" fillId="0" borderId="0" xfId="0" applyNumberFormat="1" applyFont="1"/>
    <xf numFmtId="3" fontId="1258" fillId="0" borderId="0" xfId="0" applyNumberFormat="1" applyFont="1"/>
    <xf numFmtId="3" fontId="1259" fillId="0" borderId="0" xfId="0" applyNumberFormat="1" applyFont="1"/>
    <xf numFmtId="3" fontId="1260" fillId="0" borderId="0" xfId="0" applyNumberFormat="1" applyFont="1"/>
    <xf numFmtId="3" fontId="1261" fillId="0" borderId="0" xfId="0" applyNumberFormat="1" applyFont="1"/>
    <xf numFmtId="3" fontId="1262" fillId="0" borderId="0" xfId="0" applyNumberFormat="1" applyFont="1"/>
    <xf numFmtId="3" fontId="1263" fillId="0" borderId="0" xfId="0" applyNumberFormat="1" applyFont="1"/>
    <xf numFmtId="3" fontId="1264" fillId="0" borderId="0" xfId="0" applyNumberFormat="1" applyFont="1"/>
    <xf numFmtId="3" fontId="1265" fillId="0" borderId="0" xfId="0" applyNumberFormat="1" applyFont="1"/>
    <xf numFmtId="3" fontId="1266" fillId="0" borderId="0" xfId="0" applyNumberFormat="1" applyFont="1"/>
    <xf numFmtId="3" fontId="1267" fillId="0" borderId="0" xfId="0" applyNumberFormat="1" applyFont="1"/>
    <xf numFmtId="3" fontId="1268" fillId="0" borderId="0" xfId="0" applyNumberFormat="1" applyFont="1"/>
    <xf numFmtId="3" fontId="1269" fillId="0" borderId="0" xfId="0" applyNumberFormat="1" applyFont="1"/>
    <xf numFmtId="3" fontId="1270" fillId="0" borderId="0" xfId="0" applyNumberFormat="1" applyFont="1"/>
    <xf numFmtId="3" fontId="1271" fillId="0" borderId="0" xfId="0" applyNumberFormat="1" applyFont="1"/>
    <xf numFmtId="3" fontId="1272" fillId="0" borderId="0" xfId="0" applyNumberFormat="1" applyFont="1"/>
    <xf numFmtId="3" fontId="1273" fillId="0" borderId="0" xfId="0" applyNumberFormat="1" applyFont="1"/>
    <xf numFmtId="3" fontId="1274" fillId="0" borderId="0" xfId="0" applyNumberFormat="1" applyFont="1"/>
    <xf numFmtId="3" fontId="1275" fillId="0" borderId="0" xfId="0" applyNumberFormat="1" applyFont="1"/>
    <xf numFmtId="3" fontId="1276" fillId="0" borderId="0" xfId="0" applyNumberFormat="1" applyFont="1"/>
    <xf numFmtId="3" fontId="1277" fillId="0" borderId="0" xfId="0" applyNumberFormat="1" applyFont="1"/>
    <xf numFmtId="3" fontId="1278" fillId="0" borderId="0" xfId="0" applyNumberFormat="1" applyFont="1"/>
    <xf numFmtId="3" fontId="1279" fillId="0" borderId="0" xfId="0" applyNumberFormat="1" applyFont="1"/>
    <xf numFmtId="3" fontId="1280" fillId="0" borderId="0" xfId="0" applyNumberFormat="1" applyFont="1"/>
    <xf numFmtId="3" fontId="1281" fillId="0" borderId="0" xfId="0" applyNumberFormat="1" applyFont="1"/>
    <xf numFmtId="3" fontId="1282" fillId="0" borderId="0" xfId="0" applyNumberFormat="1" applyFont="1"/>
    <xf numFmtId="3" fontId="1283" fillId="0" borderId="0" xfId="0" applyNumberFormat="1" applyFont="1"/>
    <xf numFmtId="3" fontId="1284" fillId="0" borderId="0" xfId="0" applyNumberFormat="1" applyFont="1"/>
    <xf numFmtId="3" fontId="1285" fillId="0" borderId="0" xfId="0" applyNumberFormat="1" applyFont="1"/>
    <xf numFmtId="3" fontId="1286" fillId="0" borderId="0" xfId="0" applyNumberFormat="1" applyFont="1"/>
    <xf numFmtId="3" fontId="1287" fillId="0" borderId="0" xfId="0" applyNumberFormat="1" applyFont="1"/>
    <xf numFmtId="3" fontId="1288" fillId="0" borderId="0" xfId="0" applyNumberFormat="1" applyFont="1"/>
    <xf numFmtId="3" fontId="1289" fillId="0" borderId="0" xfId="0" applyNumberFormat="1" applyFont="1"/>
    <xf numFmtId="3" fontId="1290" fillId="0" borderId="0" xfId="0" applyNumberFormat="1" applyFont="1"/>
    <xf numFmtId="3" fontId="1291" fillId="0" borderId="0" xfId="0" applyNumberFormat="1" applyFont="1"/>
    <xf numFmtId="3" fontId="1292" fillId="0" borderId="0" xfId="0" applyNumberFormat="1" applyFont="1"/>
    <xf numFmtId="3" fontId="1293" fillId="0" borderId="0" xfId="0" applyNumberFormat="1" applyFont="1"/>
    <xf numFmtId="3" fontId="1294" fillId="0" borderId="0" xfId="0" applyNumberFormat="1" applyFont="1"/>
    <xf numFmtId="3" fontId="1295" fillId="0" borderId="0" xfId="0" applyNumberFormat="1" applyFont="1"/>
    <xf numFmtId="3" fontId="1296" fillId="0" borderId="0" xfId="0" applyNumberFormat="1" applyFont="1"/>
    <xf numFmtId="3" fontId="1297" fillId="0" borderId="0" xfId="0" applyNumberFormat="1" applyFont="1"/>
    <xf numFmtId="3" fontId="1298" fillId="0" borderId="0" xfId="0" applyNumberFormat="1" applyFont="1"/>
    <xf numFmtId="3" fontId="1299" fillId="0" borderId="0" xfId="0" applyNumberFormat="1" applyFont="1"/>
    <xf numFmtId="3" fontId="1300" fillId="0" borderId="0" xfId="0" applyNumberFormat="1" applyFont="1"/>
    <xf numFmtId="3" fontId="1301" fillId="0" borderId="0" xfId="0" applyNumberFormat="1" applyFont="1"/>
    <xf numFmtId="3" fontId="1302" fillId="0" borderId="0" xfId="0" applyNumberFormat="1" applyFont="1"/>
    <xf numFmtId="3" fontId="1303" fillId="0" borderId="0" xfId="0" applyNumberFormat="1" applyFont="1"/>
    <xf numFmtId="3" fontId="1304" fillId="0" borderId="0" xfId="0" applyNumberFormat="1" applyFont="1"/>
    <xf numFmtId="3" fontId="1305" fillId="0" borderId="0" xfId="0" applyNumberFormat="1" applyFont="1"/>
    <xf numFmtId="3" fontId="1306" fillId="0" borderId="0" xfId="0" applyNumberFormat="1" applyFont="1"/>
    <xf numFmtId="3" fontId="1307" fillId="0" borderId="0" xfId="0" applyNumberFormat="1" applyFont="1"/>
    <xf numFmtId="3" fontId="1308" fillId="0" borderId="0" xfId="0" applyNumberFormat="1" applyFont="1"/>
    <xf numFmtId="3" fontId="1309" fillId="0" borderId="0" xfId="0" applyNumberFormat="1" applyFont="1"/>
    <xf numFmtId="3" fontId="1310" fillId="0" borderId="0" xfId="0" applyNumberFormat="1" applyFont="1"/>
    <xf numFmtId="3" fontId="1311" fillId="0" borderId="0" xfId="0" applyNumberFormat="1" applyFont="1"/>
    <xf numFmtId="3" fontId="1312" fillId="0" borderId="0" xfId="0" applyNumberFormat="1" applyFont="1"/>
    <xf numFmtId="3" fontId="1313" fillId="0" borderId="0" xfId="0" applyNumberFormat="1" applyFont="1"/>
    <xf numFmtId="3" fontId="1314" fillId="0" borderId="0" xfId="0" applyNumberFormat="1" applyFont="1"/>
    <xf numFmtId="3" fontId="1315" fillId="0" borderId="0" xfId="0" applyNumberFormat="1" applyFont="1"/>
    <xf numFmtId="3" fontId="1316" fillId="0" borderId="0" xfId="0" applyNumberFormat="1" applyFont="1"/>
    <xf numFmtId="3" fontId="1317" fillId="0" borderId="0" xfId="0" applyNumberFormat="1" applyFont="1"/>
    <xf numFmtId="3" fontId="1318" fillId="0" borderId="0" xfId="0" applyNumberFormat="1" applyFont="1"/>
    <xf numFmtId="3" fontId="1319" fillId="0" borderId="0" xfId="0" applyNumberFormat="1" applyFont="1"/>
    <xf numFmtId="3" fontId="1320" fillId="0" borderId="0" xfId="0" applyNumberFormat="1" applyFont="1"/>
    <xf numFmtId="3" fontId="1321" fillId="0" borderId="0" xfId="0" applyNumberFormat="1" applyFont="1"/>
    <xf numFmtId="3" fontId="1322" fillId="0" borderId="0" xfId="0" applyNumberFormat="1" applyFont="1"/>
    <xf numFmtId="3" fontId="1323" fillId="0" borderId="0" xfId="0" applyNumberFormat="1" applyFont="1"/>
    <xf numFmtId="3" fontId="1324" fillId="0" borderId="0" xfId="0" applyNumberFormat="1" applyFont="1"/>
    <xf numFmtId="3" fontId="1325" fillId="0" borderId="0" xfId="0" applyNumberFormat="1" applyFont="1"/>
    <xf numFmtId="3" fontId="1326" fillId="0" borderId="0" xfId="0" applyNumberFormat="1" applyFont="1"/>
    <xf numFmtId="3" fontId="1327" fillId="0" borderId="0" xfId="0" applyNumberFormat="1" applyFont="1"/>
    <xf numFmtId="3" fontId="1328" fillId="0" borderId="0" xfId="0" applyNumberFormat="1" applyFont="1"/>
    <xf numFmtId="3" fontId="1329" fillId="0" borderId="0" xfId="0" applyNumberFormat="1" applyFont="1"/>
    <xf numFmtId="3" fontId="1330" fillId="0" borderId="0" xfId="0" applyNumberFormat="1" applyFont="1"/>
    <xf numFmtId="3" fontId="1331" fillId="0" borderId="0" xfId="0" applyNumberFormat="1" applyFont="1"/>
    <xf numFmtId="3" fontId="1332" fillId="0" borderId="0" xfId="0" applyNumberFormat="1" applyFont="1"/>
    <xf numFmtId="3" fontId="1333" fillId="0" borderId="0" xfId="0" applyNumberFormat="1" applyFont="1"/>
    <xf numFmtId="3" fontId="1334" fillId="0" borderId="0" xfId="0" applyNumberFormat="1" applyFont="1"/>
    <xf numFmtId="3" fontId="1335" fillId="0" borderId="0" xfId="0" applyNumberFormat="1" applyFont="1"/>
    <xf numFmtId="3" fontId="1336" fillId="0" borderId="0" xfId="0" applyNumberFormat="1" applyFont="1"/>
    <xf numFmtId="3" fontId="1337" fillId="0" borderId="0" xfId="0" applyNumberFormat="1" applyFont="1"/>
    <xf numFmtId="3" fontId="1338" fillId="0" borderId="0" xfId="0" applyNumberFormat="1" applyFont="1"/>
    <xf numFmtId="3" fontId="1339" fillId="0" borderId="0" xfId="0" applyNumberFormat="1" applyFont="1"/>
    <xf numFmtId="3" fontId="1340" fillId="0" borderId="0" xfId="0" applyNumberFormat="1" applyFont="1"/>
    <xf numFmtId="3" fontId="1341" fillId="0" borderId="0" xfId="0" applyNumberFormat="1" applyFont="1"/>
    <xf numFmtId="3" fontId="1342" fillId="0" borderId="0" xfId="0" applyNumberFormat="1" applyFont="1"/>
    <xf numFmtId="3" fontId="1343" fillId="0" borderId="0" xfId="0" applyNumberFormat="1" applyFont="1"/>
    <xf numFmtId="3" fontId="1344" fillId="0" borderId="0" xfId="0" applyNumberFormat="1" applyFont="1"/>
    <xf numFmtId="3" fontId="1345" fillId="0" borderId="0" xfId="0" applyNumberFormat="1" applyFont="1"/>
    <xf numFmtId="3" fontId="1346" fillId="0" borderId="0" xfId="0" applyNumberFormat="1" applyFont="1"/>
    <xf numFmtId="3" fontId="1347" fillId="0" borderId="0" xfId="0" applyNumberFormat="1" applyFont="1"/>
    <xf numFmtId="3" fontId="1348" fillId="0" borderId="0" xfId="0" applyNumberFormat="1" applyFont="1"/>
    <xf numFmtId="3" fontId="1349" fillId="0" borderId="0" xfId="0" applyNumberFormat="1" applyFont="1"/>
    <xf numFmtId="3" fontId="1350" fillId="0" borderId="0" xfId="0" applyNumberFormat="1" applyFont="1"/>
    <xf numFmtId="3" fontId="1351" fillId="0" borderId="0" xfId="0" applyNumberFormat="1" applyFont="1"/>
    <xf numFmtId="3" fontId="1352" fillId="0" borderId="0" xfId="0" applyNumberFormat="1" applyFont="1"/>
    <xf numFmtId="3" fontId="1353" fillId="0" borderId="0" xfId="0" applyNumberFormat="1" applyFont="1"/>
    <xf numFmtId="3" fontId="1354" fillId="0" borderId="0" xfId="0" applyNumberFormat="1" applyFont="1"/>
    <xf numFmtId="3" fontId="1355" fillId="0" borderId="0" xfId="0" applyNumberFormat="1" applyFont="1"/>
    <xf numFmtId="3" fontId="1356" fillId="0" borderId="0" xfId="0" applyNumberFormat="1" applyFont="1"/>
    <xf numFmtId="3" fontId="1357" fillId="0" borderId="0" xfId="0" applyNumberFormat="1" applyFont="1"/>
    <xf numFmtId="3" fontId="1358" fillId="0" borderId="0" xfId="0" applyNumberFormat="1" applyFont="1"/>
    <xf numFmtId="3" fontId="1359" fillId="0" borderId="0" xfId="0" applyNumberFormat="1" applyFont="1"/>
    <xf numFmtId="3" fontId="1360" fillId="0" borderId="0" xfId="0" applyNumberFormat="1" applyFont="1"/>
    <xf numFmtId="3" fontId="1361" fillId="0" borderId="0" xfId="0" applyNumberFormat="1" applyFont="1"/>
    <xf numFmtId="3" fontId="1362" fillId="0" borderId="0" xfId="0" applyNumberFormat="1" applyFont="1"/>
    <xf numFmtId="3" fontId="1363" fillId="0" borderId="0" xfId="0" applyNumberFormat="1" applyFont="1"/>
    <xf numFmtId="3" fontId="1364" fillId="0" borderId="0" xfId="0" applyNumberFormat="1" applyFont="1"/>
    <xf numFmtId="3" fontId="1365" fillId="0" borderId="0" xfId="0" applyNumberFormat="1" applyFont="1"/>
    <xf numFmtId="3" fontId="1366" fillId="0" borderId="0" xfId="0" applyNumberFormat="1" applyFont="1"/>
    <xf numFmtId="3" fontId="1367" fillId="0" borderId="0" xfId="0" applyNumberFormat="1" applyFont="1"/>
    <xf numFmtId="3" fontId="1368" fillId="0" borderId="0" xfId="0" applyNumberFormat="1" applyFont="1"/>
    <xf numFmtId="3" fontId="1369" fillId="0" borderId="0" xfId="0" applyNumberFormat="1" applyFont="1"/>
    <xf numFmtId="3" fontId="1370" fillId="0" borderId="0" xfId="0" applyNumberFormat="1" applyFont="1"/>
    <xf numFmtId="3" fontId="1371" fillId="0" borderId="0" xfId="0" applyNumberFormat="1" applyFont="1"/>
    <xf numFmtId="3" fontId="1372" fillId="0" borderId="0" xfId="0" applyNumberFormat="1" applyFont="1"/>
    <xf numFmtId="3" fontId="1373" fillId="0" borderId="0" xfId="0" applyNumberFormat="1" applyFont="1"/>
    <xf numFmtId="3" fontId="1374" fillId="0" borderId="0" xfId="0" applyNumberFormat="1" applyFont="1"/>
    <xf numFmtId="3" fontId="1375" fillId="0" borderId="0" xfId="0" applyNumberFormat="1" applyFont="1"/>
    <xf numFmtId="10" fontId="0" fillId="40" borderId="0" xfId="2" applyNumberFormat="1" applyFont="1" applyFill="1"/>
    <xf numFmtId="10" fontId="0" fillId="5" borderId="0" xfId="2" applyNumberFormat="1" applyFont="1" applyFill="1"/>
    <xf numFmtId="3" fontId="1376" fillId="0" borderId="0" xfId="0" applyNumberFormat="1" applyFont="1"/>
    <xf numFmtId="3" fontId="1377" fillId="0" borderId="0" xfId="0" applyNumberFormat="1" applyFont="1"/>
    <xf numFmtId="3" fontId="1378" fillId="0" borderId="0" xfId="0" applyNumberFormat="1" applyFont="1"/>
    <xf numFmtId="3" fontId="1379" fillId="0" borderId="0" xfId="0" applyNumberFormat="1" applyFont="1"/>
    <xf numFmtId="3" fontId="1380" fillId="0" borderId="0" xfId="0" applyNumberFormat="1" applyFont="1"/>
    <xf numFmtId="3" fontId="1381" fillId="0" borderId="0" xfId="0" applyNumberFormat="1" applyFont="1"/>
    <xf numFmtId="3" fontId="1382" fillId="0" borderId="0" xfId="0" applyNumberFormat="1" applyFont="1"/>
    <xf numFmtId="41" fontId="0" fillId="7" borderId="0" xfId="0" applyNumberFormat="1" applyFill="1"/>
    <xf numFmtId="41" fontId="0" fillId="2" borderId="0" xfId="0" applyNumberFormat="1" applyFill="1"/>
    <xf numFmtId="3" fontId="0" fillId="3" borderId="0" xfId="0" applyNumberFormat="1" applyFill="1"/>
    <xf numFmtId="3" fontId="0" fillId="9" borderId="0" xfId="0" applyNumberFormat="1" applyFill="1"/>
    <xf numFmtId="3" fontId="0" fillId="40" borderId="0" xfId="0" applyNumberFormat="1" applyFill="1"/>
    <xf numFmtId="10" fontId="0" fillId="41" borderId="0" xfId="2" applyNumberFormat="1" applyFont="1" applyFill="1"/>
    <xf numFmtId="0" fontId="0" fillId="0" borderId="1" xfId="0" applyBorder="1" applyAlignment="1">
      <alignment horizontal="right"/>
    </xf>
    <xf numFmtId="3" fontId="1383" fillId="0" borderId="0" xfId="0" applyNumberFormat="1" applyFont="1"/>
    <xf numFmtId="3" fontId="1384" fillId="0" borderId="0" xfId="0" applyNumberFormat="1" applyFont="1"/>
    <xf numFmtId="3" fontId="1385" fillId="0" borderId="0" xfId="0" applyNumberFormat="1" applyFont="1"/>
    <xf numFmtId="3" fontId="1386" fillId="0" borderId="0" xfId="0" applyNumberFormat="1" applyFont="1"/>
    <xf numFmtId="3" fontId="1387" fillId="0" borderId="0" xfId="0" applyNumberFormat="1" applyFont="1"/>
    <xf numFmtId="3" fontId="1388" fillId="0" borderId="0" xfId="0" applyNumberFormat="1" applyFont="1"/>
    <xf numFmtId="3" fontId="0" fillId="10" borderId="0" xfId="0" applyNumberFormat="1" applyFill="1"/>
    <xf numFmtId="3" fontId="1389" fillId="0" borderId="0" xfId="0" applyNumberFormat="1" applyFont="1"/>
    <xf numFmtId="3" fontId="1390" fillId="0" borderId="0" xfId="0" applyNumberFormat="1" applyFont="1"/>
    <xf numFmtId="3" fontId="1391" fillId="0" borderId="0" xfId="0" applyNumberFormat="1" applyFont="1"/>
    <xf numFmtId="3" fontId="1392" fillId="0" borderId="0" xfId="0" applyNumberFormat="1" applyFont="1"/>
    <xf numFmtId="3" fontId="1393" fillId="0" borderId="0" xfId="0" applyNumberFormat="1" applyFont="1"/>
    <xf numFmtId="3" fontId="1394" fillId="0" borderId="0" xfId="0" applyNumberFormat="1" applyFont="1"/>
    <xf numFmtId="3" fontId="1395" fillId="0" borderId="0" xfId="0" applyNumberFormat="1" applyFont="1"/>
    <xf numFmtId="3" fontId="1396" fillId="0" borderId="0" xfId="0" applyNumberFormat="1" applyFont="1"/>
    <xf numFmtId="3" fontId="1397" fillId="0" borderId="0" xfId="0" applyNumberFormat="1" applyFont="1"/>
    <xf numFmtId="3" fontId="1398" fillId="0" borderId="0" xfId="0" applyNumberFormat="1" applyFont="1"/>
    <xf numFmtId="3" fontId="1399" fillId="0" borderId="0" xfId="0" applyNumberFormat="1" applyFont="1"/>
    <xf numFmtId="3" fontId="1400" fillId="0" borderId="0" xfId="0" applyNumberFormat="1" applyFont="1"/>
    <xf numFmtId="3" fontId="1401" fillId="0" borderId="0" xfId="0" applyNumberFormat="1" applyFont="1"/>
    <xf numFmtId="3" fontId="1402" fillId="0" borderId="0" xfId="0" applyNumberFormat="1" applyFont="1"/>
    <xf numFmtId="3" fontId="1403" fillId="0" borderId="0" xfId="0" applyNumberFormat="1" applyFont="1"/>
    <xf numFmtId="3" fontId="1404" fillId="0" borderId="0" xfId="0" applyNumberFormat="1" applyFont="1"/>
    <xf numFmtId="3" fontId="1405" fillId="0" borderId="0" xfId="0" applyNumberFormat="1" applyFont="1"/>
    <xf numFmtId="3" fontId="1406" fillId="0" borderId="0" xfId="0" applyNumberFormat="1" applyFont="1"/>
    <xf numFmtId="3" fontId="1407" fillId="0" borderId="0" xfId="0" applyNumberFormat="1" applyFont="1"/>
    <xf numFmtId="3" fontId="1408" fillId="0" borderId="0" xfId="0" applyNumberFormat="1" applyFont="1"/>
    <xf numFmtId="3" fontId="1409" fillId="0" borderId="0" xfId="0" applyNumberFormat="1" applyFont="1"/>
    <xf numFmtId="3" fontId="1410" fillId="0" borderId="0" xfId="0" applyNumberFormat="1" applyFont="1"/>
    <xf numFmtId="3" fontId="1411" fillId="0" borderId="0" xfId="0" applyNumberFormat="1" applyFont="1"/>
    <xf numFmtId="3" fontId="1412" fillId="0" borderId="0" xfId="0" applyNumberFormat="1" applyFont="1"/>
    <xf numFmtId="3" fontId="1413" fillId="0" borderId="0" xfId="0" applyNumberFormat="1" applyFont="1"/>
    <xf numFmtId="3" fontId="1414" fillId="0" borderId="0" xfId="0" applyNumberFormat="1" applyFont="1"/>
    <xf numFmtId="3" fontId="1415" fillId="0" borderId="0" xfId="0" applyNumberFormat="1" applyFont="1"/>
    <xf numFmtId="3" fontId="1416" fillId="0" borderId="0" xfId="0" applyNumberFormat="1" applyFont="1"/>
    <xf numFmtId="3" fontId="1417" fillId="0" borderId="0" xfId="0" applyNumberFormat="1" applyFont="1"/>
    <xf numFmtId="3" fontId="1418" fillId="0" borderId="0" xfId="0" applyNumberFormat="1" applyFont="1"/>
    <xf numFmtId="3" fontId="1419" fillId="0" borderId="0" xfId="0" applyNumberFormat="1" applyFont="1"/>
    <xf numFmtId="0" fontId="1" fillId="13" borderId="0" xfId="0" applyFont="1" applyFill="1" applyAlignment="1">
      <alignment horizontal="center"/>
    </xf>
    <xf numFmtId="0" fontId="1" fillId="36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5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23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24" borderId="0" xfId="0" applyFont="1" applyFill="1" applyAlignment="1">
      <alignment horizontal="center"/>
    </xf>
    <xf numFmtId="0" fontId="1" fillId="22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34" borderId="0" xfId="0" applyFont="1" applyFill="1" applyAlignment="1">
      <alignment horizontal="center"/>
    </xf>
    <xf numFmtId="0" fontId="1" fillId="3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right"/>
    </xf>
    <xf numFmtId="0" fontId="6" fillId="38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12" borderId="0" xfId="0" applyFill="1" applyAlignment="1">
      <alignment horizontal="center"/>
    </xf>
  </cellXfs>
  <cellStyles count="3">
    <cellStyle name="Comma [0]" xfId="1" builtinId="6"/>
    <cellStyle name="Normal" xfId="0" builtinId="0"/>
    <cellStyle name="Percent" xfId="2" builtinId="5"/>
  </cellStyles>
  <dxfs count="67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860"/>
      <color rgb="FF7A81FF"/>
      <color rgb="FFFF2600"/>
      <color rgb="FFFF7E79"/>
      <color rgb="FF76D6FF"/>
      <color rgb="FF9437FF"/>
      <color rgb="FFD5FC79"/>
      <color rgb="FF797979"/>
      <color rgb="FFFFD579"/>
      <color rgb="FF0090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rung Nguyen Hoang" id="{4D585C85-B6D3-4248-BA15-75BF0C3C200B}" userId="S::trung.nguyenhoang@v-key.com::dfad774c-056e-46a2-a607-719a6211cee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4-07-29T01:48:49.59" personId="{4D585C85-B6D3-4248-BA15-75BF0C3C200B}" id="{A369C6D6-513A-5540-93C9-EF7BC1F1ACDB}">
    <text>DHPS</text>
  </threadedComment>
  <threadedComment ref="A21" dT="2024-07-29T17:03:02.05" personId="{4D585C85-B6D3-4248-BA15-75BF0C3C200B}" id="{33D70AE5-58E3-5E49-912B-378AC4125A44}">
    <text>Bull trap</text>
  </threadedComment>
  <threadedComment ref="A34" dT="2024-07-29T01:52:00.49" personId="{4D585C85-B6D3-4248-BA15-75BF0C3C200B}" id="{3A54B74B-1928-4F45-9392-D689C336520F}">
    <text>DHPS</text>
  </threadedComment>
  <threadedComment ref="A59" dT="2024-07-29T01:48:39.06" personId="{4D585C85-B6D3-4248-BA15-75BF0C3C200B}" id="{74C526D3-544B-DC47-A35E-A0E83EDCFF86}">
    <text>DHPS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8" dT="2024-07-27T12:31:52.39" personId="{4D585C85-B6D3-4248-BA15-75BF0C3C200B}" id="{016908DF-1999-5F4D-A9B2-F7F6ECD53798}">
    <text>TBT NPT qua đời</text>
  </threadedComment>
  <threadedComment ref="A28" dT="2024-07-12T17:24:48.62" personId="{4D585C85-B6D3-4248-BA15-75BF0C3C200B}" id="{08B598F6-6ABF-814E-8777-BED97115733F}">
    <text>Mất điện tại một số ctck dẫn đến mất kết nối đến sở GDCK =&gt; thanh khoản thấp</text>
  </threadedComment>
  <threadedComment ref="A43" dT="2024-06-24T14:17:09.37" personId="{4D585C85-B6D3-4248-BA15-75BF0C3C200B}" id="{006943C3-A722-4E44-AC5A-244E0B17B415}">
    <text>Cưa chân bàn</text>
  </threadedComment>
  <threadedComment ref="A45" dT="2024-06-24T14:16:36.63" personId="{4D585C85-B6D3-4248-BA15-75BF0C3C200B}" id="{E052B674-5053-6149-979A-5F5C7B7D9F5D}">
    <text>Bull trap</text>
  </threadedComment>
  <threadedComment ref="P70" dT="2024-06-02T05:58:31.37" personId="{4D585C85-B6D3-4248-BA15-75BF0C3C200B}" id="{5E26DE02-5100-6644-855A-E9C54B3B21FB}">
    <text>Áp lực tỉ giá. Tỉ giá lập đỉnh</text>
  </threadedComment>
  <threadedComment ref="A77" dT="2024-07-04T16:49:10.80" personId="{4D585C85-B6D3-4248-BA15-75BF0C3C200B}" id="{26D8E6C3-4284-1742-8890-236F6BB96463}">
    <text>FTD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V12" dT="2024-07-29T17:05:00.58" personId="{4D585C85-B6D3-4248-BA15-75BF0C3C200B}" id="{CD513B2F-E228-0F4B-987A-EF5A95798E2C}">
    <text>Bộ Công Thương điều tra chống bán phá giá thép HRC nhập khẩu từ Trung Quốc và Ấn Độ</text>
  </threadedComment>
  <threadedComment ref="CL18" dT="2024-07-29T17:11:02.56" personId="{4D585C85-B6D3-4248-BA15-75BF0C3C200B}" id="{3A20368C-42D0-AF40-B9B4-1C3D98F84A6F}">
    <text>Câu chuyện của SBT</text>
  </threadedComment>
  <threadedComment ref="N21" dT="2024-07-16T16:24:50.87" personId="{4D585C85-B6D3-4248-BA15-75BF0C3C200B}" id="{C43F2031-3882-6F4E-80FA-37DC7016F985}">
    <text>NVL(Nova group bán CP NVL)</text>
  </threadedComment>
  <threadedComment ref="N25" dT="2024-07-21T05:43:59.92" personId="{4D585C85-B6D3-4248-BA15-75BF0C3C200B}" id="{C2C9774C-23B7-3D4B-9664-065090C1B924}">
    <text>Chủ tịch DXG từ nhiệm</text>
  </threadedComment>
  <threadedComment ref="N27" dT="2024-07-08T12:58:09.72" personId="{4D585C85-B6D3-4248-BA15-75BF0C3C200B}" id="{09FF699A-099B-E540-8097-439716925914}">
    <text>DXG tin đồn quỵt nợ trái phiếu</text>
  </threadedComment>
  <threadedComment ref="B35" dT="2024-06-27T02:17:06.71" personId="{4D585C85-B6D3-4248-BA15-75BF0C3C200B}" id="{8375259F-1AEE-9043-9677-933EAA53528F}">
    <text>Kéo BCM, GVR</text>
  </threadedComment>
  <threadedComment ref="J37" dT="2024-06-25T04:01:19.08" personId="{4D585C85-B6D3-4248-BA15-75BF0C3C200B}" id="{46B08587-79A7-7745-B2DD-D77C2F816166}">
    <text>Tin đồn bỏ triển khai hệ thống KRX</text>
  </threadedComment>
  <threadedComment ref="AT40" dT="2024-06-24T22:01:28.17" personId="{4D585C85-B6D3-4248-BA15-75BF0C3C200B}" id="{FEA8D2DB-BE62-6C45-91A6-03762F9AD3D8}">
    <text>Khối ngoại bán ròng kỉ lục cổ phiếu VHC chỉ sau phiên 9/5/2024. Giá trị 69 tỉ</text>
  </threadedComment>
  <threadedComment ref="BN40" dT="2024-06-29T10:27:03.62" personId="{4D585C85-B6D3-4248-BA15-75BF0C3C200B}" id="{8E363F63-18BC-D345-8A08-7AA808F5B0B9}">
    <text>HAG</text>
  </threadedComment>
  <threadedComment ref="V42" dT="2024-06-29T08:56:23.08" personId="{4D585C85-B6D3-4248-BA15-75BF0C3C200B}" id="{2C9B8D45-47FE-7542-965F-871496238751}">
    <text>HSG,NKG</text>
  </threadedComment>
  <threadedComment ref="BF43" dT="2024-06-24T22:07:43.56" personId="{4D585C85-B6D3-4248-BA15-75BF0C3C200B}" id="{C9F2B7FA-1AF4-7B4B-B76A-5DA79150A537}">
    <text>NN bán ròng HDG với giá trị cao nhất 6 tháng gần nhất. 53 tỉ</text>
  </threadedComment>
  <threadedComment ref="R46" dT="2024-06-29T08:46:35.86" personId="{4D585C85-B6D3-4248-BA15-75BF0C3C200B}" id="{FDDD2D0E-523C-CB4E-993B-351005C55DCB}">
    <text>LHG, IJC</text>
  </threadedComment>
  <threadedComment ref="AL47" dT="2024-06-29T09:12:29.70" personId="{4D585C85-B6D3-4248-BA15-75BF0C3C200B}" id="{A77DCDA6-C773-9249-A22D-BAFDBAFFEFBC}">
    <text>VSC,HAH,VOS,GMD,DVP,PVT,SGP,VIP</text>
  </threadedComment>
  <threadedComment ref="AT47" dT="2024-06-29T09:29:14.46" personId="{4D585C85-B6D3-4248-BA15-75BF0C3C200B}" id="{4E7EB458-4149-1542-A005-36B204964054}">
    <text>ANV,VHC,ACL,IDI</text>
  </threadedComment>
  <threadedComment ref="BJ48" dT="2024-06-29T09:22:10.52" personId="{4D585C85-B6D3-4248-BA15-75BF0C3C200B}" id="{0024D084-3814-1445-AFFA-03B3522D6DD7}">
    <text>DCM,DPM,BFC</text>
  </threadedComment>
  <threadedComment ref="AX50" dT="2024-06-29T09:19:10.58" personId="{4D585C85-B6D3-4248-BA15-75BF0C3C200B}" id="{2E6DF121-A91B-1740-9966-E41E78330CDE}">
    <text>VCS,GDT</text>
  </threadedComment>
  <threadedComment ref="V51" dT="2024-06-29T08:54:07.41" personId="{4D585C85-B6D3-4248-BA15-75BF0C3C200B}" id="{101E06BC-FFFB-6543-B741-A73C5DDC3D8E}">
    <text>HSG</text>
  </threadedComment>
  <threadedComment ref="AP53" dT="2024-06-04T03:04:41.80" personId="{4D585C85-B6D3-4248-BA15-75BF0C3C200B}" id="{9EBFDE32-5693-1E44-84FB-173C68EC77FF}">
    <text>Tăng trưởng mạnh của nguyên vật liệu dệt may (tăng 33% trong tháng 5/2024 và hơn 20% trong 5 tháng đầu năm) báo hiệu đơn hàng dệt may sẽ tăng tốt trong nửa cuối năm 2024.</text>
  </threadedComment>
  <threadedComment ref="AT53" dT="2024-06-29T09:28:00.21" personId="{4D585C85-B6D3-4248-BA15-75BF0C3C200B}" id="{B9CDF998-3F6C-024C-AF0A-77AD8B82E1CD}">
    <text>ANV</text>
  </threadedComment>
  <threadedComment ref="AX55" dT="2024-06-02T06:00:28.20" personId="{4D585C85-B6D3-4248-BA15-75BF0C3C200B}" id="{3307DD59-5652-444C-AA35-26CCC19E3304}">
    <text>Xuất khẩu gỗ và sản phẩm gỗ tăng 23,5% so với cùng kì</text>
  </threadedComment>
  <threadedComment ref="R56" dT="2024-06-29T08:45:10.89" personId="{4D585C85-B6D3-4248-BA15-75BF0C3C200B}" id="{9602EF0C-BBBD-4D48-8815-463914D8604D}">
    <text>SZC</text>
  </threadedComment>
  <threadedComment ref="F59" dT="2024-06-06T12:58:06.28" personId="{4D585C85-B6D3-4248-BA15-75BF0C3C200B}" id="{BAC63297-BB0B-0843-A86C-0B349156FFB4}">
    <text>tăng trưởng tín dụng chậm chỉ đạt hơn 2% trong 5 tháng đầu năm</text>
  </threadedComment>
  <threadedComment ref="Z59" dT="2024-05-31T02:24:10.57" personId="{4D585C85-B6D3-4248-BA15-75BF0C3C200B}" id="{EF2E373C-24B9-0649-890E-871FF88285B0}">
    <text>Thoái vốn MSR -&gt; MSN</text>
  </threadedComment>
  <threadedComment ref="BF59" dT="2024-05-31T02:25:36.14" personId="{4D585C85-B6D3-4248-BA15-75BF0C3C200B}" id="{DCF5ECF6-A785-D844-BB0A-AC21E83AC10B}">
    <text>Tiêu thụ điện đạt kỉ lục</text>
  </threadedComment>
  <threadedComment ref="BN60" dT="2024-06-24T22:14:19.62" personId="{4D585C85-B6D3-4248-BA15-75BF0C3C200B}" id="{24185B3F-1365-DC4E-95D4-721114BB049D}">
    <text>NN bán kỉ lục HAG. GTGD 55 tỉ (ATH)</text>
  </threadedComment>
  <threadedComment ref="BN63" dT="2024-05-31T02:55:24.19" personId="{4D585C85-B6D3-4248-BA15-75BF0C3C200B}" id="{B8C86A40-F444-EC4C-A42C-B1B93FEF16BE}">
    <text>giá heo cao kỉ lục 5 năm</text>
  </threadedComment>
  <threadedComment ref="F64" dT="2024-06-29T08:45:35.50" personId="{4D585C85-B6D3-4248-BA15-75BF0C3C200B}" id="{158640FF-865F-934D-9660-2922C5A1391A}">
    <text>LPB</text>
  </threadedComment>
  <threadedComment ref="V65" dT="2024-06-29T08:53:23.30" personId="{4D585C85-B6D3-4248-BA15-75BF0C3C200B}" id="{4FED1D24-5018-DF40-AFE5-4EC319368A52}">
    <text>HPG</text>
  </threadedComment>
  <threadedComment ref="BN67" dT="2024-06-29T10:26:30.37" personId="{4D585C85-B6D3-4248-BA15-75BF0C3C200B}" id="{E457C49D-D82E-C84D-A5BD-FA8F93B9166E}">
    <text>BAF</text>
  </threadedComment>
  <threadedComment ref="BN68" dT="2024-06-29T10:26:19.55" personId="{4D585C85-B6D3-4248-BA15-75BF0C3C200B}" id="{0DAB9DC4-B174-634F-835B-DFF3D9FC8BF2}">
    <text>DBC</text>
  </threadedComment>
  <threadedComment ref="AL69" dT="2024-06-29T09:11:08.26" personId="{4D585C85-B6D3-4248-BA15-75BF0C3C200B}" id="{2E9E15B2-3EC5-BB42-BCBB-937F4EB7B834}">
    <text>PVT,VOS,SGP</text>
  </threadedComment>
  <threadedComment ref="AT69" dT="2024-06-24T22:01:02.61" personId="{4D585C85-B6D3-4248-BA15-75BF0C3C200B}" id="{9D9BAB95-0BE1-4C45-B13A-0136AF24B3A4}">
    <text>Khối ngoại bán ròng kỉ lục cổ phiếu VHC. Giá trị 100 tỉ</text>
  </threadedComment>
  <threadedComment ref="AP70" dT="2024-06-29T10:20:44.57" personId="{4D585C85-B6D3-4248-BA15-75BF0C3C200B}" id="{8A084FC6-AEC2-7842-9094-5D76B2435123}">
    <text>STK,TCM,MSH,VGT,TNG</text>
  </threadedComment>
  <threadedComment ref="Z71" dT="2024-06-29T09:02:43.11" personId="{4D585C85-B6D3-4248-BA15-75BF0C3C200B}" id="{1293EB94-5586-4B48-BD63-C4C35297997A}">
    <text>VNM,PNJ</text>
  </threadedComment>
  <threadedComment ref="AP71" dT="2024-06-29T10:20:00.24" personId="{4D585C85-B6D3-4248-BA15-75BF0C3C200B}" id="{B9D5862B-C8B6-A547-BA57-A774F7574821}">
    <text>TNG,VGT</text>
  </threadedComment>
  <threadedComment ref="V72" dT="2024-06-29T08:52:25.34" personId="{4D585C85-B6D3-4248-BA15-75BF0C3C200B}" id="{19E23772-153F-D043-9DCE-DE1158494CB3}">
    <text>HPG,VPG,NKG,HSG,VGS</text>
  </threadedComment>
  <threadedComment ref="AL72" dT="2024-06-29T09:10:01.68" personId="{4D585C85-B6D3-4248-BA15-75BF0C3C200B}" id="{AFFBBEDB-6C2C-DD43-8DB2-6551FF49C9EB}">
    <text>HAH,VOS,VIP</text>
  </threadedComment>
  <threadedComment ref="F84" dT="2024-06-30T05:12:29.58" personId="{4D585C85-B6D3-4248-BA15-75BF0C3C200B}" id="{D97C1015-9938-5E47-8F95-9FB395366E99}">
    <text>Bull trap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3" dT="2024-06-02T06:14:11.56" personId="{4D585C85-B6D3-4248-BA15-75BF0C3C200B}" id="{DAAE6924-6F14-BD4A-BD6E-ECDAB60B368E}">
    <text>Sau 23 tháng xuất siêu, Việt Nam đã nhập siêu trở lại trong tháng 5/2025 với con số 1 tỷ USD. =&gt; Áp lực tỉ giá. Tỉ giá lập đỉnh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402D0-BB89-4C42-80F2-5640EFD88B00}">
  <dimension ref="A1:R147"/>
  <sheetViews>
    <sheetView workbookViewId="0">
      <selection activeCell="E11" sqref="E11"/>
    </sheetView>
  </sheetViews>
  <sheetFormatPr baseColWidth="10" defaultRowHeight="16" x14ac:dyDescent="0.2"/>
  <sheetData>
    <row r="1" spans="1:18" x14ac:dyDescent="0.2">
      <c r="B1" s="1465" t="s">
        <v>4</v>
      </c>
      <c r="C1" s="1465"/>
      <c r="D1" s="1465"/>
      <c r="E1" s="1465"/>
      <c r="F1" s="1465"/>
      <c r="G1" s="1466" t="s">
        <v>81</v>
      </c>
      <c r="H1" s="1466"/>
      <c r="I1" s="1466"/>
      <c r="J1" s="1466"/>
      <c r="K1" s="1467" t="s">
        <v>493</v>
      </c>
      <c r="L1" s="1467"/>
      <c r="M1" s="1468" t="s">
        <v>80</v>
      </c>
      <c r="N1" s="1468"/>
      <c r="O1" s="1468"/>
      <c r="P1" s="1468"/>
      <c r="Q1" s="1469" t="s">
        <v>493</v>
      </c>
      <c r="R1" s="1469"/>
    </row>
    <row r="2" spans="1:18" x14ac:dyDescent="0.2">
      <c r="A2" s="15" t="s">
        <v>105</v>
      </c>
      <c r="B2" s="15" t="s">
        <v>102</v>
      </c>
      <c r="C2" s="15" t="s">
        <v>106</v>
      </c>
      <c r="D2" s="14" t="s">
        <v>1</v>
      </c>
      <c r="E2" s="14" t="s">
        <v>2</v>
      </c>
      <c r="F2" s="35" t="s">
        <v>3</v>
      </c>
      <c r="G2" s="14" t="s">
        <v>100</v>
      </c>
      <c r="H2" s="14" t="s">
        <v>101</v>
      </c>
      <c r="I2" s="14" t="s">
        <v>480</v>
      </c>
      <c r="J2" s="14" t="s">
        <v>481</v>
      </c>
      <c r="K2" s="14" t="s">
        <v>484</v>
      </c>
      <c r="L2" s="14" t="s">
        <v>106</v>
      </c>
      <c r="M2" s="14" t="s">
        <v>100</v>
      </c>
      <c r="N2" s="14" t="s">
        <v>101</v>
      </c>
      <c r="O2" s="14" t="s">
        <v>480</v>
      </c>
      <c r="P2" s="14" t="s">
        <v>481</v>
      </c>
      <c r="Q2" s="14" t="s">
        <v>484</v>
      </c>
      <c r="R2" s="14" t="s">
        <v>106</v>
      </c>
    </row>
    <row r="3" spans="1:18" x14ac:dyDescent="0.2">
      <c r="A3" s="7" t="s">
        <v>494</v>
      </c>
      <c r="B3" s="8">
        <v>7.0999999999999995E-3</v>
      </c>
      <c r="C3" s="37">
        <f t="shared" ref="C3" si="0">B3+C4</f>
        <v>0.13480000000000006</v>
      </c>
      <c r="D3">
        <v>22</v>
      </c>
      <c r="E3" s="4">
        <v>2</v>
      </c>
      <c r="F3" s="4">
        <v>6</v>
      </c>
      <c r="G3">
        <v>52</v>
      </c>
      <c r="H3" s="4">
        <v>51</v>
      </c>
      <c r="I3" s="14">
        <v>10</v>
      </c>
      <c r="J3" s="36">
        <v>20</v>
      </c>
      <c r="K3" s="21">
        <v>1736</v>
      </c>
      <c r="L3" s="36">
        <f t="shared" ref="L3:L6" si="1">K3+L4</f>
        <v>-5384</v>
      </c>
      <c r="M3">
        <v>106</v>
      </c>
      <c r="N3" s="4">
        <v>75</v>
      </c>
      <c r="O3" s="21">
        <v>16</v>
      </c>
      <c r="P3" s="1426">
        <v>9</v>
      </c>
      <c r="Q3" s="21">
        <v>-2313</v>
      </c>
      <c r="R3">
        <f t="shared" ref="R3:R6" si="2">Q3+R4</f>
        <v>-5813</v>
      </c>
    </row>
    <row r="4" spans="1:18" x14ac:dyDescent="0.2">
      <c r="A4" s="7" t="s">
        <v>492</v>
      </c>
      <c r="B4" s="8">
        <v>-2.0899999999999998E-2</v>
      </c>
      <c r="C4" s="37">
        <f t="shared" ref="C4:C6" si="3">B4+C5</f>
        <v>0.12770000000000006</v>
      </c>
      <c r="D4" s="4">
        <v>2</v>
      </c>
      <c r="E4" s="4">
        <v>0</v>
      </c>
      <c r="F4" s="19">
        <v>28</v>
      </c>
      <c r="G4">
        <v>49</v>
      </c>
      <c r="H4" s="19">
        <v>2</v>
      </c>
      <c r="I4">
        <v>24</v>
      </c>
      <c r="J4" s="1426">
        <v>1</v>
      </c>
      <c r="K4" s="21">
        <v>-3600</v>
      </c>
      <c r="L4" s="36">
        <f t="shared" si="1"/>
        <v>-7120</v>
      </c>
      <c r="M4" s="4">
        <v>81</v>
      </c>
      <c r="N4" s="36">
        <v>98</v>
      </c>
      <c r="O4" s="21">
        <v>11</v>
      </c>
      <c r="P4" s="1426">
        <v>15</v>
      </c>
      <c r="Q4" s="21">
        <v>-2594</v>
      </c>
      <c r="R4">
        <f t="shared" si="2"/>
        <v>-3500</v>
      </c>
    </row>
    <row r="5" spans="1:18" x14ac:dyDescent="0.2">
      <c r="A5" s="7" t="s">
        <v>491</v>
      </c>
      <c r="B5" s="8">
        <v>8.8000000000000005E-3</v>
      </c>
      <c r="C5" s="37">
        <f t="shared" si="3"/>
        <v>0.14860000000000007</v>
      </c>
      <c r="D5" s="4">
        <v>19</v>
      </c>
      <c r="E5" s="4">
        <v>2</v>
      </c>
      <c r="F5" s="19">
        <v>9</v>
      </c>
      <c r="G5" s="4">
        <v>33</v>
      </c>
      <c r="H5" s="36">
        <v>37</v>
      </c>
      <c r="I5" s="21">
        <v>4</v>
      </c>
      <c r="J5" s="36">
        <v>26</v>
      </c>
      <c r="K5" s="21">
        <v>3288</v>
      </c>
      <c r="L5" s="36">
        <f t="shared" si="1"/>
        <v>-3520</v>
      </c>
      <c r="M5" s="4">
        <v>71</v>
      </c>
      <c r="N5" s="36">
        <v>108</v>
      </c>
      <c r="O5" s="21">
        <v>14</v>
      </c>
      <c r="P5" s="1426">
        <v>11</v>
      </c>
      <c r="Q5" s="21">
        <v>1610</v>
      </c>
      <c r="R5">
        <f t="shared" si="2"/>
        <v>-906</v>
      </c>
    </row>
    <row r="6" spans="1:18" x14ac:dyDescent="0.2">
      <c r="A6" s="7" t="s">
        <v>485</v>
      </c>
      <c r="B6" s="8">
        <v>1.6000000000000001E-3</v>
      </c>
      <c r="C6" s="37">
        <f t="shared" si="3"/>
        <v>0.13980000000000006</v>
      </c>
      <c r="D6" s="4">
        <v>11</v>
      </c>
      <c r="E6" s="4">
        <v>3</v>
      </c>
      <c r="F6" s="19">
        <v>16</v>
      </c>
      <c r="G6">
        <v>30</v>
      </c>
      <c r="H6" s="19">
        <v>18</v>
      </c>
      <c r="I6" s="21">
        <v>8</v>
      </c>
      <c r="J6" s="36">
        <v>16</v>
      </c>
      <c r="K6" s="21">
        <v>-366</v>
      </c>
      <c r="L6" s="36">
        <f t="shared" si="1"/>
        <v>-6808</v>
      </c>
      <c r="M6" s="4">
        <v>54</v>
      </c>
      <c r="N6" s="36">
        <v>126</v>
      </c>
      <c r="O6" s="21">
        <v>9</v>
      </c>
      <c r="P6" s="1426">
        <v>17</v>
      </c>
      <c r="Q6" s="21">
        <v>128</v>
      </c>
      <c r="R6">
        <f t="shared" si="2"/>
        <v>-2516</v>
      </c>
    </row>
    <row r="7" spans="1:18" x14ac:dyDescent="0.2">
      <c r="A7" s="7" t="s">
        <v>483</v>
      </c>
      <c r="B7" s="8">
        <v>3.0000000000000001E-3</v>
      </c>
      <c r="C7" s="37">
        <f t="shared" ref="C7" si="4">B7+C8</f>
        <v>0.13820000000000007</v>
      </c>
      <c r="D7" s="4">
        <v>14</v>
      </c>
      <c r="E7" s="4">
        <v>9</v>
      </c>
      <c r="F7" s="19">
        <v>7</v>
      </c>
      <c r="G7" s="4">
        <v>21</v>
      </c>
      <c r="H7" s="36">
        <v>48</v>
      </c>
      <c r="I7" s="4">
        <v>5</v>
      </c>
      <c r="J7" s="36">
        <v>25</v>
      </c>
      <c r="K7" s="21">
        <v>-384</v>
      </c>
      <c r="L7" s="36">
        <f t="shared" ref="L7:L11" si="5">K7+L8</f>
        <v>-6442</v>
      </c>
      <c r="M7" s="4">
        <v>61</v>
      </c>
      <c r="N7" s="36">
        <v>118</v>
      </c>
      <c r="O7" s="21">
        <v>9</v>
      </c>
      <c r="P7" s="1426">
        <v>18</v>
      </c>
      <c r="Q7" s="21">
        <v>1920</v>
      </c>
      <c r="R7">
        <f t="shared" ref="R7:R11" si="6">Q7+R8</f>
        <v>-2644</v>
      </c>
    </row>
    <row r="8" spans="1:18" x14ac:dyDescent="0.2">
      <c r="A8" s="21" t="s">
        <v>477</v>
      </c>
      <c r="B8" s="8">
        <v>7.6E-3</v>
      </c>
      <c r="C8" s="37">
        <f t="shared" ref="C8:C91" si="7">B8+C9</f>
        <v>0.13520000000000007</v>
      </c>
      <c r="D8">
        <v>22</v>
      </c>
      <c r="E8">
        <v>5</v>
      </c>
      <c r="F8" s="36">
        <v>3</v>
      </c>
      <c r="G8">
        <v>9</v>
      </c>
      <c r="H8" s="36">
        <v>28</v>
      </c>
      <c r="I8">
        <v>4</v>
      </c>
      <c r="J8" s="36">
        <v>23</v>
      </c>
      <c r="K8" s="21">
        <v>2266</v>
      </c>
      <c r="L8" s="36">
        <f t="shared" si="5"/>
        <v>-6058</v>
      </c>
      <c r="M8">
        <v>77</v>
      </c>
      <c r="N8" s="36">
        <v>101</v>
      </c>
      <c r="O8">
        <v>12</v>
      </c>
      <c r="P8" s="36">
        <v>14</v>
      </c>
      <c r="Q8" s="21">
        <v>391</v>
      </c>
      <c r="R8">
        <f t="shared" si="6"/>
        <v>-4564</v>
      </c>
    </row>
    <row r="9" spans="1:18" x14ac:dyDescent="0.2">
      <c r="A9" s="21" t="s">
        <v>473</v>
      </c>
      <c r="B9" s="8">
        <v>-6.5000000000000006E-3</v>
      </c>
      <c r="C9" s="37">
        <f t="shared" si="7"/>
        <v>0.12760000000000007</v>
      </c>
      <c r="D9">
        <v>4</v>
      </c>
      <c r="E9">
        <v>4</v>
      </c>
      <c r="F9" s="36">
        <v>22</v>
      </c>
      <c r="G9">
        <v>17</v>
      </c>
      <c r="H9" s="36">
        <v>43</v>
      </c>
      <c r="I9">
        <v>6</v>
      </c>
      <c r="J9" s="36">
        <v>24</v>
      </c>
      <c r="K9" s="21">
        <v>85</v>
      </c>
      <c r="L9" s="36">
        <f t="shared" si="5"/>
        <v>-8324</v>
      </c>
      <c r="M9">
        <v>72</v>
      </c>
      <c r="N9" s="36">
        <v>107</v>
      </c>
      <c r="O9">
        <v>11</v>
      </c>
      <c r="P9" s="36">
        <v>14</v>
      </c>
      <c r="Q9" s="21">
        <v>666</v>
      </c>
      <c r="R9">
        <f t="shared" si="6"/>
        <v>-4955</v>
      </c>
    </row>
    <row r="10" spans="1:18" x14ac:dyDescent="0.2">
      <c r="A10" s="21" t="s">
        <v>472</v>
      </c>
      <c r="B10" s="8">
        <v>1.4000000000000002E-3</v>
      </c>
      <c r="C10" s="37">
        <f t="shared" si="7"/>
        <v>0.13410000000000008</v>
      </c>
      <c r="D10">
        <v>18</v>
      </c>
      <c r="E10">
        <v>3</v>
      </c>
      <c r="F10" s="36">
        <v>9</v>
      </c>
      <c r="G10">
        <v>37</v>
      </c>
      <c r="H10" s="36">
        <v>8</v>
      </c>
      <c r="I10">
        <v>27</v>
      </c>
      <c r="J10" s="36">
        <v>1</v>
      </c>
      <c r="K10" s="21">
        <v>-1922</v>
      </c>
      <c r="L10" s="36">
        <f t="shared" si="5"/>
        <v>-8409</v>
      </c>
      <c r="M10">
        <v>125</v>
      </c>
      <c r="N10" s="36">
        <v>56</v>
      </c>
      <c r="O10">
        <v>12</v>
      </c>
      <c r="P10" s="36">
        <v>14</v>
      </c>
      <c r="Q10" s="21">
        <v>-2927</v>
      </c>
      <c r="R10">
        <f t="shared" si="6"/>
        <v>-5621</v>
      </c>
    </row>
    <row r="11" spans="1:18" x14ac:dyDescent="0.2">
      <c r="A11" s="21" t="s">
        <v>428</v>
      </c>
      <c r="B11" s="8">
        <v>-1.5900000000000001E-2</v>
      </c>
      <c r="C11" s="37">
        <f t="shared" si="7"/>
        <v>0.13270000000000007</v>
      </c>
      <c r="D11">
        <v>5</v>
      </c>
      <c r="E11">
        <v>1</v>
      </c>
      <c r="F11" s="36">
        <v>24</v>
      </c>
      <c r="G11">
        <v>50</v>
      </c>
      <c r="H11" s="36">
        <v>47</v>
      </c>
      <c r="I11">
        <v>26</v>
      </c>
      <c r="J11" s="36">
        <v>4</v>
      </c>
      <c r="K11" s="21">
        <v>-2925</v>
      </c>
      <c r="L11" s="36">
        <f t="shared" si="5"/>
        <v>-6487</v>
      </c>
      <c r="M11">
        <v>90</v>
      </c>
      <c r="N11" s="36">
        <v>85</v>
      </c>
      <c r="O11">
        <v>16</v>
      </c>
      <c r="P11" s="36">
        <v>10</v>
      </c>
      <c r="Q11" s="21">
        <v>-1895</v>
      </c>
      <c r="R11">
        <f t="shared" si="6"/>
        <v>-2694</v>
      </c>
    </row>
    <row r="12" spans="1:18" x14ac:dyDescent="0.2">
      <c r="A12" s="21" t="s">
        <v>427</v>
      </c>
      <c r="B12" s="8">
        <v>-2.3E-3</v>
      </c>
      <c r="C12" s="37">
        <f t="shared" si="7"/>
        <v>0.14860000000000007</v>
      </c>
      <c r="D12">
        <v>12</v>
      </c>
      <c r="E12">
        <v>3</v>
      </c>
      <c r="F12" s="36">
        <v>15</v>
      </c>
      <c r="G12">
        <v>85</v>
      </c>
      <c r="H12" s="36">
        <v>14</v>
      </c>
      <c r="I12">
        <v>26</v>
      </c>
      <c r="J12" s="36">
        <v>4</v>
      </c>
      <c r="K12" s="21">
        <v>-4085</v>
      </c>
      <c r="L12" s="36">
        <f>K12+L13</f>
        <v>-3562</v>
      </c>
      <c r="M12">
        <v>92</v>
      </c>
      <c r="N12" s="36">
        <v>85</v>
      </c>
      <c r="O12">
        <v>12</v>
      </c>
      <c r="P12" s="36">
        <v>13</v>
      </c>
      <c r="Q12" s="21">
        <v>-217</v>
      </c>
      <c r="R12">
        <f>Q12+R13</f>
        <v>-799</v>
      </c>
    </row>
    <row r="13" spans="1:18" x14ac:dyDescent="0.2">
      <c r="A13" s="21" t="s">
        <v>425</v>
      </c>
      <c r="B13" s="8">
        <v>8.0000000000000004E-4</v>
      </c>
      <c r="C13" s="37">
        <f t="shared" si="7"/>
        <v>0.15090000000000006</v>
      </c>
      <c r="D13">
        <v>9</v>
      </c>
      <c r="E13">
        <v>0</v>
      </c>
      <c r="F13" s="36">
        <v>21</v>
      </c>
      <c r="G13">
        <v>37</v>
      </c>
      <c r="H13" s="36">
        <v>68</v>
      </c>
      <c r="I13">
        <v>16</v>
      </c>
      <c r="J13" s="36">
        <v>14</v>
      </c>
      <c r="K13" s="21">
        <v>523</v>
      </c>
      <c r="L13" s="36">
        <f>K13</f>
        <v>523</v>
      </c>
      <c r="M13">
        <v>59</v>
      </c>
      <c r="N13" s="36">
        <v>115</v>
      </c>
      <c r="O13">
        <v>7</v>
      </c>
      <c r="P13" s="36">
        <v>19</v>
      </c>
      <c r="Q13" s="21">
        <v>-582</v>
      </c>
      <c r="R13">
        <f>Q13</f>
        <v>-582</v>
      </c>
    </row>
    <row r="14" spans="1:18" x14ac:dyDescent="0.2">
      <c r="A14" s="21" t="s">
        <v>424</v>
      </c>
      <c r="B14" s="8">
        <v>8.0000000000000004E-4</v>
      </c>
      <c r="C14" s="37">
        <f t="shared" si="7"/>
        <v>0.15010000000000007</v>
      </c>
      <c r="D14">
        <v>22</v>
      </c>
      <c r="E14">
        <v>2</v>
      </c>
      <c r="F14" s="36">
        <v>6</v>
      </c>
      <c r="G14">
        <v>32</v>
      </c>
      <c r="H14" s="36">
        <v>74</v>
      </c>
      <c r="I14">
        <v>12</v>
      </c>
      <c r="J14" s="36">
        <v>18</v>
      </c>
      <c r="K14" s="21"/>
      <c r="L14" s="36"/>
      <c r="M14">
        <v>107</v>
      </c>
      <c r="N14" s="36">
        <v>72</v>
      </c>
      <c r="O14">
        <v>15</v>
      </c>
      <c r="P14" s="36">
        <v>12</v>
      </c>
    </row>
    <row r="15" spans="1:18" x14ac:dyDescent="0.2">
      <c r="A15" s="21" t="s">
        <v>423</v>
      </c>
      <c r="B15" s="8">
        <v>1.6000000000000001E-3</v>
      </c>
      <c r="C15" s="37">
        <f t="shared" si="7"/>
        <v>0.14930000000000007</v>
      </c>
      <c r="D15">
        <v>9</v>
      </c>
      <c r="E15">
        <v>4</v>
      </c>
      <c r="F15" s="36">
        <v>17</v>
      </c>
      <c r="G15">
        <v>27</v>
      </c>
      <c r="H15" s="36">
        <v>20</v>
      </c>
      <c r="I15">
        <v>9</v>
      </c>
      <c r="J15" s="36">
        <v>16</v>
      </c>
      <c r="K15" s="21">
        <v>5857</v>
      </c>
      <c r="L15" s="36">
        <f t="shared" ref="L15:L31" si="8">K15+L16</f>
        <v>10491</v>
      </c>
      <c r="M15">
        <v>80</v>
      </c>
      <c r="N15" s="36">
        <v>98</v>
      </c>
      <c r="O15">
        <v>15</v>
      </c>
      <c r="P15" s="36">
        <v>11</v>
      </c>
    </row>
    <row r="16" spans="1:18" x14ac:dyDescent="0.2">
      <c r="A16" s="21" t="s">
        <v>422</v>
      </c>
      <c r="B16" s="8">
        <v>4.1999999999999997E-3</v>
      </c>
      <c r="C16" s="37">
        <f t="shared" si="7"/>
        <v>0.14770000000000008</v>
      </c>
      <c r="D16">
        <v>15</v>
      </c>
      <c r="E16">
        <v>5</v>
      </c>
      <c r="F16" s="36">
        <v>10</v>
      </c>
      <c r="G16">
        <v>59</v>
      </c>
      <c r="H16" s="36">
        <v>41</v>
      </c>
      <c r="I16">
        <v>13</v>
      </c>
      <c r="J16" s="36">
        <v>17</v>
      </c>
      <c r="K16" s="21">
        <v>3407</v>
      </c>
      <c r="L16" s="36">
        <f t="shared" si="8"/>
        <v>4634</v>
      </c>
      <c r="M16">
        <v>78</v>
      </c>
      <c r="N16" s="36">
        <v>101</v>
      </c>
      <c r="O16">
        <v>14</v>
      </c>
      <c r="P16" s="36">
        <v>12</v>
      </c>
    </row>
    <row r="17" spans="1:16" x14ac:dyDescent="0.2">
      <c r="A17" s="21" t="s">
        <v>420</v>
      </c>
      <c r="B17" s="8">
        <v>-3.0999999999999999E-3</v>
      </c>
      <c r="C17" s="37">
        <f t="shared" si="7"/>
        <v>0.14350000000000007</v>
      </c>
      <c r="D17">
        <v>10</v>
      </c>
      <c r="E17">
        <v>4</v>
      </c>
      <c r="F17" s="36">
        <v>16</v>
      </c>
      <c r="G17">
        <v>17</v>
      </c>
      <c r="H17" s="36">
        <v>70</v>
      </c>
      <c r="I17">
        <v>4</v>
      </c>
      <c r="J17" s="36">
        <v>26</v>
      </c>
      <c r="K17" s="21">
        <v>2496</v>
      </c>
      <c r="L17" s="36">
        <f t="shared" si="8"/>
        <v>1227</v>
      </c>
      <c r="M17">
        <v>58</v>
      </c>
      <c r="N17" s="36">
        <v>118</v>
      </c>
      <c r="O17">
        <v>6</v>
      </c>
      <c r="P17" s="36">
        <v>21</v>
      </c>
    </row>
    <row r="18" spans="1:16" x14ac:dyDescent="0.2">
      <c r="A18" s="21" t="s">
        <v>418</v>
      </c>
      <c r="B18" s="8">
        <v>-3.4000000000000002E-3</v>
      </c>
      <c r="C18" s="37">
        <f t="shared" si="7"/>
        <v>0.14660000000000006</v>
      </c>
      <c r="D18">
        <v>9</v>
      </c>
      <c r="E18">
        <v>5</v>
      </c>
      <c r="F18" s="36">
        <v>16</v>
      </c>
      <c r="G18">
        <v>22</v>
      </c>
      <c r="H18" s="36">
        <v>27</v>
      </c>
      <c r="I18">
        <v>13</v>
      </c>
      <c r="J18" s="36">
        <v>11</v>
      </c>
      <c r="K18" s="21">
        <v>-3142</v>
      </c>
      <c r="L18" s="36">
        <f t="shared" si="8"/>
        <v>-1269</v>
      </c>
      <c r="M18">
        <v>63</v>
      </c>
      <c r="N18" s="36">
        <v>115</v>
      </c>
      <c r="O18">
        <v>7</v>
      </c>
      <c r="P18" s="36">
        <v>18</v>
      </c>
    </row>
    <row r="19" spans="1:16" x14ac:dyDescent="0.2">
      <c r="A19" s="21" t="s">
        <v>417</v>
      </c>
      <c r="B19" s="8">
        <v>-3.5999999999999999E-3</v>
      </c>
      <c r="C19" s="37">
        <f t="shared" si="7"/>
        <v>0.15000000000000008</v>
      </c>
      <c r="D19">
        <v>8</v>
      </c>
      <c r="E19">
        <v>4</v>
      </c>
      <c r="F19" s="36">
        <v>18</v>
      </c>
      <c r="G19">
        <v>41</v>
      </c>
      <c r="H19" s="36">
        <v>66</v>
      </c>
      <c r="I19">
        <v>24</v>
      </c>
      <c r="J19" s="36">
        <v>6</v>
      </c>
      <c r="K19" s="21">
        <v>-3216</v>
      </c>
      <c r="L19" s="36">
        <f t="shared" si="8"/>
        <v>1873</v>
      </c>
      <c r="M19">
        <v>73</v>
      </c>
      <c r="N19" s="36">
        <v>99</v>
      </c>
      <c r="O19">
        <v>6</v>
      </c>
      <c r="P19" s="36">
        <v>19</v>
      </c>
    </row>
    <row r="20" spans="1:16" x14ac:dyDescent="0.2">
      <c r="A20" s="21" t="s">
        <v>416</v>
      </c>
      <c r="B20" s="8">
        <v>-8.199999999999999E-3</v>
      </c>
      <c r="C20" s="37">
        <f t="shared" si="7"/>
        <v>0.15360000000000007</v>
      </c>
      <c r="D20">
        <v>6</v>
      </c>
      <c r="E20">
        <v>1</v>
      </c>
      <c r="F20" s="36">
        <v>23</v>
      </c>
      <c r="G20">
        <v>38</v>
      </c>
      <c r="H20" s="36">
        <v>12</v>
      </c>
      <c r="I20">
        <v>20</v>
      </c>
      <c r="J20" s="36">
        <v>5</v>
      </c>
      <c r="K20" s="21">
        <v>-1474</v>
      </c>
      <c r="L20" s="36">
        <f t="shared" si="8"/>
        <v>5089</v>
      </c>
      <c r="M20">
        <v>70</v>
      </c>
      <c r="N20" s="36">
        <v>107</v>
      </c>
      <c r="O20">
        <v>12</v>
      </c>
      <c r="P20" s="36">
        <v>15</v>
      </c>
    </row>
    <row r="21" spans="1:16" x14ac:dyDescent="0.2">
      <c r="A21" s="21" t="s">
        <v>414</v>
      </c>
      <c r="B21" s="8">
        <v>4.5000000000000005E-3</v>
      </c>
      <c r="C21" s="37">
        <f t="shared" si="7"/>
        <v>0.16180000000000005</v>
      </c>
      <c r="D21">
        <v>25</v>
      </c>
      <c r="E21">
        <v>0</v>
      </c>
      <c r="F21" s="36">
        <v>5</v>
      </c>
      <c r="G21">
        <v>67</v>
      </c>
      <c r="H21" s="36">
        <v>36</v>
      </c>
      <c r="I21">
        <v>24</v>
      </c>
      <c r="J21" s="36">
        <v>6</v>
      </c>
      <c r="K21" s="21">
        <v>3630</v>
      </c>
      <c r="L21" s="36">
        <f t="shared" si="8"/>
        <v>6563</v>
      </c>
      <c r="M21">
        <v>83</v>
      </c>
      <c r="N21" s="36">
        <v>102</v>
      </c>
      <c r="O21">
        <v>14</v>
      </c>
      <c r="P21" s="36">
        <v>13</v>
      </c>
    </row>
    <row r="22" spans="1:16" x14ac:dyDescent="0.2">
      <c r="A22" s="21" t="s">
        <v>413</v>
      </c>
      <c r="B22" s="8">
        <v>-2.9999999999999997E-4</v>
      </c>
      <c r="C22" s="37">
        <f t="shared" si="7"/>
        <v>0.15730000000000005</v>
      </c>
      <c r="D22">
        <v>12</v>
      </c>
      <c r="E22">
        <v>1</v>
      </c>
      <c r="F22" s="36">
        <v>17</v>
      </c>
      <c r="G22">
        <v>10</v>
      </c>
      <c r="H22" s="36">
        <v>39</v>
      </c>
      <c r="I22">
        <v>5</v>
      </c>
      <c r="J22" s="36">
        <v>19</v>
      </c>
      <c r="K22" s="21">
        <v>3881</v>
      </c>
      <c r="L22" s="36">
        <f t="shared" si="8"/>
        <v>2933</v>
      </c>
      <c r="M22">
        <v>67</v>
      </c>
      <c r="N22" s="36">
        <v>116</v>
      </c>
      <c r="O22">
        <v>8</v>
      </c>
      <c r="P22" s="36">
        <v>18</v>
      </c>
    </row>
    <row r="23" spans="1:16" x14ac:dyDescent="0.2">
      <c r="A23" s="21" t="s">
        <v>367</v>
      </c>
      <c r="B23" s="8">
        <v>4.1999999999999997E-3</v>
      </c>
      <c r="C23" s="37">
        <f t="shared" si="7"/>
        <v>0.15760000000000005</v>
      </c>
      <c r="D23">
        <v>15</v>
      </c>
      <c r="E23">
        <v>7</v>
      </c>
      <c r="F23" s="36">
        <v>8</v>
      </c>
      <c r="G23">
        <v>27</v>
      </c>
      <c r="H23" s="36">
        <v>71</v>
      </c>
      <c r="I23">
        <v>13</v>
      </c>
      <c r="J23" s="36">
        <v>17</v>
      </c>
      <c r="K23" s="21">
        <v>-3904</v>
      </c>
      <c r="L23" s="36">
        <f t="shared" si="8"/>
        <v>-948</v>
      </c>
      <c r="M23">
        <v>91</v>
      </c>
      <c r="N23" s="36">
        <v>68</v>
      </c>
      <c r="O23">
        <v>14</v>
      </c>
      <c r="P23" s="36">
        <v>12</v>
      </c>
    </row>
    <row r="24" spans="1:16" x14ac:dyDescent="0.2">
      <c r="A24" s="21" t="s">
        <v>365</v>
      </c>
      <c r="B24" s="8">
        <v>3.9000000000000003E-3</v>
      </c>
      <c r="C24" s="37">
        <f t="shared" si="7"/>
        <v>0.15340000000000004</v>
      </c>
      <c r="D24">
        <v>11</v>
      </c>
      <c r="E24">
        <v>4</v>
      </c>
      <c r="F24" s="36">
        <v>15</v>
      </c>
      <c r="G24">
        <v>26</v>
      </c>
      <c r="H24" s="36">
        <v>22</v>
      </c>
      <c r="I24">
        <v>12</v>
      </c>
      <c r="J24" s="36">
        <v>10</v>
      </c>
      <c r="K24" s="21">
        <v>3844</v>
      </c>
      <c r="L24" s="36">
        <f t="shared" si="8"/>
        <v>2956</v>
      </c>
      <c r="M24">
        <v>63</v>
      </c>
      <c r="N24" s="36">
        <v>92</v>
      </c>
      <c r="O24">
        <v>8</v>
      </c>
      <c r="P24" s="36">
        <v>18</v>
      </c>
    </row>
    <row r="25" spans="1:16" x14ac:dyDescent="0.2">
      <c r="A25" s="21" t="s">
        <v>364</v>
      </c>
      <c r="B25" s="8">
        <v>7.3000000000000001E-3</v>
      </c>
      <c r="C25" s="37">
        <f t="shared" si="7"/>
        <v>0.14950000000000005</v>
      </c>
      <c r="D25">
        <v>20</v>
      </c>
      <c r="E25">
        <v>4</v>
      </c>
      <c r="F25" s="36">
        <v>6</v>
      </c>
      <c r="G25">
        <v>31</v>
      </c>
      <c r="H25" s="36">
        <v>65</v>
      </c>
      <c r="I25">
        <v>18</v>
      </c>
      <c r="J25" s="36">
        <v>12</v>
      </c>
      <c r="K25" s="21">
        <v>208</v>
      </c>
      <c r="L25" s="36">
        <f t="shared" si="8"/>
        <v>-888</v>
      </c>
      <c r="M25">
        <v>61</v>
      </c>
      <c r="N25" s="36">
        <v>94</v>
      </c>
      <c r="O25">
        <v>11</v>
      </c>
      <c r="P25" s="36">
        <v>14</v>
      </c>
    </row>
    <row r="26" spans="1:16" x14ac:dyDescent="0.2">
      <c r="A26" s="21" t="s">
        <v>363</v>
      </c>
      <c r="B26" s="8">
        <v>8.199999999999999E-3</v>
      </c>
      <c r="C26" s="37">
        <f t="shared" si="7"/>
        <v>0.14220000000000005</v>
      </c>
      <c r="D26">
        <v>26</v>
      </c>
      <c r="E26">
        <v>0</v>
      </c>
      <c r="F26" s="36">
        <v>4</v>
      </c>
      <c r="G26">
        <v>9</v>
      </c>
      <c r="H26" s="36">
        <v>84</v>
      </c>
      <c r="I26">
        <v>1</v>
      </c>
      <c r="J26" s="36">
        <v>29</v>
      </c>
      <c r="K26" s="21">
        <v>-198</v>
      </c>
      <c r="L26" s="36">
        <f t="shared" si="8"/>
        <v>-1096</v>
      </c>
      <c r="M26">
        <v>57</v>
      </c>
      <c r="N26" s="36">
        <v>102</v>
      </c>
      <c r="O26">
        <v>9</v>
      </c>
      <c r="P26" s="36">
        <v>17</v>
      </c>
    </row>
    <row r="27" spans="1:16" x14ac:dyDescent="0.2">
      <c r="A27" s="21" t="s">
        <v>362</v>
      </c>
      <c r="B27" s="8">
        <v>5.6000000000000008E-3</v>
      </c>
      <c r="C27" s="37">
        <f t="shared" si="7"/>
        <v>0.13400000000000006</v>
      </c>
      <c r="D27">
        <v>22</v>
      </c>
      <c r="E27">
        <v>1</v>
      </c>
      <c r="F27" s="36">
        <v>7</v>
      </c>
      <c r="G27">
        <v>46</v>
      </c>
      <c r="H27" s="36">
        <v>40</v>
      </c>
      <c r="I27">
        <v>12</v>
      </c>
      <c r="J27" s="36">
        <v>18</v>
      </c>
      <c r="K27" s="21">
        <v>-193</v>
      </c>
      <c r="L27" s="36">
        <f t="shared" si="8"/>
        <v>-898</v>
      </c>
      <c r="M27">
        <v>82</v>
      </c>
      <c r="N27" s="36">
        <v>76</v>
      </c>
      <c r="O27">
        <v>8</v>
      </c>
      <c r="P27" s="36">
        <v>16</v>
      </c>
    </row>
    <row r="28" spans="1:16" x14ac:dyDescent="0.2">
      <c r="A28" s="21" t="s">
        <v>358</v>
      </c>
      <c r="B28" s="8">
        <v>-8.3000000000000001E-3</v>
      </c>
      <c r="C28" s="37">
        <f t="shared" si="7"/>
        <v>0.12840000000000007</v>
      </c>
      <c r="D28">
        <v>9</v>
      </c>
      <c r="E28">
        <v>3</v>
      </c>
      <c r="F28" s="36">
        <v>18</v>
      </c>
      <c r="G28">
        <v>46</v>
      </c>
      <c r="H28" s="36">
        <v>32</v>
      </c>
      <c r="I28">
        <v>23</v>
      </c>
      <c r="J28" s="36">
        <v>7</v>
      </c>
      <c r="K28" s="21">
        <v>-187</v>
      </c>
      <c r="L28" s="36">
        <f t="shared" si="8"/>
        <v>-705</v>
      </c>
      <c r="M28">
        <v>66</v>
      </c>
      <c r="N28" s="36">
        <v>92</v>
      </c>
      <c r="O28">
        <v>7</v>
      </c>
      <c r="P28" s="36">
        <v>18</v>
      </c>
    </row>
    <row r="29" spans="1:16" x14ac:dyDescent="0.2">
      <c r="A29" s="21" t="s">
        <v>354</v>
      </c>
      <c r="B29" s="8">
        <v>-1.8E-3</v>
      </c>
      <c r="C29" s="37">
        <f t="shared" si="7"/>
        <v>0.13670000000000007</v>
      </c>
      <c r="D29">
        <v>10</v>
      </c>
      <c r="E29">
        <v>5</v>
      </c>
      <c r="F29" s="36">
        <v>15</v>
      </c>
      <c r="G29">
        <v>35</v>
      </c>
      <c r="H29" s="36">
        <v>46</v>
      </c>
      <c r="I29">
        <v>1</v>
      </c>
      <c r="J29" s="36">
        <v>29</v>
      </c>
      <c r="K29" s="21">
        <v>-164</v>
      </c>
      <c r="L29" s="36">
        <f t="shared" si="8"/>
        <v>-518</v>
      </c>
      <c r="M29">
        <v>72</v>
      </c>
      <c r="N29" s="36">
        <v>87</v>
      </c>
      <c r="O29">
        <v>9</v>
      </c>
      <c r="P29" s="36">
        <v>16</v>
      </c>
    </row>
    <row r="30" spans="1:16" x14ac:dyDescent="0.2">
      <c r="A30" s="21" t="s">
        <v>353</v>
      </c>
      <c r="B30" s="8">
        <v>1.9E-3</v>
      </c>
      <c r="C30" s="37">
        <f t="shared" si="7"/>
        <v>0.13850000000000007</v>
      </c>
      <c r="D30">
        <v>12</v>
      </c>
      <c r="E30">
        <v>6</v>
      </c>
      <c r="F30" s="36">
        <v>12</v>
      </c>
      <c r="G30">
        <v>17</v>
      </c>
      <c r="H30" s="36">
        <v>29</v>
      </c>
      <c r="I30">
        <v>4</v>
      </c>
      <c r="J30" s="36">
        <v>19</v>
      </c>
      <c r="K30" s="21">
        <v>-144</v>
      </c>
      <c r="L30" s="36">
        <f t="shared" si="8"/>
        <v>-354</v>
      </c>
      <c r="M30">
        <v>72</v>
      </c>
      <c r="N30" s="36">
        <v>86</v>
      </c>
      <c r="O30">
        <v>10</v>
      </c>
      <c r="P30" s="36">
        <v>15</v>
      </c>
    </row>
    <row r="31" spans="1:16" x14ac:dyDescent="0.2">
      <c r="A31" s="21" t="s">
        <v>352</v>
      </c>
      <c r="B31" s="8">
        <v>-8.0000000000000004E-4</v>
      </c>
      <c r="C31" s="37">
        <f t="shared" si="7"/>
        <v>0.13660000000000005</v>
      </c>
      <c r="D31">
        <v>14</v>
      </c>
      <c r="E31">
        <v>7</v>
      </c>
      <c r="F31" s="36">
        <v>9</v>
      </c>
      <c r="G31">
        <v>34</v>
      </c>
      <c r="H31" s="36">
        <v>11</v>
      </c>
      <c r="I31">
        <v>22</v>
      </c>
      <c r="J31" s="36">
        <v>3</v>
      </c>
      <c r="K31" s="21">
        <v>-134</v>
      </c>
      <c r="L31" s="36">
        <f t="shared" si="8"/>
        <v>-210</v>
      </c>
      <c r="M31">
        <v>96</v>
      </c>
      <c r="N31" s="36">
        <v>68</v>
      </c>
      <c r="O31">
        <v>10</v>
      </c>
      <c r="P31" s="36">
        <v>15</v>
      </c>
    </row>
    <row r="32" spans="1:16" x14ac:dyDescent="0.2">
      <c r="A32" s="21" t="s">
        <v>347</v>
      </c>
      <c r="B32" s="8">
        <v>-2.2799999999999997E-2</v>
      </c>
      <c r="C32" s="37">
        <f t="shared" si="7"/>
        <v>0.13740000000000005</v>
      </c>
      <c r="D32">
        <v>1</v>
      </c>
      <c r="E32">
        <v>1</v>
      </c>
      <c r="F32" s="36">
        <v>28</v>
      </c>
      <c r="G32">
        <v>42</v>
      </c>
      <c r="H32" s="36">
        <v>7</v>
      </c>
      <c r="I32">
        <v>23</v>
      </c>
      <c r="J32" s="36">
        <v>3</v>
      </c>
      <c r="K32" s="21">
        <v>-65</v>
      </c>
      <c r="L32" s="36">
        <f>K32+L33</f>
        <v>-76</v>
      </c>
      <c r="M32">
        <v>62</v>
      </c>
      <c r="N32" s="36">
        <v>102</v>
      </c>
      <c r="O32">
        <v>8</v>
      </c>
      <c r="P32" s="36">
        <v>17</v>
      </c>
    </row>
    <row r="33" spans="1:16" x14ac:dyDescent="0.2">
      <c r="A33" s="21" t="s">
        <v>346</v>
      </c>
      <c r="B33" s="8">
        <v>-1.8E-3</v>
      </c>
      <c r="C33" s="37">
        <f t="shared" si="7"/>
        <v>0.16020000000000004</v>
      </c>
      <c r="D33">
        <v>7</v>
      </c>
      <c r="E33">
        <v>5</v>
      </c>
      <c r="F33" s="36">
        <v>18</v>
      </c>
      <c r="G33">
        <v>11</v>
      </c>
      <c r="H33" s="36">
        <v>24</v>
      </c>
      <c r="I33">
        <v>2</v>
      </c>
      <c r="J33" s="36">
        <v>17</v>
      </c>
      <c r="K33" s="21">
        <v>-11</v>
      </c>
      <c r="L33" s="36">
        <f>K33</f>
        <v>-11</v>
      </c>
      <c r="M33">
        <v>61</v>
      </c>
      <c r="N33" s="36">
        <v>103</v>
      </c>
      <c r="O33">
        <v>5</v>
      </c>
      <c r="P33" s="36">
        <v>20</v>
      </c>
    </row>
    <row r="34" spans="1:16" x14ac:dyDescent="0.2">
      <c r="A34" s="21" t="s">
        <v>345</v>
      </c>
      <c r="B34" s="8">
        <v>6.1999999999999998E-3</v>
      </c>
      <c r="C34" s="37">
        <f t="shared" si="7"/>
        <v>0.16200000000000003</v>
      </c>
      <c r="D34">
        <v>12</v>
      </c>
      <c r="E34">
        <v>4</v>
      </c>
      <c r="F34" s="36">
        <v>14</v>
      </c>
      <c r="G34">
        <v>33</v>
      </c>
      <c r="H34" s="36">
        <v>12</v>
      </c>
      <c r="I34">
        <v>22</v>
      </c>
      <c r="J34" s="36">
        <v>4</v>
      </c>
      <c r="K34" s="21"/>
      <c r="L34" s="36"/>
      <c r="M34">
        <v>59</v>
      </c>
      <c r="N34" s="36">
        <v>99</v>
      </c>
      <c r="O34">
        <v>6</v>
      </c>
      <c r="P34" s="36">
        <v>19</v>
      </c>
    </row>
    <row r="35" spans="1:16" x14ac:dyDescent="0.2">
      <c r="A35" s="21" t="s">
        <v>344</v>
      </c>
      <c r="B35" s="8">
        <v>3.3E-3</v>
      </c>
      <c r="C35" s="37">
        <f t="shared" si="7"/>
        <v>0.15580000000000002</v>
      </c>
      <c r="D35">
        <v>14</v>
      </c>
      <c r="E35">
        <v>2</v>
      </c>
      <c r="F35" s="36">
        <v>14</v>
      </c>
      <c r="G35">
        <v>15</v>
      </c>
      <c r="H35" s="36">
        <v>32</v>
      </c>
      <c r="I35">
        <v>6</v>
      </c>
      <c r="J35" s="36">
        <v>19</v>
      </c>
      <c r="K35" s="21">
        <v>6871</v>
      </c>
      <c r="L35" s="36">
        <f t="shared" ref="L35:L58" si="9">K35+L36</f>
        <v>10485</v>
      </c>
      <c r="M35">
        <v>57</v>
      </c>
      <c r="N35" s="36">
        <v>103</v>
      </c>
      <c r="O35">
        <v>8</v>
      </c>
      <c r="P35" s="36">
        <v>18</v>
      </c>
    </row>
    <row r="36" spans="1:16" x14ac:dyDescent="0.2">
      <c r="A36" s="21" t="s">
        <v>343</v>
      </c>
      <c r="B36" s="8">
        <v>1E-4</v>
      </c>
      <c r="C36" s="37">
        <f t="shared" si="7"/>
        <v>0.15250000000000002</v>
      </c>
      <c r="D36">
        <v>14</v>
      </c>
      <c r="E36">
        <v>8</v>
      </c>
      <c r="F36" s="36">
        <v>8</v>
      </c>
      <c r="G36">
        <v>39</v>
      </c>
      <c r="H36" s="36">
        <v>8</v>
      </c>
      <c r="I36">
        <v>19</v>
      </c>
      <c r="J36" s="36">
        <v>4</v>
      </c>
      <c r="K36" s="21">
        <v>-2419</v>
      </c>
      <c r="L36" s="36">
        <f t="shared" si="9"/>
        <v>3614</v>
      </c>
      <c r="M36">
        <v>78</v>
      </c>
      <c r="N36" s="36">
        <v>82</v>
      </c>
      <c r="O36">
        <v>10</v>
      </c>
      <c r="P36" s="36">
        <v>15</v>
      </c>
    </row>
    <row r="37" spans="1:16" x14ac:dyDescent="0.2">
      <c r="A37" s="21" t="s">
        <v>341</v>
      </c>
      <c r="B37" s="8">
        <v>-5.1000000000000004E-3</v>
      </c>
      <c r="C37" s="37">
        <f t="shared" si="7"/>
        <v>0.15240000000000004</v>
      </c>
      <c r="D37">
        <v>8</v>
      </c>
      <c r="E37">
        <v>2</v>
      </c>
      <c r="F37" s="36">
        <v>20</v>
      </c>
      <c r="G37">
        <v>34</v>
      </c>
      <c r="H37" s="36">
        <v>12</v>
      </c>
      <c r="I37">
        <v>16</v>
      </c>
      <c r="J37" s="36">
        <v>9</v>
      </c>
      <c r="K37" s="21">
        <v>1488</v>
      </c>
      <c r="L37" s="36">
        <f t="shared" si="9"/>
        <v>6033</v>
      </c>
      <c r="M37">
        <v>72</v>
      </c>
      <c r="N37" s="36">
        <v>84</v>
      </c>
      <c r="O37">
        <v>6</v>
      </c>
      <c r="P37" s="36">
        <v>19</v>
      </c>
    </row>
    <row r="38" spans="1:16" x14ac:dyDescent="0.2">
      <c r="A38" s="21" t="s">
        <v>340</v>
      </c>
      <c r="B38" s="8">
        <v>-1.3000000000000001E-2</v>
      </c>
      <c r="C38" s="37">
        <f t="shared" si="7"/>
        <v>0.15750000000000003</v>
      </c>
      <c r="D38">
        <v>2</v>
      </c>
      <c r="E38">
        <v>0</v>
      </c>
      <c r="F38" s="36">
        <v>28</v>
      </c>
      <c r="G38">
        <v>6</v>
      </c>
      <c r="H38" s="36">
        <v>1</v>
      </c>
      <c r="I38">
        <v>0</v>
      </c>
      <c r="J38" s="36">
        <v>0</v>
      </c>
      <c r="K38" s="21">
        <v>-2876</v>
      </c>
      <c r="L38" s="36">
        <f t="shared" si="9"/>
        <v>4545</v>
      </c>
      <c r="M38">
        <v>83</v>
      </c>
      <c r="N38" s="36">
        <v>79</v>
      </c>
      <c r="O38">
        <v>7</v>
      </c>
      <c r="P38" s="36">
        <v>18</v>
      </c>
    </row>
    <row r="39" spans="1:16" x14ac:dyDescent="0.2">
      <c r="A39" s="21" t="s">
        <v>338</v>
      </c>
      <c r="B39" s="8">
        <v>1.5E-3</v>
      </c>
      <c r="C39" s="37">
        <f t="shared" si="7"/>
        <v>0.17050000000000004</v>
      </c>
      <c r="D39">
        <v>14</v>
      </c>
      <c r="E39">
        <v>1</v>
      </c>
      <c r="F39" s="36">
        <v>15</v>
      </c>
      <c r="G39">
        <v>35</v>
      </c>
      <c r="H39" s="36">
        <v>8</v>
      </c>
      <c r="I39">
        <v>22</v>
      </c>
      <c r="J39" s="36">
        <v>3</v>
      </c>
      <c r="K39" s="21">
        <v>301</v>
      </c>
      <c r="L39" s="36">
        <f t="shared" si="9"/>
        <v>7421</v>
      </c>
      <c r="M39">
        <v>63</v>
      </c>
      <c r="N39" s="36">
        <v>97</v>
      </c>
      <c r="O39">
        <v>7</v>
      </c>
      <c r="P39" s="36">
        <v>17</v>
      </c>
    </row>
    <row r="40" spans="1:16" x14ac:dyDescent="0.2">
      <c r="A40" s="21" t="s">
        <v>334</v>
      </c>
      <c r="B40" s="8">
        <v>1.8000000000000002E-2</v>
      </c>
      <c r="C40" s="37">
        <f t="shared" si="7"/>
        <v>0.16900000000000004</v>
      </c>
      <c r="D40">
        <v>26</v>
      </c>
      <c r="E40">
        <v>0</v>
      </c>
      <c r="F40" s="36">
        <v>4</v>
      </c>
      <c r="G40">
        <v>29</v>
      </c>
      <c r="H40" s="36">
        <v>22</v>
      </c>
      <c r="I40">
        <v>12</v>
      </c>
      <c r="J40" s="36" t="s">
        <v>482</v>
      </c>
      <c r="K40" s="21">
        <v>-13</v>
      </c>
      <c r="L40" s="36">
        <f t="shared" si="9"/>
        <v>7120</v>
      </c>
      <c r="M40">
        <v>84</v>
      </c>
      <c r="N40" s="36">
        <v>71</v>
      </c>
      <c r="O40">
        <v>9</v>
      </c>
      <c r="P40" s="36">
        <v>15</v>
      </c>
    </row>
    <row r="41" spans="1:16" x14ac:dyDescent="0.2">
      <c r="A41" s="21" t="s">
        <v>332</v>
      </c>
      <c r="B41" s="8">
        <v>-2.0999999999999999E-3</v>
      </c>
      <c r="C41" s="37">
        <f t="shared" si="7"/>
        <v>0.15100000000000005</v>
      </c>
      <c r="D41">
        <v>8</v>
      </c>
      <c r="E41">
        <v>1</v>
      </c>
      <c r="F41" s="36">
        <v>21</v>
      </c>
      <c r="G41">
        <v>27</v>
      </c>
      <c r="H41" s="36">
        <v>12</v>
      </c>
      <c r="I41">
        <v>14</v>
      </c>
      <c r="J41" s="36">
        <v>10</v>
      </c>
      <c r="K41" s="21">
        <v>-1310</v>
      </c>
      <c r="L41" s="36">
        <f t="shared" si="9"/>
        <v>7133</v>
      </c>
      <c r="M41">
        <v>52</v>
      </c>
      <c r="N41" s="36">
        <v>106</v>
      </c>
      <c r="O41">
        <v>4</v>
      </c>
      <c r="P41" s="36">
        <v>21</v>
      </c>
    </row>
    <row r="42" spans="1:16" x14ac:dyDescent="0.2">
      <c r="A42" s="21" t="s">
        <v>331</v>
      </c>
      <c r="B42" s="8">
        <v>2.3E-3</v>
      </c>
      <c r="C42" s="37">
        <f t="shared" si="7"/>
        <v>0.15310000000000004</v>
      </c>
      <c r="D42">
        <v>11</v>
      </c>
      <c r="E42">
        <v>4</v>
      </c>
      <c r="F42" s="36">
        <v>15</v>
      </c>
      <c r="G42">
        <v>25</v>
      </c>
      <c r="H42" s="36">
        <v>20</v>
      </c>
      <c r="I42">
        <v>10</v>
      </c>
      <c r="J42" s="36">
        <v>15</v>
      </c>
      <c r="K42" s="21">
        <v>1060</v>
      </c>
      <c r="L42" s="36">
        <f t="shared" si="9"/>
        <v>8443</v>
      </c>
      <c r="M42">
        <v>64</v>
      </c>
      <c r="N42" s="36">
        <v>91</v>
      </c>
      <c r="O42">
        <v>9</v>
      </c>
      <c r="P42" s="36">
        <v>15</v>
      </c>
    </row>
    <row r="43" spans="1:16" x14ac:dyDescent="0.2">
      <c r="A43" s="21" t="s">
        <v>327</v>
      </c>
      <c r="B43" s="8">
        <v>4.4000000000000003E-3</v>
      </c>
      <c r="C43" s="37">
        <f t="shared" si="7"/>
        <v>0.15080000000000005</v>
      </c>
      <c r="D43">
        <v>13</v>
      </c>
      <c r="E43">
        <v>5</v>
      </c>
      <c r="F43" s="36">
        <v>12</v>
      </c>
      <c r="G43">
        <v>31</v>
      </c>
      <c r="H43" s="36">
        <v>16</v>
      </c>
      <c r="I43">
        <v>18</v>
      </c>
      <c r="J43" s="36">
        <v>8</v>
      </c>
      <c r="K43" s="21">
        <v>638</v>
      </c>
      <c r="L43" s="36">
        <f t="shared" si="9"/>
        <v>7383</v>
      </c>
      <c r="M43">
        <v>58</v>
      </c>
      <c r="N43" s="36">
        <v>99</v>
      </c>
      <c r="O43">
        <v>7</v>
      </c>
      <c r="P43" s="36">
        <v>17</v>
      </c>
    </row>
    <row r="44" spans="1:16" x14ac:dyDescent="0.2">
      <c r="A44" s="21" t="s">
        <v>324</v>
      </c>
      <c r="B44" s="8">
        <v>2E-3</v>
      </c>
      <c r="C44" s="37">
        <f t="shared" si="7"/>
        <v>0.14640000000000006</v>
      </c>
      <c r="D44">
        <v>12</v>
      </c>
      <c r="E44">
        <v>8</v>
      </c>
      <c r="F44" s="36">
        <v>10</v>
      </c>
      <c r="G44">
        <v>22</v>
      </c>
      <c r="H44" s="36">
        <v>27</v>
      </c>
      <c r="I44">
        <v>4</v>
      </c>
      <c r="J44" s="36">
        <v>20</v>
      </c>
      <c r="K44" s="21">
        <v>3312</v>
      </c>
      <c r="L44" s="36">
        <f t="shared" si="9"/>
        <v>6745</v>
      </c>
      <c r="M44">
        <v>64</v>
      </c>
      <c r="N44" s="36">
        <v>94</v>
      </c>
      <c r="O44">
        <v>7</v>
      </c>
      <c r="P44" s="36">
        <v>19</v>
      </c>
    </row>
    <row r="45" spans="1:16" x14ac:dyDescent="0.2">
      <c r="A45" s="21" t="s">
        <v>323</v>
      </c>
      <c r="B45" s="8">
        <v>-1E-3</v>
      </c>
      <c r="C45" s="37">
        <f t="shared" si="7"/>
        <v>0.14440000000000006</v>
      </c>
      <c r="D45">
        <v>13</v>
      </c>
      <c r="E45">
        <v>3</v>
      </c>
      <c r="F45" s="36">
        <v>14</v>
      </c>
      <c r="G45">
        <v>37</v>
      </c>
      <c r="H45" s="36">
        <v>13</v>
      </c>
      <c r="I45">
        <v>17</v>
      </c>
      <c r="J45" s="36">
        <v>7</v>
      </c>
      <c r="K45" s="21">
        <v>-1721</v>
      </c>
      <c r="L45" s="36">
        <f t="shared" si="9"/>
        <v>3433</v>
      </c>
      <c r="M45">
        <v>69</v>
      </c>
      <c r="N45" s="36">
        <v>90</v>
      </c>
      <c r="O45">
        <v>11</v>
      </c>
      <c r="P45" s="36">
        <v>14</v>
      </c>
    </row>
    <row r="46" spans="1:16" x14ac:dyDescent="0.2">
      <c r="A46" s="21" t="s">
        <v>321</v>
      </c>
      <c r="B46" s="8">
        <v>2.5000000000000001E-3</v>
      </c>
      <c r="C46" s="37">
        <f t="shared" si="7"/>
        <v>0.14540000000000006</v>
      </c>
      <c r="D46">
        <v>16</v>
      </c>
      <c r="E46">
        <v>3</v>
      </c>
      <c r="F46" s="36">
        <v>11</v>
      </c>
      <c r="G46">
        <v>14</v>
      </c>
      <c r="H46" s="36">
        <v>27</v>
      </c>
      <c r="I46">
        <v>6</v>
      </c>
      <c r="J46" s="36">
        <v>17</v>
      </c>
      <c r="K46" s="21">
        <v>2465</v>
      </c>
      <c r="L46" s="36">
        <f t="shared" si="9"/>
        <v>5154</v>
      </c>
      <c r="M46">
        <v>63</v>
      </c>
      <c r="N46" s="36">
        <v>90</v>
      </c>
      <c r="O46">
        <v>11</v>
      </c>
      <c r="P46" s="36">
        <v>14</v>
      </c>
    </row>
    <row r="47" spans="1:16" x14ac:dyDescent="0.2">
      <c r="A47" s="21" t="s">
        <v>317</v>
      </c>
      <c r="B47" s="8">
        <v>1.7100000000000001E-2</v>
      </c>
      <c r="C47" s="37">
        <f t="shared" si="7"/>
        <v>0.14290000000000005</v>
      </c>
      <c r="D47">
        <v>29</v>
      </c>
      <c r="E47">
        <v>0</v>
      </c>
      <c r="F47" s="36">
        <v>1</v>
      </c>
      <c r="G47">
        <v>29</v>
      </c>
      <c r="H47" s="36">
        <v>15</v>
      </c>
      <c r="I47">
        <v>19</v>
      </c>
      <c r="J47" s="36">
        <v>4</v>
      </c>
      <c r="K47" s="21">
        <v>-5551</v>
      </c>
      <c r="L47" s="36">
        <f t="shared" si="9"/>
        <v>2689</v>
      </c>
      <c r="M47">
        <v>70</v>
      </c>
      <c r="N47" s="36">
        <v>89</v>
      </c>
      <c r="O47">
        <v>11</v>
      </c>
      <c r="P47" s="36">
        <v>14</v>
      </c>
    </row>
    <row r="48" spans="1:16" x14ac:dyDescent="0.2">
      <c r="A48" s="21" t="s">
        <v>309</v>
      </c>
      <c r="B48" s="8">
        <v>-2.5999999999999999E-3</v>
      </c>
      <c r="C48" s="37">
        <f t="shared" si="7"/>
        <v>0.12580000000000005</v>
      </c>
      <c r="D48">
        <v>9</v>
      </c>
      <c r="E48">
        <v>3</v>
      </c>
      <c r="F48" s="36">
        <v>18</v>
      </c>
      <c r="G48">
        <v>36</v>
      </c>
      <c r="H48" s="36">
        <v>10</v>
      </c>
      <c r="I48">
        <v>19</v>
      </c>
      <c r="J48" s="36">
        <v>3</v>
      </c>
      <c r="K48" s="21">
        <v>614</v>
      </c>
      <c r="L48" s="36">
        <f t="shared" si="9"/>
        <v>8240</v>
      </c>
      <c r="M48">
        <v>65</v>
      </c>
      <c r="N48" s="36">
        <v>89</v>
      </c>
      <c r="O48">
        <v>9</v>
      </c>
      <c r="P48" s="36">
        <v>16</v>
      </c>
    </row>
    <row r="49" spans="1:16" x14ac:dyDescent="0.2">
      <c r="A49" s="21" t="s">
        <v>305</v>
      </c>
      <c r="B49" s="8">
        <v>-3.7000000000000002E-3</v>
      </c>
      <c r="C49" s="37">
        <f t="shared" si="7"/>
        <v>0.12840000000000004</v>
      </c>
      <c r="D49">
        <v>8</v>
      </c>
      <c r="E49">
        <v>1</v>
      </c>
      <c r="F49" s="36">
        <v>21</v>
      </c>
      <c r="G49">
        <v>20</v>
      </c>
      <c r="H49" s="36">
        <v>27</v>
      </c>
      <c r="I49">
        <v>3</v>
      </c>
      <c r="J49" s="36">
        <v>18</v>
      </c>
      <c r="K49" s="21">
        <v>1827</v>
      </c>
      <c r="L49" s="36">
        <f t="shared" si="9"/>
        <v>7626</v>
      </c>
      <c r="M49">
        <v>62</v>
      </c>
      <c r="N49" s="36">
        <v>91</v>
      </c>
      <c r="O49">
        <v>5</v>
      </c>
      <c r="P49" s="36">
        <v>20</v>
      </c>
    </row>
    <row r="50" spans="1:16" x14ac:dyDescent="0.2">
      <c r="A50" s="21" t="s">
        <v>260</v>
      </c>
      <c r="B50" s="8">
        <v>-1.21E-2</v>
      </c>
      <c r="C50" s="37">
        <f t="shared" si="7"/>
        <v>0.13210000000000005</v>
      </c>
      <c r="D50">
        <v>2</v>
      </c>
      <c r="E50">
        <v>1</v>
      </c>
      <c r="F50" s="36">
        <v>27</v>
      </c>
      <c r="G50">
        <v>20</v>
      </c>
      <c r="H50" s="36">
        <v>25</v>
      </c>
      <c r="I50">
        <v>7</v>
      </c>
      <c r="J50" s="36">
        <v>16</v>
      </c>
      <c r="K50" s="21">
        <v>2191</v>
      </c>
      <c r="L50" s="36">
        <f t="shared" si="9"/>
        <v>5799</v>
      </c>
      <c r="M50">
        <v>59</v>
      </c>
      <c r="N50" s="36">
        <v>99</v>
      </c>
      <c r="O50">
        <v>5</v>
      </c>
      <c r="P50" s="36">
        <v>20</v>
      </c>
    </row>
    <row r="51" spans="1:16" x14ac:dyDescent="0.2">
      <c r="A51" s="21" t="s">
        <v>259</v>
      </c>
      <c r="B51" s="8">
        <v>1.1599999999999999E-2</v>
      </c>
      <c r="C51" s="37">
        <f t="shared" si="7"/>
        <v>0.14420000000000005</v>
      </c>
      <c r="D51">
        <v>27</v>
      </c>
      <c r="E51">
        <v>2</v>
      </c>
      <c r="F51" s="36">
        <v>1</v>
      </c>
      <c r="G51">
        <v>19</v>
      </c>
      <c r="H51" s="36">
        <v>24</v>
      </c>
      <c r="I51">
        <v>6</v>
      </c>
      <c r="J51" s="36">
        <v>15</v>
      </c>
      <c r="K51" s="21">
        <v>1131</v>
      </c>
      <c r="L51" s="36">
        <f t="shared" si="9"/>
        <v>3608</v>
      </c>
      <c r="M51">
        <v>60</v>
      </c>
      <c r="N51" s="36">
        <v>97</v>
      </c>
      <c r="O51">
        <v>7</v>
      </c>
      <c r="P51" s="36">
        <v>18</v>
      </c>
    </row>
    <row r="52" spans="1:16" x14ac:dyDescent="0.2">
      <c r="A52" s="21" t="s">
        <v>258</v>
      </c>
      <c r="B52" s="8">
        <v>1.1000000000000001E-3</v>
      </c>
      <c r="C52" s="37">
        <f t="shared" si="7"/>
        <v>0.13260000000000005</v>
      </c>
      <c r="D52">
        <v>14</v>
      </c>
      <c r="E52">
        <v>9</v>
      </c>
      <c r="F52" s="36">
        <v>7</v>
      </c>
      <c r="G52">
        <v>20</v>
      </c>
      <c r="H52" s="36">
        <v>18</v>
      </c>
      <c r="I52">
        <v>9</v>
      </c>
      <c r="J52" s="36">
        <v>14</v>
      </c>
      <c r="K52" s="21">
        <v>-339</v>
      </c>
      <c r="L52" s="36">
        <f t="shared" si="9"/>
        <v>2477</v>
      </c>
      <c r="M52">
        <v>76</v>
      </c>
      <c r="N52" s="36">
        <v>79</v>
      </c>
      <c r="O52">
        <v>8</v>
      </c>
      <c r="P52" s="36">
        <v>17</v>
      </c>
    </row>
    <row r="53" spans="1:16" x14ac:dyDescent="0.2">
      <c r="A53" s="21" t="s">
        <v>257</v>
      </c>
      <c r="B53" s="8">
        <v>-1.6299999999999999E-2</v>
      </c>
      <c r="C53" s="37">
        <f t="shared" si="7"/>
        <v>0.13150000000000006</v>
      </c>
      <c r="D53">
        <v>4</v>
      </c>
      <c r="E53">
        <v>1</v>
      </c>
      <c r="F53" s="36">
        <v>25</v>
      </c>
      <c r="G53">
        <v>21</v>
      </c>
      <c r="H53" s="36">
        <v>28</v>
      </c>
      <c r="I53">
        <v>2</v>
      </c>
      <c r="J53" s="36">
        <v>20</v>
      </c>
      <c r="K53" s="21">
        <v>3883</v>
      </c>
      <c r="L53" s="36">
        <f t="shared" si="9"/>
        <v>2816</v>
      </c>
      <c r="M53">
        <v>55</v>
      </c>
      <c r="N53" s="36">
        <v>101</v>
      </c>
      <c r="O53">
        <v>8</v>
      </c>
      <c r="P53" s="36">
        <v>17</v>
      </c>
    </row>
    <row r="54" spans="1:16" x14ac:dyDescent="0.2">
      <c r="A54" s="21" t="s">
        <v>256</v>
      </c>
      <c r="B54" s="8">
        <v>1.03E-2</v>
      </c>
      <c r="C54" s="37">
        <f t="shared" si="7"/>
        <v>0.14780000000000007</v>
      </c>
      <c r="D54">
        <v>25</v>
      </c>
      <c r="E54">
        <v>0</v>
      </c>
      <c r="F54" s="36">
        <v>5</v>
      </c>
      <c r="G54">
        <v>33</v>
      </c>
      <c r="H54" s="36">
        <v>16</v>
      </c>
      <c r="I54">
        <v>20</v>
      </c>
      <c r="J54" s="36">
        <v>6</v>
      </c>
      <c r="K54" s="21">
        <v>1773</v>
      </c>
      <c r="L54" s="36">
        <f t="shared" si="9"/>
        <v>-1067</v>
      </c>
      <c r="M54">
        <v>75</v>
      </c>
      <c r="N54" s="36">
        <v>79</v>
      </c>
      <c r="O54">
        <v>13</v>
      </c>
      <c r="P54" s="36">
        <v>12</v>
      </c>
    </row>
    <row r="55" spans="1:16" x14ac:dyDescent="0.2">
      <c r="A55" s="21" t="s">
        <v>255</v>
      </c>
      <c r="B55" s="8">
        <v>-1.3100000000000001E-2</v>
      </c>
      <c r="C55" s="37">
        <f t="shared" si="7"/>
        <v>0.13750000000000007</v>
      </c>
      <c r="D55">
        <v>5</v>
      </c>
      <c r="E55">
        <v>1</v>
      </c>
      <c r="F55" s="36">
        <v>24</v>
      </c>
      <c r="G55">
        <v>34</v>
      </c>
      <c r="H55" s="36">
        <v>14</v>
      </c>
      <c r="I55">
        <v>18</v>
      </c>
      <c r="J55" s="36">
        <v>4</v>
      </c>
      <c r="K55" s="21">
        <v>-2786</v>
      </c>
      <c r="L55" s="36">
        <f t="shared" si="9"/>
        <v>-2840</v>
      </c>
      <c r="M55">
        <v>56</v>
      </c>
      <c r="N55" s="36">
        <v>97</v>
      </c>
      <c r="O55">
        <v>6</v>
      </c>
      <c r="P55" s="36">
        <v>18</v>
      </c>
    </row>
    <row r="56" spans="1:16" x14ac:dyDescent="0.2">
      <c r="A56" s="21" t="s">
        <v>254</v>
      </c>
      <c r="B56" s="8">
        <v>-3.0000000000000001E-3</v>
      </c>
      <c r="C56" s="37">
        <f t="shared" si="7"/>
        <v>0.15060000000000007</v>
      </c>
      <c r="D56">
        <v>11</v>
      </c>
      <c r="E56">
        <v>3</v>
      </c>
      <c r="F56" s="36">
        <v>16</v>
      </c>
      <c r="G56">
        <v>0</v>
      </c>
      <c r="H56" s="36">
        <v>22</v>
      </c>
      <c r="I56">
        <v>7</v>
      </c>
      <c r="J56" s="36">
        <v>12</v>
      </c>
      <c r="K56" s="21">
        <v>-4844</v>
      </c>
      <c r="L56" s="36">
        <f t="shared" si="9"/>
        <v>-54</v>
      </c>
      <c r="M56">
        <v>56</v>
      </c>
      <c r="N56" s="36">
        <v>99</v>
      </c>
      <c r="O56">
        <v>5</v>
      </c>
      <c r="P56" s="36">
        <v>19</v>
      </c>
    </row>
    <row r="57" spans="1:16" x14ac:dyDescent="0.2">
      <c r="A57" s="21" t="s">
        <v>253</v>
      </c>
      <c r="B57" s="8">
        <v>1.8E-3</v>
      </c>
      <c r="C57" s="37">
        <f t="shared" si="7"/>
        <v>0.15360000000000007</v>
      </c>
      <c r="D57">
        <v>18</v>
      </c>
      <c r="E57">
        <v>2</v>
      </c>
      <c r="F57" s="36">
        <v>10</v>
      </c>
      <c r="G57">
        <v>0</v>
      </c>
      <c r="H57" s="36">
        <v>12</v>
      </c>
      <c r="I57">
        <v>8</v>
      </c>
      <c r="J57" s="36">
        <v>8</v>
      </c>
      <c r="K57" s="21">
        <v>553</v>
      </c>
      <c r="L57" s="36">
        <f t="shared" si="9"/>
        <v>4790</v>
      </c>
      <c r="M57">
        <v>57</v>
      </c>
      <c r="N57" s="36">
        <v>104</v>
      </c>
      <c r="O57">
        <v>6</v>
      </c>
      <c r="P57" s="36">
        <v>19</v>
      </c>
    </row>
    <row r="58" spans="1:16" x14ac:dyDescent="0.2">
      <c r="A58" s="21" t="s">
        <v>252</v>
      </c>
      <c r="B58" s="8">
        <v>1.4000000000000002E-3</v>
      </c>
      <c r="C58" s="37">
        <f t="shared" si="7"/>
        <v>0.15180000000000007</v>
      </c>
      <c r="D58">
        <v>14</v>
      </c>
      <c r="E58">
        <v>4</v>
      </c>
      <c r="F58" s="36">
        <v>12</v>
      </c>
      <c r="G58">
        <v>19</v>
      </c>
      <c r="H58" s="36">
        <v>27</v>
      </c>
      <c r="I58">
        <v>6</v>
      </c>
      <c r="J58" s="36">
        <v>17</v>
      </c>
      <c r="K58" s="21">
        <v>4237</v>
      </c>
      <c r="L58" s="36">
        <f t="shared" si="9"/>
        <v>4237</v>
      </c>
      <c r="M58">
        <v>58</v>
      </c>
      <c r="N58" s="36">
        <v>91</v>
      </c>
      <c r="O58">
        <v>4</v>
      </c>
      <c r="P58" s="36">
        <v>20</v>
      </c>
    </row>
    <row r="59" spans="1:16" x14ac:dyDescent="0.2">
      <c r="A59" s="21" t="s">
        <v>251</v>
      </c>
      <c r="B59" s="8">
        <v>1.4199999999999999E-2</v>
      </c>
      <c r="C59" s="37">
        <f t="shared" si="7"/>
        <v>0.15040000000000006</v>
      </c>
      <c r="D59">
        <v>24</v>
      </c>
      <c r="E59">
        <v>2</v>
      </c>
      <c r="F59" s="36">
        <v>4</v>
      </c>
      <c r="G59">
        <v>33</v>
      </c>
      <c r="H59" s="36">
        <v>15</v>
      </c>
      <c r="I59">
        <v>21</v>
      </c>
      <c r="J59" s="36">
        <v>2</v>
      </c>
      <c r="L59" s="36"/>
      <c r="M59">
        <v>73</v>
      </c>
      <c r="N59" s="36">
        <v>80</v>
      </c>
      <c r="O59">
        <v>13</v>
      </c>
      <c r="P59" s="36">
        <v>12</v>
      </c>
    </row>
    <row r="60" spans="1:16" x14ac:dyDescent="0.2">
      <c r="A60" s="21" t="s">
        <v>250</v>
      </c>
      <c r="B60" s="8">
        <v>9.8999999999999991E-3</v>
      </c>
      <c r="C60" s="37">
        <f t="shared" si="7"/>
        <v>0.13620000000000007</v>
      </c>
      <c r="D60">
        <v>26</v>
      </c>
      <c r="E60">
        <v>1</v>
      </c>
      <c r="F60" s="36">
        <v>3</v>
      </c>
      <c r="G60">
        <v>40</v>
      </c>
      <c r="H60" s="36">
        <v>6</v>
      </c>
      <c r="I60">
        <v>22</v>
      </c>
      <c r="J60" s="36">
        <v>1</v>
      </c>
      <c r="L60" s="36"/>
      <c r="M60">
        <v>84</v>
      </c>
      <c r="N60" s="36">
        <v>70</v>
      </c>
      <c r="O60">
        <v>8</v>
      </c>
      <c r="P60" s="36">
        <v>17</v>
      </c>
    </row>
    <row r="61" spans="1:16" x14ac:dyDescent="0.2">
      <c r="A61" s="21" t="s">
        <v>249</v>
      </c>
      <c r="B61" s="8">
        <v>3.8E-3</v>
      </c>
      <c r="C61" s="37">
        <f t="shared" si="7"/>
        <v>0.12630000000000008</v>
      </c>
      <c r="D61">
        <v>13</v>
      </c>
      <c r="E61">
        <v>6</v>
      </c>
      <c r="F61" s="36">
        <v>11</v>
      </c>
      <c r="G61">
        <v>27</v>
      </c>
      <c r="H61" s="36">
        <v>15</v>
      </c>
      <c r="I61">
        <v>9</v>
      </c>
      <c r="J61" s="36">
        <v>12</v>
      </c>
      <c r="L61" s="36"/>
      <c r="M61">
        <v>57</v>
      </c>
      <c r="N61" s="36">
        <v>98</v>
      </c>
      <c r="O61">
        <v>4</v>
      </c>
      <c r="P61" s="36">
        <v>20</v>
      </c>
    </row>
    <row r="62" spans="1:16" x14ac:dyDescent="0.2">
      <c r="A62" s="21" t="s">
        <v>248</v>
      </c>
      <c r="B62" s="8">
        <v>-3.9000000000000003E-3</v>
      </c>
      <c r="C62" s="37">
        <f t="shared" si="7"/>
        <v>0.12250000000000007</v>
      </c>
      <c r="D62">
        <v>7</v>
      </c>
      <c r="E62">
        <v>4</v>
      </c>
      <c r="F62" s="36">
        <v>19</v>
      </c>
      <c r="G62">
        <v>35</v>
      </c>
      <c r="H62" s="36">
        <v>8</v>
      </c>
      <c r="I62">
        <v>18</v>
      </c>
      <c r="J62" s="36">
        <v>4</v>
      </c>
      <c r="L62" s="36"/>
      <c r="M62">
        <v>37</v>
      </c>
      <c r="N62" s="36">
        <v>115</v>
      </c>
      <c r="O62">
        <v>3</v>
      </c>
      <c r="P62" s="36">
        <v>22</v>
      </c>
    </row>
    <row r="63" spans="1:16" x14ac:dyDescent="0.2">
      <c r="A63" s="21" t="s">
        <v>247</v>
      </c>
      <c r="B63" s="8">
        <v>-3.0999999999999999E-3</v>
      </c>
      <c r="C63" s="37">
        <f t="shared" si="7"/>
        <v>0.12640000000000007</v>
      </c>
      <c r="D63">
        <v>4</v>
      </c>
      <c r="E63">
        <v>4</v>
      </c>
      <c r="F63" s="36">
        <v>22</v>
      </c>
      <c r="G63">
        <v>23</v>
      </c>
      <c r="H63" s="36">
        <v>25</v>
      </c>
      <c r="I63">
        <v>9</v>
      </c>
      <c r="J63" s="36">
        <v>11</v>
      </c>
      <c r="L63" s="36"/>
      <c r="M63">
        <v>54</v>
      </c>
      <c r="N63" s="36">
        <v>97</v>
      </c>
      <c r="O63">
        <v>6</v>
      </c>
      <c r="P63" s="36">
        <v>19</v>
      </c>
    </row>
    <row r="64" spans="1:16" x14ac:dyDescent="0.2">
      <c r="A64" s="21" t="s">
        <v>243</v>
      </c>
      <c r="B64" s="8">
        <v>-2.5999999999999999E-3</v>
      </c>
      <c r="C64" s="37">
        <f t="shared" si="7"/>
        <v>0.12950000000000006</v>
      </c>
      <c r="D64">
        <v>13</v>
      </c>
      <c r="E64">
        <v>1</v>
      </c>
      <c r="F64" s="36">
        <v>16</v>
      </c>
      <c r="G64">
        <v>25</v>
      </c>
      <c r="H64" s="36">
        <v>16</v>
      </c>
      <c r="I64">
        <v>13</v>
      </c>
      <c r="J64" s="36">
        <v>11</v>
      </c>
      <c r="L64" s="36"/>
      <c r="M64">
        <v>47</v>
      </c>
      <c r="N64" s="36">
        <v>107</v>
      </c>
      <c r="O64">
        <v>6</v>
      </c>
      <c r="P64" s="36">
        <v>18</v>
      </c>
    </row>
    <row r="65" spans="1:16" x14ac:dyDescent="0.2">
      <c r="A65" s="21" t="s">
        <v>242</v>
      </c>
      <c r="B65" s="8">
        <v>0</v>
      </c>
      <c r="C65" s="37">
        <f t="shared" si="7"/>
        <v>0.13210000000000005</v>
      </c>
      <c r="D65">
        <v>12</v>
      </c>
      <c r="E65">
        <v>1</v>
      </c>
      <c r="F65" s="36">
        <v>17</v>
      </c>
      <c r="G65">
        <v>15</v>
      </c>
      <c r="H65" s="36">
        <v>20</v>
      </c>
      <c r="I65">
        <v>4</v>
      </c>
      <c r="J65" s="36">
        <v>11</v>
      </c>
      <c r="L65" s="36"/>
      <c r="M65">
        <v>68</v>
      </c>
      <c r="N65" s="36">
        <v>79</v>
      </c>
      <c r="O65">
        <v>11</v>
      </c>
      <c r="P65" s="36">
        <v>12</v>
      </c>
    </row>
    <row r="66" spans="1:16" x14ac:dyDescent="0.2">
      <c r="A66" s="21" t="s">
        <v>241</v>
      </c>
      <c r="B66" s="8">
        <v>8.0000000000000002E-3</v>
      </c>
      <c r="C66" s="37">
        <f t="shared" si="7"/>
        <v>0.13210000000000005</v>
      </c>
      <c r="D66">
        <v>16</v>
      </c>
      <c r="E66">
        <v>4</v>
      </c>
      <c r="F66" s="36">
        <v>10</v>
      </c>
      <c r="G66">
        <v>17</v>
      </c>
      <c r="H66" s="36">
        <v>20</v>
      </c>
      <c r="I66">
        <v>6</v>
      </c>
      <c r="J66" s="36">
        <v>10</v>
      </c>
      <c r="L66" s="36"/>
      <c r="M66">
        <v>72</v>
      </c>
      <c r="N66" s="36">
        <v>79</v>
      </c>
      <c r="O66">
        <v>10</v>
      </c>
      <c r="P66" s="36">
        <v>14</v>
      </c>
    </row>
    <row r="67" spans="1:16" x14ac:dyDescent="0.2">
      <c r="A67" s="21" t="s">
        <v>240</v>
      </c>
      <c r="B67" s="8">
        <v>1.5100000000000001E-2</v>
      </c>
      <c r="C67" s="37">
        <f t="shared" si="7"/>
        <v>0.12410000000000004</v>
      </c>
      <c r="D67">
        <v>28</v>
      </c>
      <c r="E67">
        <v>0</v>
      </c>
      <c r="F67" s="36">
        <v>2</v>
      </c>
      <c r="G67">
        <v>26</v>
      </c>
      <c r="H67" s="36">
        <v>15</v>
      </c>
      <c r="I67">
        <v>14</v>
      </c>
      <c r="J67" s="36">
        <v>7</v>
      </c>
      <c r="L67" s="36"/>
      <c r="M67">
        <v>106</v>
      </c>
      <c r="N67" s="36">
        <v>47</v>
      </c>
      <c r="O67">
        <v>11</v>
      </c>
      <c r="P67" s="36">
        <v>12</v>
      </c>
    </row>
    <row r="68" spans="1:16" x14ac:dyDescent="0.2">
      <c r="A68" s="21" t="s">
        <v>239</v>
      </c>
      <c r="B68" s="8">
        <v>6.7000000000000002E-3</v>
      </c>
      <c r="C68" s="37">
        <f t="shared" si="7"/>
        <v>0.10900000000000004</v>
      </c>
      <c r="D68">
        <v>16</v>
      </c>
      <c r="E68">
        <v>2</v>
      </c>
      <c r="F68" s="36">
        <v>12</v>
      </c>
      <c r="G68">
        <v>23</v>
      </c>
      <c r="H68" s="36">
        <v>17</v>
      </c>
      <c r="I68">
        <v>7</v>
      </c>
      <c r="J68" s="36">
        <v>10</v>
      </c>
      <c r="L68" s="36"/>
      <c r="M68">
        <v>68</v>
      </c>
      <c r="N68" s="36">
        <v>81</v>
      </c>
      <c r="O68">
        <v>13</v>
      </c>
      <c r="P68" s="36">
        <v>10</v>
      </c>
    </row>
    <row r="69" spans="1:16" x14ac:dyDescent="0.2">
      <c r="A69" s="21" t="s">
        <v>238</v>
      </c>
      <c r="B69" s="8">
        <v>5.4000000000000003E-3</v>
      </c>
      <c r="C69" s="37">
        <f t="shared" si="7"/>
        <v>0.10230000000000004</v>
      </c>
      <c r="D69">
        <v>19</v>
      </c>
      <c r="E69">
        <v>2</v>
      </c>
      <c r="F69" s="36">
        <v>9</v>
      </c>
      <c r="G69">
        <v>18</v>
      </c>
      <c r="H69" s="36">
        <v>18</v>
      </c>
      <c r="I69">
        <v>8</v>
      </c>
      <c r="J69" s="36">
        <v>10</v>
      </c>
      <c r="L69" s="36"/>
      <c r="M69">
        <v>51</v>
      </c>
      <c r="N69" s="36">
        <v>100</v>
      </c>
      <c r="O69">
        <v>10</v>
      </c>
      <c r="P69" s="36">
        <v>14</v>
      </c>
    </row>
    <row r="70" spans="1:16" x14ac:dyDescent="0.2">
      <c r="A70" s="21" t="s">
        <v>237</v>
      </c>
      <c r="B70" s="8">
        <v>5.5000000000000005E-3</v>
      </c>
      <c r="C70" s="37">
        <f t="shared" si="7"/>
        <v>9.6900000000000042E-2</v>
      </c>
      <c r="D70">
        <v>13</v>
      </c>
      <c r="E70">
        <v>4</v>
      </c>
      <c r="F70" s="36">
        <v>13</v>
      </c>
      <c r="G70">
        <v>15</v>
      </c>
      <c r="H70" s="36">
        <v>22</v>
      </c>
      <c r="I70">
        <v>2</v>
      </c>
      <c r="J70" s="36">
        <v>17</v>
      </c>
      <c r="L70" s="36"/>
      <c r="M70">
        <v>65</v>
      </c>
      <c r="N70" s="36">
        <v>86</v>
      </c>
      <c r="O70">
        <v>12</v>
      </c>
      <c r="P70" s="36">
        <v>10</v>
      </c>
    </row>
    <row r="71" spans="1:16" x14ac:dyDescent="0.2">
      <c r="A71" s="21" t="s">
        <v>236</v>
      </c>
      <c r="B71" s="8">
        <v>1.2999999999999999E-3</v>
      </c>
      <c r="C71" s="37">
        <f t="shared" si="7"/>
        <v>9.1400000000000037E-2</v>
      </c>
      <c r="D71">
        <v>11</v>
      </c>
      <c r="E71">
        <v>3</v>
      </c>
      <c r="F71" s="36">
        <v>16</v>
      </c>
      <c r="G71">
        <v>14</v>
      </c>
      <c r="H71" s="36">
        <v>26</v>
      </c>
      <c r="I71">
        <v>2</v>
      </c>
      <c r="J71" s="36">
        <v>21</v>
      </c>
      <c r="L71" s="36"/>
      <c r="M71">
        <v>50</v>
      </c>
      <c r="N71" s="36">
        <v>97</v>
      </c>
      <c r="O71">
        <v>12</v>
      </c>
      <c r="P71" s="36">
        <v>11</v>
      </c>
    </row>
    <row r="72" spans="1:16" x14ac:dyDescent="0.2">
      <c r="A72" s="21" t="s">
        <v>235</v>
      </c>
      <c r="B72" s="8">
        <v>2.6499999999999999E-2</v>
      </c>
      <c r="C72" s="37">
        <f t="shared" si="7"/>
        <v>9.0100000000000041E-2</v>
      </c>
      <c r="D72">
        <v>0</v>
      </c>
      <c r="E72">
        <v>0</v>
      </c>
      <c r="F72" s="36">
        <v>30</v>
      </c>
      <c r="G72">
        <v>31</v>
      </c>
      <c r="H72" s="36">
        <v>11</v>
      </c>
      <c r="I72">
        <v>18</v>
      </c>
      <c r="J72" s="36">
        <v>6</v>
      </c>
      <c r="L72" s="36"/>
      <c r="M72">
        <v>95</v>
      </c>
      <c r="N72" s="36">
        <v>60</v>
      </c>
      <c r="O72">
        <v>12</v>
      </c>
      <c r="P72" s="36">
        <v>12</v>
      </c>
    </row>
    <row r="73" spans="1:16" x14ac:dyDescent="0.2">
      <c r="A73" s="21" t="s">
        <v>234</v>
      </c>
      <c r="B73" s="8">
        <v>-5.1999999999999998E-3</v>
      </c>
      <c r="C73" s="37">
        <f t="shared" si="7"/>
        <v>6.3600000000000045E-2</v>
      </c>
      <c r="D73">
        <v>6</v>
      </c>
      <c r="E73">
        <v>0</v>
      </c>
      <c r="F73" s="36">
        <v>24</v>
      </c>
      <c r="G73">
        <v>22</v>
      </c>
      <c r="H73" s="36">
        <v>23</v>
      </c>
      <c r="I73">
        <v>2</v>
      </c>
      <c r="J73" s="36">
        <v>21</v>
      </c>
      <c r="L73" s="36"/>
      <c r="M73">
        <v>59</v>
      </c>
      <c r="N73" s="36">
        <v>89</v>
      </c>
      <c r="O73">
        <v>9</v>
      </c>
      <c r="P73" s="36">
        <v>12</v>
      </c>
    </row>
    <row r="74" spans="1:16" x14ac:dyDescent="0.2">
      <c r="A74" s="21" t="s">
        <v>233</v>
      </c>
      <c r="B74" s="8">
        <v>1.06E-2</v>
      </c>
      <c r="C74" s="37">
        <f t="shared" si="7"/>
        <v>6.8800000000000042E-2</v>
      </c>
      <c r="D74">
        <v>23</v>
      </c>
      <c r="E74">
        <v>3</v>
      </c>
      <c r="F74" s="36">
        <v>4</v>
      </c>
      <c r="G74">
        <v>27</v>
      </c>
      <c r="H74" s="36">
        <v>21</v>
      </c>
      <c r="I74">
        <v>6</v>
      </c>
      <c r="J74" s="36">
        <v>17</v>
      </c>
      <c r="L74" s="36"/>
      <c r="M74">
        <v>74</v>
      </c>
      <c r="N74" s="36">
        <v>74</v>
      </c>
      <c r="O74">
        <v>10</v>
      </c>
      <c r="P74" s="36">
        <v>13</v>
      </c>
    </row>
    <row r="75" spans="1:16" x14ac:dyDescent="0.2">
      <c r="A75" s="21" t="s">
        <v>232</v>
      </c>
      <c r="B75" s="8">
        <v>-1.38E-2</v>
      </c>
      <c r="C75" s="37">
        <f t="shared" si="7"/>
        <v>5.8200000000000036E-2</v>
      </c>
      <c r="D75">
        <v>2</v>
      </c>
      <c r="E75">
        <v>3</v>
      </c>
      <c r="F75" s="36">
        <v>25</v>
      </c>
      <c r="G75">
        <v>46</v>
      </c>
      <c r="H75" s="36">
        <v>2</v>
      </c>
      <c r="I75">
        <v>20</v>
      </c>
      <c r="J75" s="36">
        <v>2</v>
      </c>
      <c r="L75" s="36"/>
      <c r="M75">
        <v>89</v>
      </c>
      <c r="N75" s="36">
        <v>59</v>
      </c>
      <c r="O75">
        <v>11</v>
      </c>
      <c r="P75" s="36">
        <v>12</v>
      </c>
    </row>
    <row r="76" spans="1:16" x14ac:dyDescent="0.2">
      <c r="A76" s="21" t="s">
        <v>231</v>
      </c>
      <c r="B76" s="8">
        <v>-1.78E-2</v>
      </c>
      <c r="C76" s="37">
        <f t="shared" si="7"/>
        <v>7.2000000000000036E-2</v>
      </c>
      <c r="D76">
        <v>4</v>
      </c>
      <c r="E76">
        <v>0</v>
      </c>
      <c r="F76" s="36">
        <v>26</v>
      </c>
      <c r="G76">
        <v>22</v>
      </c>
      <c r="H76" s="36">
        <v>27</v>
      </c>
      <c r="I76">
        <v>4</v>
      </c>
      <c r="J76" s="36">
        <v>18</v>
      </c>
      <c r="L76" s="36"/>
      <c r="M76">
        <v>50</v>
      </c>
      <c r="N76" s="36">
        <v>95</v>
      </c>
      <c r="O76">
        <v>7</v>
      </c>
      <c r="P76" s="36">
        <v>15</v>
      </c>
    </row>
    <row r="77" spans="1:16" x14ac:dyDescent="0.2">
      <c r="A77" s="21" t="s">
        <v>230</v>
      </c>
      <c r="B77" s="8">
        <v>3.9000000000000003E-3</v>
      </c>
      <c r="C77" s="37">
        <f t="shared" si="7"/>
        <v>8.9800000000000033E-2</v>
      </c>
      <c r="D77">
        <v>14</v>
      </c>
      <c r="E77">
        <v>3</v>
      </c>
      <c r="F77" s="36">
        <v>13</v>
      </c>
      <c r="G77">
        <v>47</v>
      </c>
      <c r="H77" s="36">
        <v>1</v>
      </c>
      <c r="I77">
        <v>22</v>
      </c>
      <c r="J77" s="36">
        <v>1</v>
      </c>
      <c r="L77" s="36"/>
      <c r="M77">
        <v>95</v>
      </c>
      <c r="N77" s="36">
        <v>57</v>
      </c>
      <c r="O77">
        <v>8</v>
      </c>
      <c r="P77" s="36">
        <v>14</v>
      </c>
    </row>
    <row r="78" spans="1:16" x14ac:dyDescent="0.2">
      <c r="A78" s="21" t="s">
        <v>229</v>
      </c>
      <c r="B78" s="8">
        <v>-4.4199999999999996E-2</v>
      </c>
      <c r="C78" s="37">
        <f t="shared" si="7"/>
        <v>8.5900000000000032E-2</v>
      </c>
      <c r="D78">
        <v>1</v>
      </c>
      <c r="E78">
        <v>0</v>
      </c>
      <c r="F78" s="36">
        <v>29</v>
      </c>
      <c r="G78">
        <v>44</v>
      </c>
      <c r="H78" s="36">
        <v>5</v>
      </c>
      <c r="I78">
        <v>21</v>
      </c>
      <c r="J78" s="36">
        <v>2</v>
      </c>
      <c r="L78" s="36"/>
      <c r="M78">
        <v>58</v>
      </c>
      <c r="N78" s="36">
        <v>91</v>
      </c>
      <c r="O78">
        <v>3</v>
      </c>
      <c r="P78" s="36">
        <v>18</v>
      </c>
    </row>
    <row r="79" spans="1:16" x14ac:dyDescent="0.2">
      <c r="A79" s="21" t="s">
        <v>228</v>
      </c>
      <c r="B79" s="8">
        <v>1.7299999999999999E-2</v>
      </c>
      <c r="C79" s="37">
        <f t="shared" si="7"/>
        <v>0.13010000000000002</v>
      </c>
      <c r="D79">
        <v>29</v>
      </c>
      <c r="E79">
        <v>0</v>
      </c>
      <c r="F79" s="36">
        <v>1</v>
      </c>
      <c r="G79">
        <v>29</v>
      </c>
      <c r="H79" s="36">
        <v>18</v>
      </c>
      <c r="I79">
        <v>17</v>
      </c>
      <c r="J79" s="36">
        <v>6</v>
      </c>
      <c r="L79" s="36"/>
      <c r="M79">
        <v>48</v>
      </c>
      <c r="N79" s="36">
        <v>96</v>
      </c>
      <c r="O79">
        <v>9</v>
      </c>
      <c r="P79" s="36">
        <v>13</v>
      </c>
    </row>
    <row r="80" spans="1:16" x14ac:dyDescent="0.2">
      <c r="A80" s="21" t="s">
        <v>227</v>
      </c>
      <c r="B80" s="8">
        <v>-8.0000000000000004E-4</v>
      </c>
      <c r="C80" s="37">
        <f t="shared" si="7"/>
        <v>0.11280000000000003</v>
      </c>
      <c r="D80">
        <v>11</v>
      </c>
      <c r="E80">
        <v>3</v>
      </c>
      <c r="F80" s="36">
        <v>16</v>
      </c>
      <c r="G80">
        <v>28</v>
      </c>
      <c r="H80" s="36">
        <v>16</v>
      </c>
      <c r="I80">
        <v>14</v>
      </c>
      <c r="J80" s="36">
        <v>7</v>
      </c>
      <c r="L80" s="36"/>
      <c r="M80">
        <v>75</v>
      </c>
      <c r="N80" s="36">
        <v>72</v>
      </c>
      <c r="O80">
        <v>10</v>
      </c>
      <c r="P80" s="36">
        <v>11</v>
      </c>
    </row>
    <row r="81" spans="1:16" x14ac:dyDescent="0.2">
      <c r="A81" s="21" t="s">
        <v>226</v>
      </c>
      <c r="B81" s="8">
        <v>-2.3999999999999998E-3</v>
      </c>
      <c r="C81" s="37">
        <f t="shared" si="7"/>
        <v>0.11360000000000002</v>
      </c>
      <c r="D81">
        <v>7</v>
      </c>
      <c r="E81">
        <v>5</v>
      </c>
      <c r="F81" s="36">
        <v>18</v>
      </c>
      <c r="G81">
        <v>11</v>
      </c>
      <c r="H81" s="36">
        <v>34</v>
      </c>
      <c r="I81">
        <v>1</v>
      </c>
      <c r="J81" s="36">
        <v>20</v>
      </c>
      <c r="L81" s="36"/>
      <c r="M81">
        <v>55</v>
      </c>
      <c r="N81" s="36">
        <v>90</v>
      </c>
      <c r="O81">
        <v>10</v>
      </c>
      <c r="P81" s="36">
        <v>13</v>
      </c>
    </row>
    <row r="82" spans="1:16" x14ac:dyDescent="0.2">
      <c r="A82" s="21" t="s">
        <v>225</v>
      </c>
      <c r="B82" s="8">
        <v>9.7000000000000003E-3</v>
      </c>
      <c r="C82" s="37">
        <f t="shared" si="7"/>
        <v>0.11600000000000002</v>
      </c>
      <c r="D82">
        <v>22</v>
      </c>
      <c r="E82">
        <v>4</v>
      </c>
      <c r="F82" s="36">
        <v>4</v>
      </c>
      <c r="G82">
        <v>20</v>
      </c>
      <c r="H82" s="36">
        <v>23</v>
      </c>
      <c r="I82">
        <v>9</v>
      </c>
      <c r="J82" s="36">
        <v>13</v>
      </c>
      <c r="L82" s="36"/>
      <c r="M82">
        <v>88</v>
      </c>
      <c r="N82" s="36">
        <v>59</v>
      </c>
      <c r="O82">
        <v>12</v>
      </c>
      <c r="P82" s="36">
        <v>9</v>
      </c>
    </row>
    <row r="83" spans="1:16" x14ac:dyDescent="0.2">
      <c r="A83" s="21" t="s">
        <v>224</v>
      </c>
      <c r="B83" s="8">
        <v>-2.3999999999999998E-3</v>
      </c>
      <c r="C83" s="37">
        <f t="shared" si="7"/>
        <v>0.10630000000000002</v>
      </c>
      <c r="D83">
        <v>9</v>
      </c>
      <c r="E83">
        <v>4</v>
      </c>
      <c r="F83" s="36">
        <v>17</v>
      </c>
      <c r="G83">
        <v>32</v>
      </c>
      <c r="H83" s="36">
        <v>20</v>
      </c>
      <c r="I83">
        <v>4</v>
      </c>
      <c r="J83" s="36">
        <v>17</v>
      </c>
      <c r="L83" s="36"/>
      <c r="M83">
        <v>82</v>
      </c>
      <c r="N83" s="36">
        <v>67</v>
      </c>
      <c r="O83">
        <v>13</v>
      </c>
      <c r="P83" s="36">
        <v>8</v>
      </c>
    </row>
    <row r="84" spans="1:16" x14ac:dyDescent="0.2">
      <c r="A84" s="21" t="s">
        <v>223</v>
      </c>
      <c r="B84" s="8">
        <v>-7.8000000000000005E-3</v>
      </c>
      <c r="C84" s="37">
        <f t="shared" si="7"/>
        <v>0.10870000000000002</v>
      </c>
      <c r="D84">
        <v>2</v>
      </c>
      <c r="E84">
        <v>2</v>
      </c>
      <c r="F84" s="36">
        <v>26</v>
      </c>
      <c r="G84">
        <v>28</v>
      </c>
      <c r="H84" s="36">
        <v>17</v>
      </c>
      <c r="I84">
        <v>12</v>
      </c>
      <c r="J84" s="36">
        <v>10</v>
      </c>
      <c r="L84" s="36"/>
      <c r="M84">
        <v>63</v>
      </c>
      <c r="N84" s="36">
        <v>86</v>
      </c>
      <c r="O84">
        <v>11</v>
      </c>
      <c r="P84" s="36">
        <v>11</v>
      </c>
    </row>
    <row r="85" spans="1:16" x14ac:dyDescent="0.2">
      <c r="A85" s="21" t="s">
        <v>222</v>
      </c>
      <c r="B85" s="8">
        <v>-5.1999999999999998E-3</v>
      </c>
      <c r="C85" s="37">
        <f t="shared" si="7"/>
        <v>0.11650000000000002</v>
      </c>
      <c r="D85">
        <v>5</v>
      </c>
      <c r="E85">
        <v>4</v>
      </c>
      <c r="F85" s="36">
        <v>21</v>
      </c>
      <c r="G85">
        <v>41</v>
      </c>
      <c r="H85" s="36">
        <v>5</v>
      </c>
      <c r="I85">
        <v>21</v>
      </c>
      <c r="J85" s="36">
        <v>1</v>
      </c>
      <c r="L85" s="36"/>
      <c r="M85">
        <v>90</v>
      </c>
      <c r="N85" s="36">
        <v>63</v>
      </c>
      <c r="O85">
        <v>16</v>
      </c>
      <c r="P85" s="36">
        <v>7</v>
      </c>
    </row>
    <row r="86" spans="1:16" x14ac:dyDescent="0.2">
      <c r="A86" s="21" t="s">
        <v>221</v>
      </c>
      <c r="B86" s="8">
        <v>-1.3999999999999999E-2</v>
      </c>
      <c r="C86" s="37">
        <f t="shared" si="7"/>
        <v>0.12170000000000002</v>
      </c>
      <c r="D86">
        <v>0</v>
      </c>
      <c r="E86">
        <v>0</v>
      </c>
      <c r="F86" s="36">
        <v>30</v>
      </c>
      <c r="G86">
        <v>14</v>
      </c>
      <c r="H86" s="36">
        <v>24</v>
      </c>
      <c r="I86">
        <v>1</v>
      </c>
      <c r="J86" s="36">
        <v>14</v>
      </c>
      <c r="L86" s="36"/>
      <c r="M86">
        <v>59</v>
      </c>
      <c r="N86" s="36">
        <v>92</v>
      </c>
      <c r="O86">
        <v>6</v>
      </c>
      <c r="P86" s="36">
        <v>15</v>
      </c>
    </row>
    <row r="87" spans="1:16" x14ac:dyDescent="0.2">
      <c r="A87" s="21" t="s">
        <v>220</v>
      </c>
      <c r="B87" s="8">
        <v>-2.0000000000000001E-4</v>
      </c>
      <c r="C87" s="37">
        <f t="shared" si="7"/>
        <v>0.13570000000000002</v>
      </c>
      <c r="D87">
        <v>15</v>
      </c>
      <c r="E87">
        <v>2</v>
      </c>
      <c r="F87" s="36">
        <v>13</v>
      </c>
      <c r="G87">
        <v>25</v>
      </c>
      <c r="H87" s="36">
        <v>13</v>
      </c>
      <c r="I87">
        <v>16</v>
      </c>
      <c r="J87" s="36">
        <v>6</v>
      </c>
      <c r="L87" s="36"/>
      <c r="M87">
        <v>75</v>
      </c>
      <c r="N87" s="36">
        <v>78</v>
      </c>
      <c r="O87">
        <v>8</v>
      </c>
      <c r="P87" s="36">
        <v>17</v>
      </c>
    </row>
    <row r="88" spans="1:16" x14ac:dyDescent="0.2">
      <c r="A88" s="21" t="s">
        <v>219</v>
      </c>
      <c r="B88" s="8">
        <v>-3.3E-3</v>
      </c>
      <c r="C88" s="37">
        <f t="shared" si="7"/>
        <v>0.13590000000000002</v>
      </c>
      <c r="D88">
        <v>10</v>
      </c>
      <c r="E88">
        <v>2</v>
      </c>
      <c r="F88" s="36">
        <v>18</v>
      </c>
      <c r="G88">
        <v>35</v>
      </c>
      <c r="H88" s="36">
        <v>10</v>
      </c>
      <c r="I88">
        <v>21</v>
      </c>
      <c r="J88" s="36">
        <v>2</v>
      </c>
      <c r="L88" s="36"/>
      <c r="M88">
        <v>44</v>
      </c>
      <c r="N88" s="36">
        <v>107</v>
      </c>
      <c r="O88">
        <v>5</v>
      </c>
      <c r="P88" s="36">
        <v>18</v>
      </c>
    </row>
    <row r="89" spans="1:16" x14ac:dyDescent="0.2">
      <c r="A89" s="21" t="s">
        <v>218</v>
      </c>
      <c r="B89" s="8">
        <v>-4.7999999999999996E-3</v>
      </c>
      <c r="C89" s="37">
        <f t="shared" si="7"/>
        <v>0.13920000000000002</v>
      </c>
      <c r="D89">
        <v>7</v>
      </c>
      <c r="E89">
        <v>1</v>
      </c>
      <c r="F89" s="36">
        <v>22</v>
      </c>
      <c r="G89">
        <v>17</v>
      </c>
      <c r="H89" s="36">
        <v>21</v>
      </c>
      <c r="I89">
        <v>10</v>
      </c>
      <c r="J89" s="36">
        <v>12</v>
      </c>
      <c r="L89" s="36"/>
      <c r="M89">
        <v>58</v>
      </c>
      <c r="N89" s="36">
        <v>91</v>
      </c>
      <c r="O89">
        <v>9</v>
      </c>
      <c r="P89" s="36">
        <v>14</v>
      </c>
    </row>
    <row r="90" spans="1:16" x14ac:dyDescent="0.2">
      <c r="A90" s="21" t="s">
        <v>217</v>
      </c>
      <c r="B90" s="8">
        <v>1.1200000000000002E-2</v>
      </c>
      <c r="C90" s="37">
        <f t="shared" si="7"/>
        <v>0.14400000000000002</v>
      </c>
      <c r="D90">
        <v>18</v>
      </c>
      <c r="E90">
        <v>5</v>
      </c>
      <c r="F90" s="36">
        <v>7</v>
      </c>
      <c r="G90">
        <v>2</v>
      </c>
      <c r="H90" s="36">
        <v>2</v>
      </c>
      <c r="I90">
        <v>0</v>
      </c>
      <c r="J90" s="36">
        <v>0</v>
      </c>
      <c r="L90" s="36"/>
      <c r="M90">
        <v>68</v>
      </c>
      <c r="N90" s="36">
        <v>79</v>
      </c>
      <c r="O90">
        <v>5</v>
      </c>
      <c r="P90" s="36">
        <v>19</v>
      </c>
    </row>
    <row r="91" spans="1:16" x14ac:dyDescent="0.2">
      <c r="A91" s="21" t="s">
        <v>216</v>
      </c>
      <c r="B91" s="8">
        <v>2E-3</v>
      </c>
      <c r="C91" s="37">
        <f t="shared" si="7"/>
        <v>0.13280000000000003</v>
      </c>
      <c r="D91">
        <v>13</v>
      </c>
      <c r="E91">
        <v>6</v>
      </c>
      <c r="F91" s="36">
        <v>11</v>
      </c>
      <c r="G91">
        <v>11</v>
      </c>
      <c r="H91" s="36">
        <v>29</v>
      </c>
      <c r="I91">
        <v>3</v>
      </c>
      <c r="J91" s="36">
        <v>17</v>
      </c>
      <c r="L91" s="36"/>
      <c r="M91">
        <v>66</v>
      </c>
      <c r="N91" s="36">
        <v>84</v>
      </c>
      <c r="O91">
        <v>9</v>
      </c>
      <c r="P91" s="36">
        <v>15</v>
      </c>
    </row>
    <row r="92" spans="1:16" x14ac:dyDescent="0.2">
      <c r="A92" s="21" t="s">
        <v>215</v>
      </c>
      <c r="B92" s="8">
        <v>1.2800000000000001E-2</v>
      </c>
      <c r="C92" s="37">
        <f t="shared" ref="C92:C145" si="10">B92+C93</f>
        <v>0.13080000000000003</v>
      </c>
      <c r="D92">
        <v>26</v>
      </c>
      <c r="E92">
        <v>2</v>
      </c>
      <c r="F92" s="36">
        <v>2</v>
      </c>
      <c r="G92">
        <v>32</v>
      </c>
      <c r="H92" s="36">
        <v>11</v>
      </c>
      <c r="I92">
        <v>19</v>
      </c>
      <c r="J92" s="36">
        <v>4</v>
      </c>
      <c r="L92" s="36"/>
      <c r="M92">
        <v>69</v>
      </c>
      <c r="N92" s="36">
        <v>74</v>
      </c>
      <c r="O92">
        <v>11</v>
      </c>
      <c r="P92" s="36">
        <v>12</v>
      </c>
    </row>
    <row r="93" spans="1:16" x14ac:dyDescent="0.2">
      <c r="A93" s="21" t="s">
        <v>214</v>
      </c>
      <c r="B93" s="8">
        <v>-1.1000000000000001E-2</v>
      </c>
      <c r="C93" s="37">
        <f t="shared" si="10"/>
        <v>0.11800000000000004</v>
      </c>
      <c r="D93">
        <v>0</v>
      </c>
      <c r="E93">
        <v>4</v>
      </c>
      <c r="F93" s="36">
        <v>26</v>
      </c>
      <c r="G93">
        <v>15</v>
      </c>
      <c r="H93" s="36">
        <v>31</v>
      </c>
      <c r="I93">
        <v>3</v>
      </c>
      <c r="J93" s="36">
        <v>18</v>
      </c>
      <c r="L93" s="36"/>
      <c r="M93">
        <v>62</v>
      </c>
      <c r="N93" s="36">
        <v>85</v>
      </c>
      <c r="O93">
        <v>9</v>
      </c>
      <c r="P93" s="36">
        <v>14</v>
      </c>
    </row>
    <row r="94" spans="1:16" x14ac:dyDescent="0.2">
      <c r="A94" s="21" t="s">
        <v>213</v>
      </c>
      <c r="B94" s="8">
        <v>2E-3</v>
      </c>
      <c r="C94" s="37">
        <f t="shared" si="10"/>
        <v>0.12900000000000003</v>
      </c>
      <c r="D94">
        <v>15</v>
      </c>
      <c r="E94">
        <v>3</v>
      </c>
      <c r="F94" s="36">
        <v>12</v>
      </c>
      <c r="G94">
        <v>19</v>
      </c>
      <c r="H94" s="36">
        <v>27</v>
      </c>
      <c r="I94">
        <v>4</v>
      </c>
      <c r="J94" s="36">
        <v>19</v>
      </c>
      <c r="L94" s="36"/>
      <c r="M94">
        <v>55</v>
      </c>
      <c r="N94" s="36">
        <v>98</v>
      </c>
      <c r="O94">
        <v>10</v>
      </c>
      <c r="P94" s="36">
        <v>13</v>
      </c>
    </row>
    <row r="95" spans="1:16" x14ac:dyDescent="0.2">
      <c r="A95" s="21" t="s">
        <v>211</v>
      </c>
      <c r="B95" s="8">
        <v>1.7899999999999999E-2</v>
      </c>
      <c r="C95" s="37">
        <f t="shared" si="10"/>
        <v>0.12700000000000003</v>
      </c>
      <c r="D95">
        <v>25</v>
      </c>
      <c r="E95">
        <v>5</v>
      </c>
      <c r="F95" s="36">
        <v>0</v>
      </c>
      <c r="G95">
        <v>41</v>
      </c>
      <c r="H95" s="36">
        <v>5</v>
      </c>
      <c r="I95">
        <v>22</v>
      </c>
      <c r="J95" s="36">
        <v>1</v>
      </c>
      <c r="L95" s="36"/>
      <c r="M95">
        <v>75</v>
      </c>
      <c r="N95" s="36">
        <v>77</v>
      </c>
      <c r="O95">
        <v>6</v>
      </c>
      <c r="P95" s="36">
        <v>17</v>
      </c>
    </row>
    <row r="96" spans="1:16" x14ac:dyDescent="0.2">
      <c r="A96" s="21" t="s">
        <v>210</v>
      </c>
      <c r="B96" s="8">
        <v>1.9699999999999999E-2</v>
      </c>
      <c r="C96" s="37">
        <f t="shared" si="10"/>
        <v>0.10910000000000003</v>
      </c>
      <c r="D96">
        <v>24</v>
      </c>
      <c r="E96">
        <v>2</v>
      </c>
      <c r="F96" s="36">
        <v>4</v>
      </c>
      <c r="G96">
        <v>15</v>
      </c>
      <c r="H96" s="36">
        <v>31</v>
      </c>
      <c r="I96">
        <v>7</v>
      </c>
      <c r="J96" s="36">
        <v>17</v>
      </c>
      <c r="L96" s="36"/>
      <c r="M96">
        <v>63</v>
      </c>
      <c r="N96" s="36">
        <v>82</v>
      </c>
      <c r="O96">
        <v>6</v>
      </c>
      <c r="P96" s="36">
        <v>16</v>
      </c>
    </row>
    <row r="97" spans="1:16" x14ac:dyDescent="0.2">
      <c r="A97" s="21" t="s">
        <v>209</v>
      </c>
      <c r="B97" s="8">
        <v>-8.0000000000000004E-4</v>
      </c>
      <c r="C97" s="37">
        <f t="shared" si="10"/>
        <v>8.9400000000000035E-2</v>
      </c>
      <c r="D97">
        <v>9</v>
      </c>
      <c r="E97">
        <v>5</v>
      </c>
      <c r="F97" s="36">
        <v>16</v>
      </c>
      <c r="G97">
        <v>14</v>
      </c>
      <c r="H97" s="36">
        <v>25</v>
      </c>
      <c r="I97">
        <v>2</v>
      </c>
      <c r="J97" s="36">
        <v>19</v>
      </c>
      <c r="L97" s="36"/>
      <c r="M97">
        <v>61</v>
      </c>
      <c r="N97" s="36">
        <v>85</v>
      </c>
      <c r="O97">
        <v>7</v>
      </c>
      <c r="P97" s="36">
        <v>16</v>
      </c>
    </row>
    <row r="98" spans="1:16" x14ac:dyDescent="0.2">
      <c r="A98" s="21" t="s">
        <v>208</v>
      </c>
      <c r="B98" s="8">
        <v>-1.6500000000000001E-2</v>
      </c>
      <c r="C98" s="37">
        <f t="shared" si="10"/>
        <v>9.020000000000003E-2</v>
      </c>
      <c r="D98">
        <v>2</v>
      </c>
      <c r="E98">
        <v>0</v>
      </c>
      <c r="F98" s="36">
        <v>28</v>
      </c>
      <c r="G98">
        <v>39</v>
      </c>
      <c r="H98" s="36">
        <v>11</v>
      </c>
      <c r="I98">
        <v>19</v>
      </c>
      <c r="J98" s="36">
        <v>3</v>
      </c>
      <c r="L98" s="36"/>
      <c r="M98">
        <v>69</v>
      </c>
      <c r="N98" s="36">
        <v>84</v>
      </c>
      <c r="O98">
        <v>12</v>
      </c>
      <c r="P98" s="36">
        <v>11</v>
      </c>
    </row>
    <row r="99" spans="1:16" x14ac:dyDescent="0.2">
      <c r="A99" s="21" t="s">
        <v>206</v>
      </c>
      <c r="B99" s="8">
        <v>-3.0999999999999999E-3</v>
      </c>
      <c r="C99" s="37">
        <f t="shared" si="10"/>
        <v>0.10670000000000003</v>
      </c>
      <c r="D99">
        <v>13</v>
      </c>
      <c r="E99">
        <v>2</v>
      </c>
      <c r="F99" s="36">
        <v>15</v>
      </c>
      <c r="G99">
        <v>27</v>
      </c>
      <c r="H99" s="36">
        <v>14</v>
      </c>
      <c r="I99">
        <v>17</v>
      </c>
      <c r="J99" s="36">
        <v>7</v>
      </c>
      <c r="L99" s="36"/>
      <c r="M99">
        <v>55</v>
      </c>
      <c r="N99" s="36">
        <v>94</v>
      </c>
      <c r="O99">
        <v>5</v>
      </c>
      <c r="P99" s="36">
        <v>18</v>
      </c>
    </row>
    <row r="100" spans="1:16" x14ac:dyDescent="0.2">
      <c r="A100" s="21" t="s">
        <v>205</v>
      </c>
      <c r="B100" s="8">
        <v>-9.3999999999999986E-3</v>
      </c>
      <c r="C100" s="37">
        <f t="shared" si="10"/>
        <v>0.10980000000000004</v>
      </c>
      <c r="D100">
        <v>4</v>
      </c>
      <c r="E100">
        <v>4</v>
      </c>
      <c r="F100" s="36">
        <v>22</v>
      </c>
      <c r="G100">
        <v>24</v>
      </c>
      <c r="H100" s="36">
        <v>19</v>
      </c>
      <c r="I100">
        <v>10</v>
      </c>
      <c r="J100" s="36">
        <v>14</v>
      </c>
      <c r="L100" s="36"/>
      <c r="M100">
        <v>64</v>
      </c>
      <c r="N100" s="36">
        <v>84</v>
      </c>
      <c r="O100">
        <v>4</v>
      </c>
      <c r="P100" s="36">
        <v>19</v>
      </c>
    </row>
    <row r="101" spans="1:16" x14ac:dyDescent="0.2">
      <c r="A101" s="21" t="s">
        <v>204</v>
      </c>
      <c r="B101" s="8">
        <v>2.4199999999999999E-2</v>
      </c>
      <c r="C101" s="37">
        <f t="shared" si="10"/>
        <v>0.11920000000000003</v>
      </c>
      <c r="D101">
        <v>29</v>
      </c>
      <c r="E101">
        <v>1</v>
      </c>
      <c r="F101" s="36">
        <v>0</v>
      </c>
      <c r="G101">
        <v>31</v>
      </c>
      <c r="H101" s="36">
        <v>14</v>
      </c>
      <c r="I101">
        <v>17</v>
      </c>
      <c r="J101" s="36">
        <v>5</v>
      </c>
      <c r="L101" s="36"/>
      <c r="M101">
        <v>85</v>
      </c>
      <c r="N101" s="36">
        <v>63</v>
      </c>
      <c r="O101">
        <v>11</v>
      </c>
      <c r="P101" s="36">
        <v>12</v>
      </c>
    </row>
    <row r="102" spans="1:16" x14ac:dyDescent="0.2">
      <c r="A102" s="21" t="s">
        <v>203</v>
      </c>
      <c r="B102" s="8">
        <v>5.7999999999999996E-3</v>
      </c>
      <c r="C102" s="37">
        <f t="shared" si="10"/>
        <v>9.5000000000000029E-2</v>
      </c>
      <c r="D102">
        <v>17</v>
      </c>
      <c r="E102">
        <v>5</v>
      </c>
      <c r="F102" s="36">
        <v>8</v>
      </c>
      <c r="G102">
        <v>20</v>
      </c>
      <c r="H102" s="36">
        <v>24</v>
      </c>
      <c r="I102">
        <v>7</v>
      </c>
      <c r="J102" s="36">
        <v>16</v>
      </c>
      <c r="L102" s="36"/>
      <c r="M102">
        <v>77</v>
      </c>
      <c r="N102" s="36">
        <v>70</v>
      </c>
      <c r="O102">
        <v>12</v>
      </c>
      <c r="P102" s="36">
        <v>11</v>
      </c>
    </row>
    <row r="103" spans="1:16" x14ac:dyDescent="0.2">
      <c r="A103" s="21" t="s">
        <v>201</v>
      </c>
      <c r="B103" s="8">
        <v>-1.21E-2</v>
      </c>
      <c r="C103" s="37">
        <f t="shared" si="10"/>
        <v>8.9200000000000029E-2</v>
      </c>
      <c r="D103">
        <v>3</v>
      </c>
      <c r="E103">
        <v>2</v>
      </c>
      <c r="F103" s="36">
        <v>25</v>
      </c>
      <c r="G103">
        <v>39</v>
      </c>
      <c r="H103" s="36">
        <v>3</v>
      </c>
      <c r="I103">
        <v>22</v>
      </c>
      <c r="J103" s="36">
        <v>1</v>
      </c>
      <c r="L103" s="36"/>
      <c r="M103">
        <v>63</v>
      </c>
      <c r="N103" s="36">
        <v>82</v>
      </c>
      <c r="O103">
        <v>12</v>
      </c>
      <c r="P103" s="36">
        <v>10</v>
      </c>
    </row>
    <row r="104" spans="1:16" x14ac:dyDescent="0.2">
      <c r="A104" s="21" t="s">
        <v>200</v>
      </c>
      <c r="B104" s="8">
        <v>-2.06E-2</v>
      </c>
      <c r="C104" s="37">
        <f t="shared" si="10"/>
        <v>0.10130000000000003</v>
      </c>
      <c r="D104">
        <v>1</v>
      </c>
      <c r="E104">
        <v>0</v>
      </c>
      <c r="F104" s="36">
        <v>29</v>
      </c>
      <c r="G104">
        <v>29</v>
      </c>
      <c r="H104" s="36">
        <v>15</v>
      </c>
      <c r="I104">
        <v>16</v>
      </c>
      <c r="J104" s="36">
        <v>6</v>
      </c>
      <c r="L104" s="36"/>
      <c r="M104">
        <v>59</v>
      </c>
      <c r="N104" s="36">
        <v>88</v>
      </c>
      <c r="O104">
        <v>6</v>
      </c>
      <c r="P104" s="36">
        <v>17</v>
      </c>
    </row>
    <row r="105" spans="1:16" x14ac:dyDescent="0.2">
      <c r="A105" s="21" t="s">
        <v>199</v>
      </c>
      <c r="B105" s="8">
        <v>4.3E-3</v>
      </c>
      <c r="C105" s="37">
        <f t="shared" si="10"/>
        <v>0.12190000000000002</v>
      </c>
      <c r="D105">
        <v>18</v>
      </c>
      <c r="E105">
        <v>2</v>
      </c>
      <c r="F105" s="36">
        <v>10</v>
      </c>
      <c r="G105">
        <v>31</v>
      </c>
      <c r="H105" s="36">
        <v>15</v>
      </c>
      <c r="I105">
        <v>15</v>
      </c>
      <c r="J105" s="36">
        <v>7</v>
      </c>
      <c r="L105" s="36"/>
      <c r="M105">
        <v>62</v>
      </c>
      <c r="N105" s="36">
        <v>83</v>
      </c>
      <c r="O105">
        <v>5</v>
      </c>
      <c r="P105" s="36">
        <v>18</v>
      </c>
    </row>
    <row r="106" spans="1:16" x14ac:dyDescent="0.2">
      <c r="A106" s="21" t="s">
        <v>196</v>
      </c>
      <c r="B106" s="8">
        <v>-7.0999999999999995E-3</v>
      </c>
      <c r="C106" s="37">
        <f t="shared" si="10"/>
        <v>0.11760000000000002</v>
      </c>
      <c r="D106">
        <v>8</v>
      </c>
      <c r="E106">
        <v>4</v>
      </c>
      <c r="F106" s="36">
        <v>18</v>
      </c>
      <c r="G106">
        <v>17</v>
      </c>
      <c r="H106" s="36">
        <v>29</v>
      </c>
      <c r="I106">
        <v>3</v>
      </c>
      <c r="J106" s="36">
        <v>18</v>
      </c>
      <c r="L106" s="36"/>
      <c r="M106">
        <v>68</v>
      </c>
      <c r="N106" s="36">
        <v>79</v>
      </c>
      <c r="O106">
        <v>10</v>
      </c>
      <c r="P106" s="36">
        <v>14</v>
      </c>
    </row>
    <row r="107" spans="1:16" x14ac:dyDescent="0.2">
      <c r="A107" s="21" t="s">
        <v>195</v>
      </c>
      <c r="B107" s="8">
        <v>9.1999999999999998E-3</v>
      </c>
      <c r="C107" s="37">
        <f t="shared" si="10"/>
        <v>0.12470000000000002</v>
      </c>
      <c r="D107">
        <v>20</v>
      </c>
      <c r="E107">
        <v>4</v>
      </c>
      <c r="F107" s="36">
        <v>6</v>
      </c>
      <c r="G107">
        <v>14</v>
      </c>
      <c r="H107" s="36">
        <v>22</v>
      </c>
      <c r="I107">
        <v>5</v>
      </c>
      <c r="J107" s="36">
        <v>18</v>
      </c>
      <c r="L107" s="36"/>
      <c r="M107">
        <v>70</v>
      </c>
      <c r="N107" s="36">
        <v>69</v>
      </c>
      <c r="O107">
        <v>9</v>
      </c>
      <c r="P107" s="36">
        <v>13</v>
      </c>
    </row>
    <row r="108" spans="1:16" x14ac:dyDescent="0.2">
      <c r="A108" s="21" t="s">
        <v>193</v>
      </c>
      <c r="B108" s="8">
        <v>1.1999999999999999E-3</v>
      </c>
      <c r="C108" s="37">
        <f t="shared" si="10"/>
        <v>0.11550000000000002</v>
      </c>
      <c r="D108">
        <v>15</v>
      </c>
      <c r="E108">
        <v>6</v>
      </c>
      <c r="F108" s="36">
        <v>9</v>
      </c>
      <c r="G108">
        <v>17</v>
      </c>
      <c r="H108" s="36">
        <v>20</v>
      </c>
      <c r="I108">
        <v>6</v>
      </c>
      <c r="J108" s="36">
        <v>16</v>
      </c>
      <c r="L108" s="36"/>
      <c r="M108">
        <v>62</v>
      </c>
      <c r="N108" s="36">
        <v>86</v>
      </c>
      <c r="O108">
        <v>8</v>
      </c>
      <c r="P108" s="36">
        <v>15</v>
      </c>
    </row>
    <row r="109" spans="1:16" x14ac:dyDescent="0.2">
      <c r="A109" s="21" t="s">
        <v>189</v>
      </c>
      <c r="B109" s="8">
        <v>1E-3</v>
      </c>
      <c r="C109" s="37">
        <f t="shared" si="10"/>
        <v>0.11430000000000001</v>
      </c>
      <c r="D109">
        <v>19</v>
      </c>
      <c r="E109">
        <v>4</v>
      </c>
      <c r="F109" s="36">
        <v>7</v>
      </c>
      <c r="G109">
        <v>28</v>
      </c>
      <c r="H109" s="36">
        <v>10</v>
      </c>
      <c r="I109">
        <v>18</v>
      </c>
      <c r="J109" s="36">
        <v>6</v>
      </c>
      <c r="L109" s="36"/>
      <c r="M109">
        <v>64</v>
      </c>
      <c r="N109" s="36">
        <v>83</v>
      </c>
      <c r="O109">
        <v>10</v>
      </c>
      <c r="P109" s="36">
        <v>12</v>
      </c>
    </row>
    <row r="110" spans="1:16" x14ac:dyDescent="0.2">
      <c r="A110" s="21" t="s">
        <v>185</v>
      </c>
      <c r="B110" s="8">
        <v>2.9999999999999997E-4</v>
      </c>
      <c r="C110" s="37">
        <f t="shared" si="10"/>
        <v>0.11330000000000001</v>
      </c>
      <c r="D110">
        <v>9</v>
      </c>
      <c r="E110">
        <v>3</v>
      </c>
      <c r="F110" s="36">
        <v>18</v>
      </c>
      <c r="G110">
        <v>28</v>
      </c>
      <c r="H110" s="36">
        <v>10</v>
      </c>
      <c r="I110">
        <v>14</v>
      </c>
      <c r="J110" s="36">
        <v>7</v>
      </c>
      <c r="L110" s="36"/>
      <c r="M110">
        <v>64</v>
      </c>
      <c r="N110" s="36">
        <v>87</v>
      </c>
      <c r="O110">
        <v>12</v>
      </c>
      <c r="P110" s="36">
        <v>11</v>
      </c>
    </row>
    <row r="111" spans="1:16" x14ac:dyDescent="0.2">
      <c r="A111" s="21" t="s">
        <v>181</v>
      </c>
      <c r="B111" s="8">
        <v>1.3999999999999999E-2</v>
      </c>
      <c r="C111" s="37">
        <f t="shared" si="10"/>
        <v>0.11300000000000002</v>
      </c>
      <c r="D111">
        <v>25</v>
      </c>
      <c r="E111">
        <v>3</v>
      </c>
      <c r="F111" s="36">
        <v>2</v>
      </c>
      <c r="G111">
        <v>17</v>
      </c>
      <c r="H111" s="36">
        <v>23</v>
      </c>
      <c r="I111">
        <v>3</v>
      </c>
      <c r="J111" s="36">
        <v>19</v>
      </c>
      <c r="L111" s="36"/>
      <c r="M111">
        <v>65</v>
      </c>
      <c r="N111" s="36">
        <v>86</v>
      </c>
      <c r="O111">
        <v>10</v>
      </c>
      <c r="P111" s="36">
        <v>12</v>
      </c>
    </row>
    <row r="112" spans="1:16" x14ac:dyDescent="0.2">
      <c r="A112" s="21" t="s">
        <v>178</v>
      </c>
      <c r="B112" s="8">
        <v>1.18E-2</v>
      </c>
      <c r="C112" s="37">
        <f t="shared" si="10"/>
        <v>9.9000000000000019E-2</v>
      </c>
      <c r="D112">
        <v>21</v>
      </c>
      <c r="E112">
        <v>5</v>
      </c>
      <c r="F112" s="36">
        <v>4</v>
      </c>
      <c r="G112">
        <v>14</v>
      </c>
      <c r="H112" s="36">
        <v>24</v>
      </c>
      <c r="I112">
        <v>1</v>
      </c>
      <c r="J112" s="36">
        <v>16</v>
      </c>
      <c r="L112" s="36"/>
      <c r="M112">
        <v>59</v>
      </c>
      <c r="N112" s="36">
        <v>94</v>
      </c>
      <c r="O112">
        <v>4</v>
      </c>
      <c r="P112" s="36">
        <v>19</v>
      </c>
    </row>
    <row r="113" spans="1:16" x14ac:dyDescent="0.2">
      <c r="A113" s="21" t="s">
        <v>175</v>
      </c>
      <c r="B113" s="8">
        <v>8.3999999999999995E-3</v>
      </c>
      <c r="C113" s="37">
        <f t="shared" si="10"/>
        <v>8.7200000000000014E-2</v>
      </c>
      <c r="D113">
        <v>19</v>
      </c>
      <c r="E113">
        <v>3</v>
      </c>
      <c r="F113" s="36">
        <v>8</v>
      </c>
      <c r="G113">
        <v>26</v>
      </c>
      <c r="H113" s="36">
        <v>9</v>
      </c>
      <c r="I113">
        <v>14</v>
      </c>
      <c r="J113" s="36">
        <v>5</v>
      </c>
      <c r="L113" s="36"/>
      <c r="M113">
        <v>80</v>
      </c>
      <c r="N113" s="36">
        <v>70</v>
      </c>
      <c r="O113">
        <v>8</v>
      </c>
      <c r="P113" s="36">
        <v>15</v>
      </c>
    </row>
    <row r="114" spans="1:16" x14ac:dyDescent="0.2">
      <c r="A114" s="21" t="s">
        <v>111</v>
      </c>
      <c r="B114" s="8">
        <v>-1.3600000000000001E-2</v>
      </c>
      <c r="C114" s="37">
        <f t="shared" si="10"/>
        <v>7.8800000000000009E-2</v>
      </c>
      <c r="D114">
        <v>2</v>
      </c>
      <c r="E114">
        <v>1</v>
      </c>
      <c r="F114" s="36">
        <v>27</v>
      </c>
      <c r="G114">
        <v>23</v>
      </c>
      <c r="H114" s="36">
        <v>9</v>
      </c>
      <c r="I114">
        <v>13</v>
      </c>
      <c r="J114" s="36">
        <v>6</v>
      </c>
      <c r="L114" s="36"/>
      <c r="M114">
        <v>57</v>
      </c>
      <c r="N114" s="36">
        <v>96</v>
      </c>
      <c r="O114">
        <v>7</v>
      </c>
      <c r="P114" s="36">
        <v>16</v>
      </c>
    </row>
    <row r="115" spans="1:16" x14ac:dyDescent="0.2">
      <c r="A115" s="21" t="s">
        <v>110</v>
      </c>
      <c r="B115" s="8">
        <v>-1.8E-3</v>
      </c>
      <c r="C115" s="37">
        <f t="shared" si="10"/>
        <v>9.240000000000001E-2</v>
      </c>
      <c r="D115">
        <v>13</v>
      </c>
      <c r="E115">
        <v>1</v>
      </c>
      <c r="F115" s="36">
        <v>16</v>
      </c>
      <c r="G115">
        <v>11</v>
      </c>
      <c r="H115" s="36">
        <v>15</v>
      </c>
      <c r="I115">
        <v>4</v>
      </c>
      <c r="J115" s="36">
        <v>14</v>
      </c>
      <c r="L115" s="36"/>
      <c r="M115">
        <v>59</v>
      </c>
      <c r="N115" s="36">
        <v>79</v>
      </c>
      <c r="O115">
        <v>4</v>
      </c>
      <c r="P115" s="36">
        <v>19</v>
      </c>
    </row>
    <row r="116" spans="1:16" x14ac:dyDescent="0.2">
      <c r="A116" s="21" t="s">
        <v>109</v>
      </c>
      <c r="B116" s="8">
        <v>2.9999999999999997E-4</v>
      </c>
      <c r="C116" s="37">
        <f t="shared" si="10"/>
        <v>9.4200000000000006E-2</v>
      </c>
      <c r="D116">
        <v>13</v>
      </c>
      <c r="E116">
        <v>0</v>
      </c>
      <c r="F116" s="36">
        <v>17</v>
      </c>
      <c r="G116">
        <v>12</v>
      </c>
      <c r="H116" s="36">
        <v>23</v>
      </c>
      <c r="I116">
        <v>2</v>
      </c>
      <c r="J116" s="36">
        <v>16</v>
      </c>
      <c r="L116" s="36"/>
      <c r="M116">
        <v>56</v>
      </c>
      <c r="N116" s="36">
        <v>94</v>
      </c>
      <c r="O116">
        <v>8</v>
      </c>
      <c r="P116" s="36">
        <v>15</v>
      </c>
    </row>
    <row r="117" spans="1:16" x14ac:dyDescent="0.2">
      <c r="A117" s="21" t="s">
        <v>108</v>
      </c>
      <c r="B117" s="8">
        <v>1.1999999999999999E-3</v>
      </c>
      <c r="C117" s="37">
        <f t="shared" si="10"/>
        <v>9.3900000000000011E-2</v>
      </c>
      <c r="D117">
        <v>10</v>
      </c>
      <c r="E117">
        <v>4</v>
      </c>
      <c r="F117" s="36">
        <v>16</v>
      </c>
      <c r="G117">
        <v>13</v>
      </c>
      <c r="H117" s="36">
        <v>19</v>
      </c>
      <c r="I117">
        <v>1</v>
      </c>
      <c r="J117" s="36">
        <v>17</v>
      </c>
      <c r="L117" s="36"/>
      <c r="M117">
        <v>60</v>
      </c>
      <c r="N117" s="36">
        <v>90</v>
      </c>
      <c r="O117">
        <v>9</v>
      </c>
      <c r="P117" s="36">
        <v>14</v>
      </c>
    </row>
    <row r="118" spans="1:16" x14ac:dyDescent="0.2">
      <c r="A118" s="21" t="s">
        <v>107</v>
      </c>
      <c r="B118" s="8">
        <v>1.2800000000000001E-2</v>
      </c>
      <c r="C118" s="37">
        <f t="shared" si="10"/>
        <v>9.2700000000000005E-2</v>
      </c>
      <c r="D118">
        <v>21</v>
      </c>
      <c r="E118">
        <v>0</v>
      </c>
      <c r="F118" s="36">
        <v>9</v>
      </c>
      <c r="G118">
        <v>11</v>
      </c>
      <c r="H118" s="36">
        <v>19</v>
      </c>
      <c r="I118">
        <v>0</v>
      </c>
      <c r="J118" s="36">
        <v>16</v>
      </c>
      <c r="L118" s="36"/>
      <c r="M118">
        <v>78</v>
      </c>
      <c r="N118" s="36">
        <v>71</v>
      </c>
      <c r="O118">
        <v>14</v>
      </c>
      <c r="P118" s="36">
        <v>9</v>
      </c>
    </row>
    <row r="119" spans="1:16" x14ac:dyDescent="0.2">
      <c r="A119" s="21" t="s">
        <v>129</v>
      </c>
      <c r="B119" s="5">
        <v>6.1000000000000004E-3</v>
      </c>
      <c r="C119" s="37">
        <f t="shared" si="10"/>
        <v>7.9899999999999999E-2</v>
      </c>
      <c r="D119">
        <v>17</v>
      </c>
      <c r="E119">
        <v>4</v>
      </c>
      <c r="F119" s="36">
        <v>9</v>
      </c>
      <c r="G119">
        <v>30</v>
      </c>
      <c r="H119" s="36">
        <v>9</v>
      </c>
      <c r="I119">
        <v>11</v>
      </c>
      <c r="J119" s="36">
        <v>6</v>
      </c>
      <c r="L119" s="36"/>
      <c r="M119">
        <v>74</v>
      </c>
      <c r="N119" s="36">
        <v>70</v>
      </c>
      <c r="O119">
        <v>7</v>
      </c>
      <c r="P119" s="36">
        <v>15</v>
      </c>
    </row>
    <row r="120" spans="1:16" x14ac:dyDescent="0.2">
      <c r="A120" s="21" t="s">
        <v>130</v>
      </c>
      <c r="B120" s="5">
        <v>3.5999999999999999E-3</v>
      </c>
      <c r="C120" s="37">
        <f t="shared" si="10"/>
        <v>7.3800000000000004E-2</v>
      </c>
      <c r="D120">
        <v>17</v>
      </c>
      <c r="E120">
        <v>5</v>
      </c>
      <c r="F120" s="36">
        <v>8</v>
      </c>
      <c r="G120">
        <v>10</v>
      </c>
      <c r="H120" s="36">
        <v>20</v>
      </c>
      <c r="I120">
        <v>0</v>
      </c>
      <c r="J120" s="36">
        <v>18</v>
      </c>
      <c r="L120" s="36"/>
      <c r="M120">
        <v>71</v>
      </c>
      <c r="N120" s="36">
        <v>83</v>
      </c>
      <c r="O120">
        <v>5</v>
      </c>
      <c r="P120" s="36">
        <v>18</v>
      </c>
    </row>
    <row r="121" spans="1:16" x14ac:dyDescent="0.2">
      <c r="A121" s="21" t="s">
        <v>131</v>
      </c>
      <c r="B121" s="5">
        <v>1.1299999999999999E-2</v>
      </c>
      <c r="C121" s="37">
        <f t="shared" si="10"/>
        <v>7.0199999999999999E-2</v>
      </c>
      <c r="D121">
        <v>26</v>
      </c>
      <c r="E121">
        <v>3</v>
      </c>
      <c r="F121" s="36">
        <v>1</v>
      </c>
      <c r="G121">
        <v>21</v>
      </c>
      <c r="H121" s="36">
        <v>11</v>
      </c>
      <c r="I121">
        <v>12</v>
      </c>
      <c r="J121" s="36">
        <v>6</v>
      </c>
      <c r="L121" s="36"/>
      <c r="M121">
        <v>66</v>
      </c>
      <c r="N121" s="36">
        <v>77</v>
      </c>
      <c r="O121">
        <v>10</v>
      </c>
      <c r="P121" s="36">
        <v>14</v>
      </c>
    </row>
    <row r="122" spans="1:16" x14ac:dyDescent="0.2">
      <c r="A122" s="21" t="s">
        <v>132</v>
      </c>
      <c r="B122" s="5">
        <v>1.5E-3</v>
      </c>
      <c r="C122" s="37">
        <f t="shared" si="10"/>
        <v>5.8899999999999994E-2</v>
      </c>
      <c r="D122">
        <v>20</v>
      </c>
      <c r="E122">
        <v>1</v>
      </c>
      <c r="F122" s="36">
        <v>9</v>
      </c>
      <c r="G122">
        <v>15</v>
      </c>
      <c r="H122" s="36">
        <v>18</v>
      </c>
      <c r="I122">
        <v>4</v>
      </c>
      <c r="J122" s="36">
        <v>13</v>
      </c>
      <c r="L122" s="36"/>
      <c r="M122">
        <v>65</v>
      </c>
      <c r="N122" s="36">
        <v>78</v>
      </c>
      <c r="O122">
        <v>6</v>
      </c>
      <c r="P122" s="36">
        <v>16</v>
      </c>
    </row>
    <row r="123" spans="1:16" x14ac:dyDescent="0.2">
      <c r="A123" s="21" t="s">
        <v>133</v>
      </c>
      <c r="B123" s="5">
        <v>1.9199999999999998E-2</v>
      </c>
      <c r="C123" s="37">
        <f t="shared" si="10"/>
        <v>5.7399999999999993E-2</v>
      </c>
      <c r="D123">
        <v>21</v>
      </c>
      <c r="E123">
        <v>3</v>
      </c>
      <c r="F123" s="36">
        <v>6</v>
      </c>
      <c r="G123">
        <v>29</v>
      </c>
      <c r="H123" s="36">
        <v>8</v>
      </c>
      <c r="I123">
        <v>12</v>
      </c>
      <c r="J123" s="36">
        <v>6</v>
      </c>
      <c r="L123" s="36"/>
      <c r="M123">
        <v>71</v>
      </c>
      <c r="N123" s="36">
        <v>72</v>
      </c>
      <c r="O123">
        <v>10</v>
      </c>
      <c r="P123" s="36">
        <v>13</v>
      </c>
    </row>
    <row r="124" spans="1:16" x14ac:dyDescent="0.2">
      <c r="A124" s="21" t="s">
        <v>134</v>
      </c>
      <c r="B124" s="5">
        <v>1.1999999999999999E-3</v>
      </c>
      <c r="C124" s="37">
        <f t="shared" si="10"/>
        <v>3.8199999999999998E-2</v>
      </c>
      <c r="D124">
        <v>10</v>
      </c>
      <c r="E124">
        <v>4</v>
      </c>
      <c r="F124" s="36">
        <v>16</v>
      </c>
      <c r="G124">
        <v>23</v>
      </c>
      <c r="H124" s="36">
        <v>6</v>
      </c>
      <c r="I124">
        <v>11</v>
      </c>
      <c r="J124" s="36">
        <v>5</v>
      </c>
      <c r="L124" s="36"/>
      <c r="M124">
        <v>44</v>
      </c>
      <c r="N124" s="36">
        <v>90</v>
      </c>
      <c r="O124">
        <v>6</v>
      </c>
      <c r="P124" s="36">
        <v>17</v>
      </c>
    </row>
    <row r="125" spans="1:16" x14ac:dyDescent="0.2">
      <c r="A125" s="21" t="s">
        <v>135</v>
      </c>
      <c r="B125" s="5">
        <v>6.0000000000000001E-3</v>
      </c>
      <c r="C125" s="37">
        <f t="shared" si="10"/>
        <v>3.6999999999999998E-2</v>
      </c>
      <c r="D125">
        <v>17</v>
      </c>
      <c r="E125">
        <v>5</v>
      </c>
      <c r="F125" s="36">
        <v>8</v>
      </c>
      <c r="G125">
        <v>21</v>
      </c>
      <c r="H125" s="36">
        <v>11</v>
      </c>
      <c r="I125">
        <v>10</v>
      </c>
      <c r="J125" s="36">
        <v>7</v>
      </c>
      <c r="L125" s="36"/>
      <c r="M125">
        <v>65</v>
      </c>
      <c r="N125" s="36">
        <v>62</v>
      </c>
      <c r="O125">
        <v>8</v>
      </c>
      <c r="P125" s="36">
        <v>14</v>
      </c>
    </row>
    <row r="126" spans="1:16" x14ac:dyDescent="0.2">
      <c r="A126" s="21" t="s">
        <v>136</v>
      </c>
      <c r="B126" s="5">
        <v>-1.2999999999999999E-2</v>
      </c>
      <c r="C126" s="37">
        <f t="shared" si="10"/>
        <v>3.1E-2</v>
      </c>
      <c r="D126">
        <v>3</v>
      </c>
      <c r="E126">
        <v>1</v>
      </c>
      <c r="F126" s="36">
        <v>26</v>
      </c>
      <c r="G126">
        <v>20</v>
      </c>
      <c r="H126" s="36">
        <v>14</v>
      </c>
      <c r="I126">
        <v>8</v>
      </c>
      <c r="J126" s="36">
        <v>10</v>
      </c>
      <c r="L126" s="36"/>
      <c r="M126">
        <v>58</v>
      </c>
      <c r="N126" s="36">
        <v>81</v>
      </c>
      <c r="O126">
        <v>7</v>
      </c>
      <c r="P126" s="36">
        <v>16</v>
      </c>
    </row>
    <row r="127" spans="1:16" x14ac:dyDescent="0.2">
      <c r="A127" s="21" t="s">
        <v>137</v>
      </c>
      <c r="B127" s="5">
        <v>2.2000000000000001E-3</v>
      </c>
      <c r="C127" s="37">
        <f t="shared" si="10"/>
        <v>4.3999999999999997E-2</v>
      </c>
      <c r="D127">
        <v>14</v>
      </c>
      <c r="E127">
        <v>4</v>
      </c>
      <c r="F127" s="36">
        <v>12</v>
      </c>
      <c r="G127">
        <v>24</v>
      </c>
      <c r="H127" s="36">
        <v>9</v>
      </c>
      <c r="I127">
        <v>17</v>
      </c>
      <c r="J127" s="36">
        <v>1</v>
      </c>
      <c r="L127" s="36"/>
      <c r="M127">
        <v>81</v>
      </c>
      <c r="N127" s="36">
        <v>56</v>
      </c>
      <c r="O127">
        <v>10</v>
      </c>
      <c r="P127" s="36">
        <v>11</v>
      </c>
    </row>
    <row r="128" spans="1:16" x14ac:dyDescent="0.2">
      <c r="A128" s="21" t="s">
        <v>138</v>
      </c>
      <c r="B128" s="5">
        <v>-3.0999999999999999E-3</v>
      </c>
      <c r="C128" s="37">
        <f t="shared" si="10"/>
        <v>4.1799999999999997E-2</v>
      </c>
      <c r="D128">
        <v>14</v>
      </c>
      <c r="E128">
        <v>5</v>
      </c>
      <c r="F128" s="36">
        <v>11</v>
      </c>
      <c r="G128">
        <v>21</v>
      </c>
      <c r="H128" s="36">
        <v>7</v>
      </c>
      <c r="I128">
        <v>12</v>
      </c>
      <c r="J128" s="36">
        <v>5</v>
      </c>
      <c r="L128" s="36"/>
      <c r="M128">
        <v>60</v>
      </c>
      <c r="N128" s="36">
        <v>77</v>
      </c>
      <c r="O128">
        <v>11</v>
      </c>
      <c r="P128" s="36">
        <v>10</v>
      </c>
    </row>
    <row r="129" spans="1:16" x14ac:dyDescent="0.2">
      <c r="A129" s="21" t="s">
        <v>139</v>
      </c>
      <c r="B129" s="5">
        <v>4.4999999999999997E-3</v>
      </c>
      <c r="C129" s="37">
        <f t="shared" si="10"/>
        <v>4.4899999999999995E-2</v>
      </c>
      <c r="D129">
        <v>19</v>
      </c>
      <c r="E129">
        <v>3</v>
      </c>
      <c r="F129" s="36">
        <v>8</v>
      </c>
      <c r="G129">
        <v>29</v>
      </c>
      <c r="H129" s="36">
        <v>2</v>
      </c>
      <c r="I129">
        <v>18</v>
      </c>
      <c r="J129" s="36">
        <v>0</v>
      </c>
      <c r="L129" s="36"/>
      <c r="M129">
        <v>77</v>
      </c>
      <c r="N129" s="36">
        <v>58</v>
      </c>
      <c r="O129">
        <v>12</v>
      </c>
      <c r="P129" s="36">
        <v>9</v>
      </c>
    </row>
    <row r="130" spans="1:16" x14ac:dyDescent="0.2">
      <c r="A130" s="21" t="s">
        <v>140</v>
      </c>
      <c r="B130" s="5">
        <v>-1.6000000000000001E-3</v>
      </c>
      <c r="C130" s="37">
        <f t="shared" si="10"/>
        <v>4.0399999999999998E-2</v>
      </c>
      <c r="D130">
        <v>7</v>
      </c>
      <c r="E130">
        <v>7</v>
      </c>
      <c r="F130" s="36">
        <v>16</v>
      </c>
      <c r="G130">
        <v>19</v>
      </c>
      <c r="H130" s="36">
        <v>9</v>
      </c>
      <c r="I130">
        <v>9</v>
      </c>
      <c r="J130" s="36">
        <v>9</v>
      </c>
      <c r="L130" s="36"/>
      <c r="M130">
        <v>59</v>
      </c>
      <c r="N130" s="36">
        <v>76</v>
      </c>
      <c r="O130">
        <v>9</v>
      </c>
      <c r="P130" s="36">
        <v>12</v>
      </c>
    </row>
    <row r="131" spans="1:16" x14ac:dyDescent="0.2">
      <c r="A131" s="21" t="s">
        <v>141</v>
      </c>
      <c r="B131" s="5">
        <v>-3.7000000000000002E-3</v>
      </c>
      <c r="C131" s="37">
        <f t="shared" si="10"/>
        <v>4.1999999999999996E-2</v>
      </c>
      <c r="D131">
        <v>7</v>
      </c>
      <c r="E131">
        <v>4</v>
      </c>
      <c r="F131" s="36">
        <v>19</v>
      </c>
      <c r="G131">
        <v>21</v>
      </c>
      <c r="H131" s="36">
        <v>15</v>
      </c>
      <c r="I131">
        <v>7</v>
      </c>
      <c r="J131" s="36">
        <v>12</v>
      </c>
      <c r="L131" s="36"/>
      <c r="M131">
        <v>62</v>
      </c>
      <c r="N131" s="36">
        <v>78</v>
      </c>
      <c r="O131">
        <v>12</v>
      </c>
      <c r="P131" s="36">
        <v>10</v>
      </c>
    </row>
    <row r="132" spans="1:16" x14ac:dyDescent="0.2">
      <c r="A132" s="21" t="s">
        <v>142</v>
      </c>
      <c r="B132" s="5">
        <v>-4.7999999999999996E-3</v>
      </c>
      <c r="C132" s="37">
        <f t="shared" si="10"/>
        <v>4.5699999999999998E-2</v>
      </c>
      <c r="D132">
        <v>5</v>
      </c>
      <c r="E132">
        <v>0</v>
      </c>
      <c r="F132" s="36">
        <v>25</v>
      </c>
      <c r="G132">
        <v>10</v>
      </c>
      <c r="H132" s="36">
        <v>20</v>
      </c>
      <c r="I132">
        <v>0</v>
      </c>
      <c r="J132" s="36">
        <v>15</v>
      </c>
      <c r="L132" s="36"/>
      <c r="M132">
        <v>65</v>
      </c>
      <c r="N132" s="36">
        <v>71</v>
      </c>
      <c r="O132">
        <v>13</v>
      </c>
      <c r="P132" s="36">
        <v>8</v>
      </c>
    </row>
    <row r="133" spans="1:16" x14ac:dyDescent="0.2">
      <c r="A133" s="21" t="s">
        <v>143</v>
      </c>
      <c r="B133" s="5">
        <v>3.7000000000000002E-3</v>
      </c>
      <c r="C133" s="37">
        <f t="shared" si="10"/>
        <v>5.0499999999999996E-2</v>
      </c>
      <c r="D133">
        <v>14</v>
      </c>
      <c r="E133">
        <v>6</v>
      </c>
      <c r="F133" s="36">
        <v>10</v>
      </c>
      <c r="G133">
        <v>23</v>
      </c>
      <c r="H133" s="36">
        <v>5</v>
      </c>
      <c r="I133">
        <v>15</v>
      </c>
      <c r="J133" s="36">
        <v>3</v>
      </c>
      <c r="L133" s="36"/>
      <c r="M133">
        <v>75</v>
      </c>
      <c r="N133" s="36">
        <v>66</v>
      </c>
      <c r="O133">
        <v>12</v>
      </c>
      <c r="P133" s="36">
        <v>10</v>
      </c>
    </row>
    <row r="134" spans="1:16" x14ac:dyDescent="0.2">
      <c r="A134" s="21" t="s">
        <v>144</v>
      </c>
      <c r="B134" s="5">
        <v>9.5999999999999992E-3</v>
      </c>
      <c r="C134" s="37">
        <f t="shared" si="10"/>
        <v>4.6799999999999994E-2</v>
      </c>
      <c r="D134">
        <v>27</v>
      </c>
      <c r="E134">
        <v>0</v>
      </c>
      <c r="F134" s="36">
        <v>3</v>
      </c>
      <c r="G134">
        <v>27</v>
      </c>
      <c r="H134" s="36">
        <v>6</v>
      </c>
      <c r="I134">
        <v>15</v>
      </c>
      <c r="J134" s="36">
        <v>3</v>
      </c>
      <c r="L134" s="36"/>
      <c r="M134">
        <v>64</v>
      </c>
      <c r="N134" s="36">
        <v>69</v>
      </c>
      <c r="O134">
        <v>13</v>
      </c>
      <c r="P134" s="36">
        <v>9</v>
      </c>
    </row>
    <row r="135" spans="1:16" x14ac:dyDescent="0.2">
      <c r="A135" s="21" t="s">
        <v>356</v>
      </c>
      <c r="B135" s="5">
        <v>6.3E-3</v>
      </c>
      <c r="C135" s="37">
        <f t="shared" si="10"/>
        <v>3.7199999999999997E-2</v>
      </c>
      <c r="D135">
        <v>20</v>
      </c>
      <c r="E135">
        <v>5</v>
      </c>
      <c r="F135" s="36">
        <v>5</v>
      </c>
      <c r="G135">
        <v>33</v>
      </c>
      <c r="H135" s="36">
        <v>4</v>
      </c>
      <c r="I135">
        <v>18</v>
      </c>
      <c r="J135" s="36">
        <v>0</v>
      </c>
      <c r="L135" s="36"/>
      <c r="M135">
        <v>71</v>
      </c>
      <c r="N135" s="36">
        <v>64</v>
      </c>
      <c r="O135">
        <v>10</v>
      </c>
      <c r="P135" s="36">
        <v>12</v>
      </c>
    </row>
    <row r="136" spans="1:16" x14ac:dyDescent="0.2">
      <c r="A136" s="21" t="s">
        <v>145</v>
      </c>
      <c r="B136" s="5">
        <v>-3.0999999999999999E-3</v>
      </c>
      <c r="C136" s="37">
        <f t="shared" si="10"/>
        <v>3.0899999999999997E-2</v>
      </c>
      <c r="D136">
        <v>9</v>
      </c>
      <c r="E136">
        <v>4</v>
      </c>
      <c r="F136" s="36">
        <v>17</v>
      </c>
      <c r="G136">
        <v>11</v>
      </c>
      <c r="H136" s="36">
        <v>19</v>
      </c>
      <c r="I136">
        <v>0</v>
      </c>
      <c r="J136" s="36">
        <v>18</v>
      </c>
      <c r="L136" s="36"/>
      <c r="M136">
        <v>66</v>
      </c>
      <c r="N136" s="36">
        <v>65</v>
      </c>
      <c r="O136">
        <v>11</v>
      </c>
      <c r="P136" s="36">
        <v>9</v>
      </c>
    </row>
    <row r="137" spans="1:16" x14ac:dyDescent="0.2">
      <c r="A137" s="21" t="s">
        <v>146</v>
      </c>
      <c r="B137" s="5">
        <v>7.7000000000000002E-3</v>
      </c>
      <c r="C137" s="37">
        <f t="shared" si="10"/>
        <v>3.3999999999999996E-2</v>
      </c>
      <c r="D137">
        <v>21</v>
      </c>
      <c r="E137">
        <v>5</v>
      </c>
      <c r="F137" s="36">
        <v>4</v>
      </c>
      <c r="G137">
        <v>19</v>
      </c>
      <c r="H137" s="36">
        <v>11</v>
      </c>
      <c r="I137">
        <v>9</v>
      </c>
      <c r="J137" s="36">
        <v>9</v>
      </c>
      <c r="L137" s="36"/>
      <c r="M137">
        <v>63</v>
      </c>
      <c r="N137" s="36">
        <v>63</v>
      </c>
      <c r="O137">
        <v>11</v>
      </c>
      <c r="P137" s="36">
        <v>11</v>
      </c>
    </row>
    <row r="138" spans="1:16" x14ac:dyDescent="0.2">
      <c r="A138" s="21" t="s">
        <v>147</v>
      </c>
      <c r="B138" s="5">
        <v>-2E-3</v>
      </c>
      <c r="C138" s="37">
        <f t="shared" si="10"/>
        <v>2.6299999999999997E-2</v>
      </c>
      <c r="D138">
        <v>12</v>
      </c>
      <c r="E138">
        <v>0</v>
      </c>
      <c r="F138" s="36">
        <v>18</v>
      </c>
      <c r="G138">
        <v>24</v>
      </c>
      <c r="H138" s="36">
        <v>2</v>
      </c>
      <c r="I138">
        <v>17</v>
      </c>
      <c r="J138" s="36">
        <v>1</v>
      </c>
      <c r="L138" s="36"/>
      <c r="M138">
        <v>56</v>
      </c>
      <c r="N138" s="36">
        <v>71</v>
      </c>
      <c r="O138">
        <v>8</v>
      </c>
      <c r="P138" s="36">
        <v>14</v>
      </c>
    </row>
    <row r="139" spans="1:16" x14ac:dyDescent="0.2">
      <c r="A139" s="21" t="s">
        <v>148</v>
      </c>
      <c r="B139" s="5">
        <v>1E-4</v>
      </c>
      <c r="C139" s="37">
        <f t="shared" si="10"/>
        <v>2.8299999999999999E-2</v>
      </c>
      <c r="D139">
        <v>8</v>
      </c>
      <c r="E139">
        <v>1</v>
      </c>
      <c r="F139" s="36">
        <v>21</v>
      </c>
      <c r="G139">
        <v>10</v>
      </c>
      <c r="H139" s="36">
        <v>22</v>
      </c>
      <c r="I139">
        <v>0</v>
      </c>
      <c r="J139" s="36">
        <v>17</v>
      </c>
      <c r="L139" s="36"/>
      <c r="M139">
        <v>68</v>
      </c>
      <c r="N139" s="36">
        <v>61</v>
      </c>
      <c r="O139">
        <v>10</v>
      </c>
      <c r="P139" s="36">
        <v>10</v>
      </c>
    </row>
    <row r="140" spans="1:16" x14ac:dyDescent="0.2">
      <c r="A140" s="21" t="s">
        <v>149</v>
      </c>
      <c r="B140" s="5">
        <v>8.0000000000000004E-4</v>
      </c>
      <c r="C140" s="37">
        <f t="shared" si="10"/>
        <v>2.8199999999999999E-2</v>
      </c>
      <c r="D140">
        <v>20</v>
      </c>
      <c r="E140">
        <v>3</v>
      </c>
      <c r="F140" s="36">
        <v>7</v>
      </c>
      <c r="G140">
        <v>19</v>
      </c>
      <c r="H140" s="36">
        <v>5</v>
      </c>
      <c r="I140">
        <v>15</v>
      </c>
      <c r="J140" s="36">
        <v>3</v>
      </c>
      <c r="L140" s="36"/>
      <c r="M140">
        <v>66</v>
      </c>
      <c r="N140" s="36">
        <v>62</v>
      </c>
      <c r="O140">
        <v>9</v>
      </c>
      <c r="P140" s="36">
        <v>12</v>
      </c>
    </row>
    <row r="141" spans="1:16" x14ac:dyDescent="0.2">
      <c r="A141" s="21" t="s">
        <v>150</v>
      </c>
      <c r="B141" s="5">
        <v>2.0999999999999999E-3</v>
      </c>
      <c r="C141" s="37">
        <f t="shared" si="10"/>
        <v>2.7400000000000001E-2</v>
      </c>
      <c r="D141">
        <v>15</v>
      </c>
      <c r="E141">
        <v>0</v>
      </c>
      <c r="F141" s="36">
        <v>15</v>
      </c>
      <c r="G141">
        <v>12</v>
      </c>
      <c r="H141" s="36">
        <v>19</v>
      </c>
      <c r="I141">
        <v>3</v>
      </c>
      <c r="J141" s="36">
        <v>14</v>
      </c>
      <c r="L141" s="36"/>
      <c r="M141">
        <v>74</v>
      </c>
      <c r="N141" s="36">
        <v>62</v>
      </c>
      <c r="O141">
        <v>8</v>
      </c>
      <c r="P141" s="36">
        <v>14</v>
      </c>
    </row>
    <row r="142" spans="1:16" x14ac:dyDescent="0.2">
      <c r="A142" s="21" t="s">
        <v>151</v>
      </c>
      <c r="B142" s="5">
        <v>-2.8E-3</v>
      </c>
      <c r="C142" s="37">
        <f t="shared" si="10"/>
        <v>2.53E-2</v>
      </c>
      <c r="D142">
        <v>7</v>
      </c>
      <c r="E142">
        <v>4</v>
      </c>
      <c r="F142" s="36">
        <v>19</v>
      </c>
      <c r="G142">
        <v>19</v>
      </c>
      <c r="H142" s="36">
        <v>9</v>
      </c>
      <c r="I142">
        <v>13</v>
      </c>
      <c r="J142" s="36">
        <v>5</v>
      </c>
      <c r="L142" s="36"/>
      <c r="M142">
        <v>74</v>
      </c>
      <c r="N142" s="36">
        <v>60</v>
      </c>
      <c r="O142">
        <v>9</v>
      </c>
      <c r="P142" s="36">
        <v>12</v>
      </c>
    </row>
    <row r="143" spans="1:16" x14ac:dyDescent="0.2">
      <c r="A143" s="21" t="s">
        <v>152</v>
      </c>
      <c r="B143" s="5">
        <v>2E-3</v>
      </c>
      <c r="C143" s="37">
        <f t="shared" si="10"/>
        <v>2.81E-2</v>
      </c>
      <c r="D143">
        <v>16</v>
      </c>
      <c r="E143">
        <v>1</v>
      </c>
      <c r="F143" s="36">
        <v>13</v>
      </c>
      <c r="G143">
        <v>16</v>
      </c>
      <c r="H143" s="36">
        <v>8</v>
      </c>
      <c r="I143">
        <v>12</v>
      </c>
      <c r="J143" s="36">
        <v>6</v>
      </c>
      <c r="L143" s="36"/>
      <c r="M143">
        <v>66</v>
      </c>
      <c r="N143" s="36">
        <v>66</v>
      </c>
      <c r="O143">
        <v>5</v>
      </c>
      <c r="P143" s="36">
        <v>16</v>
      </c>
    </row>
    <row r="144" spans="1:16" x14ac:dyDescent="0.2">
      <c r="A144" s="21" t="s">
        <v>153</v>
      </c>
      <c r="B144" s="5">
        <v>4.1000000000000003E-3</v>
      </c>
      <c r="C144" s="37">
        <f t="shared" si="10"/>
        <v>2.6099999999999998E-2</v>
      </c>
      <c r="D144">
        <v>19</v>
      </c>
      <c r="E144">
        <v>0</v>
      </c>
      <c r="F144" s="36">
        <v>11</v>
      </c>
      <c r="G144">
        <v>22</v>
      </c>
      <c r="H144" s="36">
        <v>7</v>
      </c>
      <c r="I144">
        <v>13</v>
      </c>
      <c r="J144" s="36">
        <v>5</v>
      </c>
      <c r="L144" s="36"/>
      <c r="M144">
        <v>42</v>
      </c>
      <c r="N144" s="36">
        <v>67</v>
      </c>
      <c r="O144">
        <v>7</v>
      </c>
      <c r="P144" s="36">
        <v>13</v>
      </c>
    </row>
    <row r="145" spans="1:16" x14ac:dyDescent="0.2">
      <c r="A145" s="21" t="s">
        <v>154</v>
      </c>
      <c r="B145" s="5">
        <v>1.01E-2</v>
      </c>
      <c r="C145" s="37">
        <f t="shared" si="10"/>
        <v>2.1999999999999999E-2</v>
      </c>
      <c r="D145">
        <v>22</v>
      </c>
      <c r="E145">
        <v>3</v>
      </c>
      <c r="F145" s="36">
        <v>5</v>
      </c>
      <c r="G145">
        <v>31</v>
      </c>
      <c r="H145" s="36">
        <v>4</v>
      </c>
      <c r="I145">
        <v>16</v>
      </c>
      <c r="J145" s="36">
        <v>2</v>
      </c>
      <c r="L145" s="36"/>
      <c r="M145">
        <v>53</v>
      </c>
      <c r="N145" s="36">
        <v>56</v>
      </c>
      <c r="O145">
        <v>7</v>
      </c>
      <c r="P145" s="36">
        <v>13</v>
      </c>
    </row>
    <row r="146" spans="1:16" x14ac:dyDescent="0.2">
      <c r="A146" s="21" t="s">
        <v>155</v>
      </c>
      <c r="B146" s="5">
        <v>1.17E-2</v>
      </c>
      <c r="C146" s="37">
        <f>B146+C147</f>
        <v>1.1900000000000001E-2</v>
      </c>
      <c r="D146">
        <v>27</v>
      </c>
      <c r="E146">
        <v>1</v>
      </c>
      <c r="F146" s="36">
        <v>2</v>
      </c>
      <c r="G146">
        <v>9</v>
      </c>
      <c r="H146" s="36">
        <v>16</v>
      </c>
      <c r="I146">
        <v>2</v>
      </c>
      <c r="J146" s="36">
        <v>16</v>
      </c>
      <c r="L146" s="36"/>
      <c r="M146">
        <v>42</v>
      </c>
      <c r="N146" s="36">
        <v>65</v>
      </c>
      <c r="O146">
        <v>7</v>
      </c>
      <c r="P146" s="36">
        <v>12</v>
      </c>
    </row>
    <row r="147" spans="1:16" x14ac:dyDescent="0.2">
      <c r="A147" s="21" t="s">
        <v>156</v>
      </c>
      <c r="B147" s="5">
        <v>2.0000000000000001E-4</v>
      </c>
      <c r="C147" s="37">
        <f>B147</f>
        <v>2.0000000000000001E-4</v>
      </c>
      <c r="D147">
        <v>14</v>
      </c>
      <c r="E147">
        <v>1</v>
      </c>
      <c r="F147" s="36">
        <v>15</v>
      </c>
      <c r="G147">
        <v>14</v>
      </c>
      <c r="H147" s="36">
        <v>17</v>
      </c>
      <c r="I147">
        <v>3</v>
      </c>
      <c r="J147" s="36">
        <v>15</v>
      </c>
      <c r="L147" s="36"/>
      <c r="M147">
        <v>54</v>
      </c>
      <c r="N147" s="36">
        <v>57</v>
      </c>
      <c r="O147">
        <v>10</v>
      </c>
      <c r="P147" s="36">
        <v>12</v>
      </c>
    </row>
  </sheetData>
  <mergeCells count="5">
    <mergeCell ref="B1:F1"/>
    <mergeCell ref="G1:J1"/>
    <mergeCell ref="K1:L1"/>
    <mergeCell ref="M1:P1"/>
    <mergeCell ref="Q1:R1"/>
  </mergeCells>
  <conditionalFormatting sqref="D8:D147">
    <cfRule type="cellIs" dxfId="677" priority="29" operator="greaterThan">
      <formula>$E8+$F8</formula>
    </cfRule>
  </conditionalFormatting>
  <conditionalFormatting sqref="F8:F147">
    <cfRule type="cellIs" dxfId="676" priority="28" operator="greaterThan">
      <formula>$D8+$E8</formula>
    </cfRule>
  </conditionalFormatting>
  <conditionalFormatting sqref="I8:I147">
    <cfRule type="cellIs" dxfId="675" priority="27" operator="greaterThan">
      <formula>$J8</formula>
    </cfRule>
  </conditionalFormatting>
  <conditionalFormatting sqref="J5:J147">
    <cfRule type="cellIs" dxfId="674" priority="26" operator="greaterThan">
      <formula>$I5</formula>
    </cfRule>
  </conditionalFormatting>
  <conditionalFormatting sqref="H7">
    <cfRule type="expression" dxfId="673" priority="24">
      <formula>AND($U7&gt;AVERAGE(H8:$U18),$U7&gt;$T7)</formula>
    </cfRule>
  </conditionalFormatting>
  <conditionalFormatting sqref="I7">
    <cfRule type="cellIs" dxfId="672" priority="23" operator="greaterThan">
      <formula>500000000000</formula>
    </cfRule>
  </conditionalFormatting>
  <conditionalFormatting sqref="I7">
    <cfRule type="cellIs" dxfId="671" priority="22" operator="lessThan">
      <formula>-500000000000</formula>
    </cfRule>
  </conditionalFormatting>
  <conditionalFormatting sqref="N7">
    <cfRule type="expression" dxfId="670" priority="21">
      <formula>AND($O7&gt;AVERAGE(N8:$O18),$O7&gt;$N7)</formula>
    </cfRule>
  </conditionalFormatting>
  <conditionalFormatting sqref="F6">
    <cfRule type="cellIs" dxfId="669" priority="20" operator="greaterThan">
      <formula>$J6+$I6</formula>
    </cfRule>
  </conditionalFormatting>
  <conditionalFormatting sqref="D5">
    <cfRule type="cellIs" dxfId="668" priority="19" operator="greaterThan">
      <formula>$J5+$K5</formula>
    </cfRule>
  </conditionalFormatting>
  <conditionalFormatting sqref="F4">
    <cfRule type="cellIs" dxfId="667" priority="18" operator="greaterThan">
      <formula>$J4+$I4</formula>
    </cfRule>
  </conditionalFormatting>
  <conditionalFormatting sqref="G6">
    <cfRule type="expression" dxfId="666" priority="17">
      <formula>AND($T6&gt;AVERAGE(G7:$T17),$T6&gt;$U6)</formula>
    </cfRule>
  </conditionalFormatting>
  <conditionalFormatting sqref="H5">
    <cfRule type="expression" dxfId="665" priority="16">
      <formula>AND($U5&gt;AVERAGE(H6:$U16),$U5&gt;$T5)</formula>
    </cfRule>
  </conditionalFormatting>
  <conditionalFormatting sqref="G4">
    <cfRule type="expression" dxfId="664" priority="15">
      <formula>AND($T4&gt;AVERAGE(G5:$T15),$T4&gt;$U4)</formula>
    </cfRule>
  </conditionalFormatting>
  <conditionalFormatting sqref="N4:N6">
    <cfRule type="expression" dxfId="663" priority="14">
      <formula>AND($O4&gt;AVERAGE(N5:$O15),$O4&gt;$N4)</formula>
    </cfRule>
  </conditionalFormatting>
  <conditionalFormatting sqref="I4">
    <cfRule type="cellIs" dxfId="662" priority="12" operator="greaterThan">
      <formula>$J4</formula>
    </cfRule>
  </conditionalFormatting>
  <conditionalFormatting sqref="K3:K58">
    <cfRule type="cellIs" dxfId="661" priority="10" operator="lessThan">
      <formula>0</formula>
    </cfRule>
    <cfRule type="cellIs" dxfId="660" priority="11" operator="greaterThan">
      <formula>0</formula>
    </cfRule>
  </conditionalFormatting>
  <conditionalFormatting sqref="Q3:Q13">
    <cfRule type="cellIs" dxfId="659" priority="8" operator="lessThan">
      <formula>0</formula>
    </cfRule>
    <cfRule type="cellIs" dxfId="658" priority="9" operator="greaterThan">
      <formula>0</formula>
    </cfRule>
  </conditionalFormatting>
  <conditionalFormatting sqref="G3">
    <cfRule type="expression" dxfId="657" priority="6">
      <formula>AND($T3&gt;AVERAGE(G4:$T14),$T3&gt;$U3)</formula>
    </cfRule>
  </conditionalFormatting>
  <conditionalFormatting sqref="M3">
    <cfRule type="expression" dxfId="656" priority="5">
      <formula>AND($N3&gt;AVERAGE(M4:$N14),$N3&gt;$O3)</formula>
    </cfRule>
  </conditionalFormatting>
  <conditionalFormatting sqref="J3">
    <cfRule type="cellIs" dxfId="655" priority="3" operator="greaterThan">
      <formula>$I3</formula>
    </cfRule>
  </conditionalFormatting>
  <conditionalFormatting sqref="D3">
    <cfRule type="cellIs" dxfId="654" priority="1" operator="greaterThan">
      <formula>$E3+$F3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AA168"/>
  <sheetViews>
    <sheetView workbookViewId="0">
      <pane xSplit="1" topLeftCell="B1" activePane="topRight" state="frozen"/>
      <selection pane="topRight" activeCell="O13" sqref="O13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4" width="10.83203125" customWidth="1"/>
    <col min="15" max="15" width="8.5" bestFit="1" customWidth="1"/>
    <col min="16" max="19" width="19.33203125" customWidth="1"/>
    <col min="20" max="21" width="10.83203125" customWidth="1"/>
    <col min="22" max="22" width="22.33203125" customWidth="1"/>
    <col min="23" max="23" width="17.83203125" customWidth="1"/>
    <col min="24" max="24" width="13" customWidth="1"/>
  </cols>
  <sheetData>
    <row r="1" spans="1:27" x14ac:dyDescent="0.2">
      <c r="A1" s="1"/>
      <c r="B1" s="1471" t="s">
        <v>0</v>
      </c>
      <c r="C1" s="1471"/>
      <c r="D1" s="1471"/>
      <c r="E1" s="1471"/>
      <c r="F1" s="1471"/>
      <c r="G1" s="1465" t="s">
        <v>4</v>
      </c>
      <c r="H1" s="1465"/>
      <c r="I1" s="1465"/>
      <c r="J1" s="1465"/>
      <c r="K1" s="1465"/>
      <c r="L1" s="1473" t="s">
        <v>318</v>
      </c>
      <c r="M1" s="1473"/>
      <c r="N1" s="1472" t="s">
        <v>80</v>
      </c>
      <c r="O1" s="1472"/>
      <c r="P1" s="1472"/>
      <c r="Q1" s="1472"/>
      <c r="R1" s="12"/>
      <c r="S1" s="12"/>
      <c r="T1" s="1469" t="s">
        <v>81</v>
      </c>
      <c r="U1" s="1469"/>
      <c r="V1" s="1469"/>
      <c r="W1" s="1469"/>
      <c r="X1" s="1474" t="s">
        <v>366</v>
      </c>
      <c r="Y1" s="1474"/>
      <c r="Z1" s="1470" t="s">
        <v>315</v>
      </c>
      <c r="AA1" s="1470"/>
    </row>
    <row r="2" spans="1:27" x14ac:dyDescent="0.2">
      <c r="A2" s="15" t="s">
        <v>105</v>
      </c>
      <c r="B2" s="15" t="s">
        <v>102</v>
      </c>
      <c r="C2" s="15" t="s">
        <v>106</v>
      </c>
      <c r="D2" s="14" t="s">
        <v>1</v>
      </c>
      <c r="E2" s="14" t="s">
        <v>2</v>
      </c>
      <c r="F2" s="14" t="s">
        <v>3</v>
      </c>
      <c r="G2" s="15" t="s">
        <v>102</v>
      </c>
      <c r="H2" s="15" t="s">
        <v>106</v>
      </c>
      <c r="I2" s="14" t="s">
        <v>1</v>
      </c>
      <c r="J2" s="14" t="s">
        <v>2</v>
      </c>
      <c r="K2" s="35" t="s">
        <v>3</v>
      </c>
      <c r="L2" s="14" t="s">
        <v>319</v>
      </c>
      <c r="M2" s="14" t="s">
        <v>320</v>
      </c>
      <c r="N2" s="14" t="s">
        <v>100</v>
      </c>
      <c r="O2" s="14" t="s">
        <v>101</v>
      </c>
      <c r="P2" s="14" t="s">
        <v>103</v>
      </c>
      <c r="Q2" s="13" t="s">
        <v>244</v>
      </c>
      <c r="R2" s="13" t="s">
        <v>246</v>
      </c>
      <c r="S2" s="13" t="s">
        <v>245</v>
      </c>
      <c r="T2" s="14" t="s">
        <v>100</v>
      </c>
      <c r="U2" s="14" t="s">
        <v>101</v>
      </c>
      <c r="V2" s="14" t="s">
        <v>103</v>
      </c>
      <c r="W2" s="14" t="s">
        <v>104</v>
      </c>
      <c r="X2" s="14" t="s">
        <v>0</v>
      </c>
      <c r="Y2" s="14" t="s">
        <v>304</v>
      </c>
      <c r="Z2" s="14" t="s">
        <v>315</v>
      </c>
      <c r="AA2" s="14" t="s">
        <v>316</v>
      </c>
    </row>
    <row r="3" spans="1:27" x14ac:dyDescent="0.2">
      <c r="A3" s="7" t="s">
        <v>508</v>
      </c>
      <c r="B3" s="8">
        <v>1.2699999999999999E-2</v>
      </c>
      <c r="C3" s="5">
        <f t="shared" ref="C3:C61" si="0">B3+C4</f>
        <v>8.5200000000000026E-2</v>
      </c>
      <c r="D3" s="4">
        <v>329</v>
      </c>
      <c r="E3" s="4">
        <v>65</v>
      </c>
      <c r="F3" s="4">
        <v>86</v>
      </c>
      <c r="G3" s="8">
        <v>1.7299999999999999E-2</v>
      </c>
      <c r="H3" s="37">
        <f t="shared" ref="H3:H96" si="1">G3+H4</f>
        <v>0.12310000000000006</v>
      </c>
      <c r="I3" s="4">
        <v>25</v>
      </c>
      <c r="J3" s="4">
        <v>1</v>
      </c>
      <c r="K3" s="4">
        <v>4</v>
      </c>
      <c r="L3" s="4">
        <v>72</v>
      </c>
      <c r="M3" s="4">
        <v>43</v>
      </c>
      <c r="N3">
        <v>89</v>
      </c>
      <c r="O3" s="4">
        <v>85</v>
      </c>
      <c r="P3" s="4">
        <v>443342162410</v>
      </c>
      <c r="Q3" s="3">
        <f t="shared" ref="Q3:Q86" si="2">P3+Q4</f>
        <v>-50872718972156</v>
      </c>
      <c r="R3" s="3">
        <v>501813792410</v>
      </c>
      <c r="S3" s="3">
        <f t="shared" ref="S3:S132" si="3">R3+S4</f>
        <v>-28723125881831</v>
      </c>
      <c r="T3">
        <v>24</v>
      </c>
      <c r="U3" s="4">
        <v>11</v>
      </c>
      <c r="V3" s="4">
        <v>-33398384000</v>
      </c>
      <c r="W3" s="4">
        <f t="shared" ref="W3:W95" si="4">V3+W4</f>
        <v>2063437619200</v>
      </c>
      <c r="X3" s="4">
        <v>586759414</v>
      </c>
      <c r="Y3" s="8">
        <v>0.33770000000000006</v>
      </c>
      <c r="Z3" s="16">
        <v>37.36</v>
      </c>
      <c r="AA3" s="18">
        <f t="shared" ref="AA3:AA116" si="5">AVERAGE(Z4:Z17)</f>
        <v>24.74</v>
      </c>
    </row>
    <row r="4" spans="1:27" x14ac:dyDescent="0.2">
      <c r="A4" s="7" t="s">
        <v>505</v>
      </c>
      <c r="B4" s="8">
        <v>-6.1999999999999998E-3</v>
      </c>
      <c r="C4" s="5">
        <f t="shared" si="0"/>
        <v>7.2500000000000023E-2</v>
      </c>
      <c r="D4" s="4">
        <v>161</v>
      </c>
      <c r="E4" s="4">
        <v>62</v>
      </c>
      <c r="F4" s="19">
        <v>257</v>
      </c>
      <c r="G4" s="8">
        <v>-8.199999999999999E-3</v>
      </c>
      <c r="H4" s="37">
        <f t="shared" si="1"/>
        <v>0.10580000000000006</v>
      </c>
      <c r="I4" s="4">
        <v>7</v>
      </c>
      <c r="J4" s="4">
        <v>4</v>
      </c>
      <c r="K4" s="19">
        <v>19</v>
      </c>
      <c r="L4" s="4">
        <v>22</v>
      </c>
      <c r="M4" s="36">
        <v>103</v>
      </c>
      <c r="N4" s="4">
        <v>67</v>
      </c>
      <c r="O4">
        <v>110</v>
      </c>
      <c r="P4" s="4">
        <v>-738134737585</v>
      </c>
      <c r="Q4" s="3">
        <f t="shared" si="2"/>
        <v>-51316061134566</v>
      </c>
      <c r="R4" s="4">
        <v>-383934067585</v>
      </c>
      <c r="S4" s="3">
        <f t="shared" si="3"/>
        <v>-29224939674241</v>
      </c>
      <c r="T4" s="4">
        <v>18</v>
      </c>
      <c r="U4">
        <v>85</v>
      </c>
      <c r="V4" s="4">
        <v>-257420118900</v>
      </c>
      <c r="W4" s="4">
        <f t="shared" si="4"/>
        <v>2096836003200</v>
      </c>
      <c r="X4" s="4">
        <v>758833010</v>
      </c>
      <c r="Y4" s="8">
        <v>0.36009999999999998</v>
      </c>
      <c r="Z4" s="16">
        <v>30.03</v>
      </c>
      <c r="AA4" s="18">
        <f t="shared" si="5"/>
        <v>25.856428571428573</v>
      </c>
    </row>
    <row r="5" spans="1:27" x14ac:dyDescent="0.2">
      <c r="A5" s="7" t="s">
        <v>503</v>
      </c>
      <c r="B5" s="8">
        <v>4.5999999999999999E-3</v>
      </c>
      <c r="C5" s="5">
        <f t="shared" si="0"/>
        <v>7.870000000000002E-2</v>
      </c>
      <c r="D5" s="4">
        <v>228</v>
      </c>
      <c r="E5" s="4">
        <v>80</v>
      </c>
      <c r="F5" s="4">
        <v>182</v>
      </c>
      <c r="G5" s="8">
        <v>5.9999999999999995E-4</v>
      </c>
      <c r="H5" s="37">
        <f t="shared" si="1"/>
        <v>0.11400000000000006</v>
      </c>
      <c r="I5" s="4">
        <v>10</v>
      </c>
      <c r="J5" s="4">
        <v>6</v>
      </c>
      <c r="K5" s="19">
        <v>14</v>
      </c>
      <c r="L5" s="4">
        <v>33</v>
      </c>
      <c r="M5" s="36">
        <v>69</v>
      </c>
      <c r="N5" s="4">
        <v>61</v>
      </c>
      <c r="O5">
        <v>112</v>
      </c>
      <c r="P5" s="4">
        <v>-1313853872357</v>
      </c>
      <c r="Q5" s="3">
        <f t="shared" si="2"/>
        <v>-50577926396981</v>
      </c>
      <c r="R5" s="3">
        <v>-548933662357</v>
      </c>
      <c r="S5" s="3">
        <f t="shared" si="3"/>
        <v>-28841005606656</v>
      </c>
      <c r="T5" s="4">
        <v>15</v>
      </c>
      <c r="U5">
        <v>50</v>
      </c>
      <c r="V5" s="4">
        <v>-385258194000</v>
      </c>
      <c r="W5" s="4">
        <f t="shared" si="4"/>
        <v>2354256122100</v>
      </c>
      <c r="X5" s="4">
        <v>623845094</v>
      </c>
      <c r="Y5" s="8">
        <v>0.42599999999999999</v>
      </c>
      <c r="Z5" s="16">
        <v>29.63</v>
      </c>
      <c r="AA5" s="18">
        <f t="shared" si="5"/>
        <v>27.460714285714289</v>
      </c>
    </row>
    <row r="6" spans="1:27" x14ac:dyDescent="0.2">
      <c r="A6" s="7" t="s">
        <v>500</v>
      </c>
      <c r="B6" s="8">
        <v>1.8700000000000001E-2</v>
      </c>
      <c r="C6" s="5">
        <f t="shared" si="0"/>
        <v>7.4100000000000027E-2</v>
      </c>
      <c r="D6" s="4">
        <v>383</v>
      </c>
      <c r="E6" s="4">
        <v>49</v>
      </c>
      <c r="F6" s="19">
        <v>58</v>
      </c>
      <c r="G6" s="8">
        <v>1.6799999999999999E-2</v>
      </c>
      <c r="H6" s="37">
        <f t="shared" si="1"/>
        <v>0.11340000000000006</v>
      </c>
      <c r="I6" s="4">
        <v>28</v>
      </c>
      <c r="J6" s="4">
        <v>2</v>
      </c>
      <c r="K6" s="4">
        <v>0</v>
      </c>
      <c r="L6" s="20">
        <v>85</v>
      </c>
      <c r="M6" s="4">
        <v>29</v>
      </c>
      <c r="N6" s="4">
        <v>91</v>
      </c>
      <c r="O6">
        <v>92</v>
      </c>
      <c r="P6" s="4">
        <v>-305324846158</v>
      </c>
      <c r="Q6" s="3">
        <f t="shared" si="2"/>
        <v>-49264072524624</v>
      </c>
      <c r="R6" s="3">
        <v>-259727146158</v>
      </c>
      <c r="S6" s="3">
        <f t="shared" si="3"/>
        <v>-28292071944299</v>
      </c>
      <c r="T6" s="4">
        <v>32</v>
      </c>
      <c r="U6">
        <v>77</v>
      </c>
      <c r="V6" s="4">
        <v>-265532256000</v>
      </c>
      <c r="W6" s="4">
        <f t="shared" si="4"/>
        <v>2739514316100</v>
      </c>
      <c r="X6" s="4">
        <v>688836957</v>
      </c>
      <c r="Y6" s="8">
        <v>0.39069999999999999</v>
      </c>
      <c r="Z6" s="16">
        <v>23.65</v>
      </c>
      <c r="AA6" s="18">
        <f t="shared" si="5"/>
        <v>29.487857142857145</v>
      </c>
    </row>
    <row r="7" spans="1:27" x14ac:dyDescent="0.2">
      <c r="A7" s="7" t="s">
        <v>497</v>
      </c>
      <c r="B7" s="8">
        <v>-3.9199999999999999E-2</v>
      </c>
      <c r="C7" s="5">
        <f t="shared" si="0"/>
        <v>5.5400000000000033E-2</v>
      </c>
      <c r="D7" s="4">
        <v>24</v>
      </c>
      <c r="E7" s="4">
        <v>25</v>
      </c>
      <c r="F7" s="19">
        <v>448</v>
      </c>
      <c r="G7" s="8">
        <v>-3.8199999999999998E-2</v>
      </c>
      <c r="H7" s="37">
        <f t="shared" si="1"/>
        <v>9.6600000000000061E-2</v>
      </c>
      <c r="I7" s="4">
        <v>0</v>
      </c>
      <c r="J7" s="4">
        <v>0</v>
      </c>
      <c r="K7" s="19">
        <v>30</v>
      </c>
      <c r="L7" s="4">
        <v>2</v>
      </c>
      <c r="M7" s="36">
        <v>147</v>
      </c>
      <c r="N7" s="4">
        <v>67</v>
      </c>
      <c r="O7">
        <v>118</v>
      </c>
      <c r="P7" s="4">
        <v>-613605529431</v>
      </c>
      <c r="Q7" s="3">
        <f t="shared" si="2"/>
        <v>-48958747678466</v>
      </c>
      <c r="R7" s="3">
        <v>-540292769431</v>
      </c>
      <c r="S7" s="3">
        <f t="shared" si="3"/>
        <v>-28032344798141</v>
      </c>
      <c r="T7" s="4">
        <v>40</v>
      </c>
      <c r="U7">
        <v>67</v>
      </c>
      <c r="V7" s="4">
        <v>-198317983000</v>
      </c>
      <c r="W7" s="4">
        <f t="shared" si="4"/>
        <v>3005046572100</v>
      </c>
      <c r="X7" s="4">
        <v>1038092780</v>
      </c>
      <c r="Y7" s="8">
        <v>0.40179999999999999</v>
      </c>
      <c r="Z7" s="16">
        <v>16.100000000000001</v>
      </c>
      <c r="AA7" s="18">
        <f t="shared" si="5"/>
        <v>32.795714285714283</v>
      </c>
    </row>
    <row r="8" spans="1:27" x14ac:dyDescent="0.2">
      <c r="A8" s="7" t="s">
        <v>494</v>
      </c>
      <c r="B8" s="8">
        <v>7.9000000000000008E-3</v>
      </c>
      <c r="C8" s="5">
        <f t="shared" si="0"/>
        <v>9.4600000000000031E-2</v>
      </c>
      <c r="D8" s="4">
        <v>267</v>
      </c>
      <c r="E8" s="4">
        <v>72</v>
      </c>
      <c r="F8" s="19">
        <v>160</v>
      </c>
      <c r="G8" s="8">
        <v>7.0999999999999995E-3</v>
      </c>
      <c r="H8" s="37">
        <f t="shared" si="1"/>
        <v>0.13480000000000006</v>
      </c>
      <c r="I8" s="4">
        <v>22</v>
      </c>
      <c r="J8" s="4">
        <v>2</v>
      </c>
      <c r="K8" s="4">
        <v>6</v>
      </c>
      <c r="L8" s="20">
        <v>64</v>
      </c>
      <c r="M8" s="4">
        <v>53</v>
      </c>
      <c r="N8">
        <v>106</v>
      </c>
      <c r="O8" s="4">
        <v>75</v>
      </c>
      <c r="P8" s="4">
        <v>812804020736</v>
      </c>
      <c r="Q8" s="3">
        <f t="shared" si="2"/>
        <v>-48345142149035</v>
      </c>
      <c r="R8" s="3">
        <v>866007220736</v>
      </c>
      <c r="S8" s="3">
        <f t="shared" si="3"/>
        <v>-27492052028710</v>
      </c>
      <c r="T8">
        <v>52</v>
      </c>
      <c r="U8" s="4">
        <v>51</v>
      </c>
      <c r="V8" s="4">
        <v>358125357000</v>
      </c>
      <c r="W8" s="4">
        <f t="shared" si="4"/>
        <v>3203364555100</v>
      </c>
      <c r="X8" s="4">
        <v>696662777</v>
      </c>
      <c r="Y8" s="8">
        <v>0.37180000000000002</v>
      </c>
      <c r="Z8" s="16">
        <v>23.44</v>
      </c>
      <c r="AA8" s="18">
        <f t="shared" si="5"/>
        <v>35.558571428571426</v>
      </c>
    </row>
    <row r="9" spans="1:27" x14ac:dyDescent="0.2">
      <c r="A9" s="7" t="s">
        <v>492</v>
      </c>
      <c r="B9" s="8">
        <v>-1.9599999999999999E-2</v>
      </c>
      <c r="C9" s="5">
        <f t="shared" si="0"/>
        <v>8.6700000000000027E-2</v>
      </c>
      <c r="D9" s="4">
        <v>45</v>
      </c>
      <c r="E9" s="4">
        <v>38</v>
      </c>
      <c r="F9" s="19">
        <v>423</v>
      </c>
      <c r="G9" s="8">
        <v>-2.0899999999999998E-2</v>
      </c>
      <c r="H9" s="37">
        <f t="shared" si="1"/>
        <v>0.12770000000000006</v>
      </c>
      <c r="I9" s="4">
        <v>2</v>
      </c>
      <c r="J9" s="4">
        <v>0</v>
      </c>
      <c r="K9" s="19">
        <v>28</v>
      </c>
      <c r="L9" s="4">
        <v>3</v>
      </c>
      <c r="M9" s="36">
        <v>151</v>
      </c>
      <c r="N9">
        <v>81</v>
      </c>
      <c r="O9">
        <v>98</v>
      </c>
      <c r="P9" s="4">
        <v>147773485605</v>
      </c>
      <c r="Q9" s="3">
        <f t="shared" si="2"/>
        <v>-49157946169771</v>
      </c>
      <c r="R9" s="4">
        <v>164052035605</v>
      </c>
      <c r="S9" s="3">
        <f t="shared" si="3"/>
        <v>-28358059249446</v>
      </c>
      <c r="T9">
        <v>49</v>
      </c>
      <c r="U9" s="4">
        <v>2</v>
      </c>
      <c r="V9" s="4">
        <v>1087093476000</v>
      </c>
      <c r="W9" s="4">
        <f t="shared" si="4"/>
        <v>2845239198100</v>
      </c>
      <c r="X9" s="4">
        <v>897261200</v>
      </c>
      <c r="Y9" s="8">
        <v>0.34759999999999996</v>
      </c>
      <c r="Z9" s="16">
        <v>23.85</v>
      </c>
      <c r="AA9" s="18">
        <f t="shared" si="5"/>
        <v>38.257857142857141</v>
      </c>
    </row>
    <row r="10" spans="1:27" x14ac:dyDescent="0.2">
      <c r="A10" s="7" t="s">
        <v>491</v>
      </c>
      <c r="B10" s="8">
        <v>5.1999999999999998E-3</v>
      </c>
      <c r="C10" s="5">
        <f t="shared" si="0"/>
        <v>0.10630000000000003</v>
      </c>
      <c r="D10" s="4">
        <v>206</v>
      </c>
      <c r="E10" s="4">
        <v>68</v>
      </c>
      <c r="F10" s="19">
        <v>224</v>
      </c>
      <c r="G10" s="8">
        <v>8.8000000000000005E-3</v>
      </c>
      <c r="H10" s="37">
        <f t="shared" si="1"/>
        <v>0.14860000000000007</v>
      </c>
      <c r="I10" s="4">
        <v>19</v>
      </c>
      <c r="J10" s="4">
        <v>2</v>
      </c>
      <c r="K10" s="4">
        <v>9</v>
      </c>
      <c r="L10" s="4">
        <v>26</v>
      </c>
      <c r="M10" s="36">
        <v>109</v>
      </c>
      <c r="N10" s="4">
        <v>71</v>
      </c>
      <c r="O10">
        <v>108</v>
      </c>
      <c r="P10" s="4">
        <v>-647796506878</v>
      </c>
      <c r="Q10" s="3">
        <f t="shared" si="2"/>
        <v>-49305719655376</v>
      </c>
      <c r="R10" s="4">
        <v>362244563122</v>
      </c>
      <c r="S10" s="3">
        <f t="shared" si="3"/>
        <v>-28522111285051</v>
      </c>
      <c r="T10" s="4">
        <v>33</v>
      </c>
      <c r="U10">
        <v>37</v>
      </c>
      <c r="V10" s="4">
        <v>-347853427000</v>
      </c>
      <c r="W10" s="4">
        <f t="shared" si="4"/>
        <v>1758145722100</v>
      </c>
      <c r="X10" s="4">
        <v>748846724</v>
      </c>
      <c r="Y10" s="8">
        <v>0.38020000000000004</v>
      </c>
      <c r="Z10" s="16">
        <v>24.59</v>
      </c>
      <c r="AA10" s="18">
        <f t="shared" si="5"/>
        <v>40.66571428571428</v>
      </c>
    </row>
    <row r="11" spans="1:27" x14ac:dyDescent="0.2">
      <c r="A11" s="7" t="s">
        <v>485</v>
      </c>
      <c r="B11" s="8">
        <v>-1.1999999999999999E-3</v>
      </c>
      <c r="C11" s="5">
        <f t="shared" si="0"/>
        <v>0.10110000000000004</v>
      </c>
      <c r="D11" s="4">
        <v>154</v>
      </c>
      <c r="E11" s="4">
        <v>75</v>
      </c>
      <c r="F11" s="19">
        <v>267</v>
      </c>
      <c r="G11" s="8">
        <v>1.6000000000000001E-3</v>
      </c>
      <c r="H11" s="37">
        <f t="shared" si="1"/>
        <v>0.13980000000000006</v>
      </c>
      <c r="I11" s="4">
        <v>11</v>
      </c>
      <c r="J11" s="4">
        <v>3</v>
      </c>
      <c r="K11" s="19">
        <v>16</v>
      </c>
      <c r="L11" s="4">
        <v>16</v>
      </c>
      <c r="M11" s="36">
        <v>110</v>
      </c>
      <c r="N11" s="4">
        <v>54</v>
      </c>
      <c r="O11">
        <v>126</v>
      </c>
      <c r="P11" s="4">
        <v>-302225998977</v>
      </c>
      <c r="Q11" s="3">
        <f t="shared" si="2"/>
        <v>-48657923148498</v>
      </c>
      <c r="R11" s="4">
        <v>-247310138977</v>
      </c>
      <c r="S11" s="3">
        <f t="shared" si="3"/>
        <v>-28884355848173</v>
      </c>
      <c r="T11">
        <v>30</v>
      </c>
      <c r="U11" s="4">
        <v>18</v>
      </c>
      <c r="V11" s="4">
        <v>30599135000</v>
      </c>
      <c r="W11" s="4">
        <f t="shared" si="4"/>
        <v>2105999149100</v>
      </c>
      <c r="X11" s="4">
        <v>653073299</v>
      </c>
      <c r="Y11" s="8">
        <v>0.28649999999999998</v>
      </c>
      <c r="Z11" s="16">
        <v>17.04</v>
      </c>
      <c r="AA11" s="18">
        <f t="shared" si="5"/>
        <v>44.129285714285707</v>
      </c>
    </row>
    <row r="12" spans="1:27" x14ac:dyDescent="0.2">
      <c r="A12" s="7" t="s">
        <v>483</v>
      </c>
      <c r="B12" s="8">
        <v>3.5999999999999999E-3</v>
      </c>
      <c r="C12" s="5">
        <f t="shared" si="0"/>
        <v>0.10230000000000004</v>
      </c>
      <c r="D12" s="4">
        <v>244</v>
      </c>
      <c r="E12" s="4">
        <v>94</v>
      </c>
      <c r="F12" s="4">
        <v>168</v>
      </c>
      <c r="G12" s="8">
        <v>3.0000000000000001E-3</v>
      </c>
      <c r="H12" s="37">
        <f t="shared" si="1"/>
        <v>0.13820000000000007</v>
      </c>
      <c r="I12" s="4">
        <v>14</v>
      </c>
      <c r="J12" s="4">
        <v>9</v>
      </c>
      <c r="K12" s="4">
        <v>7</v>
      </c>
      <c r="L12" s="4">
        <v>37</v>
      </c>
      <c r="M12" s="36">
        <v>92</v>
      </c>
      <c r="N12" s="4">
        <v>61</v>
      </c>
      <c r="O12">
        <v>118</v>
      </c>
      <c r="P12" s="4">
        <v>-303583093453</v>
      </c>
      <c r="Q12" s="3">
        <f t="shared" si="2"/>
        <v>-48355697149521</v>
      </c>
      <c r="R12" s="3">
        <v>-253934213453</v>
      </c>
      <c r="S12" s="3">
        <f t="shared" si="3"/>
        <v>-28637045709196</v>
      </c>
      <c r="T12" s="4">
        <v>21</v>
      </c>
      <c r="U12">
        <v>48</v>
      </c>
      <c r="V12" s="4">
        <v>-100087533000</v>
      </c>
      <c r="W12" s="4">
        <f t="shared" si="4"/>
        <v>2075400014100</v>
      </c>
      <c r="X12" s="4">
        <v>496865207</v>
      </c>
      <c r="Y12" s="8">
        <v>0.29339999999999999</v>
      </c>
      <c r="Z12" s="16">
        <v>16.850000000000001</v>
      </c>
      <c r="AA12" s="18">
        <f t="shared" si="5"/>
        <v>48.20428571428571</v>
      </c>
    </row>
    <row r="13" spans="1:27" x14ac:dyDescent="0.2">
      <c r="A13" s="7" t="s">
        <v>477</v>
      </c>
      <c r="B13" s="8">
        <v>7.1999999999999998E-3</v>
      </c>
      <c r="C13" s="5">
        <f t="shared" si="0"/>
        <v>9.8700000000000038E-2</v>
      </c>
      <c r="D13" s="4">
        <v>284</v>
      </c>
      <c r="E13" s="4">
        <v>80</v>
      </c>
      <c r="F13" s="19">
        <v>192</v>
      </c>
      <c r="G13" s="8">
        <v>7.6E-3</v>
      </c>
      <c r="H13" s="37">
        <f t="shared" si="1"/>
        <v>0.13520000000000007</v>
      </c>
      <c r="I13" s="4">
        <v>22</v>
      </c>
      <c r="J13" s="4">
        <v>5</v>
      </c>
      <c r="K13" s="19">
        <v>3</v>
      </c>
      <c r="L13" s="4">
        <v>49</v>
      </c>
      <c r="M13" s="36">
        <v>67</v>
      </c>
      <c r="N13" s="4">
        <v>77</v>
      </c>
      <c r="O13">
        <v>101</v>
      </c>
      <c r="P13" s="4">
        <v>-105748251036</v>
      </c>
      <c r="Q13" s="3">
        <f t="shared" si="2"/>
        <v>-48052114056068</v>
      </c>
      <c r="R13" s="3">
        <v>-39744981036</v>
      </c>
      <c r="S13" s="3">
        <f t="shared" si="3"/>
        <v>-28383111495743</v>
      </c>
      <c r="T13" s="4">
        <v>9</v>
      </c>
      <c r="U13">
        <v>28</v>
      </c>
      <c r="V13" s="4">
        <v>-227194044000</v>
      </c>
      <c r="W13" s="4">
        <f t="shared" si="4"/>
        <v>2175487547100</v>
      </c>
      <c r="X13" s="4">
        <v>458792190</v>
      </c>
      <c r="Y13" s="8">
        <v>0.33409999999999995</v>
      </c>
      <c r="Z13" s="16">
        <v>19.670000000000002</v>
      </c>
      <c r="AA13" s="18">
        <f t="shared" si="5"/>
        <v>51.451428571428558</v>
      </c>
    </row>
    <row r="14" spans="1:27" x14ac:dyDescent="0.2">
      <c r="A14" s="7" t="s">
        <v>473</v>
      </c>
      <c r="B14" s="8">
        <v>-4.3E-3</v>
      </c>
      <c r="C14" s="5">
        <f t="shared" si="0"/>
        <v>9.150000000000004E-2</v>
      </c>
      <c r="D14" s="4">
        <v>131</v>
      </c>
      <c r="E14" s="4">
        <v>75</v>
      </c>
      <c r="F14" s="19">
        <v>294</v>
      </c>
      <c r="G14" s="8">
        <v>-6.5000000000000006E-3</v>
      </c>
      <c r="H14" s="37">
        <f t="shared" si="1"/>
        <v>0.12760000000000007</v>
      </c>
      <c r="I14" s="4">
        <v>4</v>
      </c>
      <c r="J14" s="4">
        <v>4</v>
      </c>
      <c r="K14" s="19">
        <v>22</v>
      </c>
      <c r="L14" s="4">
        <v>26</v>
      </c>
      <c r="M14" s="36">
        <v>80</v>
      </c>
      <c r="N14">
        <v>72</v>
      </c>
      <c r="O14">
        <v>107</v>
      </c>
      <c r="P14" s="4">
        <v>-396347173118</v>
      </c>
      <c r="Q14" s="3">
        <f t="shared" si="2"/>
        <v>-47946365805032</v>
      </c>
      <c r="R14" s="3">
        <v>-329459173118</v>
      </c>
      <c r="S14" s="3">
        <f t="shared" si="3"/>
        <v>-28343366514707</v>
      </c>
      <c r="T14">
        <v>17</v>
      </c>
      <c r="U14">
        <v>43</v>
      </c>
      <c r="V14" s="4">
        <v>-51964143000</v>
      </c>
      <c r="W14" s="4">
        <f t="shared" si="4"/>
        <v>2402681591100</v>
      </c>
      <c r="X14" s="4">
        <v>484409425</v>
      </c>
      <c r="Y14" s="8">
        <v>0.39880000000000004</v>
      </c>
      <c r="Z14" s="16">
        <v>21.89</v>
      </c>
      <c r="AA14" s="18">
        <f t="shared" si="5"/>
        <v>54.530714285714282</v>
      </c>
    </row>
    <row r="15" spans="1:27" x14ac:dyDescent="0.2">
      <c r="A15" s="7" t="s">
        <v>472</v>
      </c>
      <c r="B15" s="8">
        <v>5.4000000000000003E-3</v>
      </c>
      <c r="C15" s="5">
        <f t="shared" si="0"/>
        <v>9.5800000000000038E-2</v>
      </c>
      <c r="D15" s="4">
        <v>259</v>
      </c>
      <c r="E15" s="4">
        <v>69</v>
      </c>
      <c r="F15" s="19">
        <v>177</v>
      </c>
      <c r="G15" s="8">
        <v>1.4000000000000002E-3</v>
      </c>
      <c r="H15" s="37">
        <f t="shared" si="1"/>
        <v>0.13410000000000008</v>
      </c>
      <c r="I15" s="4">
        <v>18</v>
      </c>
      <c r="J15" s="4">
        <v>3</v>
      </c>
      <c r="K15" s="4">
        <v>9</v>
      </c>
      <c r="L15" s="20">
        <v>60</v>
      </c>
      <c r="M15" s="19">
        <v>53</v>
      </c>
      <c r="N15">
        <v>125</v>
      </c>
      <c r="O15">
        <v>56</v>
      </c>
      <c r="P15" s="4">
        <v>235598962736</v>
      </c>
      <c r="Q15" s="3">
        <f t="shared" si="2"/>
        <v>-47550018631914</v>
      </c>
      <c r="R15" s="3">
        <v>242749292736</v>
      </c>
      <c r="S15" s="3">
        <f t="shared" si="3"/>
        <v>-28013907341589</v>
      </c>
      <c r="T15">
        <v>37</v>
      </c>
      <c r="U15">
        <v>8</v>
      </c>
      <c r="V15" s="4">
        <v>842302925000</v>
      </c>
      <c r="W15" s="4">
        <f t="shared" si="4"/>
        <v>2454645734100</v>
      </c>
      <c r="X15" s="4">
        <v>740263375</v>
      </c>
      <c r="Y15" s="8">
        <v>0.37819999999999998</v>
      </c>
      <c r="Z15" s="16">
        <v>27.6</v>
      </c>
      <c r="AA15" s="18">
        <f t="shared" si="5"/>
        <v>56.629285714285707</v>
      </c>
    </row>
    <row r="16" spans="1:27" x14ac:dyDescent="0.2">
      <c r="A16" s="7" t="s">
        <v>428</v>
      </c>
      <c r="B16" s="8">
        <v>-1.8200000000000001E-2</v>
      </c>
      <c r="C16" s="5">
        <f t="shared" si="0"/>
        <v>9.0400000000000036E-2</v>
      </c>
      <c r="D16" s="4">
        <v>83</v>
      </c>
      <c r="E16" s="4">
        <v>41</v>
      </c>
      <c r="F16" s="19">
        <v>373</v>
      </c>
      <c r="G16" s="8">
        <v>-1.5900000000000001E-2</v>
      </c>
      <c r="H16" s="37">
        <f t="shared" si="1"/>
        <v>0.13270000000000007</v>
      </c>
      <c r="I16" s="4">
        <v>5</v>
      </c>
      <c r="J16" s="4">
        <v>1</v>
      </c>
      <c r="K16" s="19">
        <v>24</v>
      </c>
      <c r="L16" s="4">
        <v>11</v>
      </c>
      <c r="M16" s="36">
        <v>131</v>
      </c>
      <c r="N16">
        <v>90</v>
      </c>
      <c r="O16">
        <v>85</v>
      </c>
      <c r="P16" s="4">
        <v>-160904710683</v>
      </c>
      <c r="Q16" s="3">
        <f t="shared" si="2"/>
        <v>-47785617594650</v>
      </c>
      <c r="R16" s="3">
        <v>-113839810683</v>
      </c>
      <c r="S16" s="3">
        <f t="shared" si="3"/>
        <v>-28256656634325</v>
      </c>
      <c r="T16">
        <v>50</v>
      </c>
      <c r="U16">
        <v>47</v>
      </c>
      <c r="V16" s="4">
        <v>618775165000</v>
      </c>
      <c r="W16" s="4">
        <f t="shared" si="4"/>
        <v>1612342809100</v>
      </c>
      <c r="X16" s="4">
        <v>728380946</v>
      </c>
      <c r="Y16" s="8">
        <v>0.37219999999999998</v>
      </c>
      <c r="Z16" s="16">
        <v>33.08</v>
      </c>
      <c r="AA16" s="18">
        <f t="shared" si="5"/>
        <v>57.74285714285714</v>
      </c>
    </row>
    <row r="17" spans="1:27" x14ac:dyDescent="0.2">
      <c r="A17" s="7" t="s">
        <v>427</v>
      </c>
      <c r="B17" s="8">
        <v>-8.0000000000000002E-3</v>
      </c>
      <c r="C17" s="5">
        <f t="shared" si="0"/>
        <v>0.10860000000000003</v>
      </c>
      <c r="D17" s="4">
        <v>96</v>
      </c>
      <c r="E17" s="4">
        <v>53</v>
      </c>
      <c r="F17" s="19">
        <v>350</v>
      </c>
      <c r="G17" s="8">
        <v>-2.3E-3</v>
      </c>
      <c r="H17" s="37">
        <f t="shared" si="1"/>
        <v>0.14860000000000007</v>
      </c>
      <c r="I17" s="4">
        <v>12</v>
      </c>
      <c r="J17" s="4">
        <v>3</v>
      </c>
      <c r="K17" s="19">
        <v>15</v>
      </c>
      <c r="L17" s="4">
        <v>19</v>
      </c>
      <c r="M17" s="36">
        <v>110</v>
      </c>
      <c r="N17">
        <v>92</v>
      </c>
      <c r="O17">
        <v>85</v>
      </c>
      <c r="P17" s="4">
        <v>394349265731</v>
      </c>
      <c r="Q17" s="3">
        <f t="shared" si="2"/>
        <v>-47624712883967</v>
      </c>
      <c r="R17" s="3">
        <v>441941795731</v>
      </c>
      <c r="S17" s="3">
        <f t="shared" si="3"/>
        <v>-28142816823642</v>
      </c>
      <c r="T17">
        <v>85</v>
      </c>
      <c r="U17">
        <v>14</v>
      </c>
      <c r="V17" s="4">
        <v>667844301000</v>
      </c>
      <c r="W17" s="4">
        <f t="shared" si="4"/>
        <v>993567644100</v>
      </c>
      <c r="X17" s="4">
        <v>923629363</v>
      </c>
      <c r="Y17" s="8">
        <v>0.32780000000000004</v>
      </c>
      <c r="Z17" s="16">
        <v>38.94</v>
      </c>
      <c r="AA17" s="18">
        <f t="shared" si="5"/>
        <v>58.566428571428567</v>
      </c>
    </row>
    <row r="18" spans="1:27" x14ac:dyDescent="0.2">
      <c r="A18" s="7" t="s">
        <v>425</v>
      </c>
      <c r="B18" s="8">
        <v>-7.6E-3</v>
      </c>
      <c r="C18" s="5">
        <f t="shared" si="0"/>
        <v>0.11660000000000004</v>
      </c>
      <c r="D18" s="4">
        <v>126</v>
      </c>
      <c r="E18" s="4">
        <v>49</v>
      </c>
      <c r="F18" s="19">
        <v>324</v>
      </c>
      <c r="G18" s="8">
        <v>8.0000000000000004E-4</v>
      </c>
      <c r="H18" s="37">
        <f t="shared" si="1"/>
        <v>0.15090000000000006</v>
      </c>
      <c r="I18" s="4">
        <v>9</v>
      </c>
      <c r="J18" s="4">
        <v>0</v>
      </c>
      <c r="K18" s="19">
        <v>21</v>
      </c>
      <c r="L18" s="20">
        <v>15</v>
      </c>
      <c r="M18" s="36">
        <v>134</v>
      </c>
      <c r="N18">
        <v>59</v>
      </c>
      <c r="O18">
        <v>115</v>
      </c>
      <c r="P18" s="4">
        <v>-344576274210</v>
      </c>
      <c r="Q18" s="3">
        <f t="shared" si="2"/>
        <v>-48019062149698</v>
      </c>
      <c r="R18" s="3">
        <v>-149871824210</v>
      </c>
      <c r="S18" s="3">
        <f t="shared" si="3"/>
        <v>-28584758619373</v>
      </c>
      <c r="T18" s="4">
        <v>37</v>
      </c>
      <c r="U18" s="4">
        <v>68</v>
      </c>
      <c r="V18" s="4">
        <v>-670617000</v>
      </c>
      <c r="W18" s="4">
        <f t="shared" si="4"/>
        <v>325723343100</v>
      </c>
      <c r="X18" s="4">
        <v>791804100</v>
      </c>
      <c r="Y18" s="8">
        <v>0.41389999999999999</v>
      </c>
      <c r="Z18" s="16">
        <v>45.66</v>
      </c>
      <c r="AA18" s="18">
        <f t="shared" si="5"/>
        <v>59.019999999999996</v>
      </c>
    </row>
    <row r="19" spans="1:27" x14ac:dyDescent="0.2">
      <c r="A19" s="7" t="s">
        <v>424</v>
      </c>
      <c r="B19" s="8">
        <v>4.5999999999999999E-3</v>
      </c>
      <c r="C19" s="5">
        <f t="shared" si="0"/>
        <v>0.12420000000000003</v>
      </c>
      <c r="D19" s="4">
        <v>285</v>
      </c>
      <c r="E19" s="4">
        <v>62</v>
      </c>
      <c r="F19" s="19">
        <v>158</v>
      </c>
      <c r="G19" s="8">
        <v>8.0000000000000004E-4</v>
      </c>
      <c r="H19" s="37">
        <f t="shared" si="1"/>
        <v>0.15010000000000007</v>
      </c>
      <c r="I19" s="4">
        <v>22</v>
      </c>
      <c r="J19" s="4">
        <v>2</v>
      </c>
      <c r="K19" s="19">
        <v>6</v>
      </c>
      <c r="L19" s="20">
        <v>18</v>
      </c>
      <c r="M19" s="36">
        <v>108</v>
      </c>
      <c r="N19">
        <v>107</v>
      </c>
      <c r="O19">
        <v>72</v>
      </c>
      <c r="P19" s="4">
        <v>809634078311</v>
      </c>
      <c r="Q19" s="3">
        <f t="shared" si="2"/>
        <v>-47674485875488</v>
      </c>
      <c r="R19" s="3">
        <v>865656158311</v>
      </c>
      <c r="S19" s="3">
        <f t="shared" si="3"/>
        <v>-28434886795163</v>
      </c>
      <c r="T19" s="4">
        <v>32</v>
      </c>
      <c r="U19" s="4">
        <v>74</v>
      </c>
      <c r="V19" s="4">
        <v>-1467898236200</v>
      </c>
      <c r="W19" s="4">
        <f t="shared" si="4"/>
        <v>326393960100</v>
      </c>
      <c r="X19" s="4">
        <v>739044489</v>
      </c>
      <c r="Y19" s="8">
        <v>0.41189999999999999</v>
      </c>
      <c r="Z19" s="16">
        <v>52.09</v>
      </c>
      <c r="AA19" s="18">
        <f t="shared" si="5"/>
        <v>58.571428571428569</v>
      </c>
    </row>
    <row r="20" spans="1:27" x14ac:dyDescent="0.2">
      <c r="A20" s="7" t="s">
        <v>423</v>
      </c>
      <c r="B20" s="8">
        <v>-9.7999999999999997E-3</v>
      </c>
      <c r="C20" s="5">
        <f t="shared" si="0"/>
        <v>0.11960000000000004</v>
      </c>
      <c r="D20" s="4">
        <v>109</v>
      </c>
      <c r="E20" s="4">
        <v>33</v>
      </c>
      <c r="F20" s="19">
        <v>369</v>
      </c>
      <c r="G20" s="8">
        <v>1.6000000000000001E-3</v>
      </c>
      <c r="H20" s="37">
        <f t="shared" si="1"/>
        <v>0.14930000000000007</v>
      </c>
      <c r="I20" s="4">
        <v>9</v>
      </c>
      <c r="J20" s="4">
        <v>4</v>
      </c>
      <c r="K20" s="19">
        <v>17</v>
      </c>
      <c r="L20" s="20">
        <v>15</v>
      </c>
      <c r="M20" s="36">
        <v>137</v>
      </c>
      <c r="N20">
        <v>80</v>
      </c>
      <c r="O20">
        <v>98</v>
      </c>
      <c r="P20" s="4">
        <v>531205093676</v>
      </c>
      <c r="Q20" s="3">
        <f t="shared" si="2"/>
        <v>-48484119953799</v>
      </c>
      <c r="R20" s="3">
        <v>616225013676</v>
      </c>
      <c r="S20" s="3">
        <f t="shared" si="3"/>
        <v>-29300542953474</v>
      </c>
      <c r="T20" s="4">
        <v>27</v>
      </c>
      <c r="U20" s="4">
        <v>20</v>
      </c>
      <c r="V20" s="4">
        <v>-38243910000</v>
      </c>
      <c r="W20" s="4">
        <f t="shared" si="4"/>
        <v>1794292196300</v>
      </c>
      <c r="X20" s="4">
        <v>1225383052</v>
      </c>
      <c r="Y20" s="8">
        <v>0.40020000000000006</v>
      </c>
      <c r="Z20" s="16">
        <v>52.03</v>
      </c>
      <c r="AA20" s="18">
        <f t="shared" si="5"/>
        <v>58.614285714285714</v>
      </c>
    </row>
    <row r="21" spans="1:27" x14ac:dyDescent="0.2">
      <c r="A21" s="7" t="s">
        <v>422</v>
      </c>
      <c r="B21" s="8">
        <v>7.000000000000001E-4</v>
      </c>
      <c r="C21" s="5">
        <f t="shared" si="0"/>
        <v>0.12940000000000004</v>
      </c>
      <c r="D21" s="4">
        <v>211</v>
      </c>
      <c r="E21" s="4">
        <v>89</v>
      </c>
      <c r="F21" s="19">
        <v>215</v>
      </c>
      <c r="G21" s="8">
        <v>4.1999999999999997E-3</v>
      </c>
      <c r="H21" s="37">
        <f t="shared" si="1"/>
        <v>0.14770000000000008</v>
      </c>
      <c r="I21" s="4">
        <v>15</v>
      </c>
      <c r="J21" s="4">
        <v>5</v>
      </c>
      <c r="K21" s="19">
        <v>10</v>
      </c>
      <c r="L21" s="20">
        <v>23</v>
      </c>
      <c r="M21" s="36">
        <v>97</v>
      </c>
      <c r="N21">
        <v>78</v>
      </c>
      <c r="O21">
        <v>101</v>
      </c>
      <c r="P21" s="4">
        <v>-227654119665</v>
      </c>
      <c r="Q21" s="3">
        <f t="shared" si="2"/>
        <v>-49015325047475</v>
      </c>
      <c r="R21" s="3">
        <v>-172716059665</v>
      </c>
      <c r="S21" s="3">
        <f t="shared" si="3"/>
        <v>-29916767967150</v>
      </c>
      <c r="T21" s="4">
        <v>59</v>
      </c>
      <c r="U21" s="4">
        <v>41</v>
      </c>
      <c r="V21" s="4">
        <v>-58374791300</v>
      </c>
      <c r="W21" s="4">
        <f t="shared" si="4"/>
        <v>1832536106300</v>
      </c>
      <c r="X21" s="4">
        <v>684257163</v>
      </c>
      <c r="Y21" s="8">
        <v>0.34659999999999996</v>
      </c>
      <c r="Z21" s="16">
        <v>62.41</v>
      </c>
      <c r="AA21" s="18">
        <f t="shared" si="5"/>
        <v>57.962142857142851</v>
      </c>
    </row>
    <row r="22" spans="1:27" x14ac:dyDescent="0.2">
      <c r="A22" s="7" t="s">
        <v>420</v>
      </c>
      <c r="B22" s="8">
        <v>-7.000000000000001E-4</v>
      </c>
      <c r="C22" s="5">
        <f t="shared" si="0"/>
        <v>0.12870000000000004</v>
      </c>
      <c r="D22" s="4">
        <v>167</v>
      </c>
      <c r="E22" s="4">
        <v>86</v>
      </c>
      <c r="F22" s="19">
        <v>262</v>
      </c>
      <c r="G22" s="8">
        <v>-3.0999999999999999E-3</v>
      </c>
      <c r="H22" s="37">
        <f t="shared" si="1"/>
        <v>0.14350000000000007</v>
      </c>
      <c r="I22" s="4">
        <v>10</v>
      </c>
      <c r="J22" s="4">
        <v>4</v>
      </c>
      <c r="K22" s="19">
        <v>16</v>
      </c>
      <c r="L22" s="20">
        <v>26</v>
      </c>
      <c r="M22" s="36">
        <v>109</v>
      </c>
      <c r="N22">
        <v>58</v>
      </c>
      <c r="O22">
        <v>118</v>
      </c>
      <c r="P22" s="4">
        <v>-1776270940272</v>
      </c>
      <c r="Q22" s="3">
        <f t="shared" si="2"/>
        <v>-48787670927810</v>
      </c>
      <c r="R22" s="3">
        <v>-1713298890272</v>
      </c>
      <c r="S22" s="3">
        <f t="shared" si="3"/>
        <v>-29744051907485</v>
      </c>
      <c r="T22" s="4">
        <v>17</v>
      </c>
      <c r="U22" s="4">
        <v>70</v>
      </c>
      <c r="V22" s="4">
        <v>1031948383300</v>
      </c>
      <c r="W22" s="4">
        <f t="shared" si="4"/>
        <v>1890910897600</v>
      </c>
      <c r="X22" s="4">
        <v>573511101</v>
      </c>
      <c r="Y22" s="8">
        <v>0.37780000000000002</v>
      </c>
      <c r="Z22" s="16">
        <v>62.12</v>
      </c>
      <c r="AA22" s="18">
        <f t="shared" si="5"/>
        <v>56.878571428571433</v>
      </c>
    </row>
    <row r="23" spans="1:27" x14ac:dyDescent="0.2">
      <c r="A23" s="7" t="s">
        <v>418</v>
      </c>
      <c r="B23" s="8">
        <v>-2.3999999999999998E-3</v>
      </c>
      <c r="C23" s="5">
        <f t="shared" si="0"/>
        <v>0.12940000000000004</v>
      </c>
      <c r="D23" s="4">
        <v>140</v>
      </c>
      <c r="E23" s="4">
        <v>76</v>
      </c>
      <c r="F23" s="19">
        <v>298</v>
      </c>
      <c r="G23" s="8">
        <v>-3.4000000000000002E-3</v>
      </c>
      <c r="H23" s="37">
        <f t="shared" si="1"/>
        <v>0.14660000000000006</v>
      </c>
      <c r="I23" s="4">
        <v>9</v>
      </c>
      <c r="J23" s="4">
        <v>5</v>
      </c>
      <c r="K23" s="19">
        <v>16</v>
      </c>
      <c r="L23" s="20">
        <v>16</v>
      </c>
      <c r="M23" s="36">
        <v>119</v>
      </c>
      <c r="N23">
        <v>63</v>
      </c>
      <c r="O23">
        <v>115</v>
      </c>
      <c r="P23" s="4">
        <v>-740919801076</v>
      </c>
      <c r="Q23" s="3">
        <f t="shared" si="2"/>
        <v>-47011399987538</v>
      </c>
      <c r="R23" s="3">
        <v>-415468911076</v>
      </c>
      <c r="S23" s="3">
        <f t="shared" si="3"/>
        <v>-28030753017213</v>
      </c>
      <c r="T23" s="4">
        <v>22</v>
      </c>
      <c r="U23" s="4">
        <v>27</v>
      </c>
      <c r="V23" s="4">
        <v>-293411086100</v>
      </c>
      <c r="W23" s="4">
        <f t="shared" si="4"/>
        <v>858962514300</v>
      </c>
      <c r="X23" s="4">
        <v>606308137</v>
      </c>
      <c r="Y23" s="8">
        <v>0.31890000000000002</v>
      </c>
      <c r="Z23" s="16">
        <v>61.64</v>
      </c>
      <c r="AA23" s="18">
        <f t="shared" si="5"/>
        <v>56.262142857142855</v>
      </c>
    </row>
    <row r="24" spans="1:27" x14ac:dyDescent="0.2">
      <c r="A24" s="7" t="s">
        <v>417</v>
      </c>
      <c r="B24" s="8">
        <v>-1.7000000000000001E-3</v>
      </c>
      <c r="C24" s="5">
        <f t="shared" si="0"/>
        <v>0.13180000000000006</v>
      </c>
      <c r="D24" s="4">
        <v>198</v>
      </c>
      <c r="E24" s="4">
        <v>75</v>
      </c>
      <c r="F24" s="19">
        <v>242</v>
      </c>
      <c r="G24" s="8">
        <v>-3.5999999999999999E-3</v>
      </c>
      <c r="H24" s="37">
        <f t="shared" si="1"/>
        <v>0.15000000000000008</v>
      </c>
      <c r="I24" s="4">
        <v>8</v>
      </c>
      <c r="J24" s="4">
        <v>4</v>
      </c>
      <c r="K24" s="19">
        <v>18</v>
      </c>
      <c r="L24" s="20">
        <v>34</v>
      </c>
      <c r="M24" s="36">
        <v>107</v>
      </c>
      <c r="N24">
        <v>73</v>
      </c>
      <c r="O24">
        <v>99</v>
      </c>
      <c r="P24" s="4">
        <v>2610858745</v>
      </c>
      <c r="Q24" s="3">
        <f t="shared" si="2"/>
        <v>-46270480186462</v>
      </c>
      <c r="R24" s="3">
        <v>59365788745</v>
      </c>
      <c r="S24" s="3">
        <f t="shared" si="3"/>
        <v>-27615284106137</v>
      </c>
      <c r="T24" s="4">
        <v>41</v>
      </c>
      <c r="U24" s="4">
        <v>66</v>
      </c>
      <c r="V24" s="4">
        <v>-550718714100</v>
      </c>
      <c r="W24" s="4">
        <f t="shared" si="4"/>
        <v>1152373600400</v>
      </c>
      <c r="X24" s="4">
        <v>697233094</v>
      </c>
      <c r="Y24" s="8">
        <v>0.34380000000000005</v>
      </c>
      <c r="Z24" s="16">
        <v>58.3</v>
      </c>
      <c r="AA24" s="18">
        <f t="shared" si="5"/>
        <v>56.497857142857143</v>
      </c>
    </row>
    <row r="25" spans="1:27" x14ac:dyDescent="0.2">
      <c r="A25" s="7" t="s">
        <v>416</v>
      </c>
      <c r="B25" s="8">
        <v>-6.0000000000000001E-3</v>
      </c>
      <c r="C25" s="5">
        <f t="shared" si="0"/>
        <v>0.13350000000000006</v>
      </c>
      <c r="D25" s="4">
        <v>151</v>
      </c>
      <c r="E25" s="4">
        <v>65</v>
      </c>
      <c r="F25" s="19">
        <v>299</v>
      </c>
      <c r="G25" s="8">
        <v>-8.199999999999999E-3</v>
      </c>
      <c r="H25" s="37">
        <f t="shared" si="1"/>
        <v>0.15360000000000007</v>
      </c>
      <c r="I25" s="4">
        <v>6</v>
      </c>
      <c r="J25" s="4">
        <v>1</v>
      </c>
      <c r="K25" s="19">
        <v>23</v>
      </c>
      <c r="L25" s="20">
        <v>24</v>
      </c>
      <c r="M25" s="36">
        <v>115</v>
      </c>
      <c r="N25">
        <v>70</v>
      </c>
      <c r="O25">
        <v>107</v>
      </c>
      <c r="P25" s="4">
        <v>-1052012664180</v>
      </c>
      <c r="Q25" s="3">
        <f t="shared" si="2"/>
        <v>-46273091045207</v>
      </c>
      <c r="R25" s="3">
        <v>-938278044180</v>
      </c>
      <c r="S25" s="3">
        <f t="shared" si="3"/>
        <v>-27674649894882</v>
      </c>
      <c r="T25" s="4">
        <v>38</v>
      </c>
      <c r="U25" s="4">
        <v>12</v>
      </c>
      <c r="V25" s="4">
        <v>322259251000</v>
      </c>
      <c r="W25" s="4">
        <f t="shared" si="4"/>
        <v>1703092314500</v>
      </c>
      <c r="X25" s="4">
        <v>751002251</v>
      </c>
      <c r="Y25" s="8">
        <v>0.35090000000000005</v>
      </c>
      <c r="Z25" s="16">
        <v>65.53</v>
      </c>
      <c r="AA25" s="18">
        <f t="shared" si="5"/>
        <v>56.27214285714286</v>
      </c>
    </row>
    <row r="26" spans="1:27" x14ac:dyDescent="0.2">
      <c r="A26" s="7" t="s">
        <v>414</v>
      </c>
      <c r="B26" s="8">
        <v>7.9000000000000008E-3</v>
      </c>
      <c r="C26" s="5">
        <f t="shared" si="0"/>
        <v>0.13950000000000007</v>
      </c>
      <c r="D26" s="4">
        <v>295</v>
      </c>
      <c r="E26" s="4">
        <v>63</v>
      </c>
      <c r="F26" s="19">
        <v>155</v>
      </c>
      <c r="G26" s="8">
        <v>4.5000000000000005E-3</v>
      </c>
      <c r="H26" s="37">
        <f t="shared" si="1"/>
        <v>0.16180000000000005</v>
      </c>
      <c r="I26" s="4">
        <v>25</v>
      </c>
      <c r="J26" s="4">
        <v>0</v>
      </c>
      <c r="K26" s="19">
        <v>5</v>
      </c>
      <c r="L26" s="20">
        <v>71</v>
      </c>
      <c r="M26" s="36">
        <v>56</v>
      </c>
      <c r="N26">
        <v>83</v>
      </c>
      <c r="O26">
        <v>102</v>
      </c>
      <c r="P26" s="4">
        <v>-517457041593</v>
      </c>
      <c r="Q26" s="3">
        <f t="shared" si="2"/>
        <v>-45221078381027</v>
      </c>
      <c r="R26" s="3">
        <v>-429631821593</v>
      </c>
      <c r="S26" s="3">
        <f t="shared" si="3"/>
        <v>-26736371850702</v>
      </c>
      <c r="T26" s="4">
        <v>67</v>
      </c>
      <c r="U26" s="4">
        <v>36</v>
      </c>
      <c r="V26" s="4">
        <v>263984389400</v>
      </c>
      <c r="W26" s="4">
        <f t="shared" si="4"/>
        <v>1380833063500</v>
      </c>
      <c r="X26" s="4">
        <v>821808017</v>
      </c>
      <c r="Y26" s="8">
        <v>0.35310000000000002</v>
      </c>
      <c r="Z26" s="16">
        <v>73.900000000000006</v>
      </c>
      <c r="AA26" s="18">
        <f t="shared" si="5"/>
        <v>55.397857142857148</v>
      </c>
    </row>
    <row r="27" spans="1:27" x14ac:dyDescent="0.2">
      <c r="A27" s="7" t="s">
        <v>413</v>
      </c>
      <c r="B27" s="8">
        <v>4.0000000000000002E-4</v>
      </c>
      <c r="C27" s="5">
        <f t="shared" si="0"/>
        <v>0.13160000000000008</v>
      </c>
      <c r="D27" s="4">
        <v>243</v>
      </c>
      <c r="E27" s="4">
        <v>48</v>
      </c>
      <c r="F27" s="19">
        <v>214</v>
      </c>
      <c r="G27" s="8">
        <v>-2.9999999999999997E-4</v>
      </c>
      <c r="H27" s="37">
        <f t="shared" si="1"/>
        <v>0.15730000000000005</v>
      </c>
      <c r="I27" s="4">
        <v>12</v>
      </c>
      <c r="J27" s="4">
        <v>1</v>
      </c>
      <c r="K27" s="19">
        <v>17</v>
      </c>
      <c r="L27" s="20">
        <v>48</v>
      </c>
      <c r="M27" s="36">
        <v>86</v>
      </c>
      <c r="N27">
        <v>67</v>
      </c>
      <c r="O27">
        <v>116</v>
      </c>
      <c r="P27" s="4">
        <v>-2171043222376</v>
      </c>
      <c r="Q27" s="3">
        <f t="shared" si="2"/>
        <v>-44703621339434</v>
      </c>
      <c r="R27" s="3">
        <v>-1861511242376</v>
      </c>
      <c r="S27" s="3">
        <f t="shared" si="3"/>
        <v>-26306740029109</v>
      </c>
      <c r="T27" s="4">
        <v>10</v>
      </c>
      <c r="U27" s="4">
        <v>39</v>
      </c>
      <c r="V27" s="4">
        <v>562346273900</v>
      </c>
      <c r="W27" s="4">
        <f t="shared" si="4"/>
        <v>1116848674100</v>
      </c>
      <c r="X27" s="4">
        <v>766898184</v>
      </c>
      <c r="Y27" s="8">
        <v>0.33770000000000006</v>
      </c>
      <c r="Z27" s="16">
        <v>65.13</v>
      </c>
      <c r="AA27" s="18">
        <f t="shared" si="5"/>
        <v>55.079285714285717</v>
      </c>
    </row>
    <row r="28" spans="1:27" x14ac:dyDescent="0.2">
      <c r="A28" s="7" t="s">
        <v>367</v>
      </c>
      <c r="B28" s="8">
        <v>2.5000000000000001E-3</v>
      </c>
      <c r="C28" s="5">
        <f t="shared" si="0"/>
        <v>0.13120000000000007</v>
      </c>
      <c r="D28" s="4">
        <v>182</v>
      </c>
      <c r="E28" s="4">
        <v>76</v>
      </c>
      <c r="F28" s="19">
        <v>231</v>
      </c>
      <c r="G28" s="8">
        <v>4.1999999999999997E-3</v>
      </c>
      <c r="H28" s="37">
        <f t="shared" si="1"/>
        <v>0.15760000000000005</v>
      </c>
      <c r="I28" s="4">
        <v>15</v>
      </c>
      <c r="J28" s="4">
        <v>7</v>
      </c>
      <c r="K28" s="19">
        <v>8</v>
      </c>
      <c r="L28" s="20">
        <v>38</v>
      </c>
      <c r="M28" s="36">
        <v>86</v>
      </c>
      <c r="N28">
        <v>91</v>
      </c>
      <c r="O28">
        <v>68</v>
      </c>
      <c r="P28" s="4">
        <v>-283056860147</v>
      </c>
      <c r="Q28" s="3">
        <f t="shared" si="2"/>
        <v>-42532578117058</v>
      </c>
      <c r="R28" s="3">
        <v>-44774700147</v>
      </c>
      <c r="S28" s="3">
        <f t="shared" si="3"/>
        <v>-24445228786733</v>
      </c>
      <c r="T28" s="4">
        <v>27</v>
      </c>
      <c r="U28" s="4">
        <v>71</v>
      </c>
      <c r="V28" s="4">
        <v>-42189385000</v>
      </c>
      <c r="W28" s="4">
        <f t="shared" si="4"/>
        <v>554502400200</v>
      </c>
      <c r="X28" s="4">
        <v>616503474</v>
      </c>
      <c r="Y28" s="8">
        <v>0.30930000000000002</v>
      </c>
      <c r="Z28" s="16">
        <v>65</v>
      </c>
      <c r="AA28" s="18">
        <f t="shared" si="5"/>
        <v>54.253571428571426</v>
      </c>
    </row>
    <row r="29" spans="1:27" x14ac:dyDescent="0.2">
      <c r="A29" s="7" t="s">
        <v>365</v>
      </c>
      <c r="B29" s="8">
        <v>2.3999999999999998E-3</v>
      </c>
      <c r="C29" s="5">
        <f t="shared" si="0"/>
        <v>0.12870000000000006</v>
      </c>
      <c r="D29" s="4">
        <v>179</v>
      </c>
      <c r="E29" s="4">
        <v>91</v>
      </c>
      <c r="F29" s="19">
        <v>207</v>
      </c>
      <c r="G29" s="8">
        <v>3.9000000000000003E-3</v>
      </c>
      <c r="H29" s="37">
        <f t="shared" si="1"/>
        <v>0.15340000000000004</v>
      </c>
      <c r="I29" s="4">
        <v>11</v>
      </c>
      <c r="J29" s="4">
        <v>4</v>
      </c>
      <c r="K29" s="19">
        <v>15</v>
      </c>
      <c r="L29" s="20">
        <v>37</v>
      </c>
      <c r="M29" s="36">
        <v>97</v>
      </c>
      <c r="N29">
        <v>63</v>
      </c>
      <c r="O29">
        <v>92</v>
      </c>
      <c r="P29" s="4">
        <v>-515262472974</v>
      </c>
      <c r="Q29" s="3">
        <f t="shared" si="2"/>
        <v>-42249521256911</v>
      </c>
      <c r="R29" s="3">
        <v>-270053852974</v>
      </c>
      <c r="S29" s="3">
        <f t="shared" si="3"/>
        <v>-24400454086586</v>
      </c>
      <c r="T29" s="4">
        <v>26</v>
      </c>
      <c r="U29" s="4">
        <v>22</v>
      </c>
      <c r="V29" s="4">
        <v>-11270674200</v>
      </c>
      <c r="W29" s="4">
        <f t="shared" si="4"/>
        <v>596691785200</v>
      </c>
      <c r="X29" s="4">
        <v>523462432</v>
      </c>
      <c r="Y29" s="8">
        <v>0.3478</v>
      </c>
      <c r="Z29" s="16">
        <v>56.98</v>
      </c>
      <c r="AA29" s="18">
        <f t="shared" si="5"/>
        <v>54.473571428571418</v>
      </c>
    </row>
    <row r="30" spans="1:27" x14ac:dyDescent="0.2">
      <c r="A30" s="7" t="s">
        <v>364</v>
      </c>
      <c r="B30" s="8">
        <v>5.6000000000000008E-3</v>
      </c>
      <c r="C30" s="5">
        <f t="shared" si="0"/>
        <v>0.12630000000000005</v>
      </c>
      <c r="D30" s="4">
        <v>242</v>
      </c>
      <c r="E30" s="4">
        <v>80</v>
      </c>
      <c r="F30" s="19">
        <v>161</v>
      </c>
      <c r="G30" s="8">
        <v>7.3000000000000001E-3</v>
      </c>
      <c r="H30" s="37">
        <f t="shared" si="1"/>
        <v>0.14950000000000005</v>
      </c>
      <c r="I30" s="4">
        <v>20</v>
      </c>
      <c r="J30" s="4">
        <v>4</v>
      </c>
      <c r="K30" s="19">
        <v>6</v>
      </c>
      <c r="L30" s="20">
        <v>57</v>
      </c>
      <c r="M30" s="36">
        <v>72</v>
      </c>
      <c r="N30">
        <v>61</v>
      </c>
      <c r="O30">
        <v>94</v>
      </c>
      <c r="P30" s="4">
        <v>-534321316057</v>
      </c>
      <c r="Q30" s="3">
        <f t="shared" si="2"/>
        <v>-41734258783937</v>
      </c>
      <c r="R30" s="3">
        <v>-14915706057</v>
      </c>
      <c r="S30" s="3">
        <f t="shared" si="3"/>
        <v>-24130400233612</v>
      </c>
      <c r="T30" s="4">
        <v>31</v>
      </c>
      <c r="U30" s="4">
        <v>65</v>
      </c>
      <c r="V30" s="4">
        <v>-287141798700</v>
      </c>
      <c r="W30" s="4">
        <f t="shared" si="4"/>
        <v>607962459400</v>
      </c>
      <c r="X30" s="4">
        <v>589504712</v>
      </c>
      <c r="Y30" s="8">
        <v>0.40100000000000002</v>
      </c>
      <c r="Z30" s="16">
        <v>48.67</v>
      </c>
      <c r="AA30" s="18">
        <f t="shared" si="5"/>
        <v>55.452142857142846</v>
      </c>
    </row>
    <row r="31" spans="1:27" x14ac:dyDescent="0.2">
      <c r="A31" s="7" t="s">
        <v>363</v>
      </c>
      <c r="B31" s="8">
        <v>1.21E-2</v>
      </c>
      <c r="C31" s="5">
        <f t="shared" si="0"/>
        <v>0.12070000000000006</v>
      </c>
      <c r="D31" s="4">
        <v>296</v>
      </c>
      <c r="E31" s="4">
        <v>77</v>
      </c>
      <c r="F31" s="19">
        <v>109</v>
      </c>
      <c r="G31" s="8">
        <v>8.199999999999999E-3</v>
      </c>
      <c r="H31" s="37">
        <f t="shared" si="1"/>
        <v>0.14220000000000005</v>
      </c>
      <c r="I31" s="4">
        <v>26</v>
      </c>
      <c r="J31" s="4">
        <v>0</v>
      </c>
      <c r="K31" s="19">
        <v>4</v>
      </c>
      <c r="L31" s="20">
        <v>62</v>
      </c>
      <c r="M31" s="36">
        <v>59</v>
      </c>
      <c r="N31">
        <v>57</v>
      </c>
      <c r="O31">
        <v>102</v>
      </c>
      <c r="P31" s="4">
        <v>-174754917823</v>
      </c>
      <c r="Q31" s="3">
        <f t="shared" si="2"/>
        <v>-41199937467880</v>
      </c>
      <c r="R31" s="3">
        <v>-65667137823</v>
      </c>
      <c r="S31" s="3">
        <f t="shared" si="3"/>
        <v>-24115484527555</v>
      </c>
      <c r="T31" s="4">
        <v>9</v>
      </c>
      <c r="U31" s="4">
        <v>84</v>
      </c>
      <c r="V31" s="4">
        <v>-767164715000</v>
      </c>
      <c r="W31" s="4">
        <f t="shared" si="4"/>
        <v>895104258100</v>
      </c>
      <c r="X31" s="4">
        <v>528470005</v>
      </c>
      <c r="Y31" s="8">
        <v>0.38420000000000004</v>
      </c>
      <c r="Z31" s="16">
        <v>50.47</v>
      </c>
      <c r="AA31" s="18">
        <f t="shared" si="5"/>
        <v>55.625</v>
      </c>
    </row>
    <row r="32" spans="1:27" x14ac:dyDescent="0.2">
      <c r="A32" s="7" t="s">
        <v>362</v>
      </c>
      <c r="B32" s="8">
        <v>7.4000000000000003E-3</v>
      </c>
      <c r="C32" s="5">
        <f t="shared" si="0"/>
        <v>0.10860000000000006</v>
      </c>
      <c r="D32" s="4">
        <v>276</v>
      </c>
      <c r="E32" s="4">
        <v>62</v>
      </c>
      <c r="F32" s="19">
        <v>141</v>
      </c>
      <c r="G32" s="8">
        <v>5.6000000000000008E-3</v>
      </c>
      <c r="H32" s="37">
        <f t="shared" si="1"/>
        <v>0.13400000000000006</v>
      </c>
      <c r="I32" s="4">
        <v>22</v>
      </c>
      <c r="J32" s="4">
        <v>1</v>
      </c>
      <c r="K32" s="19">
        <v>7</v>
      </c>
      <c r="L32" s="20">
        <v>63</v>
      </c>
      <c r="M32" s="36">
        <v>63</v>
      </c>
      <c r="N32">
        <v>82</v>
      </c>
      <c r="O32">
        <v>76</v>
      </c>
      <c r="P32" s="4">
        <v>-556378626722</v>
      </c>
      <c r="Q32" s="3">
        <f t="shared" si="2"/>
        <v>-41025182550057</v>
      </c>
      <c r="R32" s="3">
        <v>-459877636722</v>
      </c>
      <c r="S32" s="3">
        <f t="shared" si="3"/>
        <v>-24049817389732</v>
      </c>
      <c r="T32" s="4">
        <v>46</v>
      </c>
      <c r="U32" s="4">
        <v>40</v>
      </c>
      <c r="V32" s="4">
        <v>-127555735400</v>
      </c>
      <c r="W32" s="4">
        <f t="shared" si="4"/>
        <v>1662268973100</v>
      </c>
      <c r="X32" s="4">
        <v>487191100</v>
      </c>
      <c r="Y32" s="8">
        <v>0.38350000000000001</v>
      </c>
      <c r="Z32" s="16">
        <v>52.01</v>
      </c>
      <c r="AA32" s="18">
        <f t="shared" si="5"/>
        <v>55.703571428571429</v>
      </c>
    </row>
    <row r="33" spans="1:27" x14ac:dyDescent="0.2">
      <c r="A33" s="7" t="s">
        <v>358</v>
      </c>
      <c r="B33" s="8">
        <v>-1.0700000000000001E-2</v>
      </c>
      <c r="C33" s="5">
        <f t="shared" si="0"/>
        <v>0.10120000000000005</v>
      </c>
      <c r="D33" s="4">
        <v>79</v>
      </c>
      <c r="E33" s="4">
        <v>61</v>
      </c>
      <c r="F33" s="19">
        <v>355</v>
      </c>
      <c r="G33" s="8">
        <v>-8.3000000000000001E-3</v>
      </c>
      <c r="H33" s="37">
        <f t="shared" si="1"/>
        <v>0.12840000000000007</v>
      </c>
      <c r="I33" s="4">
        <v>9</v>
      </c>
      <c r="J33" s="4">
        <v>3</v>
      </c>
      <c r="K33" s="19">
        <v>18</v>
      </c>
      <c r="L33" s="20">
        <v>9</v>
      </c>
      <c r="M33" s="36">
        <v>134</v>
      </c>
      <c r="N33">
        <v>66</v>
      </c>
      <c r="O33">
        <v>92</v>
      </c>
      <c r="P33" s="4">
        <v>-873986247922</v>
      </c>
      <c r="Q33" s="3">
        <f t="shared" si="2"/>
        <v>-40468803923335</v>
      </c>
      <c r="R33" s="3">
        <v>-781119277922</v>
      </c>
      <c r="S33" s="3">
        <f t="shared" si="3"/>
        <v>-23589939753010</v>
      </c>
      <c r="T33" s="4">
        <v>46</v>
      </c>
      <c r="U33" s="4">
        <v>32</v>
      </c>
      <c r="V33" s="4">
        <v>408640926800</v>
      </c>
      <c r="W33" s="4">
        <f t="shared" si="4"/>
        <v>1789824708500</v>
      </c>
      <c r="X33" s="4">
        <v>840428178</v>
      </c>
      <c r="Y33" s="8">
        <v>0.33380000000000004</v>
      </c>
      <c r="Z33" s="16">
        <v>45.81</v>
      </c>
      <c r="AA33" s="18">
        <f t="shared" si="5"/>
        <v>56.186428571428578</v>
      </c>
    </row>
    <row r="34" spans="1:27" x14ac:dyDescent="0.2">
      <c r="A34" s="7" t="s">
        <v>354</v>
      </c>
      <c r="B34" s="8">
        <v>-1.7000000000000001E-3</v>
      </c>
      <c r="C34" s="5">
        <f t="shared" si="0"/>
        <v>0.11190000000000005</v>
      </c>
      <c r="D34" s="4">
        <v>175</v>
      </c>
      <c r="E34" s="4">
        <v>93</v>
      </c>
      <c r="F34" s="19">
        <v>214</v>
      </c>
      <c r="G34" s="8">
        <v>-1.8E-3</v>
      </c>
      <c r="H34" s="37">
        <f t="shared" si="1"/>
        <v>0.13670000000000007</v>
      </c>
      <c r="I34" s="4">
        <v>10</v>
      </c>
      <c r="J34" s="4">
        <v>5</v>
      </c>
      <c r="K34" s="19">
        <v>15</v>
      </c>
      <c r="L34" s="20">
        <v>40</v>
      </c>
      <c r="M34" s="36">
        <v>87</v>
      </c>
      <c r="N34">
        <v>72</v>
      </c>
      <c r="O34">
        <v>87</v>
      </c>
      <c r="P34" s="4">
        <v>-273416916018</v>
      </c>
      <c r="Q34" s="3">
        <f t="shared" si="2"/>
        <v>-39594817675413</v>
      </c>
      <c r="R34" s="3">
        <v>-209201656018</v>
      </c>
      <c r="S34" s="3">
        <f t="shared" si="3"/>
        <v>-22808820475088</v>
      </c>
      <c r="T34" s="4">
        <v>35</v>
      </c>
      <c r="U34" s="4">
        <v>46</v>
      </c>
      <c r="V34" s="4">
        <v>-749818713600</v>
      </c>
      <c r="W34" s="4">
        <f t="shared" si="4"/>
        <v>1381183781700</v>
      </c>
      <c r="X34" s="4">
        <v>596988499</v>
      </c>
      <c r="Y34" s="8">
        <v>0.3422</v>
      </c>
      <c r="Z34" s="16">
        <v>52.63</v>
      </c>
      <c r="AA34" s="18">
        <f t="shared" si="5"/>
        <v>55.685000000000002</v>
      </c>
    </row>
    <row r="35" spans="1:27" x14ac:dyDescent="0.2">
      <c r="A35" s="7" t="s">
        <v>353</v>
      </c>
      <c r="B35" s="8">
        <v>3.7000000000000002E-3</v>
      </c>
      <c r="C35" s="5">
        <f t="shared" si="0"/>
        <v>0.11360000000000005</v>
      </c>
      <c r="D35" s="4">
        <v>190</v>
      </c>
      <c r="E35" s="4">
        <v>76</v>
      </c>
      <c r="F35" s="19">
        <v>216</v>
      </c>
      <c r="G35" s="8">
        <v>1.9E-3</v>
      </c>
      <c r="H35" s="37">
        <f t="shared" si="1"/>
        <v>0.13850000000000007</v>
      </c>
      <c r="I35" s="4">
        <v>12</v>
      </c>
      <c r="J35" s="4">
        <v>6</v>
      </c>
      <c r="K35" s="19">
        <v>12</v>
      </c>
      <c r="L35" s="20">
        <v>28</v>
      </c>
      <c r="M35" s="36">
        <v>89</v>
      </c>
      <c r="N35">
        <v>72</v>
      </c>
      <c r="O35">
        <v>86</v>
      </c>
      <c r="P35" s="4">
        <v>-380867819227</v>
      </c>
      <c r="Q35" s="3">
        <f t="shared" si="2"/>
        <v>-39321400759395</v>
      </c>
      <c r="R35" s="3">
        <v>-287492999227</v>
      </c>
      <c r="S35" s="3">
        <f t="shared" si="3"/>
        <v>-22599618819070</v>
      </c>
      <c r="T35" s="4">
        <v>17</v>
      </c>
      <c r="U35" s="4">
        <v>29</v>
      </c>
      <c r="V35" s="4">
        <v>-463094806400</v>
      </c>
      <c r="W35" s="4">
        <f t="shared" si="4"/>
        <v>2131002495300</v>
      </c>
      <c r="X35" s="4">
        <v>878371266</v>
      </c>
      <c r="Y35" s="8">
        <v>0.41070000000000001</v>
      </c>
      <c r="Z35" s="16">
        <v>53.28</v>
      </c>
      <c r="AA35" s="18">
        <f t="shared" si="5"/>
        <v>55.25</v>
      </c>
    </row>
    <row r="36" spans="1:27" x14ac:dyDescent="0.2">
      <c r="A36" s="7" t="s">
        <v>352</v>
      </c>
      <c r="B36" s="8">
        <v>1.9E-3</v>
      </c>
      <c r="C36" s="5">
        <f t="shared" si="0"/>
        <v>0.10990000000000005</v>
      </c>
      <c r="D36" s="4">
        <v>238</v>
      </c>
      <c r="E36" s="4">
        <v>81</v>
      </c>
      <c r="F36" s="19">
        <v>161</v>
      </c>
      <c r="G36" s="8">
        <v>-8.0000000000000004E-4</v>
      </c>
      <c r="H36" s="37">
        <f t="shared" si="1"/>
        <v>0.13660000000000005</v>
      </c>
      <c r="I36" s="4">
        <v>14</v>
      </c>
      <c r="J36" s="4">
        <v>7</v>
      </c>
      <c r="K36" s="19">
        <v>9</v>
      </c>
      <c r="L36" s="20">
        <v>33</v>
      </c>
      <c r="M36" s="36">
        <v>86</v>
      </c>
      <c r="N36">
        <v>96</v>
      </c>
      <c r="O36">
        <v>68</v>
      </c>
      <c r="P36" s="4">
        <v>-139689858393</v>
      </c>
      <c r="Q36" s="3">
        <f t="shared" si="2"/>
        <v>-38940532940168</v>
      </c>
      <c r="R36" s="3">
        <v>-62800828393</v>
      </c>
      <c r="S36" s="3">
        <f t="shared" si="3"/>
        <v>-22312125819843</v>
      </c>
      <c r="T36" s="4">
        <v>34</v>
      </c>
      <c r="U36" s="4">
        <v>11</v>
      </c>
      <c r="V36" s="4">
        <v>154719732400</v>
      </c>
      <c r="W36" s="4">
        <f t="shared" si="4"/>
        <v>2594097301700</v>
      </c>
      <c r="X36" s="4">
        <v>835303407</v>
      </c>
      <c r="Y36" s="8">
        <v>0.3044</v>
      </c>
      <c r="Z36" s="16">
        <v>46.95</v>
      </c>
      <c r="AA36" s="18">
        <f t="shared" si="5"/>
        <v>55.749285714285733</v>
      </c>
    </row>
    <row r="37" spans="1:27" x14ac:dyDescent="0.2">
      <c r="A37" s="11" t="s">
        <v>347</v>
      </c>
      <c r="B37" s="8">
        <v>-2.18E-2</v>
      </c>
      <c r="C37" s="5">
        <f t="shared" si="0"/>
        <v>0.10800000000000005</v>
      </c>
      <c r="D37" s="4">
        <v>74</v>
      </c>
      <c r="E37" s="4">
        <v>50</v>
      </c>
      <c r="F37" s="19">
        <v>378</v>
      </c>
      <c r="G37" s="8">
        <v>-2.2799999999999997E-2</v>
      </c>
      <c r="H37" s="37">
        <f t="shared" si="1"/>
        <v>0.13740000000000005</v>
      </c>
      <c r="I37" s="4">
        <v>1</v>
      </c>
      <c r="J37" s="4">
        <v>1</v>
      </c>
      <c r="K37" s="19">
        <v>28</v>
      </c>
      <c r="L37" s="20">
        <v>1</v>
      </c>
      <c r="M37" s="36">
        <v>136</v>
      </c>
      <c r="N37">
        <v>62</v>
      </c>
      <c r="O37">
        <v>102</v>
      </c>
      <c r="P37" s="4">
        <v>-946853949943</v>
      </c>
      <c r="Q37" s="3">
        <f t="shared" si="2"/>
        <v>-38800843081775</v>
      </c>
      <c r="R37" s="3">
        <v>-853795899943</v>
      </c>
      <c r="S37" s="3">
        <f t="shared" si="3"/>
        <v>-22249324991450</v>
      </c>
      <c r="T37" s="4">
        <v>42</v>
      </c>
      <c r="U37" s="4">
        <v>7</v>
      </c>
      <c r="V37" s="4">
        <v>385156935000</v>
      </c>
      <c r="W37" s="4">
        <f t="shared" si="4"/>
        <v>2439377569300</v>
      </c>
      <c r="X37" s="4">
        <v>1247101984</v>
      </c>
      <c r="Y37" s="8">
        <v>0.33710000000000001</v>
      </c>
      <c r="Z37" s="16">
        <v>53.01</v>
      </c>
      <c r="AA37" s="18">
        <f t="shared" si="5"/>
        <v>55.812142857142859</v>
      </c>
    </row>
    <row r="38" spans="1:27" x14ac:dyDescent="0.2">
      <c r="A38" s="11" t="s">
        <v>346</v>
      </c>
      <c r="B38" s="8">
        <v>-2.0000000000000001E-4</v>
      </c>
      <c r="C38" s="5">
        <f t="shared" si="0"/>
        <v>0.12980000000000005</v>
      </c>
      <c r="D38" s="4">
        <v>185</v>
      </c>
      <c r="E38" s="4">
        <v>78</v>
      </c>
      <c r="F38" s="19">
        <v>234</v>
      </c>
      <c r="G38" s="8">
        <v>-1.8E-3</v>
      </c>
      <c r="H38" s="37">
        <f t="shared" si="1"/>
        <v>0.16020000000000004</v>
      </c>
      <c r="I38" s="4">
        <v>7</v>
      </c>
      <c r="J38" s="4">
        <v>5</v>
      </c>
      <c r="K38" s="19">
        <v>18</v>
      </c>
      <c r="L38" s="20">
        <v>23</v>
      </c>
      <c r="M38" s="36">
        <v>87</v>
      </c>
      <c r="N38">
        <v>61</v>
      </c>
      <c r="O38">
        <v>103</v>
      </c>
      <c r="P38" s="4">
        <v>-908732956254</v>
      </c>
      <c r="Q38" s="3">
        <f t="shared" si="2"/>
        <v>-37853989131832</v>
      </c>
      <c r="R38" s="3">
        <v>-817450946254</v>
      </c>
      <c r="S38" s="3">
        <f t="shared" si="3"/>
        <v>-21395529091507</v>
      </c>
      <c r="T38" s="4">
        <v>11</v>
      </c>
      <c r="U38" s="4">
        <v>24</v>
      </c>
      <c r="V38" s="4">
        <v>-539793060700</v>
      </c>
      <c r="W38" s="4">
        <f t="shared" si="4"/>
        <v>2054220634300</v>
      </c>
      <c r="X38" s="4">
        <v>834751762</v>
      </c>
      <c r="Y38" s="8">
        <v>0.32250000000000001</v>
      </c>
      <c r="Z38" s="16">
        <v>61.6</v>
      </c>
      <c r="AA38" s="18">
        <f t="shared" si="5"/>
        <v>55.24785714285715</v>
      </c>
    </row>
    <row r="39" spans="1:27" x14ac:dyDescent="0.2">
      <c r="A39" s="11" t="s">
        <v>345</v>
      </c>
      <c r="B39" s="8">
        <v>2E-3</v>
      </c>
      <c r="C39" s="5">
        <f t="shared" si="0"/>
        <v>0.13000000000000006</v>
      </c>
      <c r="D39" s="4">
        <v>189</v>
      </c>
      <c r="E39" s="4">
        <v>72</v>
      </c>
      <c r="F39" s="19">
        <v>242</v>
      </c>
      <c r="G39" s="8">
        <v>6.1999999999999998E-3</v>
      </c>
      <c r="H39" s="37">
        <f t="shared" si="1"/>
        <v>0.16200000000000003</v>
      </c>
      <c r="I39" s="4">
        <v>12</v>
      </c>
      <c r="J39" s="4">
        <v>4</v>
      </c>
      <c r="K39" s="19">
        <v>14</v>
      </c>
      <c r="L39" s="20">
        <v>26</v>
      </c>
      <c r="M39" s="36">
        <v>91</v>
      </c>
      <c r="N39">
        <v>59</v>
      </c>
      <c r="O39">
        <v>99</v>
      </c>
      <c r="P39" s="4">
        <v>-859964332133</v>
      </c>
      <c r="Q39" s="3">
        <f t="shared" si="2"/>
        <v>-36945256175578</v>
      </c>
      <c r="R39" s="3">
        <v>-631697332133</v>
      </c>
      <c r="S39" s="3">
        <f t="shared" si="3"/>
        <v>-20578078145253</v>
      </c>
      <c r="T39" s="4">
        <v>33</v>
      </c>
      <c r="U39" s="4">
        <v>12</v>
      </c>
      <c r="V39" s="4">
        <v>498396180200</v>
      </c>
      <c r="W39" s="4">
        <f t="shared" si="4"/>
        <v>2594013695000</v>
      </c>
      <c r="X39" s="4">
        <v>932545131</v>
      </c>
      <c r="Y39" s="8">
        <v>0.37909999999999999</v>
      </c>
      <c r="Z39" s="16">
        <v>62.37</v>
      </c>
      <c r="AA39" s="18">
        <f t="shared" si="5"/>
        <v>54.50714285714286</v>
      </c>
    </row>
    <row r="40" spans="1:27" x14ac:dyDescent="0.2">
      <c r="A40" s="11" t="s">
        <v>344</v>
      </c>
      <c r="B40" s="8">
        <v>2.0000000000000001E-4</v>
      </c>
      <c r="C40" s="5">
        <f t="shared" si="0"/>
        <v>0.12800000000000006</v>
      </c>
      <c r="D40" s="4">
        <v>184</v>
      </c>
      <c r="E40" s="4">
        <v>71</v>
      </c>
      <c r="F40" s="19">
        <v>246</v>
      </c>
      <c r="G40" s="8">
        <v>3.3E-3</v>
      </c>
      <c r="H40" s="37">
        <f t="shared" si="1"/>
        <v>0.15580000000000002</v>
      </c>
      <c r="I40" s="4">
        <v>14</v>
      </c>
      <c r="J40" s="4">
        <v>2</v>
      </c>
      <c r="K40" s="19">
        <v>14</v>
      </c>
      <c r="L40" s="20">
        <v>20</v>
      </c>
      <c r="M40" s="36">
        <v>91</v>
      </c>
      <c r="N40">
        <v>57</v>
      </c>
      <c r="O40">
        <v>103</v>
      </c>
      <c r="P40" s="4">
        <v>-1341279266321</v>
      </c>
      <c r="Q40" s="3">
        <f t="shared" si="2"/>
        <v>-36085291843445</v>
      </c>
      <c r="R40" s="3">
        <v>-1119976676321</v>
      </c>
      <c r="S40" s="3">
        <f t="shared" si="3"/>
        <v>-19946380813120</v>
      </c>
      <c r="T40" s="4">
        <v>15</v>
      </c>
      <c r="U40" s="4">
        <v>32</v>
      </c>
      <c r="V40" s="4">
        <v>-156358667800</v>
      </c>
      <c r="W40" s="4">
        <f t="shared" si="4"/>
        <v>2095617514800</v>
      </c>
      <c r="X40" s="4">
        <v>1004875853</v>
      </c>
      <c r="Y40" s="8">
        <v>0.33779999999999999</v>
      </c>
      <c r="Z40" s="16">
        <v>61.66</v>
      </c>
      <c r="AA40" s="18">
        <f t="shared" si="5"/>
        <v>53.452857142857148</v>
      </c>
    </row>
    <row r="41" spans="1:27" x14ac:dyDescent="0.2">
      <c r="A41" s="11" t="s">
        <v>343</v>
      </c>
      <c r="B41" s="8">
        <v>3.7000000000000002E-3</v>
      </c>
      <c r="C41" s="5">
        <f t="shared" si="0"/>
        <v>0.12780000000000005</v>
      </c>
      <c r="D41" s="4">
        <v>269</v>
      </c>
      <c r="E41" s="4">
        <v>72</v>
      </c>
      <c r="F41" s="19">
        <v>151</v>
      </c>
      <c r="G41" s="8">
        <v>1E-4</v>
      </c>
      <c r="H41" s="37">
        <f t="shared" si="1"/>
        <v>0.15250000000000002</v>
      </c>
      <c r="I41" s="4">
        <v>14</v>
      </c>
      <c r="J41" s="4">
        <v>8</v>
      </c>
      <c r="K41" s="19">
        <v>8</v>
      </c>
      <c r="L41" s="20">
        <v>36</v>
      </c>
      <c r="M41" s="36">
        <v>74</v>
      </c>
      <c r="N41">
        <v>78</v>
      </c>
      <c r="O41">
        <v>82</v>
      </c>
      <c r="P41" s="4">
        <v>-551492559059</v>
      </c>
      <c r="Q41" s="3">
        <f t="shared" si="2"/>
        <v>-34744012577124</v>
      </c>
      <c r="R41" s="3">
        <v>-451037189059</v>
      </c>
      <c r="S41" s="3">
        <f t="shared" si="3"/>
        <v>-18826404136799</v>
      </c>
      <c r="T41" s="4">
        <v>39</v>
      </c>
      <c r="U41" s="4">
        <v>8</v>
      </c>
      <c r="V41" s="4">
        <v>117094580000</v>
      </c>
      <c r="W41" s="4">
        <f t="shared" si="4"/>
        <v>2251976182600</v>
      </c>
      <c r="X41" s="4">
        <v>805289430</v>
      </c>
      <c r="Y41" s="8">
        <v>0.36570000000000003</v>
      </c>
      <c r="Z41" s="16">
        <v>60.67</v>
      </c>
      <c r="AA41" s="18">
        <f t="shared" si="5"/>
        <v>52.555000000000007</v>
      </c>
    </row>
    <row r="42" spans="1:27" x14ac:dyDescent="0.2">
      <c r="A42" s="11" t="s">
        <v>341</v>
      </c>
      <c r="B42" s="8">
        <v>-4.0000000000000001E-3</v>
      </c>
      <c r="C42" s="5">
        <f t="shared" si="0"/>
        <v>0.12410000000000004</v>
      </c>
      <c r="D42" s="4">
        <v>169</v>
      </c>
      <c r="E42" s="4">
        <v>60</v>
      </c>
      <c r="F42" s="19">
        <v>275</v>
      </c>
      <c r="G42" s="8">
        <v>-5.1000000000000004E-3</v>
      </c>
      <c r="H42" s="37">
        <f t="shared" si="1"/>
        <v>0.15240000000000004</v>
      </c>
      <c r="I42" s="4">
        <v>8</v>
      </c>
      <c r="J42" s="4">
        <v>2</v>
      </c>
      <c r="K42" s="19">
        <v>20</v>
      </c>
      <c r="L42" s="20">
        <v>17</v>
      </c>
      <c r="M42" s="36">
        <v>103</v>
      </c>
      <c r="N42">
        <v>72</v>
      </c>
      <c r="O42">
        <v>84</v>
      </c>
      <c r="P42" s="4">
        <v>-641845392508</v>
      </c>
      <c r="Q42" s="3">
        <f t="shared" si="2"/>
        <v>-34192520018065</v>
      </c>
      <c r="R42" s="3">
        <v>-438358712508</v>
      </c>
      <c r="S42" s="3">
        <f t="shared" si="3"/>
        <v>-18375366947740</v>
      </c>
      <c r="T42" s="4">
        <v>34</v>
      </c>
      <c r="U42" s="4">
        <v>12</v>
      </c>
      <c r="V42" s="4">
        <v>-25244863000</v>
      </c>
      <c r="W42" s="4">
        <f t="shared" si="4"/>
        <v>2134881602600</v>
      </c>
      <c r="X42" s="4">
        <v>900555134</v>
      </c>
      <c r="Y42" s="8">
        <v>0.33679999999999999</v>
      </c>
      <c r="Z42" s="16">
        <v>53.44</v>
      </c>
      <c r="AA42" s="18">
        <f t="shared" si="5"/>
        <v>52.71642857142858</v>
      </c>
    </row>
    <row r="43" spans="1:27" x14ac:dyDescent="0.2">
      <c r="A43" s="11" t="s">
        <v>340</v>
      </c>
      <c r="B43" s="8">
        <v>-1.66E-2</v>
      </c>
      <c r="C43" s="5">
        <f t="shared" si="0"/>
        <v>0.12810000000000005</v>
      </c>
      <c r="D43" s="4">
        <v>89</v>
      </c>
      <c r="E43" s="4">
        <v>52</v>
      </c>
      <c r="F43" s="19">
        <v>366</v>
      </c>
      <c r="G43" s="8">
        <v>-1.3000000000000001E-2</v>
      </c>
      <c r="H43" s="37">
        <f t="shared" si="1"/>
        <v>0.15750000000000003</v>
      </c>
      <c r="I43" s="4">
        <v>2</v>
      </c>
      <c r="J43" s="4">
        <v>0</v>
      </c>
      <c r="K43" s="19">
        <v>28</v>
      </c>
      <c r="L43" s="20">
        <v>15</v>
      </c>
      <c r="M43" s="36">
        <v>109</v>
      </c>
      <c r="N43">
        <v>83</v>
      </c>
      <c r="O43">
        <v>79</v>
      </c>
      <c r="P43" s="4">
        <v>-506865617150</v>
      </c>
      <c r="Q43" s="3">
        <f t="shared" si="2"/>
        <v>-33550674625557</v>
      </c>
      <c r="R43" s="3">
        <v>-241856477150</v>
      </c>
      <c r="S43" s="3">
        <f t="shared" si="3"/>
        <v>-17937008235232</v>
      </c>
      <c r="T43" s="4">
        <v>6</v>
      </c>
      <c r="U43" s="4">
        <v>1</v>
      </c>
      <c r="V43" s="4">
        <v>59101620000</v>
      </c>
      <c r="W43" s="4">
        <f t="shared" si="4"/>
        <v>2160126465600</v>
      </c>
      <c r="X43" s="4">
        <v>1110637093</v>
      </c>
      <c r="Y43" s="8">
        <v>0.3236</v>
      </c>
      <c r="Z43" s="16">
        <v>60.06</v>
      </c>
      <c r="AA43" s="18">
        <f t="shared" si="5"/>
        <v>51.883571428571429</v>
      </c>
    </row>
    <row r="44" spans="1:27" x14ac:dyDescent="0.2">
      <c r="A44" s="7" t="s">
        <v>338</v>
      </c>
      <c r="B44" s="8">
        <v>1E-3</v>
      </c>
      <c r="C44" s="5">
        <f t="shared" si="0"/>
        <v>0.14470000000000005</v>
      </c>
      <c r="D44" s="4">
        <v>246</v>
      </c>
      <c r="E44" s="4">
        <v>77</v>
      </c>
      <c r="F44" s="19">
        <v>187</v>
      </c>
      <c r="G44" s="8">
        <v>1.5E-3</v>
      </c>
      <c r="H44" s="37">
        <f t="shared" si="1"/>
        <v>0.17050000000000004</v>
      </c>
      <c r="I44" s="4">
        <v>14</v>
      </c>
      <c r="J44" s="4">
        <v>1</v>
      </c>
      <c r="K44" s="19">
        <v>15</v>
      </c>
      <c r="L44" s="20">
        <v>43</v>
      </c>
      <c r="M44" s="36">
        <v>73</v>
      </c>
      <c r="N44">
        <v>63</v>
      </c>
      <c r="O44">
        <v>97</v>
      </c>
      <c r="P44" s="4">
        <v>-1297211550404</v>
      </c>
      <c r="Q44" s="3">
        <f t="shared" si="2"/>
        <v>-33043809008407</v>
      </c>
      <c r="R44" s="3">
        <v>-988720860404</v>
      </c>
      <c r="S44" s="3">
        <f t="shared" si="3"/>
        <v>-17695151758082</v>
      </c>
      <c r="T44" s="4">
        <v>35</v>
      </c>
      <c r="U44" s="4">
        <v>8</v>
      </c>
      <c r="V44" s="4">
        <v>448671054000</v>
      </c>
      <c r="W44" s="4">
        <f t="shared" si="4"/>
        <v>2101024845600</v>
      </c>
      <c r="X44" s="4">
        <v>891331399</v>
      </c>
      <c r="Y44" s="8">
        <v>0.42059999999999997</v>
      </c>
      <c r="Z44" s="16">
        <v>62.37</v>
      </c>
      <c r="AA44" s="18">
        <f t="shared" si="5"/>
        <v>51.25714285714286</v>
      </c>
    </row>
    <row r="45" spans="1:27" x14ac:dyDescent="0.2">
      <c r="A45" s="11" t="s">
        <v>334</v>
      </c>
      <c r="B45" s="8">
        <v>1.23E-2</v>
      </c>
      <c r="C45" s="5">
        <f t="shared" si="0"/>
        <v>0.14370000000000005</v>
      </c>
      <c r="D45" s="4">
        <v>313</v>
      </c>
      <c r="E45" s="4">
        <v>64</v>
      </c>
      <c r="F45" s="19">
        <v>124</v>
      </c>
      <c r="G45" s="8">
        <v>1.8000000000000002E-2</v>
      </c>
      <c r="H45" s="37">
        <f t="shared" si="1"/>
        <v>0.16900000000000004</v>
      </c>
      <c r="I45" s="4">
        <v>26</v>
      </c>
      <c r="J45" s="4">
        <v>0</v>
      </c>
      <c r="K45" s="19">
        <v>4</v>
      </c>
      <c r="L45" s="20">
        <v>50</v>
      </c>
      <c r="M45" s="36">
        <v>52</v>
      </c>
      <c r="N45">
        <v>84</v>
      </c>
      <c r="O45">
        <v>71</v>
      </c>
      <c r="P45" s="4">
        <v>-516329099742</v>
      </c>
      <c r="Q45" s="3">
        <f t="shared" si="2"/>
        <v>-31746597458003</v>
      </c>
      <c r="R45" s="3">
        <v>-208621209742</v>
      </c>
      <c r="S45" s="3">
        <f t="shared" si="3"/>
        <v>-16706430897678</v>
      </c>
      <c r="T45" s="4">
        <v>29</v>
      </c>
      <c r="U45" s="4">
        <v>22</v>
      </c>
      <c r="V45" s="4">
        <v>-275395484000</v>
      </c>
      <c r="W45" s="4">
        <f t="shared" si="4"/>
        <v>1652353791600</v>
      </c>
      <c r="X45" s="4">
        <v>895254667</v>
      </c>
      <c r="Y45" s="8">
        <v>0.37780000000000002</v>
      </c>
      <c r="Z45" s="16">
        <v>52.89</v>
      </c>
      <c r="AA45" s="18">
        <f t="shared" si="5"/>
        <v>51.986428571428576</v>
      </c>
    </row>
    <row r="46" spans="1:27" x14ac:dyDescent="0.2">
      <c r="A46" s="7" t="s">
        <v>332</v>
      </c>
      <c r="B46" s="8">
        <v>-4.8999999999999998E-3</v>
      </c>
      <c r="C46" s="5">
        <f t="shared" si="0"/>
        <v>0.13140000000000004</v>
      </c>
      <c r="D46" s="4">
        <v>146</v>
      </c>
      <c r="E46" s="4">
        <v>63</v>
      </c>
      <c r="F46" s="19">
        <v>301</v>
      </c>
      <c r="G46" s="8">
        <v>-2.0999999999999999E-3</v>
      </c>
      <c r="H46" s="37">
        <f t="shared" si="1"/>
        <v>0.15100000000000005</v>
      </c>
      <c r="I46" s="4">
        <v>8</v>
      </c>
      <c r="J46" s="4">
        <v>1</v>
      </c>
      <c r="K46" s="19">
        <v>21</v>
      </c>
      <c r="L46" s="20">
        <v>14</v>
      </c>
      <c r="M46" s="36">
        <v>102</v>
      </c>
      <c r="N46">
        <v>52</v>
      </c>
      <c r="O46">
        <v>106</v>
      </c>
      <c r="P46" s="4">
        <v>-1644237074045</v>
      </c>
      <c r="Q46" s="3">
        <f t="shared" si="2"/>
        <v>-31230268358261</v>
      </c>
      <c r="R46" s="3">
        <v>-1297986124045</v>
      </c>
      <c r="S46" s="3">
        <f t="shared" si="3"/>
        <v>-16497809687936</v>
      </c>
      <c r="T46" s="4">
        <v>27</v>
      </c>
      <c r="U46" s="4">
        <v>12</v>
      </c>
      <c r="V46" s="4">
        <v>33764961000</v>
      </c>
      <c r="W46" s="4">
        <f t="shared" si="4"/>
        <v>1927749275600</v>
      </c>
      <c r="X46" s="4">
        <v>993342917</v>
      </c>
      <c r="Y46" s="8">
        <v>0.30130000000000001</v>
      </c>
      <c r="Z46" s="16">
        <v>53.11</v>
      </c>
      <c r="AA46" s="18">
        <f t="shared" si="5"/>
        <v>52.614285714285714</v>
      </c>
    </row>
    <row r="47" spans="1:27" x14ac:dyDescent="0.2">
      <c r="A47" s="7" t="s">
        <v>331</v>
      </c>
      <c r="B47" s="8">
        <v>2.3999999999999998E-3</v>
      </c>
      <c r="C47" s="5">
        <f t="shared" si="0"/>
        <v>0.13630000000000003</v>
      </c>
      <c r="D47" s="4">
        <v>243</v>
      </c>
      <c r="E47" s="4">
        <v>64</v>
      </c>
      <c r="F47" s="19">
        <v>193</v>
      </c>
      <c r="G47" s="8">
        <v>2.3E-3</v>
      </c>
      <c r="H47" s="37">
        <f t="shared" si="1"/>
        <v>0.15310000000000004</v>
      </c>
      <c r="I47" s="4">
        <v>11</v>
      </c>
      <c r="J47" s="4">
        <v>4</v>
      </c>
      <c r="K47" s="19">
        <v>15</v>
      </c>
      <c r="L47" s="20">
        <v>45</v>
      </c>
      <c r="M47" s="36">
        <v>71</v>
      </c>
      <c r="N47">
        <v>64</v>
      </c>
      <c r="O47">
        <v>91</v>
      </c>
      <c r="P47" s="4">
        <v>-1017766878513</v>
      </c>
      <c r="Q47" s="3">
        <f t="shared" si="2"/>
        <v>-29586031284216</v>
      </c>
      <c r="R47" s="3">
        <v>-924410698513</v>
      </c>
      <c r="S47" s="3">
        <f t="shared" si="3"/>
        <v>-15199823563891</v>
      </c>
      <c r="T47" s="4">
        <v>25</v>
      </c>
      <c r="U47" s="4">
        <v>20</v>
      </c>
      <c r="V47" s="4">
        <v>7797164000</v>
      </c>
      <c r="W47" s="4">
        <f t="shared" si="4"/>
        <v>1893984314600</v>
      </c>
      <c r="X47" s="4">
        <v>858651954</v>
      </c>
      <c r="Y47" s="8">
        <v>0.29649999999999999</v>
      </c>
      <c r="Z47" s="16">
        <v>52.57</v>
      </c>
      <c r="AA47" s="18">
        <f t="shared" si="5"/>
        <v>53.852142857142852</v>
      </c>
    </row>
    <row r="48" spans="1:27" x14ac:dyDescent="0.2">
      <c r="A48" s="7" t="s">
        <v>327</v>
      </c>
      <c r="B48" s="8">
        <v>3.0999999999999999E-3</v>
      </c>
      <c r="C48" s="5">
        <f t="shared" si="0"/>
        <v>0.13390000000000002</v>
      </c>
      <c r="D48" s="4">
        <v>235</v>
      </c>
      <c r="E48" s="4">
        <v>88</v>
      </c>
      <c r="F48" s="19">
        <v>178</v>
      </c>
      <c r="G48" s="8">
        <v>4.4000000000000003E-3</v>
      </c>
      <c r="H48" s="37">
        <f t="shared" si="1"/>
        <v>0.15080000000000005</v>
      </c>
      <c r="I48" s="4">
        <v>13</v>
      </c>
      <c r="J48" s="4">
        <v>5</v>
      </c>
      <c r="K48" s="19">
        <v>12</v>
      </c>
      <c r="L48" s="20">
        <v>28</v>
      </c>
      <c r="M48" s="36">
        <v>83</v>
      </c>
      <c r="N48">
        <v>58</v>
      </c>
      <c r="O48">
        <v>99</v>
      </c>
      <c r="P48" s="4">
        <v>-479637557159</v>
      </c>
      <c r="Q48" s="3">
        <f t="shared" si="2"/>
        <v>-28568264405703</v>
      </c>
      <c r="R48" s="3">
        <v>-398306427159</v>
      </c>
      <c r="S48" s="3">
        <f t="shared" si="3"/>
        <v>-14275412865378</v>
      </c>
      <c r="T48" s="4">
        <v>31</v>
      </c>
      <c r="U48" s="4">
        <v>16</v>
      </c>
      <c r="V48" s="4">
        <v>138487672500</v>
      </c>
      <c r="W48" s="4">
        <f t="shared" si="4"/>
        <v>1886187150600</v>
      </c>
      <c r="X48" s="4">
        <v>698283332</v>
      </c>
      <c r="Y48" s="8">
        <v>0.27350000000000002</v>
      </c>
      <c r="Z48" s="16">
        <v>45.61</v>
      </c>
      <c r="AA48" s="18">
        <f t="shared" si="5"/>
        <v>56.201428571428565</v>
      </c>
    </row>
    <row r="49" spans="1:27" x14ac:dyDescent="0.2">
      <c r="A49" s="7" t="s">
        <v>324</v>
      </c>
      <c r="B49" s="8">
        <v>-5.9999999999999995E-4</v>
      </c>
      <c r="C49" s="5">
        <f t="shared" si="0"/>
        <v>0.13080000000000003</v>
      </c>
      <c r="D49" s="4">
        <v>200</v>
      </c>
      <c r="E49" s="4">
        <v>80</v>
      </c>
      <c r="F49" s="19">
        <v>224</v>
      </c>
      <c r="G49" s="8">
        <v>2E-3</v>
      </c>
      <c r="H49" s="37">
        <f t="shared" si="1"/>
        <v>0.14640000000000006</v>
      </c>
      <c r="I49" s="4">
        <v>12</v>
      </c>
      <c r="J49" s="4">
        <v>8</v>
      </c>
      <c r="K49" s="19">
        <v>10</v>
      </c>
      <c r="L49" s="20">
        <v>14</v>
      </c>
      <c r="M49" s="36">
        <v>106</v>
      </c>
      <c r="N49">
        <v>64</v>
      </c>
      <c r="O49">
        <v>94</v>
      </c>
      <c r="P49" s="4">
        <v>-843540496215</v>
      </c>
      <c r="Q49" s="3">
        <f t="shared" si="2"/>
        <v>-28088626848544</v>
      </c>
      <c r="R49" s="3">
        <v>-730565939786</v>
      </c>
      <c r="S49" s="3">
        <f t="shared" si="3"/>
        <v>-13877106438219</v>
      </c>
      <c r="T49" s="4">
        <v>22</v>
      </c>
      <c r="U49" s="4">
        <v>27</v>
      </c>
      <c r="V49" s="4">
        <v>-201234044000</v>
      </c>
      <c r="W49" s="4">
        <f t="shared" si="4"/>
        <v>1747699478100</v>
      </c>
      <c r="X49" s="4">
        <v>893066672</v>
      </c>
      <c r="Y49" s="8">
        <v>0.3422</v>
      </c>
      <c r="Z49" s="16">
        <v>47.19</v>
      </c>
      <c r="AA49" s="18">
        <f t="shared" si="5"/>
        <v>58.359285714285711</v>
      </c>
    </row>
    <row r="50" spans="1:27" x14ac:dyDescent="0.2">
      <c r="A50" s="7" t="s">
        <v>323</v>
      </c>
      <c r="B50" s="8">
        <v>5.9999999999999995E-4</v>
      </c>
      <c r="C50" s="5">
        <f t="shared" si="0"/>
        <v>0.13140000000000002</v>
      </c>
      <c r="D50" s="4">
        <v>189</v>
      </c>
      <c r="E50" s="4">
        <v>81</v>
      </c>
      <c r="F50" s="19">
        <v>236</v>
      </c>
      <c r="G50" s="8">
        <v>-1E-3</v>
      </c>
      <c r="H50" s="37">
        <f t="shared" si="1"/>
        <v>0.14440000000000006</v>
      </c>
      <c r="I50" s="4">
        <v>13</v>
      </c>
      <c r="J50" s="4">
        <v>3</v>
      </c>
      <c r="K50" s="19">
        <v>14</v>
      </c>
      <c r="L50" s="20">
        <v>32</v>
      </c>
      <c r="M50" s="36">
        <v>87</v>
      </c>
      <c r="N50">
        <v>69</v>
      </c>
      <c r="O50">
        <v>90</v>
      </c>
      <c r="P50" s="4">
        <v>-2466513956</v>
      </c>
      <c r="Q50" s="3">
        <f t="shared" si="2"/>
        <v>-27245086352329</v>
      </c>
      <c r="R50" s="3">
        <v>103494916044</v>
      </c>
      <c r="S50" s="3">
        <f t="shared" si="3"/>
        <v>-13146540498433</v>
      </c>
      <c r="T50" s="4">
        <v>37</v>
      </c>
      <c r="U50" s="4">
        <v>13</v>
      </c>
      <c r="V50" s="4">
        <v>426648759000</v>
      </c>
      <c r="W50" s="4">
        <f t="shared" si="4"/>
        <v>1948933522100</v>
      </c>
      <c r="X50" s="4">
        <v>925054928</v>
      </c>
      <c r="Y50" s="8">
        <v>0.29449999999999998</v>
      </c>
      <c r="Z50" s="16">
        <v>53.94</v>
      </c>
      <c r="AA50" s="18">
        <f t="shared" si="5"/>
        <v>59.992142857142859</v>
      </c>
    </row>
    <row r="51" spans="1:27" x14ac:dyDescent="0.2">
      <c r="A51" s="7" t="s">
        <v>321</v>
      </c>
      <c r="B51" s="8">
        <v>2.5999999999999999E-3</v>
      </c>
      <c r="C51" s="5">
        <f t="shared" si="0"/>
        <v>0.13080000000000003</v>
      </c>
      <c r="D51" s="4">
        <v>202</v>
      </c>
      <c r="E51" s="4">
        <v>74</v>
      </c>
      <c r="F51" s="19">
        <v>224</v>
      </c>
      <c r="G51" s="8">
        <v>2.5000000000000001E-3</v>
      </c>
      <c r="H51" s="37">
        <f t="shared" si="1"/>
        <v>0.14540000000000006</v>
      </c>
      <c r="I51" s="4">
        <v>16</v>
      </c>
      <c r="J51" s="4">
        <v>3</v>
      </c>
      <c r="K51" s="19">
        <v>11</v>
      </c>
      <c r="L51" s="20">
        <v>31</v>
      </c>
      <c r="M51" s="36">
        <v>74</v>
      </c>
      <c r="N51">
        <v>63</v>
      </c>
      <c r="O51">
        <v>90</v>
      </c>
      <c r="P51" s="4">
        <v>-10071639121</v>
      </c>
      <c r="Q51" s="3">
        <f t="shared" si="2"/>
        <v>-27242619838373</v>
      </c>
      <c r="R51" s="3">
        <v>104272070879</v>
      </c>
      <c r="S51" s="3">
        <f t="shared" si="3"/>
        <v>-13250035414477</v>
      </c>
      <c r="T51" s="4">
        <v>14</v>
      </c>
      <c r="U51" s="4">
        <v>27</v>
      </c>
      <c r="V51" s="4">
        <v>-224372432600</v>
      </c>
      <c r="W51" s="4">
        <f t="shared" si="4"/>
        <v>1522284763100</v>
      </c>
      <c r="X51" s="4">
        <v>935848681</v>
      </c>
      <c r="Y51" s="8">
        <v>0.2923</v>
      </c>
      <c r="Z51" s="16">
        <v>53.89</v>
      </c>
      <c r="AA51" s="18">
        <f t="shared" si="5"/>
        <v>61.064285714285703</v>
      </c>
    </row>
    <row r="52" spans="1:27" x14ac:dyDescent="0.2">
      <c r="A52" s="7" t="s">
        <v>317</v>
      </c>
      <c r="B52" s="8">
        <v>1.4499999999999999E-2</v>
      </c>
      <c r="C52" s="5">
        <f t="shared" si="0"/>
        <v>0.12820000000000004</v>
      </c>
      <c r="D52" s="4">
        <v>367</v>
      </c>
      <c r="E52" s="4">
        <v>44</v>
      </c>
      <c r="F52" s="19">
        <v>96</v>
      </c>
      <c r="G52" s="8">
        <v>1.7100000000000001E-2</v>
      </c>
      <c r="H52" s="37">
        <f t="shared" si="1"/>
        <v>0.14290000000000005</v>
      </c>
      <c r="I52" s="4">
        <v>29</v>
      </c>
      <c r="J52" s="4">
        <v>0</v>
      </c>
      <c r="K52" s="19">
        <v>1</v>
      </c>
      <c r="L52" s="20">
        <v>61</v>
      </c>
      <c r="M52" s="36">
        <v>51</v>
      </c>
      <c r="N52">
        <v>70</v>
      </c>
      <c r="O52">
        <v>89</v>
      </c>
      <c r="P52" s="4">
        <v>-292740811390</v>
      </c>
      <c r="Q52" s="3">
        <f t="shared" si="2"/>
        <v>-27232548199252</v>
      </c>
      <c r="R52" s="3">
        <v>-226837281390</v>
      </c>
      <c r="S52" s="3">
        <f t="shared" si="3"/>
        <v>-13354307485356</v>
      </c>
      <c r="T52" s="4">
        <v>29</v>
      </c>
      <c r="U52" s="4">
        <v>15</v>
      </c>
      <c r="V52" s="4">
        <v>199754785100</v>
      </c>
      <c r="W52" s="4">
        <f t="shared" si="4"/>
        <v>1746657195700</v>
      </c>
      <c r="X52" s="4">
        <v>1046924676</v>
      </c>
      <c r="Y52" s="8">
        <v>0.30380000000000001</v>
      </c>
      <c r="Z52" s="16">
        <v>53.7</v>
      </c>
      <c r="AA52" s="18">
        <f t="shared" si="5"/>
        <v>62.092857142857142</v>
      </c>
    </row>
    <row r="53" spans="1:27" x14ac:dyDescent="0.2">
      <c r="A53" s="7" t="s">
        <v>309</v>
      </c>
      <c r="B53" s="8">
        <v>-3.5999999999999999E-3</v>
      </c>
      <c r="C53" s="5">
        <f t="shared" si="0"/>
        <v>0.11370000000000004</v>
      </c>
      <c r="D53" s="4">
        <v>198</v>
      </c>
      <c r="E53" s="4">
        <v>71</v>
      </c>
      <c r="F53" s="19">
        <v>222</v>
      </c>
      <c r="G53" s="8">
        <v>-2.5999999999999999E-3</v>
      </c>
      <c r="H53" s="37">
        <f t="shared" si="1"/>
        <v>0.12580000000000005</v>
      </c>
      <c r="I53" s="4">
        <v>9</v>
      </c>
      <c r="J53" s="4">
        <v>3</v>
      </c>
      <c r="K53" s="19">
        <v>18</v>
      </c>
      <c r="L53" s="20">
        <v>26</v>
      </c>
      <c r="M53" s="36">
        <v>72</v>
      </c>
      <c r="N53">
        <v>65</v>
      </c>
      <c r="O53">
        <v>89</v>
      </c>
      <c r="P53" s="4">
        <v>-1468396534533</v>
      </c>
      <c r="Q53" s="3">
        <f t="shared" si="2"/>
        <v>-26939807387862</v>
      </c>
      <c r="R53" s="3">
        <v>-693380894533</v>
      </c>
      <c r="S53" s="3">
        <f t="shared" si="3"/>
        <v>-13127470203966</v>
      </c>
      <c r="T53" s="4">
        <v>36</v>
      </c>
      <c r="U53" s="4">
        <v>10</v>
      </c>
      <c r="V53" s="4">
        <v>221078835900</v>
      </c>
      <c r="W53" s="4">
        <f t="shared" si="4"/>
        <v>1546902410600</v>
      </c>
      <c r="X53" s="4">
        <v>771151605</v>
      </c>
      <c r="Y53" s="8">
        <v>0.24</v>
      </c>
      <c r="Z53" s="16">
        <v>52</v>
      </c>
      <c r="AA53" s="18">
        <f t="shared" si="5"/>
        <v>62.578571428571422</v>
      </c>
    </row>
    <row r="54" spans="1:27" x14ac:dyDescent="0.2">
      <c r="A54" s="7" t="s">
        <v>305</v>
      </c>
      <c r="B54" s="8">
        <v>-5.0000000000000001E-3</v>
      </c>
      <c r="C54" s="5">
        <f t="shared" si="0"/>
        <v>0.11730000000000004</v>
      </c>
      <c r="D54" s="4">
        <v>156</v>
      </c>
      <c r="E54" s="4">
        <v>70</v>
      </c>
      <c r="F54" s="19">
        <v>277</v>
      </c>
      <c r="G54" s="8">
        <v>-3.7000000000000002E-3</v>
      </c>
      <c r="H54" s="37">
        <f t="shared" si="1"/>
        <v>0.12840000000000004</v>
      </c>
      <c r="I54" s="4">
        <v>8</v>
      </c>
      <c r="J54" s="4">
        <v>1</v>
      </c>
      <c r="K54" s="19">
        <v>21</v>
      </c>
      <c r="L54" s="20">
        <v>18</v>
      </c>
      <c r="M54" s="36">
        <v>86</v>
      </c>
      <c r="N54">
        <v>62</v>
      </c>
      <c r="O54">
        <v>91</v>
      </c>
      <c r="P54" s="4">
        <v>-1289304741442</v>
      </c>
      <c r="Q54" s="3">
        <f t="shared" si="2"/>
        <v>-25471410853329</v>
      </c>
      <c r="R54" s="3">
        <v>-1128229321442</v>
      </c>
      <c r="S54" s="3">
        <f t="shared" si="3"/>
        <v>-12434089309433</v>
      </c>
      <c r="T54" s="4">
        <v>20</v>
      </c>
      <c r="U54" s="4">
        <v>27</v>
      </c>
      <c r="V54" s="4">
        <v>-114918320200</v>
      </c>
      <c r="W54" s="4">
        <f t="shared" si="4"/>
        <v>1325823574700</v>
      </c>
      <c r="X54" s="4">
        <v>1050581949</v>
      </c>
      <c r="Y54" s="8">
        <v>0.27779999999999999</v>
      </c>
      <c r="Z54" s="16">
        <v>46.9</v>
      </c>
      <c r="AA54" s="18">
        <f t="shared" si="5"/>
        <v>63.407142857142851</v>
      </c>
    </row>
    <row r="55" spans="1:27" x14ac:dyDescent="0.2">
      <c r="A55" s="7" t="s">
        <v>260</v>
      </c>
      <c r="B55" s="8">
        <v>-7.0999999999999995E-3</v>
      </c>
      <c r="C55" s="5">
        <f t="shared" si="0"/>
        <v>0.12230000000000005</v>
      </c>
      <c r="D55" s="4">
        <v>182</v>
      </c>
      <c r="E55" s="4">
        <v>61</v>
      </c>
      <c r="F55" s="19">
        <v>260</v>
      </c>
      <c r="G55" s="8">
        <v>-1.21E-2</v>
      </c>
      <c r="H55" s="37">
        <f t="shared" si="1"/>
        <v>0.13210000000000005</v>
      </c>
      <c r="I55" s="4">
        <v>2</v>
      </c>
      <c r="J55" s="4">
        <v>1</v>
      </c>
      <c r="K55" s="19">
        <v>27</v>
      </c>
      <c r="L55" s="20">
        <v>17</v>
      </c>
      <c r="M55" s="36">
        <v>97</v>
      </c>
      <c r="N55">
        <v>59</v>
      </c>
      <c r="O55">
        <v>99</v>
      </c>
      <c r="P55" s="4">
        <v>-1571802171474</v>
      </c>
      <c r="Q55" s="3">
        <f t="shared" si="2"/>
        <v>-24182106111887</v>
      </c>
      <c r="R55" s="3">
        <v>-1414772149117</v>
      </c>
      <c r="S55" s="3">
        <f t="shared" si="3"/>
        <v>-11305859987991</v>
      </c>
      <c r="T55" s="4">
        <v>20</v>
      </c>
      <c r="U55" s="4">
        <v>25</v>
      </c>
      <c r="V55" s="4">
        <v>4843661500</v>
      </c>
      <c r="W55" s="4">
        <f t="shared" si="4"/>
        <v>1440741894900</v>
      </c>
      <c r="X55" s="4">
        <v>1072465256</v>
      </c>
      <c r="Y55" s="8">
        <v>0.27260000000000001</v>
      </c>
      <c r="Z55" s="16">
        <v>48.1</v>
      </c>
      <c r="AA55" s="18">
        <f t="shared" si="5"/>
        <v>63.907142857142851</v>
      </c>
    </row>
    <row r="56" spans="1:27" x14ac:dyDescent="0.2">
      <c r="A56" s="11" t="s">
        <v>259</v>
      </c>
      <c r="B56" s="8">
        <v>1.11E-2</v>
      </c>
      <c r="C56" s="5">
        <f t="shared" si="0"/>
        <v>0.12940000000000004</v>
      </c>
      <c r="D56" s="4">
        <v>342</v>
      </c>
      <c r="E56" s="4">
        <v>69</v>
      </c>
      <c r="F56" s="19">
        <v>87</v>
      </c>
      <c r="G56" s="8">
        <v>1.1599999999999999E-2</v>
      </c>
      <c r="H56" s="37">
        <f t="shared" si="1"/>
        <v>0.14420000000000005</v>
      </c>
      <c r="I56" s="4">
        <v>27</v>
      </c>
      <c r="J56" s="4">
        <v>2</v>
      </c>
      <c r="K56" s="19">
        <v>1</v>
      </c>
      <c r="L56" s="20">
        <v>43</v>
      </c>
      <c r="M56" s="36">
        <v>45</v>
      </c>
      <c r="N56">
        <v>60</v>
      </c>
      <c r="O56">
        <v>97</v>
      </c>
      <c r="P56" s="4">
        <v>-1123498507299</v>
      </c>
      <c r="Q56" s="3">
        <f t="shared" si="2"/>
        <v>-22610303940413</v>
      </c>
      <c r="R56" s="3">
        <v>-1013343867299</v>
      </c>
      <c r="S56" s="3">
        <f t="shared" si="3"/>
        <v>-9891087838874</v>
      </c>
      <c r="T56" s="4">
        <v>19</v>
      </c>
      <c r="U56" s="4">
        <v>24</v>
      </c>
      <c r="V56" s="4">
        <v>-42027359300</v>
      </c>
      <c r="W56" s="4">
        <f t="shared" si="4"/>
        <v>1435898233400</v>
      </c>
      <c r="X56" s="4">
        <v>868584327</v>
      </c>
      <c r="Y56" s="8">
        <v>0.31309999999999999</v>
      </c>
      <c r="Z56" s="16">
        <v>55.7</v>
      </c>
      <c r="AA56" s="18">
        <f t="shared" si="5"/>
        <v>63.135714285714279</v>
      </c>
    </row>
    <row r="57" spans="1:27" x14ac:dyDescent="0.2">
      <c r="A57" s="7" t="s">
        <v>258</v>
      </c>
      <c r="B57" s="8">
        <v>4.5999999999999999E-3</v>
      </c>
      <c r="C57" s="5">
        <f t="shared" si="0"/>
        <v>0.11830000000000004</v>
      </c>
      <c r="D57" s="4">
        <v>233</v>
      </c>
      <c r="E57" s="4">
        <v>67</v>
      </c>
      <c r="F57" s="19">
        <v>198</v>
      </c>
      <c r="G57" s="8">
        <v>1.1000000000000001E-3</v>
      </c>
      <c r="H57" s="37">
        <f t="shared" si="1"/>
        <v>0.13260000000000005</v>
      </c>
      <c r="I57" s="4">
        <v>14</v>
      </c>
      <c r="J57" s="4">
        <v>9</v>
      </c>
      <c r="K57" s="19">
        <v>7</v>
      </c>
      <c r="L57" s="20">
        <v>27</v>
      </c>
      <c r="M57" s="36">
        <v>69</v>
      </c>
      <c r="N57">
        <v>76</v>
      </c>
      <c r="O57">
        <v>79</v>
      </c>
      <c r="P57" s="4">
        <v>-541464853119</v>
      </c>
      <c r="Q57" s="3">
        <f t="shared" si="2"/>
        <v>-21486805433114</v>
      </c>
      <c r="R57" s="3">
        <v>-444544883119</v>
      </c>
      <c r="S57" s="3">
        <f t="shared" si="3"/>
        <v>-8877743971575</v>
      </c>
      <c r="T57" s="4">
        <v>20</v>
      </c>
      <c r="U57" s="4">
        <v>18</v>
      </c>
      <c r="V57" s="4">
        <v>102712591100</v>
      </c>
      <c r="W57" s="4">
        <f t="shared" si="4"/>
        <v>1477925592700</v>
      </c>
      <c r="X57" s="4">
        <v>726703810</v>
      </c>
      <c r="Y57" s="8">
        <v>0.35409999999999997</v>
      </c>
      <c r="Z57" s="16">
        <v>48.4</v>
      </c>
      <c r="AA57" s="18">
        <f t="shared" si="5"/>
        <v>63.407142857142858</v>
      </c>
    </row>
    <row r="58" spans="1:27" x14ac:dyDescent="0.2">
      <c r="A58" s="7" t="s">
        <v>257</v>
      </c>
      <c r="B58" s="8">
        <v>-1.49E-2</v>
      </c>
      <c r="C58" s="5">
        <f t="shared" si="0"/>
        <v>0.11370000000000005</v>
      </c>
      <c r="D58" s="4">
        <v>93</v>
      </c>
      <c r="E58" s="4">
        <v>43</v>
      </c>
      <c r="F58" s="19">
        <v>364</v>
      </c>
      <c r="G58" s="8">
        <v>-1.6299999999999999E-2</v>
      </c>
      <c r="H58" s="37">
        <f t="shared" si="1"/>
        <v>0.13150000000000006</v>
      </c>
      <c r="I58" s="4">
        <v>4</v>
      </c>
      <c r="J58" s="4">
        <v>1</v>
      </c>
      <c r="K58" s="19">
        <v>25</v>
      </c>
      <c r="L58" s="20">
        <v>8</v>
      </c>
      <c r="M58" s="36">
        <v>107</v>
      </c>
      <c r="N58">
        <v>55</v>
      </c>
      <c r="O58">
        <v>101</v>
      </c>
      <c r="P58" s="4">
        <v>-1544441754511</v>
      </c>
      <c r="Q58" s="3">
        <f t="shared" si="2"/>
        <v>-20945340579995</v>
      </c>
      <c r="R58" s="3">
        <v>-1342954434511</v>
      </c>
      <c r="S58" s="3">
        <f t="shared" si="3"/>
        <v>-8433199088456</v>
      </c>
      <c r="T58" s="4">
        <v>21</v>
      </c>
      <c r="U58" s="4">
        <v>28</v>
      </c>
      <c r="V58" s="4">
        <v>-569067642600</v>
      </c>
      <c r="W58" s="4">
        <f t="shared" si="4"/>
        <v>1375213001600</v>
      </c>
      <c r="X58" s="4">
        <v>1367781161</v>
      </c>
      <c r="Y58" s="8">
        <v>0.31290000000000001</v>
      </c>
      <c r="Z58" s="16">
        <v>53.6</v>
      </c>
      <c r="AA58" s="18">
        <f t="shared" si="5"/>
        <v>62.878571428571433</v>
      </c>
    </row>
    <row r="59" spans="1:27" x14ac:dyDescent="0.2">
      <c r="A59" s="7" t="s">
        <v>256</v>
      </c>
      <c r="B59" s="8">
        <v>1.11E-2</v>
      </c>
      <c r="C59" s="5">
        <f t="shared" si="0"/>
        <v>0.12860000000000005</v>
      </c>
      <c r="D59" s="4">
        <v>278</v>
      </c>
      <c r="E59" s="4">
        <v>65</v>
      </c>
      <c r="F59" s="19">
        <v>152</v>
      </c>
      <c r="G59" s="8">
        <v>1.03E-2</v>
      </c>
      <c r="H59" s="37">
        <f t="shared" si="1"/>
        <v>0.14780000000000007</v>
      </c>
      <c r="I59" s="4">
        <v>25</v>
      </c>
      <c r="J59" s="4">
        <v>0</v>
      </c>
      <c r="K59" s="19">
        <v>5</v>
      </c>
      <c r="L59" s="20">
        <v>47</v>
      </c>
      <c r="M59" s="36">
        <v>55</v>
      </c>
      <c r="N59">
        <v>75</v>
      </c>
      <c r="O59">
        <v>79</v>
      </c>
      <c r="P59" s="4">
        <v>-17033728865</v>
      </c>
      <c r="Q59" s="3">
        <f t="shared" si="2"/>
        <v>-19400898825484</v>
      </c>
      <c r="R59" s="3">
        <v>108293651135</v>
      </c>
      <c r="S59" s="3">
        <f t="shared" si="3"/>
        <v>-7090244653945</v>
      </c>
      <c r="T59" s="4">
        <v>33</v>
      </c>
      <c r="U59" s="4">
        <v>16</v>
      </c>
      <c r="V59" s="4">
        <v>276623923000</v>
      </c>
      <c r="W59" s="4">
        <f t="shared" si="4"/>
        <v>1944280644200</v>
      </c>
      <c r="X59" s="4">
        <v>968130000</v>
      </c>
      <c r="Y59" s="8">
        <v>0.27429999999999999</v>
      </c>
      <c r="Z59" s="16">
        <v>63.1</v>
      </c>
      <c r="AA59" s="18">
        <f t="shared" si="5"/>
        <v>61.671428571428585</v>
      </c>
    </row>
    <row r="60" spans="1:27" x14ac:dyDescent="0.2">
      <c r="A60" s="7" t="s">
        <v>255</v>
      </c>
      <c r="B60" s="8">
        <v>-8.0000000000000002E-3</v>
      </c>
      <c r="C60" s="5">
        <f t="shared" si="0"/>
        <v>0.11750000000000005</v>
      </c>
      <c r="D60" s="4">
        <v>173</v>
      </c>
      <c r="E60" s="4">
        <v>50</v>
      </c>
      <c r="F60" s="19">
        <v>291</v>
      </c>
      <c r="G60" s="8">
        <v>-1.3100000000000001E-2</v>
      </c>
      <c r="H60" s="37">
        <f t="shared" si="1"/>
        <v>0.13750000000000007</v>
      </c>
      <c r="I60" s="4">
        <v>5</v>
      </c>
      <c r="J60" s="4">
        <v>1</v>
      </c>
      <c r="K60" s="19">
        <v>24</v>
      </c>
      <c r="L60" s="20">
        <v>13</v>
      </c>
      <c r="M60" s="36">
        <v>94</v>
      </c>
      <c r="N60">
        <v>56</v>
      </c>
      <c r="O60">
        <v>97</v>
      </c>
      <c r="P60" s="4">
        <v>-832906295905</v>
      </c>
      <c r="Q60" s="3">
        <f t="shared" si="2"/>
        <v>-19383865096619</v>
      </c>
      <c r="R60" s="3">
        <v>-536208135905</v>
      </c>
      <c r="S60" s="3">
        <f t="shared" si="3"/>
        <v>-7198538305080</v>
      </c>
      <c r="T60" s="4">
        <v>34</v>
      </c>
      <c r="U60" s="4">
        <v>14</v>
      </c>
      <c r="V60" s="4">
        <v>-147473676400</v>
      </c>
      <c r="W60" s="4">
        <f t="shared" si="4"/>
        <v>1667656721200</v>
      </c>
      <c r="X60" s="4">
        <v>1139091754</v>
      </c>
      <c r="Y60" s="8">
        <v>0.32100000000000001</v>
      </c>
      <c r="Z60" s="16">
        <v>61.9</v>
      </c>
      <c r="AA60" s="18">
        <f t="shared" si="5"/>
        <v>60.585714285714303</v>
      </c>
    </row>
    <row r="61" spans="1:27" x14ac:dyDescent="0.2">
      <c r="A61" s="7" t="s">
        <v>254</v>
      </c>
      <c r="B61" s="8">
        <v>-2.9999999999999997E-4</v>
      </c>
      <c r="C61" s="5">
        <f t="shared" si="0"/>
        <v>0.12550000000000006</v>
      </c>
      <c r="D61" s="4">
        <v>207</v>
      </c>
      <c r="E61" s="4">
        <v>66</v>
      </c>
      <c r="F61" s="19">
        <v>236</v>
      </c>
      <c r="G61" s="8">
        <v>-3.0000000000000001E-3</v>
      </c>
      <c r="H61" s="37">
        <f t="shared" si="1"/>
        <v>0.15060000000000007</v>
      </c>
      <c r="I61" s="4">
        <v>11</v>
      </c>
      <c r="J61" s="4">
        <v>3</v>
      </c>
      <c r="K61" s="19">
        <v>16</v>
      </c>
      <c r="L61" s="20">
        <v>26</v>
      </c>
      <c r="M61" s="36">
        <v>79</v>
      </c>
      <c r="N61">
        <v>56</v>
      </c>
      <c r="O61">
        <v>99</v>
      </c>
      <c r="P61" s="4">
        <v>-1043894995967</v>
      </c>
      <c r="Q61" s="3">
        <f t="shared" si="2"/>
        <v>-18550958800714</v>
      </c>
      <c r="R61" s="3">
        <v>-816928505967</v>
      </c>
      <c r="S61" s="3">
        <f t="shared" si="3"/>
        <v>-6662330169175</v>
      </c>
      <c r="T61" s="4">
        <v>0</v>
      </c>
      <c r="U61" s="4">
        <v>22</v>
      </c>
      <c r="V61" s="4">
        <v>-249925910000</v>
      </c>
      <c r="W61" s="4">
        <f t="shared" si="4"/>
        <v>1815130397600</v>
      </c>
      <c r="X61" s="4">
        <v>972159800</v>
      </c>
      <c r="Y61" s="8">
        <v>0.28289999999999998</v>
      </c>
      <c r="Z61" s="16">
        <v>69.900000000000006</v>
      </c>
      <c r="AA61" s="18">
        <f t="shared" si="5"/>
        <v>58.45000000000001</v>
      </c>
    </row>
    <row r="62" spans="1:27" x14ac:dyDescent="0.2">
      <c r="A62" s="7" t="s">
        <v>253</v>
      </c>
      <c r="B62" s="8">
        <v>3.4999999999999996E-3</v>
      </c>
      <c r="C62" s="5">
        <f t="shared" ref="C62:C96" si="6">B62+C63</f>
        <v>0.12580000000000005</v>
      </c>
      <c r="D62" s="4">
        <v>264</v>
      </c>
      <c r="E62" s="4">
        <v>69</v>
      </c>
      <c r="F62" s="19">
        <v>174</v>
      </c>
      <c r="G62" s="8">
        <v>1.8E-3</v>
      </c>
      <c r="H62" s="37">
        <f t="shared" si="1"/>
        <v>0.15360000000000007</v>
      </c>
      <c r="I62" s="4">
        <v>18</v>
      </c>
      <c r="J62" s="4">
        <v>2</v>
      </c>
      <c r="K62" s="19">
        <v>10</v>
      </c>
      <c r="L62" s="20">
        <v>28</v>
      </c>
      <c r="M62" s="36">
        <v>73</v>
      </c>
      <c r="N62">
        <v>57</v>
      </c>
      <c r="O62">
        <v>104</v>
      </c>
      <c r="P62" s="4">
        <v>-1062064421941</v>
      </c>
      <c r="Q62" s="3">
        <f t="shared" si="2"/>
        <v>-17507063804747</v>
      </c>
      <c r="R62" s="3">
        <v>-805759411941</v>
      </c>
      <c r="S62" s="3">
        <f t="shared" si="3"/>
        <v>-5845401663208</v>
      </c>
      <c r="T62" s="4">
        <v>0</v>
      </c>
      <c r="U62" s="4">
        <v>12</v>
      </c>
      <c r="V62" s="4">
        <v>-76906320000</v>
      </c>
      <c r="W62" s="4">
        <f t="shared" si="4"/>
        <v>2065056307600</v>
      </c>
      <c r="X62" s="4">
        <v>1161563296</v>
      </c>
      <c r="Y62" s="8">
        <v>0.35810000000000003</v>
      </c>
      <c r="Z62" s="16">
        <v>78.5</v>
      </c>
      <c r="AA62" s="18">
        <f t="shared" si="5"/>
        <v>55.20714285714287</v>
      </c>
    </row>
    <row r="63" spans="1:27" x14ac:dyDescent="0.2">
      <c r="A63" s="7" t="s">
        <v>252</v>
      </c>
      <c r="B63" s="8">
        <v>3.4000000000000002E-3</v>
      </c>
      <c r="C63" s="5">
        <f t="shared" si="6"/>
        <v>0.12230000000000005</v>
      </c>
      <c r="D63" s="4">
        <v>234</v>
      </c>
      <c r="E63" s="4">
        <v>96</v>
      </c>
      <c r="F63" s="19">
        <v>176</v>
      </c>
      <c r="G63" s="8">
        <v>1.4000000000000002E-3</v>
      </c>
      <c r="H63" s="37">
        <f t="shared" si="1"/>
        <v>0.15180000000000007</v>
      </c>
      <c r="I63" s="4">
        <v>14</v>
      </c>
      <c r="J63" s="4">
        <v>4</v>
      </c>
      <c r="K63" s="19">
        <v>12</v>
      </c>
      <c r="L63" s="20">
        <v>42</v>
      </c>
      <c r="M63" s="36">
        <v>60</v>
      </c>
      <c r="N63">
        <v>58</v>
      </c>
      <c r="O63">
        <v>91</v>
      </c>
      <c r="P63" s="4">
        <v>-729563407349</v>
      </c>
      <c r="Q63" s="3">
        <f t="shared" si="2"/>
        <v>-16444999382806</v>
      </c>
      <c r="R63" s="3">
        <v>-528245777349</v>
      </c>
      <c r="S63" s="3">
        <f t="shared" si="3"/>
        <v>-5039642251267</v>
      </c>
      <c r="T63" s="4">
        <v>19</v>
      </c>
      <c r="U63" s="4">
        <v>27</v>
      </c>
      <c r="V63" s="4">
        <v>14372474400</v>
      </c>
      <c r="W63" s="4">
        <f t="shared" si="4"/>
        <v>2141962627600</v>
      </c>
      <c r="X63" s="4">
        <v>937042992</v>
      </c>
      <c r="Y63" s="8">
        <v>0.32990000000000003</v>
      </c>
      <c r="Z63" s="16">
        <v>77.400000000000006</v>
      </c>
      <c r="AA63" s="18">
        <f t="shared" si="5"/>
        <v>51.692857142857157</v>
      </c>
    </row>
    <row r="64" spans="1:27" x14ac:dyDescent="0.2">
      <c r="A64" s="7" t="s">
        <v>251</v>
      </c>
      <c r="B64" s="8">
        <v>1.15E-2</v>
      </c>
      <c r="C64" s="5">
        <f t="shared" si="6"/>
        <v>0.11890000000000005</v>
      </c>
      <c r="D64" s="4">
        <v>300</v>
      </c>
      <c r="E64" s="4">
        <v>80</v>
      </c>
      <c r="F64" s="19">
        <v>129</v>
      </c>
      <c r="G64" s="8">
        <v>1.4199999999999999E-2</v>
      </c>
      <c r="H64" s="37">
        <f t="shared" si="1"/>
        <v>0.15040000000000006</v>
      </c>
      <c r="I64" s="4">
        <v>24</v>
      </c>
      <c r="J64" s="4">
        <v>2</v>
      </c>
      <c r="K64" s="19">
        <v>4</v>
      </c>
      <c r="L64" s="20">
        <v>42</v>
      </c>
      <c r="M64" s="36">
        <v>53</v>
      </c>
      <c r="N64">
        <v>73</v>
      </c>
      <c r="O64">
        <v>80</v>
      </c>
      <c r="P64" s="4">
        <v>32368370542</v>
      </c>
      <c r="Q64" s="3">
        <f t="shared" si="2"/>
        <v>-15715435975457</v>
      </c>
      <c r="R64" s="3">
        <v>230062114038</v>
      </c>
      <c r="S64" s="3">
        <f t="shared" si="3"/>
        <v>-4511396473918</v>
      </c>
      <c r="T64" s="4">
        <v>33</v>
      </c>
      <c r="U64" s="4">
        <v>15</v>
      </c>
      <c r="V64" s="4">
        <v>874837329800</v>
      </c>
      <c r="W64" s="4">
        <f t="shared" si="4"/>
        <v>2127590153200</v>
      </c>
      <c r="X64" s="4">
        <v>885055936</v>
      </c>
      <c r="Y64" s="8">
        <v>0.35920000000000002</v>
      </c>
      <c r="Z64" s="16">
        <v>76.8</v>
      </c>
      <c r="AA64" s="18">
        <f t="shared" si="5"/>
        <v>47.771428571428579</v>
      </c>
    </row>
    <row r="65" spans="1:27" x14ac:dyDescent="0.2">
      <c r="A65" s="7" t="s">
        <v>250</v>
      </c>
      <c r="B65" s="8">
        <v>8.8999999999999999E-3</v>
      </c>
      <c r="C65" s="5">
        <f t="shared" si="6"/>
        <v>0.10740000000000005</v>
      </c>
      <c r="D65" s="4">
        <v>290</v>
      </c>
      <c r="E65" s="4">
        <v>94</v>
      </c>
      <c r="F65" s="19">
        <v>126</v>
      </c>
      <c r="G65" s="8">
        <v>9.8999999999999991E-3</v>
      </c>
      <c r="H65" s="37">
        <f t="shared" si="1"/>
        <v>0.13620000000000007</v>
      </c>
      <c r="I65" s="4">
        <v>26</v>
      </c>
      <c r="J65" s="4">
        <v>1</v>
      </c>
      <c r="K65" s="19">
        <v>3</v>
      </c>
      <c r="L65" s="20">
        <v>53</v>
      </c>
      <c r="M65" s="36">
        <v>38</v>
      </c>
      <c r="N65">
        <v>84</v>
      </c>
      <c r="O65">
        <v>70</v>
      </c>
      <c r="P65" s="4">
        <v>362048739182</v>
      </c>
      <c r="Q65" s="3">
        <f t="shared" si="2"/>
        <v>-15747804345999</v>
      </c>
      <c r="R65" s="3">
        <v>538514859182</v>
      </c>
      <c r="S65" s="3">
        <f t="shared" si="3"/>
        <v>-4741458587956</v>
      </c>
      <c r="T65" s="4">
        <v>40</v>
      </c>
      <c r="U65" s="4">
        <v>6</v>
      </c>
      <c r="V65" s="4">
        <v>328742906000</v>
      </c>
      <c r="W65" s="4">
        <f t="shared" si="4"/>
        <v>1252752823400</v>
      </c>
      <c r="X65" s="4">
        <v>880174065</v>
      </c>
      <c r="Y65" s="8">
        <v>0.28309999999999996</v>
      </c>
      <c r="Z65" s="16">
        <v>68.900000000000006</v>
      </c>
      <c r="AA65" s="18">
        <f t="shared" si="5"/>
        <v>44.964285714285715</v>
      </c>
    </row>
    <row r="66" spans="1:27" x14ac:dyDescent="0.2">
      <c r="A66" s="7" t="s">
        <v>249</v>
      </c>
      <c r="B66" s="8">
        <v>2.5000000000000001E-3</v>
      </c>
      <c r="C66" s="5">
        <f t="shared" si="6"/>
        <v>9.8500000000000046E-2</v>
      </c>
      <c r="D66" s="4">
        <v>226</v>
      </c>
      <c r="E66" s="4">
        <v>79</v>
      </c>
      <c r="F66" s="19">
        <v>201</v>
      </c>
      <c r="G66" s="8">
        <v>3.8E-3</v>
      </c>
      <c r="H66" s="37">
        <f t="shared" si="1"/>
        <v>0.12630000000000008</v>
      </c>
      <c r="I66" s="4">
        <v>13</v>
      </c>
      <c r="J66" s="4">
        <v>6</v>
      </c>
      <c r="K66" s="19">
        <v>11</v>
      </c>
      <c r="L66" s="20">
        <v>25</v>
      </c>
      <c r="M66" s="36">
        <v>74</v>
      </c>
      <c r="N66">
        <v>57</v>
      </c>
      <c r="O66">
        <v>98</v>
      </c>
      <c r="P66" s="4">
        <v>-814936271811</v>
      </c>
      <c r="Q66" s="3">
        <f t="shared" si="2"/>
        <v>-16109853085181</v>
      </c>
      <c r="R66" s="3">
        <v>-567614491131</v>
      </c>
      <c r="S66" s="3">
        <f t="shared" si="3"/>
        <v>-5279973447138</v>
      </c>
      <c r="T66" s="4">
        <v>27</v>
      </c>
      <c r="U66" s="4">
        <v>15</v>
      </c>
      <c r="V66" s="4">
        <v>14393880900</v>
      </c>
      <c r="W66" s="4">
        <f t="shared" si="4"/>
        <v>924009917400</v>
      </c>
      <c r="X66" s="4">
        <v>640493532</v>
      </c>
      <c r="Y66" s="8">
        <v>0.32780000000000004</v>
      </c>
      <c r="Z66" s="16">
        <v>68.099999999999994</v>
      </c>
      <c r="AA66" s="18">
        <f t="shared" si="5"/>
        <v>41.842857142857142</v>
      </c>
    </row>
    <row r="67" spans="1:27" x14ac:dyDescent="0.2">
      <c r="A67" s="7" t="s">
        <v>248</v>
      </c>
      <c r="B67" s="8">
        <v>-3.5999999999999999E-3</v>
      </c>
      <c r="C67" s="5">
        <f t="shared" si="6"/>
        <v>9.6000000000000044E-2</v>
      </c>
      <c r="D67" s="4">
        <v>203</v>
      </c>
      <c r="E67" s="4">
        <v>72</v>
      </c>
      <c r="F67" s="19">
        <v>233</v>
      </c>
      <c r="G67" s="8">
        <v>-3.9000000000000003E-3</v>
      </c>
      <c r="H67" s="37">
        <f t="shared" si="1"/>
        <v>0.12250000000000007</v>
      </c>
      <c r="I67" s="4">
        <v>7</v>
      </c>
      <c r="J67" s="4">
        <v>4</v>
      </c>
      <c r="K67" s="19">
        <v>19</v>
      </c>
      <c r="L67" s="20">
        <v>13</v>
      </c>
      <c r="M67" s="36">
        <v>93</v>
      </c>
      <c r="N67">
        <v>37</v>
      </c>
      <c r="O67">
        <v>115</v>
      </c>
      <c r="P67" s="4">
        <v>-953063368068</v>
      </c>
      <c r="Q67" s="3">
        <f t="shared" si="2"/>
        <v>-15294916813370</v>
      </c>
      <c r="R67" s="3">
        <v>-800011531308</v>
      </c>
      <c r="S67" s="3">
        <f t="shared" si="3"/>
        <v>-4712358956007</v>
      </c>
      <c r="T67" s="4">
        <v>35</v>
      </c>
      <c r="U67" s="4">
        <v>8</v>
      </c>
      <c r="V67" s="4">
        <v>274821510800</v>
      </c>
      <c r="W67" s="4">
        <f t="shared" si="4"/>
        <v>909616036500</v>
      </c>
      <c r="X67" s="4">
        <v>741579440</v>
      </c>
      <c r="Y67" s="8">
        <v>0.26789999999999997</v>
      </c>
      <c r="Z67" s="16">
        <v>58.8</v>
      </c>
      <c r="AA67" s="18">
        <f t="shared" si="5"/>
        <v>39.407142857142858</v>
      </c>
    </row>
    <row r="68" spans="1:27" x14ac:dyDescent="0.2">
      <c r="A68" s="7" t="s">
        <v>247</v>
      </c>
      <c r="B68" s="8">
        <v>-3.2000000000000002E-3</v>
      </c>
      <c r="C68" s="5">
        <f t="shared" si="6"/>
        <v>9.960000000000005E-2</v>
      </c>
      <c r="D68" s="4">
        <v>165</v>
      </c>
      <c r="E68" s="4">
        <v>75</v>
      </c>
      <c r="F68" s="19">
        <v>261</v>
      </c>
      <c r="G68" s="8">
        <v>-3.0999999999999999E-3</v>
      </c>
      <c r="H68" s="37">
        <f t="shared" si="1"/>
        <v>0.12640000000000007</v>
      </c>
      <c r="I68" s="4">
        <v>4</v>
      </c>
      <c r="J68" s="4">
        <v>4</v>
      </c>
      <c r="K68" s="19">
        <v>22</v>
      </c>
      <c r="L68" s="20">
        <v>18</v>
      </c>
      <c r="M68" s="36">
        <v>81</v>
      </c>
      <c r="N68">
        <v>54</v>
      </c>
      <c r="O68">
        <v>97</v>
      </c>
      <c r="P68" s="4">
        <v>-451995489585</v>
      </c>
      <c r="Q68" s="3">
        <f t="shared" si="2"/>
        <v>-14341853445302</v>
      </c>
      <c r="R68" s="3">
        <v>-202618239585</v>
      </c>
      <c r="S68" s="3">
        <f t="shared" si="3"/>
        <v>-3912347424699</v>
      </c>
      <c r="T68" s="4">
        <v>23</v>
      </c>
      <c r="U68" s="4">
        <v>25</v>
      </c>
      <c r="V68" s="4">
        <v>4244747500</v>
      </c>
      <c r="W68" s="4">
        <f t="shared" si="4"/>
        <v>634794525700</v>
      </c>
      <c r="X68" s="4">
        <v>669111203</v>
      </c>
      <c r="Y68" s="8">
        <v>0.27310000000000001</v>
      </c>
      <c r="Z68" s="16">
        <v>58.5</v>
      </c>
      <c r="AA68" s="18">
        <f t="shared" si="5"/>
        <v>37.449999999999996</v>
      </c>
    </row>
    <row r="69" spans="1:27" x14ac:dyDescent="0.2">
      <c r="A69" s="7" t="s">
        <v>243</v>
      </c>
      <c r="B69" s="8">
        <v>-1.5E-3</v>
      </c>
      <c r="C69" s="5">
        <f t="shared" si="6"/>
        <v>0.10280000000000004</v>
      </c>
      <c r="D69" s="4">
        <v>201</v>
      </c>
      <c r="E69" s="4">
        <v>67</v>
      </c>
      <c r="F69" s="19">
        <v>241</v>
      </c>
      <c r="G69" s="8">
        <v>-2.5999999999999999E-3</v>
      </c>
      <c r="H69" s="37">
        <f t="shared" si="1"/>
        <v>0.12950000000000006</v>
      </c>
      <c r="I69" s="4">
        <v>13</v>
      </c>
      <c r="J69" s="4">
        <v>1</v>
      </c>
      <c r="K69" s="19">
        <v>16</v>
      </c>
      <c r="L69" s="20">
        <v>25</v>
      </c>
      <c r="M69" s="36">
        <v>74</v>
      </c>
      <c r="N69">
        <v>47</v>
      </c>
      <c r="O69">
        <v>107</v>
      </c>
      <c r="P69" s="4">
        <v>-1879599889815</v>
      </c>
      <c r="Q69" s="3">
        <f t="shared" si="2"/>
        <v>-13889857955717</v>
      </c>
      <c r="R69" s="3">
        <v>-602761419815</v>
      </c>
      <c r="S69" s="3">
        <f t="shared" si="3"/>
        <v>-3709729185114</v>
      </c>
      <c r="T69" s="4">
        <v>25</v>
      </c>
      <c r="U69" s="4">
        <v>16</v>
      </c>
      <c r="V69" s="4">
        <v>123593195000</v>
      </c>
      <c r="W69" s="4">
        <f t="shared" si="4"/>
        <v>630549778200</v>
      </c>
      <c r="X69" s="4">
        <v>771552716</v>
      </c>
      <c r="Y69" s="8">
        <v>0.32159999999999994</v>
      </c>
      <c r="Z69" s="16">
        <v>55.1</v>
      </c>
      <c r="AA69" s="18">
        <f t="shared" si="5"/>
        <v>36.271428571428572</v>
      </c>
    </row>
    <row r="70" spans="1:27" x14ac:dyDescent="0.2">
      <c r="A70" s="7" t="s">
        <v>242</v>
      </c>
      <c r="B70" s="8">
        <v>1.5E-3</v>
      </c>
      <c r="C70" s="5">
        <f t="shared" si="6"/>
        <v>0.10430000000000005</v>
      </c>
      <c r="D70" s="4">
        <v>204</v>
      </c>
      <c r="E70" s="4">
        <v>68</v>
      </c>
      <c r="F70" s="19">
        <v>233</v>
      </c>
      <c r="G70" s="8">
        <v>0</v>
      </c>
      <c r="H70" s="37">
        <f t="shared" si="1"/>
        <v>0.13210000000000005</v>
      </c>
      <c r="I70" s="4">
        <v>12</v>
      </c>
      <c r="J70" s="4">
        <v>1</v>
      </c>
      <c r="K70" s="19">
        <v>17</v>
      </c>
      <c r="L70" s="20">
        <v>28</v>
      </c>
      <c r="M70" s="36">
        <v>60</v>
      </c>
      <c r="N70">
        <v>68</v>
      </c>
      <c r="O70">
        <v>79</v>
      </c>
      <c r="P70" s="4">
        <v>-1210365193381</v>
      </c>
      <c r="Q70" s="3">
        <f t="shared" si="2"/>
        <v>-12010258065902</v>
      </c>
      <c r="R70" s="3">
        <v>-257760403381</v>
      </c>
      <c r="S70" s="3">
        <f t="shared" si="3"/>
        <v>-3106967765299</v>
      </c>
      <c r="T70" s="4">
        <v>15</v>
      </c>
      <c r="U70" s="4">
        <v>20</v>
      </c>
      <c r="V70" s="4">
        <v>-171936744500</v>
      </c>
      <c r="W70" s="4">
        <f t="shared" si="4"/>
        <v>506956583200</v>
      </c>
      <c r="X70" s="4">
        <v>981802972</v>
      </c>
      <c r="Y70" s="8">
        <v>0.33340000000000003</v>
      </c>
      <c r="Z70" s="16">
        <v>44.9</v>
      </c>
      <c r="AA70" s="18">
        <f t="shared" si="5"/>
        <v>36.478571428571435</v>
      </c>
    </row>
    <row r="71" spans="1:27" x14ac:dyDescent="0.2">
      <c r="A71" s="7" t="s">
        <v>241</v>
      </c>
      <c r="B71" s="8">
        <v>5.6999999999999993E-3</v>
      </c>
      <c r="C71" s="5">
        <f t="shared" si="6"/>
        <v>0.10280000000000004</v>
      </c>
      <c r="D71" s="4">
        <v>251</v>
      </c>
      <c r="E71" s="4">
        <v>75</v>
      </c>
      <c r="F71" s="19">
        <v>178</v>
      </c>
      <c r="G71" s="8">
        <v>8.0000000000000002E-3</v>
      </c>
      <c r="H71" s="37">
        <f t="shared" si="1"/>
        <v>0.13210000000000005</v>
      </c>
      <c r="I71" s="4">
        <v>16</v>
      </c>
      <c r="J71" s="4">
        <v>4</v>
      </c>
      <c r="K71" s="19">
        <v>10</v>
      </c>
      <c r="L71" s="20">
        <v>35</v>
      </c>
      <c r="M71" s="36">
        <v>60</v>
      </c>
      <c r="N71">
        <v>72</v>
      </c>
      <c r="O71">
        <v>79</v>
      </c>
      <c r="P71" s="4">
        <v>173427725507</v>
      </c>
      <c r="Q71" s="3">
        <f t="shared" si="2"/>
        <v>-10799892872521</v>
      </c>
      <c r="R71" s="3">
        <v>258894715507</v>
      </c>
      <c r="S71" s="3">
        <f t="shared" si="3"/>
        <v>-2849207361918</v>
      </c>
      <c r="T71" s="4">
        <v>17</v>
      </c>
      <c r="U71" s="4">
        <v>20</v>
      </c>
      <c r="V71" s="4">
        <v>-388877549000</v>
      </c>
      <c r="W71" s="4">
        <f t="shared" si="4"/>
        <v>678893327700</v>
      </c>
      <c r="X71" s="4">
        <v>707897194</v>
      </c>
      <c r="Y71" s="8">
        <v>0.30199999999999999</v>
      </c>
      <c r="Z71" s="16">
        <v>52.2</v>
      </c>
      <c r="AA71" s="18">
        <f t="shared" si="5"/>
        <v>35.628571428571433</v>
      </c>
    </row>
    <row r="72" spans="1:27" x14ac:dyDescent="0.2">
      <c r="A72" s="7" t="s">
        <v>240</v>
      </c>
      <c r="B72" s="8">
        <v>1.6799999999999999E-2</v>
      </c>
      <c r="C72" s="5">
        <f t="shared" si="6"/>
        <v>9.7100000000000047E-2</v>
      </c>
      <c r="D72" s="4">
        <v>390</v>
      </c>
      <c r="E72" s="4">
        <v>49</v>
      </c>
      <c r="F72" s="19">
        <v>76</v>
      </c>
      <c r="G72" s="8">
        <v>1.5100000000000001E-2</v>
      </c>
      <c r="H72" s="37">
        <f t="shared" si="1"/>
        <v>0.12410000000000004</v>
      </c>
      <c r="I72" s="4">
        <v>28</v>
      </c>
      <c r="J72" s="4">
        <v>0</v>
      </c>
      <c r="K72" s="19">
        <v>2</v>
      </c>
      <c r="L72" s="20">
        <v>74</v>
      </c>
      <c r="M72" s="36">
        <v>17</v>
      </c>
      <c r="N72">
        <v>106</v>
      </c>
      <c r="O72">
        <v>47</v>
      </c>
      <c r="P72" s="4">
        <v>399132308544</v>
      </c>
      <c r="Q72" s="3">
        <f t="shared" si="2"/>
        <v>-10973320598028</v>
      </c>
      <c r="R72" s="3">
        <v>457610068544</v>
      </c>
      <c r="S72" s="3">
        <f t="shared" si="3"/>
        <v>-3108102077425</v>
      </c>
      <c r="T72" s="4">
        <v>26</v>
      </c>
      <c r="U72" s="4">
        <v>15</v>
      </c>
      <c r="V72" s="4">
        <v>-35186925000</v>
      </c>
      <c r="W72" s="4">
        <f t="shared" si="4"/>
        <v>1067770876700</v>
      </c>
      <c r="X72" s="4">
        <v>864633630</v>
      </c>
      <c r="Y72" s="8">
        <v>0.33860000000000001</v>
      </c>
      <c r="Z72" s="16">
        <v>46.2</v>
      </c>
      <c r="AA72" s="18">
        <f t="shared" si="5"/>
        <v>35.728571428571435</v>
      </c>
    </row>
    <row r="73" spans="1:27" x14ac:dyDescent="0.2">
      <c r="A73" s="7" t="s">
        <v>239</v>
      </c>
      <c r="B73" s="8">
        <v>3.8E-3</v>
      </c>
      <c r="C73" s="5">
        <f t="shared" si="6"/>
        <v>8.0300000000000052E-2</v>
      </c>
      <c r="D73" s="4">
        <v>223</v>
      </c>
      <c r="E73" s="4">
        <v>80</v>
      </c>
      <c r="F73" s="19">
        <v>200</v>
      </c>
      <c r="G73" s="8">
        <v>6.7000000000000002E-3</v>
      </c>
      <c r="H73" s="37">
        <f t="shared" si="1"/>
        <v>0.10900000000000004</v>
      </c>
      <c r="I73" s="4">
        <v>16</v>
      </c>
      <c r="J73" s="4">
        <v>2</v>
      </c>
      <c r="K73" s="19">
        <v>12</v>
      </c>
      <c r="L73" s="20">
        <v>22</v>
      </c>
      <c r="M73" s="36">
        <v>75</v>
      </c>
      <c r="N73">
        <v>68</v>
      </c>
      <c r="O73">
        <v>81</v>
      </c>
      <c r="P73" s="4">
        <v>669134180118</v>
      </c>
      <c r="Q73" s="3">
        <f t="shared" si="2"/>
        <v>-11372452906572</v>
      </c>
      <c r="R73" s="3">
        <v>659286400118</v>
      </c>
      <c r="S73" s="3">
        <f t="shared" si="3"/>
        <v>-3565712145969</v>
      </c>
      <c r="T73" s="4">
        <v>23</v>
      </c>
      <c r="U73" s="4">
        <v>17</v>
      </c>
      <c r="V73" s="4">
        <v>754198712000</v>
      </c>
      <c r="W73" s="4">
        <f t="shared" si="4"/>
        <v>1102957801700</v>
      </c>
      <c r="X73" s="4">
        <v>643428817</v>
      </c>
      <c r="Y73" s="8">
        <v>0.34420000000000001</v>
      </c>
      <c r="Z73" s="16">
        <v>46.2</v>
      </c>
      <c r="AA73" s="18">
        <f t="shared" si="5"/>
        <v>35.992857142857147</v>
      </c>
    </row>
    <row r="74" spans="1:27" x14ac:dyDescent="0.2">
      <c r="A74" s="7" t="s">
        <v>238</v>
      </c>
      <c r="B74" s="8">
        <v>5.6999999999999993E-3</v>
      </c>
      <c r="C74" s="5">
        <f t="shared" si="6"/>
        <v>7.6500000000000054E-2</v>
      </c>
      <c r="D74" s="4">
        <v>268</v>
      </c>
      <c r="E74" s="4">
        <v>75</v>
      </c>
      <c r="F74" s="19">
        <v>194</v>
      </c>
      <c r="G74" s="8">
        <v>5.4000000000000003E-3</v>
      </c>
      <c r="H74" s="37">
        <f t="shared" si="1"/>
        <v>0.10230000000000004</v>
      </c>
      <c r="I74" s="4">
        <v>19</v>
      </c>
      <c r="J74" s="4">
        <v>2</v>
      </c>
      <c r="K74" s="19">
        <v>9</v>
      </c>
      <c r="L74" s="20">
        <v>44</v>
      </c>
      <c r="M74" s="36">
        <v>53</v>
      </c>
      <c r="N74">
        <v>51</v>
      </c>
      <c r="O74">
        <v>100</v>
      </c>
      <c r="P74" s="4">
        <v>-765818575698</v>
      </c>
      <c r="Q74" s="3">
        <f t="shared" si="2"/>
        <v>-12041587086690</v>
      </c>
      <c r="R74" s="3">
        <v>-757974305698</v>
      </c>
      <c r="S74" s="3">
        <f t="shared" si="3"/>
        <v>-4224998546087</v>
      </c>
      <c r="T74" s="4">
        <v>18</v>
      </c>
      <c r="U74" s="4">
        <v>18</v>
      </c>
      <c r="V74" s="4">
        <v>-81207616000</v>
      </c>
      <c r="W74" s="4">
        <f t="shared" si="4"/>
        <v>348759089700</v>
      </c>
      <c r="X74" s="4">
        <v>570363680</v>
      </c>
      <c r="Y74" s="8">
        <v>0.31579999999999997</v>
      </c>
      <c r="Z74" s="16">
        <v>46.7</v>
      </c>
      <c r="AA74" s="18">
        <f t="shared" si="5"/>
        <v>36.264285714285712</v>
      </c>
    </row>
    <row r="75" spans="1:27" x14ac:dyDescent="0.2">
      <c r="A75" s="7" t="s">
        <v>237</v>
      </c>
      <c r="B75" s="8">
        <v>3.8E-3</v>
      </c>
      <c r="C75" s="5">
        <f t="shared" si="6"/>
        <v>7.0800000000000057E-2</v>
      </c>
      <c r="D75" s="4">
        <v>209</v>
      </c>
      <c r="E75" s="4">
        <v>97</v>
      </c>
      <c r="F75" s="19">
        <v>227</v>
      </c>
      <c r="G75" s="8">
        <v>5.5000000000000005E-3</v>
      </c>
      <c r="H75" s="37">
        <f t="shared" si="1"/>
        <v>9.6900000000000042E-2</v>
      </c>
      <c r="I75" s="4">
        <v>13</v>
      </c>
      <c r="J75" s="4">
        <v>4</v>
      </c>
      <c r="K75" s="19">
        <v>13</v>
      </c>
      <c r="L75" s="20">
        <v>32</v>
      </c>
      <c r="M75" s="36">
        <v>55</v>
      </c>
      <c r="N75">
        <v>65</v>
      </c>
      <c r="O75">
        <v>86</v>
      </c>
      <c r="P75" s="4">
        <v>380910339440</v>
      </c>
      <c r="Q75" s="3">
        <f t="shared" si="2"/>
        <v>-11275768510992</v>
      </c>
      <c r="R75" s="3">
        <v>394211429440</v>
      </c>
      <c r="S75" s="3">
        <f t="shared" si="3"/>
        <v>-3467024240389</v>
      </c>
      <c r="T75" s="4">
        <v>15</v>
      </c>
      <c r="U75" s="4">
        <v>22</v>
      </c>
      <c r="V75" s="4">
        <v>-192756717000</v>
      </c>
      <c r="W75" s="4">
        <f t="shared" si="4"/>
        <v>429966705700</v>
      </c>
      <c r="X75" s="4">
        <v>620884392</v>
      </c>
      <c r="Y75" s="8">
        <v>0.3306</v>
      </c>
      <c r="Z75" s="16">
        <v>40</v>
      </c>
      <c r="AA75" s="18">
        <f t="shared" si="5"/>
        <v>37.035714285714285</v>
      </c>
    </row>
    <row r="76" spans="1:27" x14ac:dyDescent="0.2">
      <c r="A76" s="7" t="s">
        <v>236</v>
      </c>
      <c r="B76" s="8">
        <v>-5.0000000000000001E-4</v>
      </c>
      <c r="C76" s="5">
        <f t="shared" si="6"/>
        <v>6.700000000000006E-2</v>
      </c>
      <c r="D76" s="4">
        <v>166</v>
      </c>
      <c r="E76" s="4">
        <v>74</v>
      </c>
      <c r="F76" s="19">
        <v>293</v>
      </c>
      <c r="G76" s="8">
        <v>1.2999999999999999E-3</v>
      </c>
      <c r="H76" s="37">
        <f t="shared" si="1"/>
        <v>9.1400000000000037E-2</v>
      </c>
      <c r="I76" s="4">
        <v>11</v>
      </c>
      <c r="J76" s="4">
        <v>3</v>
      </c>
      <c r="K76" s="19">
        <v>16</v>
      </c>
      <c r="L76" s="20">
        <v>17</v>
      </c>
      <c r="M76" s="36">
        <v>73</v>
      </c>
      <c r="N76">
        <v>50</v>
      </c>
      <c r="O76">
        <v>97</v>
      </c>
      <c r="P76" s="4">
        <v>-32986544486</v>
      </c>
      <c r="Q76" s="3">
        <f t="shared" si="2"/>
        <v>-11656678850432</v>
      </c>
      <c r="R76" s="3">
        <v>-9209174486</v>
      </c>
      <c r="S76" s="3">
        <f t="shared" si="3"/>
        <v>-3861235669829</v>
      </c>
      <c r="T76" s="4">
        <v>14</v>
      </c>
      <c r="U76" s="4">
        <v>26</v>
      </c>
      <c r="V76" s="4">
        <v>-780172394000</v>
      </c>
      <c r="W76" s="4">
        <f t="shared" si="4"/>
        <v>622723422700</v>
      </c>
      <c r="X76" s="4">
        <v>569651810</v>
      </c>
      <c r="Y76" s="8">
        <v>0.30990000000000001</v>
      </c>
      <c r="Z76" s="16">
        <v>33.1</v>
      </c>
      <c r="AA76" s="18">
        <f t="shared" si="5"/>
        <v>38.15</v>
      </c>
    </row>
    <row r="77" spans="1:27" x14ac:dyDescent="0.2">
      <c r="A77" s="22" t="s">
        <v>235</v>
      </c>
      <c r="B77" s="8">
        <v>2.4E-2</v>
      </c>
      <c r="C77" s="5">
        <f t="shared" si="6"/>
        <v>6.750000000000006E-2</v>
      </c>
      <c r="D77" s="4">
        <v>435</v>
      </c>
      <c r="E77" s="4">
        <v>39</v>
      </c>
      <c r="F77" s="19">
        <v>69</v>
      </c>
      <c r="G77" s="8">
        <v>2.6499999999999999E-2</v>
      </c>
      <c r="H77" s="37">
        <f t="shared" si="1"/>
        <v>9.0100000000000041E-2</v>
      </c>
      <c r="I77" s="4">
        <v>0</v>
      </c>
      <c r="J77" s="4">
        <v>0</v>
      </c>
      <c r="K77" s="19">
        <v>30</v>
      </c>
      <c r="L77" s="20">
        <v>91</v>
      </c>
      <c r="M77" s="36">
        <v>7</v>
      </c>
      <c r="N77">
        <v>95</v>
      </c>
      <c r="O77">
        <v>60</v>
      </c>
      <c r="P77" s="4">
        <v>728228976764</v>
      </c>
      <c r="Q77" s="3">
        <f t="shared" si="2"/>
        <v>-11623692305946</v>
      </c>
      <c r="R77" s="3">
        <v>817989986764</v>
      </c>
      <c r="S77" s="3">
        <f t="shared" si="3"/>
        <v>-3852026495343</v>
      </c>
      <c r="T77" s="4">
        <v>31</v>
      </c>
      <c r="U77" s="4">
        <v>11</v>
      </c>
      <c r="V77" s="4">
        <v>67957973000</v>
      </c>
      <c r="W77" s="4">
        <f t="shared" si="4"/>
        <v>1402895816700</v>
      </c>
      <c r="X77" s="4">
        <v>820079823</v>
      </c>
      <c r="Y77" s="8">
        <v>0.3422</v>
      </c>
      <c r="Z77" s="16">
        <v>28.2</v>
      </c>
      <c r="AA77" s="18">
        <f t="shared" si="5"/>
        <v>39.600000000000009</v>
      </c>
    </row>
    <row r="78" spans="1:27" x14ac:dyDescent="0.2">
      <c r="A78" s="11" t="s">
        <v>234</v>
      </c>
      <c r="B78" s="8">
        <v>-1.0800000000000001E-2</v>
      </c>
      <c r="C78" s="5">
        <f t="shared" si="6"/>
        <v>4.3500000000000053E-2</v>
      </c>
      <c r="D78" s="4">
        <v>117</v>
      </c>
      <c r="E78" s="4">
        <v>57</v>
      </c>
      <c r="F78" s="19">
        <v>360</v>
      </c>
      <c r="G78" s="8">
        <v>-5.1999999999999998E-3</v>
      </c>
      <c r="H78" s="37">
        <f t="shared" si="1"/>
        <v>6.3600000000000045E-2</v>
      </c>
      <c r="I78" s="4">
        <v>6</v>
      </c>
      <c r="J78" s="4">
        <v>0</v>
      </c>
      <c r="K78" s="19">
        <v>24</v>
      </c>
      <c r="L78" s="20">
        <v>4</v>
      </c>
      <c r="M78" s="36">
        <v>100</v>
      </c>
      <c r="N78">
        <v>59</v>
      </c>
      <c r="O78">
        <v>89</v>
      </c>
      <c r="P78" s="4">
        <v>-229636012587</v>
      </c>
      <c r="Q78" s="3">
        <f t="shared" si="2"/>
        <v>-12351921282710</v>
      </c>
      <c r="R78" s="3">
        <v>-36087142587</v>
      </c>
      <c r="S78" s="3">
        <f t="shared" si="3"/>
        <v>-4670016482107</v>
      </c>
      <c r="T78" s="4">
        <v>22</v>
      </c>
      <c r="U78" s="4">
        <v>23</v>
      </c>
      <c r="V78" s="4">
        <v>-879317305000</v>
      </c>
      <c r="W78" s="4">
        <f t="shared" si="4"/>
        <v>1334937843700</v>
      </c>
      <c r="X78" s="4">
        <v>778311310</v>
      </c>
      <c r="Y78" s="8">
        <v>0.35149999999999998</v>
      </c>
      <c r="Z78" s="16">
        <v>21.9</v>
      </c>
      <c r="AA78" s="18">
        <f t="shared" si="5"/>
        <v>42</v>
      </c>
    </row>
    <row r="79" spans="1:27" x14ac:dyDescent="0.2">
      <c r="A79" s="11" t="s">
        <v>233</v>
      </c>
      <c r="B79" s="8">
        <v>1.3100000000000001E-2</v>
      </c>
      <c r="C79" s="5">
        <f t="shared" si="6"/>
        <v>5.430000000000005E-2</v>
      </c>
      <c r="D79" s="4">
        <v>374</v>
      </c>
      <c r="E79" s="4">
        <v>59</v>
      </c>
      <c r="F79" s="19">
        <v>114</v>
      </c>
      <c r="G79" s="8">
        <v>1.06E-2</v>
      </c>
      <c r="H79" s="37">
        <f t="shared" si="1"/>
        <v>6.8800000000000042E-2</v>
      </c>
      <c r="I79" s="4">
        <v>23</v>
      </c>
      <c r="J79" s="4">
        <v>3</v>
      </c>
      <c r="K79" s="19">
        <v>4</v>
      </c>
      <c r="L79" s="20">
        <v>50</v>
      </c>
      <c r="M79" s="36">
        <v>41</v>
      </c>
      <c r="N79">
        <v>74</v>
      </c>
      <c r="O79">
        <v>74</v>
      </c>
      <c r="P79" s="4">
        <v>195855790572</v>
      </c>
      <c r="Q79" s="3">
        <f t="shared" si="2"/>
        <v>-12122285270123</v>
      </c>
      <c r="R79" s="3">
        <v>269840720572</v>
      </c>
      <c r="S79" s="3">
        <f t="shared" si="3"/>
        <v>-4633929339520</v>
      </c>
      <c r="T79" s="4">
        <v>27</v>
      </c>
      <c r="U79" s="4">
        <v>21</v>
      </c>
      <c r="V79" s="4">
        <v>299192099000</v>
      </c>
      <c r="W79" s="4">
        <f t="shared" si="4"/>
        <v>2214255148700</v>
      </c>
      <c r="X79" s="4">
        <v>708578793</v>
      </c>
      <c r="Y79" s="8">
        <v>0.34460000000000002</v>
      </c>
      <c r="Z79" s="16">
        <v>29.6</v>
      </c>
      <c r="AA79" s="18">
        <f t="shared" si="5"/>
        <v>43.821428571428569</v>
      </c>
    </row>
    <row r="80" spans="1:27" x14ac:dyDescent="0.2">
      <c r="A80" s="11" t="s">
        <v>232</v>
      </c>
      <c r="B80" s="8">
        <v>-1.52E-2</v>
      </c>
      <c r="C80" s="5">
        <f t="shared" si="6"/>
        <v>4.1200000000000049E-2</v>
      </c>
      <c r="D80" s="4">
        <v>90</v>
      </c>
      <c r="E80" s="4">
        <v>54</v>
      </c>
      <c r="F80" s="19">
        <v>405</v>
      </c>
      <c r="G80" s="8">
        <v>-1.38E-2</v>
      </c>
      <c r="H80" s="37">
        <f t="shared" si="1"/>
        <v>5.8200000000000036E-2</v>
      </c>
      <c r="I80" s="4">
        <v>2</v>
      </c>
      <c r="J80" s="4">
        <v>3</v>
      </c>
      <c r="K80" s="19">
        <v>25</v>
      </c>
      <c r="L80" s="20">
        <v>6</v>
      </c>
      <c r="M80" s="36">
        <v>93</v>
      </c>
      <c r="N80">
        <v>89</v>
      </c>
      <c r="O80">
        <v>59</v>
      </c>
      <c r="P80" s="4">
        <v>662537876864</v>
      </c>
      <c r="Q80" s="3">
        <f t="shared" si="2"/>
        <v>-12318141060695</v>
      </c>
      <c r="R80" s="3">
        <v>790046126864</v>
      </c>
      <c r="S80" s="3">
        <f t="shared" si="3"/>
        <v>-4903770060092</v>
      </c>
      <c r="T80" s="4">
        <v>46</v>
      </c>
      <c r="U80" s="4">
        <v>2</v>
      </c>
      <c r="V80" s="4">
        <v>565767842000</v>
      </c>
      <c r="W80" s="4">
        <f t="shared" si="4"/>
        <v>1915063049700</v>
      </c>
      <c r="X80" s="4">
        <v>1070536473</v>
      </c>
      <c r="Y80" s="8">
        <v>0.2959</v>
      </c>
      <c r="Z80" s="16">
        <v>24.4</v>
      </c>
      <c r="AA80" s="18">
        <f t="shared" si="5"/>
        <v>46.45</v>
      </c>
    </row>
    <row r="81" spans="1:27" x14ac:dyDescent="0.2">
      <c r="A81" s="7" t="s">
        <v>231</v>
      </c>
      <c r="B81" s="8">
        <v>-1.8600000000000002E-2</v>
      </c>
      <c r="C81" s="5">
        <f t="shared" si="6"/>
        <v>5.6400000000000047E-2</v>
      </c>
      <c r="D81" s="4">
        <v>137</v>
      </c>
      <c r="E81" s="4">
        <v>57</v>
      </c>
      <c r="F81" s="19">
        <v>348</v>
      </c>
      <c r="G81" s="8">
        <v>-1.78E-2</v>
      </c>
      <c r="H81" s="37">
        <f t="shared" si="1"/>
        <v>7.2000000000000036E-2</v>
      </c>
      <c r="I81" s="4">
        <v>4</v>
      </c>
      <c r="J81" s="4">
        <v>0</v>
      </c>
      <c r="K81" s="19">
        <v>26</v>
      </c>
      <c r="L81" s="20">
        <v>9</v>
      </c>
      <c r="M81" s="36">
        <v>95</v>
      </c>
      <c r="N81">
        <v>50</v>
      </c>
      <c r="O81">
        <v>95</v>
      </c>
      <c r="P81" s="4">
        <v>-565429370147</v>
      </c>
      <c r="Q81" s="3">
        <f t="shared" si="2"/>
        <v>-12980678937559</v>
      </c>
      <c r="R81" s="3">
        <v>-302694770147</v>
      </c>
      <c r="S81" s="3">
        <f t="shared" si="3"/>
        <v>-5693816186956</v>
      </c>
      <c r="T81" s="4">
        <v>22</v>
      </c>
      <c r="U81" s="4">
        <v>27</v>
      </c>
      <c r="V81" s="4">
        <v>-235182578000</v>
      </c>
      <c r="W81" s="4">
        <f t="shared" si="4"/>
        <v>1349295207700</v>
      </c>
      <c r="X81" s="4">
        <v>859252249</v>
      </c>
      <c r="Y81" s="8">
        <v>0.30099999999999999</v>
      </c>
      <c r="Z81" s="16">
        <v>24.7</v>
      </c>
      <c r="AA81" s="18">
        <f t="shared" si="5"/>
        <v>49.028571428571425</v>
      </c>
    </row>
    <row r="82" spans="1:27" x14ac:dyDescent="0.2">
      <c r="A82" s="7" t="s">
        <v>230</v>
      </c>
      <c r="B82" s="8">
        <v>-8.0000000000000004E-4</v>
      </c>
      <c r="C82" s="5">
        <f t="shared" si="6"/>
        <v>7.5000000000000053E-2</v>
      </c>
      <c r="D82" s="4">
        <v>140</v>
      </c>
      <c r="E82" s="4">
        <v>58</v>
      </c>
      <c r="F82" s="19">
        <v>361</v>
      </c>
      <c r="G82" s="8">
        <v>3.9000000000000003E-3</v>
      </c>
      <c r="H82" s="37">
        <f t="shared" si="1"/>
        <v>8.9800000000000033E-2</v>
      </c>
      <c r="I82" s="4">
        <v>14</v>
      </c>
      <c r="J82" s="4">
        <v>3</v>
      </c>
      <c r="K82" s="19">
        <v>13</v>
      </c>
      <c r="L82" s="20">
        <v>9</v>
      </c>
      <c r="M82" s="36">
        <v>93</v>
      </c>
      <c r="N82">
        <v>95</v>
      </c>
      <c r="O82">
        <v>57</v>
      </c>
      <c r="P82" s="4">
        <v>155661052869</v>
      </c>
      <c r="Q82" s="3">
        <f t="shared" si="2"/>
        <v>-12415249567412</v>
      </c>
      <c r="R82" s="3">
        <v>474887862869</v>
      </c>
      <c r="S82" s="3">
        <f t="shared" si="3"/>
        <v>-5391121416809</v>
      </c>
      <c r="T82" s="4">
        <v>47</v>
      </c>
      <c r="U82" s="4">
        <v>1</v>
      </c>
      <c r="V82" s="4">
        <v>1473200456000</v>
      </c>
      <c r="W82" s="4">
        <f t="shared" si="4"/>
        <v>1584477785700</v>
      </c>
      <c r="X82" s="4">
        <v>1355239132</v>
      </c>
      <c r="Y82" s="8">
        <v>0.30790000000000001</v>
      </c>
      <c r="Z82" s="16">
        <v>31.1</v>
      </c>
      <c r="AA82" s="18">
        <f t="shared" si="5"/>
        <v>50.578571428571429</v>
      </c>
    </row>
    <row r="83" spans="1:27" x14ac:dyDescent="0.2">
      <c r="A83" s="7" t="s">
        <v>229</v>
      </c>
      <c r="B83" s="8">
        <v>-4.7E-2</v>
      </c>
      <c r="C83" s="5">
        <f t="shared" si="6"/>
        <v>7.5800000000000048E-2</v>
      </c>
      <c r="D83" s="4">
        <v>40</v>
      </c>
      <c r="E83" s="4">
        <v>30</v>
      </c>
      <c r="F83" s="19">
        <v>475</v>
      </c>
      <c r="G83" s="8">
        <v>-4.4199999999999996E-2</v>
      </c>
      <c r="H83" s="37">
        <f t="shared" si="1"/>
        <v>8.5900000000000032E-2</v>
      </c>
      <c r="I83" s="4">
        <v>1</v>
      </c>
      <c r="J83" s="4">
        <v>0</v>
      </c>
      <c r="K83" s="19">
        <v>29</v>
      </c>
      <c r="L83" s="20">
        <v>0</v>
      </c>
      <c r="M83" s="36">
        <v>117</v>
      </c>
      <c r="N83">
        <v>58</v>
      </c>
      <c r="O83">
        <v>91</v>
      </c>
      <c r="P83" s="4">
        <v>-1292132480945</v>
      </c>
      <c r="Q83" s="3">
        <f t="shared" si="2"/>
        <v>-12570910620281</v>
      </c>
      <c r="R83" s="3">
        <v>-921029630945</v>
      </c>
      <c r="S83" s="3">
        <f t="shared" si="3"/>
        <v>-5866009279678</v>
      </c>
      <c r="T83" s="4">
        <v>44</v>
      </c>
      <c r="U83" s="4">
        <v>5</v>
      </c>
      <c r="V83" s="4">
        <v>734317894000</v>
      </c>
      <c r="W83" s="4">
        <f t="shared" si="4"/>
        <v>111277329700</v>
      </c>
      <c r="X83" s="4">
        <v>1455862779</v>
      </c>
      <c r="Y83" s="8">
        <v>0.36979999999999996</v>
      </c>
      <c r="Z83" s="16">
        <v>38.6</v>
      </c>
      <c r="AA83" s="18">
        <f t="shared" si="5"/>
        <v>51.635714285714279</v>
      </c>
    </row>
    <row r="84" spans="1:27" x14ac:dyDescent="0.2">
      <c r="A84" s="7" t="s">
        <v>228</v>
      </c>
      <c r="B84" s="8">
        <v>1.46E-2</v>
      </c>
      <c r="C84" s="5">
        <f t="shared" si="6"/>
        <v>0.12280000000000005</v>
      </c>
      <c r="D84" s="4">
        <v>317</v>
      </c>
      <c r="E84" s="4">
        <v>55</v>
      </c>
      <c r="F84" s="19">
        <v>143</v>
      </c>
      <c r="G84" s="8">
        <v>1.7299999999999999E-2</v>
      </c>
      <c r="H84" s="37">
        <f t="shared" si="1"/>
        <v>0.13010000000000002</v>
      </c>
      <c r="I84" s="4">
        <v>29</v>
      </c>
      <c r="J84" s="4">
        <v>0</v>
      </c>
      <c r="K84" s="19">
        <v>1</v>
      </c>
      <c r="L84" s="20">
        <v>49</v>
      </c>
      <c r="M84" s="36">
        <v>38</v>
      </c>
      <c r="N84">
        <v>48</v>
      </c>
      <c r="O84">
        <v>96</v>
      </c>
      <c r="P84" s="4">
        <v>-723406590932</v>
      </c>
      <c r="Q84" s="3">
        <f t="shared" si="2"/>
        <v>-11278778139336</v>
      </c>
      <c r="R84" s="3">
        <v>-449950830932</v>
      </c>
      <c r="S84" s="3">
        <f t="shared" si="3"/>
        <v>-4944979648733</v>
      </c>
      <c r="T84" s="4">
        <v>29</v>
      </c>
      <c r="U84" s="4">
        <v>18</v>
      </c>
      <c r="V84" s="4">
        <v>103627150000</v>
      </c>
      <c r="W84" s="4">
        <f t="shared" si="4"/>
        <v>-623040564300</v>
      </c>
      <c r="X84" s="4">
        <v>944444595</v>
      </c>
      <c r="Y84" s="8">
        <v>0.49909999999999999</v>
      </c>
      <c r="Z84" s="16">
        <v>47.8</v>
      </c>
      <c r="AA84" s="18">
        <f t="shared" si="5"/>
        <v>51.571428571428562</v>
      </c>
    </row>
    <row r="85" spans="1:27" x14ac:dyDescent="0.2">
      <c r="A85" s="7" t="s">
        <v>227</v>
      </c>
      <c r="B85" s="8">
        <v>-2.9999999999999997E-4</v>
      </c>
      <c r="C85" s="5">
        <f t="shared" si="6"/>
        <v>0.10820000000000005</v>
      </c>
      <c r="D85" s="4">
        <v>150</v>
      </c>
      <c r="E85" s="4">
        <v>84</v>
      </c>
      <c r="F85" s="19">
        <v>308</v>
      </c>
      <c r="G85" s="8">
        <v>-8.0000000000000004E-4</v>
      </c>
      <c r="H85" s="37">
        <f t="shared" si="1"/>
        <v>0.11280000000000003</v>
      </c>
      <c r="I85" s="4">
        <v>11</v>
      </c>
      <c r="J85" s="4">
        <v>3</v>
      </c>
      <c r="K85" s="19">
        <v>16</v>
      </c>
      <c r="L85" s="20">
        <v>28</v>
      </c>
      <c r="M85" s="36">
        <v>60</v>
      </c>
      <c r="N85">
        <v>75</v>
      </c>
      <c r="O85">
        <v>72</v>
      </c>
      <c r="P85" s="4">
        <v>134160890989</v>
      </c>
      <c r="Q85" s="3">
        <f t="shared" si="2"/>
        <v>-10555371548404</v>
      </c>
      <c r="R85" s="3">
        <v>461707860989</v>
      </c>
      <c r="S85" s="3">
        <f t="shared" si="3"/>
        <v>-4495028817801</v>
      </c>
      <c r="T85" s="4">
        <v>28</v>
      </c>
      <c r="U85" s="4">
        <v>16</v>
      </c>
      <c r="V85" s="4">
        <v>484293033000</v>
      </c>
      <c r="W85" s="4">
        <f t="shared" si="4"/>
        <v>-726667714300</v>
      </c>
      <c r="X85" s="4">
        <v>686819590</v>
      </c>
      <c r="Y85" s="8">
        <v>0.26150000000000001</v>
      </c>
      <c r="Z85" s="16">
        <v>40.299999999999997</v>
      </c>
      <c r="AA85" s="18">
        <f t="shared" si="5"/>
        <v>52.55</v>
      </c>
    </row>
    <row r="86" spans="1:27" x14ac:dyDescent="0.2">
      <c r="A86" s="7" t="s">
        <v>226</v>
      </c>
      <c r="B86" s="8">
        <v>-3.4000000000000002E-3</v>
      </c>
      <c r="C86" s="5">
        <f t="shared" si="6"/>
        <v>0.10850000000000004</v>
      </c>
      <c r="D86" s="4">
        <v>177</v>
      </c>
      <c r="E86" s="4">
        <v>85</v>
      </c>
      <c r="F86" s="19">
        <v>275</v>
      </c>
      <c r="G86" s="8">
        <v>-2.3999999999999998E-3</v>
      </c>
      <c r="H86" s="37">
        <f t="shared" si="1"/>
        <v>0.11360000000000002</v>
      </c>
      <c r="I86" s="4">
        <v>7</v>
      </c>
      <c r="J86" s="4">
        <v>5</v>
      </c>
      <c r="K86" s="19">
        <v>18</v>
      </c>
      <c r="L86" s="20">
        <v>14</v>
      </c>
      <c r="M86" s="36">
        <v>93</v>
      </c>
      <c r="N86">
        <v>55</v>
      </c>
      <c r="O86">
        <v>90</v>
      </c>
      <c r="P86" s="4">
        <v>-473523929796</v>
      </c>
      <c r="Q86" s="3">
        <f t="shared" si="2"/>
        <v>-10689532439393</v>
      </c>
      <c r="R86" s="3">
        <v>-295008315221</v>
      </c>
      <c r="S86" s="3">
        <f t="shared" si="3"/>
        <v>-4956736678790</v>
      </c>
      <c r="T86" s="4">
        <v>11</v>
      </c>
      <c r="U86" s="4">
        <v>34</v>
      </c>
      <c r="V86" s="4">
        <v>-553511890000</v>
      </c>
      <c r="W86" s="4">
        <f t="shared" si="4"/>
        <v>-1210960747300</v>
      </c>
      <c r="X86" s="4">
        <v>702274717</v>
      </c>
      <c r="Y86" s="8">
        <v>0.33770000000000006</v>
      </c>
      <c r="Z86" s="16">
        <v>47.6</v>
      </c>
      <c r="AA86" s="18">
        <f t="shared" si="5"/>
        <v>52.978571428571421</v>
      </c>
    </row>
    <row r="87" spans="1:27" x14ac:dyDescent="0.2">
      <c r="A87" s="7" t="s">
        <v>225</v>
      </c>
      <c r="B87" s="8">
        <v>0.01</v>
      </c>
      <c r="C87" s="5">
        <f t="shared" si="6"/>
        <v>0.11190000000000004</v>
      </c>
      <c r="D87" s="4">
        <v>332</v>
      </c>
      <c r="E87" s="4">
        <v>71</v>
      </c>
      <c r="F87" s="19">
        <v>137</v>
      </c>
      <c r="G87" s="8">
        <v>9.7000000000000003E-3</v>
      </c>
      <c r="H87" s="37">
        <f t="shared" si="1"/>
        <v>0.11600000000000002</v>
      </c>
      <c r="I87" s="4">
        <v>22</v>
      </c>
      <c r="J87" s="4">
        <v>4</v>
      </c>
      <c r="K87" s="19">
        <v>4</v>
      </c>
      <c r="L87" s="20">
        <v>46</v>
      </c>
      <c r="M87" s="36">
        <v>44</v>
      </c>
      <c r="N87">
        <v>88</v>
      </c>
      <c r="O87">
        <v>59</v>
      </c>
      <c r="P87" s="4">
        <v>409045284335</v>
      </c>
      <c r="Q87" s="3">
        <f t="shared" ref="Q87:Q118" si="7">P87+Q88</f>
        <v>-10216008509597</v>
      </c>
      <c r="R87" s="3">
        <v>535301204335</v>
      </c>
      <c r="S87" s="3">
        <f t="shared" si="3"/>
        <v>-4661728363569</v>
      </c>
      <c r="T87" s="4">
        <v>20</v>
      </c>
      <c r="U87" s="4">
        <v>23</v>
      </c>
      <c r="V87" s="4">
        <v>-213051493000</v>
      </c>
      <c r="W87" s="4">
        <f t="shared" si="4"/>
        <v>-657448857300</v>
      </c>
      <c r="X87" s="4">
        <v>717434222</v>
      </c>
      <c r="Y87" s="8">
        <v>0.29260000000000003</v>
      </c>
      <c r="Z87" s="16">
        <v>49.9</v>
      </c>
      <c r="AA87" s="18">
        <f t="shared" si="5"/>
        <v>53.18571428571429</v>
      </c>
    </row>
    <row r="88" spans="1:27" x14ac:dyDescent="0.2">
      <c r="A88" s="7" t="s">
        <v>224</v>
      </c>
      <c r="B88" s="8">
        <v>-3.8E-3</v>
      </c>
      <c r="C88" s="5">
        <f t="shared" si="6"/>
        <v>0.10190000000000005</v>
      </c>
      <c r="D88" s="4">
        <v>112</v>
      </c>
      <c r="E88" s="4">
        <v>81</v>
      </c>
      <c r="F88" s="19">
        <v>355</v>
      </c>
      <c r="G88" s="8">
        <v>-2.3999999999999998E-3</v>
      </c>
      <c r="H88" s="37">
        <f t="shared" si="1"/>
        <v>0.10630000000000002</v>
      </c>
      <c r="I88" s="4">
        <v>9</v>
      </c>
      <c r="J88" s="4">
        <v>4</v>
      </c>
      <c r="K88" s="19">
        <v>17</v>
      </c>
      <c r="L88" s="20">
        <v>15</v>
      </c>
      <c r="M88" s="36">
        <v>77</v>
      </c>
      <c r="N88">
        <v>82</v>
      </c>
      <c r="O88">
        <v>67</v>
      </c>
      <c r="P88" s="4">
        <v>25844234540</v>
      </c>
      <c r="Q88" s="3">
        <f t="shared" si="7"/>
        <v>-10625053793932</v>
      </c>
      <c r="R88" s="3">
        <v>446967144540</v>
      </c>
      <c r="S88" s="3">
        <f t="shared" si="3"/>
        <v>-5197029567904</v>
      </c>
      <c r="T88" s="4">
        <v>32</v>
      </c>
      <c r="U88" s="4">
        <v>20</v>
      </c>
      <c r="V88" s="4">
        <v>-418428115000</v>
      </c>
      <c r="W88" s="4">
        <f t="shared" si="4"/>
        <v>-444397364300</v>
      </c>
      <c r="X88" s="4">
        <v>876038830</v>
      </c>
      <c r="Y88" s="8">
        <v>0.29359999999999997</v>
      </c>
      <c r="Z88" s="16">
        <v>50.5</v>
      </c>
      <c r="AA88" s="18">
        <f t="shared" si="5"/>
        <v>53.392857142857146</v>
      </c>
    </row>
    <row r="89" spans="1:27" x14ac:dyDescent="0.2">
      <c r="A89" s="7" t="s">
        <v>223</v>
      </c>
      <c r="B89" s="8">
        <v>-1.04E-2</v>
      </c>
      <c r="C89" s="5">
        <f t="shared" si="6"/>
        <v>0.10570000000000004</v>
      </c>
      <c r="D89" s="4">
        <v>116</v>
      </c>
      <c r="E89" s="4">
        <v>57</v>
      </c>
      <c r="F89" s="19">
        <v>381</v>
      </c>
      <c r="G89" s="8">
        <v>-7.8000000000000005E-3</v>
      </c>
      <c r="H89" s="37">
        <f t="shared" si="1"/>
        <v>0.10870000000000002</v>
      </c>
      <c r="I89" s="4">
        <v>2</v>
      </c>
      <c r="J89" s="4">
        <v>2</v>
      </c>
      <c r="K89" s="19">
        <v>26</v>
      </c>
      <c r="L89" s="20">
        <v>17</v>
      </c>
      <c r="M89" s="36">
        <v>81</v>
      </c>
      <c r="N89">
        <v>63</v>
      </c>
      <c r="O89">
        <v>86</v>
      </c>
      <c r="P89" s="4">
        <v>125283240952</v>
      </c>
      <c r="Q89" s="3">
        <f t="shared" si="7"/>
        <v>-10650898028472</v>
      </c>
      <c r="R89" s="3">
        <v>375436870952</v>
      </c>
      <c r="S89" s="3">
        <f t="shared" si="3"/>
        <v>-5643996712444</v>
      </c>
      <c r="T89" s="4">
        <v>28</v>
      </c>
      <c r="U89" s="4">
        <v>17</v>
      </c>
      <c r="V89" s="4">
        <v>372844485000</v>
      </c>
      <c r="W89" s="4">
        <f t="shared" si="4"/>
        <v>-25969249300</v>
      </c>
      <c r="X89" s="4">
        <v>1075439698</v>
      </c>
      <c r="Y89" s="8">
        <v>0.2495</v>
      </c>
      <c r="Z89" s="16">
        <v>50.8</v>
      </c>
      <c r="AA89" s="18">
        <f t="shared" si="5"/>
        <v>53.949999999999996</v>
      </c>
    </row>
    <row r="90" spans="1:27" x14ac:dyDescent="0.2">
      <c r="A90" s="7" t="s">
        <v>222</v>
      </c>
      <c r="B90" s="8">
        <v>-2.5000000000000001E-3</v>
      </c>
      <c r="C90" s="5">
        <f t="shared" si="6"/>
        <v>0.11610000000000004</v>
      </c>
      <c r="D90" s="4">
        <v>110</v>
      </c>
      <c r="E90" s="4">
        <v>62</v>
      </c>
      <c r="F90" s="19">
        <v>379</v>
      </c>
      <c r="G90" s="8">
        <v>-5.1999999999999998E-3</v>
      </c>
      <c r="H90" s="37">
        <f t="shared" si="1"/>
        <v>0.11650000000000002</v>
      </c>
      <c r="I90" s="4">
        <v>5</v>
      </c>
      <c r="J90" s="4">
        <v>4</v>
      </c>
      <c r="K90" s="19">
        <v>21</v>
      </c>
      <c r="L90" s="20">
        <v>17</v>
      </c>
      <c r="M90" s="36">
        <v>82</v>
      </c>
      <c r="N90">
        <v>90</v>
      </c>
      <c r="O90">
        <v>63</v>
      </c>
      <c r="P90" s="4">
        <v>618077430130</v>
      </c>
      <c r="Q90" s="3">
        <f t="shared" si="7"/>
        <v>-10776181269424</v>
      </c>
      <c r="R90" s="3">
        <v>710444250130</v>
      </c>
      <c r="S90" s="3">
        <f t="shared" si="3"/>
        <v>-6019433583396</v>
      </c>
      <c r="T90" s="4">
        <v>41</v>
      </c>
      <c r="U90" s="4">
        <v>5</v>
      </c>
      <c r="V90" s="4">
        <v>666027541000</v>
      </c>
      <c r="W90" s="4">
        <f t="shared" si="4"/>
        <v>-398813734300</v>
      </c>
      <c r="X90" s="4">
        <v>980907137</v>
      </c>
      <c r="Y90" s="8">
        <v>0.27510000000000001</v>
      </c>
      <c r="Z90" s="16">
        <v>48.7</v>
      </c>
      <c r="AA90" s="18">
        <f t="shared" si="5"/>
        <v>55.399999999999991</v>
      </c>
    </row>
    <row r="91" spans="1:27" x14ac:dyDescent="0.2">
      <c r="A91" s="7" t="s">
        <v>221</v>
      </c>
      <c r="B91" s="8">
        <v>-1.21E-2</v>
      </c>
      <c r="C91" s="5">
        <f t="shared" si="6"/>
        <v>0.11860000000000004</v>
      </c>
      <c r="D91" s="4">
        <v>130</v>
      </c>
      <c r="E91" s="4">
        <v>52</v>
      </c>
      <c r="F91" s="19">
        <v>368</v>
      </c>
      <c r="G91" s="8">
        <v>-1.3999999999999999E-2</v>
      </c>
      <c r="H91" s="37">
        <f t="shared" si="1"/>
        <v>0.12170000000000002</v>
      </c>
      <c r="I91" s="4">
        <v>0</v>
      </c>
      <c r="J91" s="4">
        <v>0</v>
      </c>
      <c r="K91" s="19">
        <v>30</v>
      </c>
      <c r="L91" s="20">
        <v>13</v>
      </c>
      <c r="M91" s="36">
        <v>85</v>
      </c>
      <c r="N91">
        <v>59</v>
      </c>
      <c r="O91">
        <v>92</v>
      </c>
      <c r="P91" s="4">
        <v>-1130550440508</v>
      </c>
      <c r="Q91" s="3">
        <f t="shared" si="7"/>
        <v>-11394258699554</v>
      </c>
      <c r="R91" s="3">
        <v>-887047710508</v>
      </c>
      <c r="S91" s="3">
        <f t="shared" si="3"/>
        <v>-6729877833526</v>
      </c>
      <c r="T91" s="4">
        <v>14</v>
      </c>
      <c r="U91" s="4">
        <v>24</v>
      </c>
      <c r="V91" s="4">
        <v>-676578784700</v>
      </c>
      <c r="W91" s="4">
        <f t="shared" si="4"/>
        <v>-1064841275300</v>
      </c>
      <c r="X91" s="4">
        <v>1077322954</v>
      </c>
      <c r="Y91" s="8">
        <v>0.27629999999999999</v>
      </c>
      <c r="Z91" s="16">
        <v>48.5</v>
      </c>
      <c r="AA91" s="18">
        <f t="shared" si="5"/>
        <v>56.921428571428571</v>
      </c>
    </row>
    <row r="92" spans="1:27" x14ac:dyDescent="0.2">
      <c r="A92" s="7" t="s">
        <v>220</v>
      </c>
      <c r="B92" s="8">
        <v>4.3E-3</v>
      </c>
      <c r="C92" s="5">
        <f t="shared" si="6"/>
        <v>0.13070000000000004</v>
      </c>
      <c r="D92" s="4">
        <v>246</v>
      </c>
      <c r="E92" s="4">
        <v>66</v>
      </c>
      <c r="F92" s="19">
        <v>241</v>
      </c>
      <c r="G92" s="8">
        <v>-2.0000000000000001E-4</v>
      </c>
      <c r="H92" s="37">
        <f t="shared" si="1"/>
        <v>0.13570000000000002</v>
      </c>
      <c r="I92" s="4">
        <v>15</v>
      </c>
      <c r="J92" s="4">
        <v>2</v>
      </c>
      <c r="K92" s="19">
        <v>13</v>
      </c>
      <c r="L92" s="20">
        <v>46</v>
      </c>
      <c r="M92" s="36">
        <v>53</v>
      </c>
      <c r="N92">
        <v>75</v>
      </c>
      <c r="O92">
        <v>78</v>
      </c>
      <c r="P92" s="4">
        <v>-592839624645</v>
      </c>
      <c r="Q92" s="3">
        <f t="shared" si="7"/>
        <v>-10263708259046</v>
      </c>
      <c r="R92" s="3">
        <v>-362940064645</v>
      </c>
      <c r="S92" s="3">
        <f t="shared" si="3"/>
        <v>-5842830123018</v>
      </c>
      <c r="T92" s="4">
        <v>25</v>
      </c>
      <c r="U92" s="4">
        <v>13</v>
      </c>
      <c r="V92" s="4">
        <v>-22272384000</v>
      </c>
      <c r="W92" s="4">
        <f t="shared" si="4"/>
        <v>-388262490600</v>
      </c>
      <c r="X92" s="4">
        <v>1087683661</v>
      </c>
      <c r="Y92" s="8">
        <v>0.37459999999999999</v>
      </c>
      <c r="Z92" s="16">
        <v>55.5</v>
      </c>
      <c r="AA92" s="18">
        <f t="shared" si="5"/>
        <v>57.321428571428569</v>
      </c>
    </row>
    <row r="93" spans="1:27" x14ac:dyDescent="0.2">
      <c r="A93" s="7" t="s">
        <v>219</v>
      </c>
      <c r="B93" s="8">
        <v>-2E-3</v>
      </c>
      <c r="C93" s="5">
        <f t="shared" si="6"/>
        <v>0.12640000000000004</v>
      </c>
      <c r="D93" s="4">
        <v>144</v>
      </c>
      <c r="E93" s="4">
        <v>77</v>
      </c>
      <c r="F93" s="19">
        <v>327</v>
      </c>
      <c r="G93" s="8">
        <v>-3.3E-3</v>
      </c>
      <c r="H93" s="37">
        <f t="shared" si="1"/>
        <v>0.13590000000000002</v>
      </c>
      <c r="I93" s="4">
        <v>10</v>
      </c>
      <c r="J93" s="4">
        <v>2</v>
      </c>
      <c r="K93" s="19">
        <v>18</v>
      </c>
      <c r="L93" s="20">
        <v>21</v>
      </c>
      <c r="M93" s="36">
        <v>81</v>
      </c>
      <c r="N93">
        <v>44</v>
      </c>
      <c r="O93">
        <v>107</v>
      </c>
      <c r="P93" s="4">
        <v>-656025206645</v>
      </c>
      <c r="Q93" s="3">
        <f t="shared" si="7"/>
        <v>-9670868634401</v>
      </c>
      <c r="R93" s="3">
        <v>-575193966645</v>
      </c>
      <c r="S93" s="3">
        <f t="shared" si="3"/>
        <v>-5479890058373</v>
      </c>
      <c r="T93" s="4">
        <v>35</v>
      </c>
      <c r="U93" s="4">
        <v>10</v>
      </c>
      <c r="V93" s="4">
        <v>338981137000</v>
      </c>
      <c r="W93" s="4">
        <f t="shared" si="4"/>
        <v>-365990106600</v>
      </c>
      <c r="X93" s="4">
        <v>971211980</v>
      </c>
      <c r="Y93" s="8">
        <v>0.2646</v>
      </c>
      <c r="Z93" s="16">
        <v>55.1</v>
      </c>
      <c r="AA93" s="18">
        <f t="shared" si="5"/>
        <v>57.3</v>
      </c>
    </row>
    <row r="94" spans="1:27" x14ac:dyDescent="0.2">
      <c r="A94" s="11" t="s">
        <v>218</v>
      </c>
      <c r="B94" s="8">
        <v>-4.6999999999999993E-3</v>
      </c>
      <c r="C94" s="5">
        <f t="shared" si="6"/>
        <v>0.12840000000000004</v>
      </c>
      <c r="D94" s="4">
        <v>159</v>
      </c>
      <c r="E94" s="4">
        <v>83</v>
      </c>
      <c r="F94" s="19">
        <v>296</v>
      </c>
      <c r="G94" s="8">
        <v>-4.7999999999999996E-3</v>
      </c>
      <c r="H94" s="37">
        <f t="shared" si="1"/>
        <v>0.13920000000000002</v>
      </c>
      <c r="I94" s="4">
        <v>7</v>
      </c>
      <c r="J94" s="4">
        <v>1</v>
      </c>
      <c r="K94" s="19">
        <v>22</v>
      </c>
      <c r="L94" s="20">
        <v>24</v>
      </c>
      <c r="M94" s="36">
        <v>72</v>
      </c>
      <c r="N94">
        <v>58</v>
      </c>
      <c r="O94">
        <v>91</v>
      </c>
      <c r="P94" s="4">
        <v>-638487002361</v>
      </c>
      <c r="Q94" s="3">
        <f t="shared" si="7"/>
        <v>-9014843427756</v>
      </c>
      <c r="R94" s="3">
        <v>-434404792361</v>
      </c>
      <c r="S94" s="3">
        <f t="shared" si="3"/>
        <v>-4904696091728</v>
      </c>
      <c r="T94" s="4">
        <v>17</v>
      </c>
      <c r="U94" s="4">
        <v>21</v>
      </c>
      <c r="V94" s="4">
        <v>152853190000</v>
      </c>
      <c r="W94" s="4">
        <f t="shared" si="4"/>
        <v>-704971243600</v>
      </c>
      <c r="X94" s="4">
        <v>922547400</v>
      </c>
      <c r="Y94" s="8">
        <v>0.3125</v>
      </c>
      <c r="Z94" s="16">
        <v>61.2</v>
      </c>
      <c r="AA94" s="18">
        <f t="shared" si="5"/>
        <v>56.864285714285707</v>
      </c>
    </row>
    <row r="95" spans="1:27" x14ac:dyDescent="0.2">
      <c r="A95" s="11" t="s">
        <v>217</v>
      </c>
      <c r="B95" s="8">
        <v>5.5000000000000005E-3</v>
      </c>
      <c r="C95" s="5">
        <f t="shared" si="6"/>
        <v>0.13310000000000005</v>
      </c>
      <c r="D95" s="4">
        <v>254</v>
      </c>
      <c r="E95" s="4">
        <v>80</v>
      </c>
      <c r="F95" s="19">
        <v>209</v>
      </c>
      <c r="G95" s="8">
        <v>1.1200000000000002E-2</v>
      </c>
      <c r="H95" s="37">
        <f t="shared" si="1"/>
        <v>0.14400000000000002</v>
      </c>
      <c r="I95" s="4">
        <v>18</v>
      </c>
      <c r="J95" s="4">
        <v>5</v>
      </c>
      <c r="K95" s="19">
        <v>7</v>
      </c>
      <c r="L95" s="20">
        <v>34</v>
      </c>
      <c r="M95" s="36">
        <v>69</v>
      </c>
      <c r="N95">
        <v>68</v>
      </c>
      <c r="O95">
        <v>79</v>
      </c>
      <c r="P95" s="4">
        <v>-1207067968539</v>
      </c>
      <c r="Q95" s="3">
        <f t="shared" si="7"/>
        <v>-8376356425395</v>
      </c>
      <c r="R95" s="3">
        <v>-610437598539</v>
      </c>
      <c r="S95" s="3">
        <f t="shared" si="3"/>
        <v>-4470291299367</v>
      </c>
      <c r="T95" s="4">
        <v>2</v>
      </c>
      <c r="U95" s="4">
        <v>2</v>
      </c>
      <c r="V95" s="4">
        <v>3712390000</v>
      </c>
      <c r="W95" s="4">
        <f t="shared" si="4"/>
        <v>-857824433600</v>
      </c>
      <c r="X95" s="4">
        <v>1012175340</v>
      </c>
      <c r="Y95" s="8">
        <v>0.33299999999999996</v>
      </c>
      <c r="Z95" s="16">
        <v>60.8</v>
      </c>
      <c r="AA95" s="18">
        <f t="shared" si="5"/>
        <v>56.885714285714286</v>
      </c>
    </row>
    <row r="96" spans="1:27" x14ac:dyDescent="0.2">
      <c r="A96" s="11" t="s">
        <v>216</v>
      </c>
      <c r="B96" s="8">
        <v>7.000000000000001E-4</v>
      </c>
      <c r="C96" s="5">
        <f t="shared" si="6"/>
        <v>0.12760000000000005</v>
      </c>
      <c r="D96" s="4">
        <v>244</v>
      </c>
      <c r="E96" s="4">
        <v>95</v>
      </c>
      <c r="F96" s="19">
        <v>209</v>
      </c>
      <c r="G96" s="8">
        <v>2E-3</v>
      </c>
      <c r="H96" s="37">
        <f t="shared" si="1"/>
        <v>0.13280000000000003</v>
      </c>
      <c r="I96" s="4">
        <v>13</v>
      </c>
      <c r="J96" s="4">
        <v>6</v>
      </c>
      <c r="K96" s="19">
        <v>11</v>
      </c>
      <c r="L96" s="20">
        <v>35</v>
      </c>
      <c r="M96" s="36">
        <v>63</v>
      </c>
      <c r="N96">
        <v>66</v>
      </c>
      <c r="O96">
        <v>84</v>
      </c>
      <c r="P96" s="4">
        <v>-1787224781819</v>
      </c>
      <c r="Q96" s="3">
        <f t="shared" si="7"/>
        <v>-7169288456856</v>
      </c>
      <c r="R96" s="3">
        <v>-1586592011819</v>
      </c>
      <c r="S96" s="3">
        <f t="shared" si="3"/>
        <v>-3859853700828</v>
      </c>
      <c r="T96" s="4">
        <v>11</v>
      </c>
      <c r="U96" s="4">
        <v>29</v>
      </c>
      <c r="V96" s="4">
        <v>-128504528000</v>
      </c>
      <c r="W96" s="4">
        <f t="shared" ref="W96:W112" si="8">V96+W97</f>
        <v>-861536823600</v>
      </c>
      <c r="X96" s="4">
        <v>919282582</v>
      </c>
      <c r="Y96" s="8">
        <v>0.27379999999999999</v>
      </c>
      <c r="Z96" s="16">
        <v>52.8</v>
      </c>
      <c r="AA96" s="18">
        <f t="shared" si="5"/>
        <v>58.157142857142858</v>
      </c>
    </row>
    <row r="97" spans="1:27" x14ac:dyDescent="0.2">
      <c r="A97" s="7" t="s">
        <v>215</v>
      </c>
      <c r="B97" s="8">
        <v>1.1299999999999999E-2</v>
      </c>
      <c r="C97" s="5">
        <f t="shared" ref="C97:C112" si="9">B97+C98</f>
        <v>0.12690000000000004</v>
      </c>
      <c r="D97" s="4">
        <v>342</v>
      </c>
      <c r="E97" s="4">
        <v>61</v>
      </c>
      <c r="F97" s="19">
        <v>139</v>
      </c>
      <c r="G97" s="8">
        <v>1.2800000000000001E-2</v>
      </c>
      <c r="H97" s="37">
        <f t="shared" ref="H97:H113" si="10">G97+H98</f>
        <v>0.13080000000000003</v>
      </c>
      <c r="I97" s="4">
        <v>26</v>
      </c>
      <c r="J97" s="4">
        <v>2</v>
      </c>
      <c r="K97" s="19">
        <v>2</v>
      </c>
      <c r="L97" s="20">
        <v>66</v>
      </c>
      <c r="M97" s="36">
        <v>35</v>
      </c>
      <c r="N97">
        <v>69</v>
      </c>
      <c r="O97">
        <v>74</v>
      </c>
      <c r="P97" s="4">
        <v>-159640789017</v>
      </c>
      <c r="Q97" s="3">
        <f t="shared" si="7"/>
        <v>-5382063675037</v>
      </c>
      <c r="R97" s="3">
        <v>-131599279017</v>
      </c>
      <c r="S97" s="3">
        <f t="shared" si="3"/>
        <v>-2273261689009</v>
      </c>
      <c r="T97" s="4">
        <v>32</v>
      </c>
      <c r="U97" s="4">
        <v>11</v>
      </c>
      <c r="V97" s="4">
        <v>-71154180000</v>
      </c>
      <c r="W97" s="4">
        <f t="shared" si="8"/>
        <v>-733032295600</v>
      </c>
      <c r="X97" s="4">
        <v>941695455</v>
      </c>
      <c r="Y97" s="8">
        <v>0.25700000000000001</v>
      </c>
      <c r="Z97" s="16">
        <v>53.4</v>
      </c>
      <c r="AA97" s="18">
        <f t="shared" si="5"/>
        <v>59.335714285714289</v>
      </c>
    </row>
    <row r="98" spans="1:27" x14ac:dyDescent="0.2">
      <c r="A98" s="7" t="s">
        <v>214</v>
      </c>
      <c r="B98" s="8">
        <v>-1.09E-2</v>
      </c>
      <c r="C98" s="5">
        <f t="shared" si="9"/>
        <v>0.11560000000000004</v>
      </c>
      <c r="D98" s="4">
        <v>119</v>
      </c>
      <c r="E98" s="4">
        <v>71</v>
      </c>
      <c r="F98" s="19">
        <v>351</v>
      </c>
      <c r="G98" s="8">
        <v>-1.1000000000000001E-2</v>
      </c>
      <c r="H98" s="37">
        <f t="shared" si="10"/>
        <v>0.11800000000000004</v>
      </c>
      <c r="I98" s="4">
        <v>0</v>
      </c>
      <c r="J98" s="4">
        <v>4</v>
      </c>
      <c r="K98" s="19">
        <v>26</v>
      </c>
      <c r="L98" s="20">
        <v>12</v>
      </c>
      <c r="M98" s="36">
        <v>105</v>
      </c>
      <c r="N98">
        <v>62</v>
      </c>
      <c r="O98">
        <v>85</v>
      </c>
      <c r="P98" s="4">
        <v>-396235907652</v>
      </c>
      <c r="Q98" s="3">
        <f t="shared" si="7"/>
        <v>-5222422886020</v>
      </c>
      <c r="R98" s="3">
        <v>-263448537652</v>
      </c>
      <c r="S98" s="3">
        <f t="shared" si="3"/>
        <v>-2141662409992</v>
      </c>
      <c r="T98" s="4">
        <v>15</v>
      </c>
      <c r="U98" s="4">
        <v>31</v>
      </c>
      <c r="V98" s="4">
        <v>-309764197000</v>
      </c>
      <c r="W98" s="4">
        <f t="shared" si="8"/>
        <v>-661878115600</v>
      </c>
      <c r="X98" s="4">
        <v>1242486633</v>
      </c>
      <c r="Y98" s="8">
        <v>0.24379999999999999</v>
      </c>
      <c r="Z98" s="16">
        <v>46.9</v>
      </c>
      <c r="AA98" s="18">
        <f t="shared" si="5"/>
        <v>61.528571428571432</v>
      </c>
    </row>
    <row r="99" spans="1:27" x14ac:dyDescent="0.2">
      <c r="A99" s="7" t="s">
        <v>213</v>
      </c>
      <c r="B99" s="8">
        <v>4.1999999999999997E-3</v>
      </c>
      <c r="C99" s="5">
        <f t="shared" si="9"/>
        <v>0.12650000000000003</v>
      </c>
      <c r="D99" s="4">
        <v>248</v>
      </c>
      <c r="E99" s="4">
        <v>77</v>
      </c>
      <c r="F99" s="19">
        <v>231</v>
      </c>
      <c r="G99" s="8">
        <v>2E-3</v>
      </c>
      <c r="H99" s="37">
        <f t="shared" si="10"/>
        <v>0.12900000000000003</v>
      </c>
      <c r="I99" s="4">
        <v>15</v>
      </c>
      <c r="J99" s="4">
        <v>3</v>
      </c>
      <c r="K99" s="19">
        <v>12</v>
      </c>
      <c r="L99" s="20">
        <v>24</v>
      </c>
      <c r="M99" s="36">
        <v>90</v>
      </c>
      <c r="N99">
        <v>55</v>
      </c>
      <c r="O99">
        <v>98</v>
      </c>
      <c r="P99" s="4">
        <v>-436289689253</v>
      </c>
      <c r="Q99" s="3">
        <f t="shared" si="7"/>
        <v>-4826186978368</v>
      </c>
      <c r="R99" s="3">
        <v>-258428819253</v>
      </c>
      <c r="S99" s="3">
        <f t="shared" si="3"/>
        <v>-1878213872340</v>
      </c>
      <c r="T99" s="4">
        <v>19</v>
      </c>
      <c r="U99" s="4">
        <v>27</v>
      </c>
      <c r="V99" s="4">
        <v>-280564237000</v>
      </c>
      <c r="W99" s="4">
        <f t="shared" si="8"/>
        <v>-352113918600</v>
      </c>
      <c r="X99" s="4">
        <v>1377676890</v>
      </c>
      <c r="Y99" s="8">
        <v>0.37119999999999997</v>
      </c>
      <c r="Z99" s="16">
        <v>54</v>
      </c>
      <c r="AA99" s="18">
        <f t="shared" si="5"/>
        <v>63.171428571428578</v>
      </c>
    </row>
    <row r="100" spans="1:27" x14ac:dyDescent="0.2">
      <c r="A100" s="7" t="s">
        <v>211</v>
      </c>
      <c r="B100" s="8">
        <v>1.3000000000000001E-2</v>
      </c>
      <c r="C100" s="5">
        <f t="shared" si="9"/>
        <v>0.12230000000000002</v>
      </c>
      <c r="D100" s="4">
        <v>379</v>
      </c>
      <c r="E100" s="4">
        <v>69</v>
      </c>
      <c r="F100" s="19">
        <v>110</v>
      </c>
      <c r="G100" s="8">
        <v>1.7899999999999999E-2</v>
      </c>
      <c r="H100" s="37">
        <f t="shared" si="10"/>
        <v>0.12700000000000003</v>
      </c>
      <c r="I100" s="4">
        <v>25</v>
      </c>
      <c r="J100" s="4">
        <v>5</v>
      </c>
      <c r="K100" s="19">
        <v>0</v>
      </c>
      <c r="L100" s="20">
        <v>53</v>
      </c>
      <c r="M100" s="36">
        <v>50</v>
      </c>
      <c r="N100">
        <v>75</v>
      </c>
      <c r="O100">
        <v>77</v>
      </c>
      <c r="P100" s="4">
        <v>-305671101098</v>
      </c>
      <c r="Q100" s="3">
        <f t="shared" si="7"/>
        <v>-4389897289115</v>
      </c>
      <c r="R100" s="3">
        <v>-156006581098</v>
      </c>
      <c r="S100" s="3">
        <f t="shared" si="3"/>
        <v>-1619785053087</v>
      </c>
      <c r="T100" s="4">
        <v>41</v>
      </c>
      <c r="U100" s="4">
        <v>5</v>
      </c>
      <c r="V100" s="4">
        <v>734893491000</v>
      </c>
      <c r="W100" s="4">
        <f t="shared" si="8"/>
        <v>-71549681600</v>
      </c>
      <c r="X100" s="4">
        <v>1251812900</v>
      </c>
      <c r="Y100" s="8">
        <v>0.26329999999999998</v>
      </c>
      <c r="Z100" s="16">
        <v>53.6</v>
      </c>
      <c r="AA100" s="18">
        <f t="shared" si="5"/>
        <v>64.757142857142853</v>
      </c>
    </row>
    <row r="101" spans="1:27" x14ac:dyDescent="0.2">
      <c r="A101" s="7" t="s">
        <v>210</v>
      </c>
      <c r="B101" s="8">
        <v>1.4199999999999999E-2</v>
      </c>
      <c r="C101" s="5">
        <f t="shared" si="9"/>
        <v>0.10930000000000002</v>
      </c>
      <c r="D101" s="4">
        <v>339</v>
      </c>
      <c r="E101" s="4">
        <v>70</v>
      </c>
      <c r="F101" s="19">
        <v>139</v>
      </c>
      <c r="G101" s="8">
        <v>1.9699999999999999E-2</v>
      </c>
      <c r="H101" s="37">
        <f t="shared" si="10"/>
        <v>0.10910000000000003</v>
      </c>
      <c r="I101" s="4">
        <v>24</v>
      </c>
      <c r="J101" s="4">
        <v>2</v>
      </c>
      <c r="K101" s="19">
        <v>4</v>
      </c>
      <c r="L101" s="20">
        <v>47</v>
      </c>
      <c r="M101" s="36">
        <v>44</v>
      </c>
      <c r="N101">
        <v>63</v>
      </c>
      <c r="O101">
        <v>82</v>
      </c>
      <c r="P101" s="4">
        <v>-258835745851</v>
      </c>
      <c r="Q101" s="3">
        <f t="shared" si="7"/>
        <v>-4084226188017</v>
      </c>
      <c r="R101" s="3">
        <v>-9754775851</v>
      </c>
      <c r="S101" s="3">
        <f t="shared" si="3"/>
        <v>-1463778471989</v>
      </c>
      <c r="T101" s="4">
        <v>15</v>
      </c>
      <c r="U101" s="4">
        <v>31</v>
      </c>
      <c r="V101" s="4">
        <v>-473908882000</v>
      </c>
      <c r="W101" s="4">
        <f t="shared" si="8"/>
        <v>-806443172600</v>
      </c>
      <c r="X101" s="4">
        <v>915569336</v>
      </c>
      <c r="Y101" s="8">
        <v>0.34539999999999998</v>
      </c>
      <c r="Z101" s="16">
        <v>52.8</v>
      </c>
      <c r="AA101" s="18">
        <f t="shared" si="5"/>
        <v>66.371428571428581</v>
      </c>
    </row>
    <row r="102" spans="1:27" x14ac:dyDescent="0.2">
      <c r="A102" s="7" t="s">
        <v>209</v>
      </c>
      <c r="B102" s="8">
        <v>-2.2000000000000001E-3</v>
      </c>
      <c r="C102" s="5">
        <f t="shared" si="9"/>
        <v>9.5100000000000018E-2</v>
      </c>
      <c r="D102" s="4">
        <v>216</v>
      </c>
      <c r="E102" s="4">
        <v>84</v>
      </c>
      <c r="F102" s="19">
        <v>242</v>
      </c>
      <c r="G102" s="8">
        <v>-8.0000000000000004E-4</v>
      </c>
      <c r="H102" s="37">
        <f t="shared" si="10"/>
        <v>8.9400000000000035E-2</v>
      </c>
      <c r="I102" s="4">
        <v>9</v>
      </c>
      <c r="J102" s="4">
        <v>5</v>
      </c>
      <c r="K102" s="19">
        <v>16</v>
      </c>
      <c r="L102" s="20">
        <v>21</v>
      </c>
      <c r="M102" s="36">
        <v>86</v>
      </c>
      <c r="N102">
        <v>61</v>
      </c>
      <c r="O102">
        <v>85</v>
      </c>
      <c r="P102" s="4">
        <v>-378844961032</v>
      </c>
      <c r="Q102" s="3">
        <f t="shared" si="7"/>
        <v>-3825390442166</v>
      </c>
      <c r="R102" s="3">
        <v>-509391171032</v>
      </c>
      <c r="S102" s="3">
        <f t="shared" si="3"/>
        <v>-1454023696138</v>
      </c>
      <c r="T102" s="4">
        <v>14</v>
      </c>
      <c r="U102" s="4">
        <v>25</v>
      </c>
      <c r="V102" s="4">
        <v>-978526388000</v>
      </c>
      <c r="W102" s="4">
        <f t="shared" si="8"/>
        <v>-332534290600</v>
      </c>
      <c r="X102" s="4">
        <v>914651785</v>
      </c>
      <c r="Y102" s="8">
        <v>0.28889999999999999</v>
      </c>
      <c r="Z102" s="16">
        <v>53.4</v>
      </c>
      <c r="AA102" s="18">
        <f t="shared" si="5"/>
        <v>67.921428571428564</v>
      </c>
    </row>
    <row r="103" spans="1:27" x14ac:dyDescent="0.2">
      <c r="A103" s="7" t="s">
        <v>208</v>
      </c>
      <c r="B103" s="8">
        <v>-1.6E-2</v>
      </c>
      <c r="C103" s="5">
        <f t="shared" si="9"/>
        <v>9.7300000000000011E-2</v>
      </c>
      <c r="D103" s="4">
        <v>103</v>
      </c>
      <c r="E103" s="4">
        <v>49</v>
      </c>
      <c r="F103" s="19">
        <v>407</v>
      </c>
      <c r="G103" s="8">
        <v>-1.6500000000000001E-2</v>
      </c>
      <c r="H103" s="37">
        <f t="shared" si="10"/>
        <v>9.020000000000003E-2</v>
      </c>
      <c r="I103" s="4">
        <v>2</v>
      </c>
      <c r="J103" s="4">
        <v>0</v>
      </c>
      <c r="K103" s="19">
        <v>28</v>
      </c>
      <c r="L103" s="20">
        <v>13</v>
      </c>
      <c r="M103" s="36">
        <v>88</v>
      </c>
      <c r="N103">
        <v>69</v>
      </c>
      <c r="O103">
        <v>84</v>
      </c>
      <c r="P103" s="4">
        <v>-21902643949</v>
      </c>
      <c r="Q103" s="3">
        <f t="shared" si="7"/>
        <v>-3446545481134</v>
      </c>
      <c r="R103" s="3">
        <v>-51126033949</v>
      </c>
      <c r="S103" s="3">
        <f t="shared" si="3"/>
        <v>-944632525106</v>
      </c>
      <c r="T103" s="4">
        <v>39</v>
      </c>
      <c r="U103" s="4">
        <v>11</v>
      </c>
      <c r="V103" s="4">
        <v>542705094300</v>
      </c>
      <c r="W103" s="4">
        <f t="shared" si="8"/>
        <v>645992097400</v>
      </c>
      <c r="X103" s="4">
        <v>1708947942</v>
      </c>
      <c r="Y103" s="8">
        <v>0.2626</v>
      </c>
      <c r="Z103" s="16">
        <v>58.6</v>
      </c>
      <c r="AA103" s="18">
        <f t="shared" si="5"/>
        <v>68.685714285714283</v>
      </c>
    </row>
    <row r="104" spans="1:27" x14ac:dyDescent="0.2">
      <c r="A104" s="7" t="s">
        <v>206</v>
      </c>
      <c r="B104" s="8">
        <v>-4.0000000000000002E-4</v>
      </c>
      <c r="C104" s="5">
        <f t="shared" si="9"/>
        <v>0.11330000000000001</v>
      </c>
      <c r="D104" s="4">
        <v>217</v>
      </c>
      <c r="E104" s="4">
        <v>86</v>
      </c>
      <c r="F104" s="19">
        <v>249</v>
      </c>
      <c r="G104" s="8">
        <v>-3.0999999999999999E-3</v>
      </c>
      <c r="H104" s="37">
        <f t="shared" si="10"/>
        <v>0.10670000000000003</v>
      </c>
      <c r="I104" s="4">
        <v>13</v>
      </c>
      <c r="J104" s="4">
        <v>2</v>
      </c>
      <c r="K104" s="19">
        <v>15</v>
      </c>
      <c r="L104" s="20">
        <v>28</v>
      </c>
      <c r="M104" s="36">
        <v>69</v>
      </c>
      <c r="N104">
        <v>55</v>
      </c>
      <c r="O104">
        <v>94</v>
      </c>
      <c r="P104" s="4">
        <v>-1166397960178</v>
      </c>
      <c r="Q104" s="3">
        <f t="shared" si="7"/>
        <v>-3424642837185</v>
      </c>
      <c r="R104" s="3">
        <v>-907872540178</v>
      </c>
      <c r="S104" s="3">
        <f t="shared" si="3"/>
        <v>-893506491157</v>
      </c>
      <c r="T104" s="4">
        <v>27</v>
      </c>
      <c r="U104" s="4">
        <v>14</v>
      </c>
      <c r="V104" s="4">
        <v>154953915000</v>
      </c>
      <c r="W104" s="4">
        <f t="shared" si="8"/>
        <v>103287003100</v>
      </c>
      <c r="X104" s="4">
        <v>1067614441</v>
      </c>
      <c r="Y104" s="8">
        <v>0.26090000000000002</v>
      </c>
      <c r="Z104" s="16">
        <v>69</v>
      </c>
      <c r="AA104" s="18">
        <f t="shared" si="5"/>
        <v>68.121428571428567</v>
      </c>
    </row>
    <row r="105" spans="1:27" x14ac:dyDescent="0.2">
      <c r="A105" s="7" t="s">
        <v>205</v>
      </c>
      <c r="B105" s="8">
        <v>-4.8999999999999998E-3</v>
      </c>
      <c r="C105" s="5">
        <f t="shared" si="9"/>
        <v>0.11370000000000001</v>
      </c>
      <c r="D105" s="4">
        <v>193</v>
      </c>
      <c r="E105" s="4">
        <v>69</v>
      </c>
      <c r="F105" s="19">
        <v>292</v>
      </c>
      <c r="G105" s="8">
        <v>-9.3999999999999986E-3</v>
      </c>
      <c r="H105" s="37">
        <f t="shared" si="10"/>
        <v>0.10980000000000004</v>
      </c>
      <c r="I105" s="4">
        <v>4</v>
      </c>
      <c r="J105" s="4">
        <v>4</v>
      </c>
      <c r="K105" s="19">
        <v>22</v>
      </c>
      <c r="L105" s="20">
        <v>26</v>
      </c>
      <c r="M105" s="36">
        <v>82</v>
      </c>
      <c r="N105">
        <v>64</v>
      </c>
      <c r="O105">
        <v>84</v>
      </c>
      <c r="P105" s="4">
        <v>-754315258113</v>
      </c>
      <c r="Q105" s="3">
        <f t="shared" si="7"/>
        <v>-2258244877007</v>
      </c>
      <c r="R105" s="3">
        <v>-576499898113</v>
      </c>
      <c r="S105" s="3">
        <f t="shared" si="3"/>
        <v>14366049021</v>
      </c>
      <c r="T105" s="4">
        <v>24</v>
      </c>
      <c r="U105" s="4">
        <v>19</v>
      </c>
      <c r="V105" s="4">
        <v>32436040000</v>
      </c>
      <c r="W105" s="4">
        <f t="shared" si="8"/>
        <v>-51666911900</v>
      </c>
      <c r="X105" s="4">
        <v>1057178320</v>
      </c>
      <c r="Y105" s="8">
        <v>0.2576</v>
      </c>
      <c r="Z105" s="16">
        <v>69.8</v>
      </c>
      <c r="AA105" s="18">
        <f t="shared" si="5"/>
        <v>67.900000000000006</v>
      </c>
    </row>
    <row r="106" spans="1:27" x14ac:dyDescent="0.2">
      <c r="A106" s="7" t="s">
        <v>204</v>
      </c>
      <c r="B106" s="8">
        <v>2.0499999999999997E-2</v>
      </c>
      <c r="C106" s="5">
        <f t="shared" si="9"/>
        <v>0.11860000000000001</v>
      </c>
      <c r="D106" s="4">
        <v>433</v>
      </c>
      <c r="E106" s="4">
        <v>61</v>
      </c>
      <c r="F106" s="19">
        <v>64</v>
      </c>
      <c r="G106" s="8">
        <v>2.4199999999999999E-2</v>
      </c>
      <c r="H106" s="37">
        <f t="shared" si="10"/>
        <v>0.11920000000000003</v>
      </c>
      <c r="I106" s="4">
        <v>29</v>
      </c>
      <c r="J106" s="4">
        <v>1</v>
      </c>
      <c r="K106" s="19">
        <v>0</v>
      </c>
      <c r="L106" s="20">
        <v>86</v>
      </c>
      <c r="M106" s="36">
        <v>19</v>
      </c>
      <c r="N106">
        <v>85</v>
      </c>
      <c r="O106">
        <v>63</v>
      </c>
      <c r="P106" s="4">
        <v>-444454240606</v>
      </c>
      <c r="Q106" s="3">
        <f t="shared" si="7"/>
        <v>-1503929618894</v>
      </c>
      <c r="R106" s="3">
        <v>-317706470606</v>
      </c>
      <c r="S106" s="3">
        <f t="shared" si="3"/>
        <v>590865947134</v>
      </c>
      <c r="T106" s="4">
        <v>31</v>
      </c>
      <c r="U106" s="4">
        <v>14</v>
      </c>
      <c r="V106" s="4">
        <v>388135282000</v>
      </c>
      <c r="W106" s="4">
        <f t="shared" si="8"/>
        <v>-84102951900</v>
      </c>
      <c r="X106" s="4">
        <v>982228387</v>
      </c>
      <c r="Y106" s="8">
        <v>0.26989999999999997</v>
      </c>
      <c r="Z106" s="16">
        <v>61.1</v>
      </c>
      <c r="AA106" s="18">
        <f t="shared" si="5"/>
        <v>69.064285714285717</v>
      </c>
    </row>
    <row r="107" spans="1:27" x14ac:dyDescent="0.2">
      <c r="A107" s="7" t="s">
        <v>203</v>
      </c>
      <c r="B107" s="8">
        <v>7.7000000000000002E-3</v>
      </c>
      <c r="C107" s="5">
        <f t="shared" si="9"/>
        <v>9.8100000000000021E-2</v>
      </c>
      <c r="D107" s="4">
        <v>260</v>
      </c>
      <c r="E107" s="4">
        <v>95</v>
      </c>
      <c r="F107" s="19">
        <v>200</v>
      </c>
      <c r="G107" s="8">
        <v>5.7999999999999996E-3</v>
      </c>
      <c r="H107" s="37">
        <f t="shared" si="10"/>
        <v>9.5000000000000029E-2</v>
      </c>
      <c r="I107" s="4">
        <v>17</v>
      </c>
      <c r="J107" s="4">
        <v>5</v>
      </c>
      <c r="K107" s="19">
        <v>8</v>
      </c>
      <c r="L107" s="20">
        <v>33</v>
      </c>
      <c r="M107" s="36">
        <v>59</v>
      </c>
      <c r="N107">
        <v>77</v>
      </c>
      <c r="O107">
        <v>70</v>
      </c>
      <c r="P107" s="4">
        <v>-151542604554</v>
      </c>
      <c r="Q107" s="3">
        <f t="shared" si="7"/>
        <v>-1059475378288</v>
      </c>
      <c r="R107" s="3">
        <v>-265804244554</v>
      </c>
      <c r="S107" s="3">
        <f t="shared" si="3"/>
        <v>908572417740</v>
      </c>
      <c r="T107" s="4">
        <v>20</v>
      </c>
      <c r="U107" s="4">
        <v>24</v>
      </c>
      <c r="V107" s="4">
        <v>-182434684700</v>
      </c>
      <c r="W107" s="4">
        <f t="shared" si="8"/>
        <v>-472238233900</v>
      </c>
      <c r="X107" s="4">
        <v>836219861</v>
      </c>
      <c r="Y107" s="8">
        <v>0.30030000000000001</v>
      </c>
      <c r="Z107" s="16">
        <v>54.8</v>
      </c>
      <c r="AA107" s="18">
        <f t="shared" si="5"/>
        <v>71.214285714285722</v>
      </c>
    </row>
    <row r="108" spans="1:27" x14ac:dyDescent="0.2">
      <c r="A108" s="7" t="s">
        <v>201</v>
      </c>
      <c r="B108" s="8">
        <v>-9.4999999999999998E-3</v>
      </c>
      <c r="C108" s="5">
        <f t="shared" si="9"/>
        <v>9.0400000000000022E-2</v>
      </c>
      <c r="D108" s="4">
        <v>106</v>
      </c>
      <c r="E108" s="4">
        <v>57</v>
      </c>
      <c r="F108" s="19">
        <v>392</v>
      </c>
      <c r="G108" s="8">
        <v>-1.21E-2</v>
      </c>
      <c r="H108" s="37">
        <f t="shared" si="10"/>
        <v>8.9200000000000029E-2</v>
      </c>
      <c r="I108" s="4">
        <v>3</v>
      </c>
      <c r="J108" s="4">
        <v>2</v>
      </c>
      <c r="K108" s="19">
        <v>25</v>
      </c>
      <c r="L108" s="20">
        <v>26</v>
      </c>
      <c r="M108" s="36">
        <v>83</v>
      </c>
      <c r="N108">
        <v>63</v>
      </c>
      <c r="O108">
        <v>82</v>
      </c>
      <c r="P108" s="4">
        <v>120857893842</v>
      </c>
      <c r="Q108" s="3">
        <f t="shared" si="7"/>
        <v>-907932773734</v>
      </c>
      <c r="R108" s="3">
        <v>11697163842</v>
      </c>
      <c r="S108" s="3">
        <f t="shared" si="3"/>
        <v>1174376662294</v>
      </c>
      <c r="T108" s="4">
        <v>39</v>
      </c>
      <c r="U108" s="4">
        <v>3</v>
      </c>
      <c r="V108" s="4">
        <v>293861497000</v>
      </c>
      <c r="W108" s="4">
        <f t="shared" si="8"/>
        <v>-289803549200</v>
      </c>
      <c r="X108" s="4">
        <v>975985066</v>
      </c>
      <c r="Y108" s="8">
        <v>0.32390000000000002</v>
      </c>
      <c r="Z108" s="16">
        <v>55.1</v>
      </c>
      <c r="AA108" s="18">
        <f t="shared" si="5"/>
        <v>72.992857142857147</v>
      </c>
    </row>
    <row r="109" spans="1:27" x14ac:dyDescent="0.2">
      <c r="A109" s="7" t="s">
        <v>200</v>
      </c>
      <c r="B109" s="8">
        <v>-1.66E-2</v>
      </c>
      <c r="C109" s="5">
        <f t="shared" si="9"/>
        <v>9.9900000000000017E-2</v>
      </c>
      <c r="D109" s="4">
        <v>89</v>
      </c>
      <c r="E109" s="4">
        <v>55</v>
      </c>
      <c r="F109" s="19">
        <v>408</v>
      </c>
      <c r="G109" s="8">
        <v>-2.06E-2</v>
      </c>
      <c r="H109" s="37">
        <f t="shared" si="10"/>
        <v>0.10130000000000003</v>
      </c>
      <c r="I109" s="4">
        <v>1</v>
      </c>
      <c r="J109" s="4">
        <v>0</v>
      </c>
      <c r="K109" s="19">
        <v>29</v>
      </c>
      <c r="L109" s="20">
        <v>13</v>
      </c>
      <c r="M109" s="36">
        <v>87</v>
      </c>
      <c r="N109">
        <v>59</v>
      </c>
      <c r="O109">
        <v>88</v>
      </c>
      <c r="P109" s="4">
        <v>-524846354609</v>
      </c>
      <c r="Q109" s="3">
        <f t="shared" si="7"/>
        <v>-1028790667576</v>
      </c>
      <c r="R109" s="3">
        <v>-494887434609</v>
      </c>
      <c r="S109" s="3">
        <f t="shared" si="3"/>
        <v>1162679498452</v>
      </c>
      <c r="T109" s="4">
        <v>29</v>
      </c>
      <c r="U109" s="4">
        <v>15</v>
      </c>
      <c r="V109" s="4">
        <v>308522557000</v>
      </c>
      <c r="W109" s="4">
        <f t="shared" si="8"/>
        <v>-583665046200</v>
      </c>
      <c r="X109" s="4">
        <v>1346110974</v>
      </c>
      <c r="Y109" s="8">
        <v>0.32619999999999999</v>
      </c>
      <c r="Z109" s="16">
        <v>61.1</v>
      </c>
      <c r="AA109" s="18">
        <f t="shared" si="5"/>
        <v>73.728571428571428</v>
      </c>
    </row>
    <row r="110" spans="1:27" x14ac:dyDescent="0.2">
      <c r="A110" s="7" t="s">
        <v>199</v>
      </c>
      <c r="B110" s="8">
        <v>4.5000000000000005E-3</v>
      </c>
      <c r="C110" s="5">
        <f t="shared" si="9"/>
        <v>0.11650000000000002</v>
      </c>
      <c r="D110" s="4">
        <v>253</v>
      </c>
      <c r="E110" s="4">
        <v>85</v>
      </c>
      <c r="F110" s="19">
        <v>219</v>
      </c>
      <c r="G110" s="8">
        <v>4.3E-3</v>
      </c>
      <c r="H110" s="37">
        <f t="shared" si="10"/>
        <v>0.12190000000000002</v>
      </c>
      <c r="I110" s="4">
        <v>18</v>
      </c>
      <c r="J110" s="4">
        <v>2</v>
      </c>
      <c r="K110" s="19">
        <v>10</v>
      </c>
      <c r="L110" s="20">
        <v>40</v>
      </c>
      <c r="M110" s="36">
        <v>53</v>
      </c>
      <c r="N110">
        <v>62</v>
      </c>
      <c r="O110">
        <v>83</v>
      </c>
      <c r="P110" s="4">
        <v>144525221748</v>
      </c>
      <c r="Q110" s="3">
        <f t="shared" si="7"/>
        <v>-503944312967</v>
      </c>
      <c r="R110" s="3">
        <v>178379691748</v>
      </c>
      <c r="S110" s="3">
        <f t="shared" si="3"/>
        <v>1657566933061</v>
      </c>
      <c r="T110" s="4">
        <v>31</v>
      </c>
      <c r="U110" s="4">
        <v>15</v>
      </c>
      <c r="V110" s="4">
        <v>135698350000</v>
      </c>
      <c r="W110" s="4">
        <f t="shared" si="8"/>
        <v>-892187603200</v>
      </c>
      <c r="X110" s="4">
        <v>1017267325</v>
      </c>
      <c r="Y110" s="8">
        <v>0.26119999999999999</v>
      </c>
      <c r="Z110" s="16">
        <v>70.599999999999994</v>
      </c>
      <c r="AA110" s="18">
        <f t="shared" si="5"/>
        <v>73.3</v>
      </c>
    </row>
    <row r="111" spans="1:27" x14ac:dyDescent="0.2">
      <c r="A111" s="7" t="s">
        <v>196</v>
      </c>
      <c r="B111" s="8">
        <v>-5.6999999999999993E-3</v>
      </c>
      <c r="C111" s="5">
        <f t="shared" si="9"/>
        <v>0.11200000000000002</v>
      </c>
      <c r="D111" s="4">
        <v>130</v>
      </c>
      <c r="E111" s="4">
        <v>67</v>
      </c>
      <c r="F111" s="19">
        <v>356</v>
      </c>
      <c r="G111" s="8">
        <v>-7.0999999999999995E-3</v>
      </c>
      <c r="H111" s="37">
        <f t="shared" si="10"/>
        <v>0.11760000000000002</v>
      </c>
      <c r="I111" s="4">
        <v>8</v>
      </c>
      <c r="J111" s="4">
        <v>4</v>
      </c>
      <c r="K111" s="19">
        <v>18</v>
      </c>
      <c r="L111" s="20">
        <v>8</v>
      </c>
      <c r="M111" s="36">
        <v>99</v>
      </c>
      <c r="N111">
        <v>68</v>
      </c>
      <c r="O111">
        <v>79</v>
      </c>
      <c r="P111" s="4">
        <v>-196891375040</v>
      </c>
      <c r="Q111" s="3">
        <f t="shared" si="7"/>
        <v>-648469534715</v>
      </c>
      <c r="R111" s="3">
        <v>8521684960</v>
      </c>
      <c r="S111" s="3">
        <f t="shared" si="3"/>
        <v>1479187241313</v>
      </c>
      <c r="T111" s="4">
        <v>17</v>
      </c>
      <c r="U111" s="4">
        <v>29</v>
      </c>
      <c r="V111" s="4">
        <v>-293133100000</v>
      </c>
      <c r="W111" s="4">
        <f t="shared" si="8"/>
        <v>-1027885953200</v>
      </c>
      <c r="X111" s="4">
        <v>1062933517</v>
      </c>
      <c r="Y111" s="8">
        <v>0.30380000000000001</v>
      </c>
      <c r="Z111" s="16">
        <v>69.900000000000006</v>
      </c>
      <c r="AA111" s="18">
        <f t="shared" si="5"/>
        <v>72.914285714285711</v>
      </c>
    </row>
    <row r="112" spans="1:27" x14ac:dyDescent="0.2">
      <c r="A112" s="7" t="s">
        <v>195</v>
      </c>
      <c r="B112" s="8">
        <v>6.8000000000000005E-3</v>
      </c>
      <c r="C112" s="5">
        <f t="shared" si="9"/>
        <v>0.11770000000000001</v>
      </c>
      <c r="D112" s="4">
        <v>258</v>
      </c>
      <c r="E112" s="4">
        <v>80</v>
      </c>
      <c r="F112" s="19">
        <v>212</v>
      </c>
      <c r="G112" s="8">
        <v>9.1999999999999998E-3</v>
      </c>
      <c r="H112" s="37">
        <f t="shared" si="10"/>
        <v>0.12470000000000002</v>
      </c>
      <c r="I112" s="4">
        <v>20</v>
      </c>
      <c r="J112" s="4">
        <v>4</v>
      </c>
      <c r="K112" s="19">
        <v>6</v>
      </c>
      <c r="L112" s="20">
        <v>32</v>
      </c>
      <c r="M112" s="36">
        <v>62</v>
      </c>
      <c r="N112">
        <v>70</v>
      </c>
      <c r="O112">
        <v>69</v>
      </c>
      <c r="P112" s="4">
        <v>192448049623</v>
      </c>
      <c r="Q112" s="3">
        <f t="shared" si="7"/>
        <v>-451578159675</v>
      </c>
      <c r="R112" s="3">
        <v>306251929623</v>
      </c>
      <c r="S112" s="3">
        <f t="shared" si="3"/>
        <v>1470665556353</v>
      </c>
      <c r="T112" s="4">
        <v>14</v>
      </c>
      <c r="U112" s="4">
        <v>22</v>
      </c>
      <c r="V112" s="4">
        <v>-240549237000</v>
      </c>
      <c r="W112" s="4">
        <f t="shared" si="8"/>
        <v>-734752853200</v>
      </c>
      <c r="X112" s="4">
        <v>1011196107</v>
      </c>
      <c r="Y112" s="8">
        <v>0.2873</v>
      </c>
      <c r="Z112" s="16">
        <v>77.599999999999994</v>
      </c>
      <c r="AA112" s="18">
        <f t="shared" si="5"/>
        <v>71.914285714285725</v>
      </c>
    </row>
    <row r="113" spans="1:27" x14ac:dyDescent="0.2">
      <c r="A113" s="7" t="s">
        <v>193</v>
      </c>
      <c r="B113" s="8">
        <v>2.5000000000000001E-3</v>
      </c>
      <c r="C113" s="5">
        <f t="shared" ref="C113:C150" si="11">B113+C114</f>
        <v>0.11090000000000001</v>
      </c>
      <c r="D113" s="4">
        <v>276</v>
      </c>
      <c r="E113" s="4">
        <v>90</v>
      </c>
      <c r="F113" s="19">
        <v>190</v>
      </c>
      <c r="G113" s="8">
        <v>1.1999999999999999E-3</v>
      </c>
      <c r="H113" s="37">
        <f t="shared" si="10"/>
        <v>0.11550000000000002</v>
      </c>
      <c r="I113" s="4">
        <v>15</v>
      </c>
      <c r="J113" s="4">
        <v>6</v>
      </c>
      <c r="K113" s="19">
        <v>9</v>
      </c>
      <c r="L113" s="20">
        <v>26</v>
      </c>
      <c r="M113" s="36">
        <v>71</v>
      </c>
      <c r="N113">
        <v>62</v>
      </c>
      <c r="O113">
        <v>86</v>
      </c>
      <c r="P113" s="4">
        <v>233287666818</v>
      </c>
      <c r="Q113" s="3">
        <f t="shared" si="7"/>
        <v>-644026209298</v>
      </c>
      <c r="R113" s="3">
        <v>319078226818</v>
      </c>
      <c r="S113" s="3">
        <f t="shared" si="3"/>
        <v>1164413626730</v>
      </c>
      <c r="T113" s="4">
        <v>17</v>
      </c>
      <c r="U113" s="4">
        <v>20</v>
      </c>
      <c r="V113" s="4">
        <v>-62924288000</v>
      </c>
      <c r="W113" s="4">
        <f t="shared" ref="W113:W150" si="12">V113+W114</f>
        <v>-494203616200</v>
      </c>
      <c r="X113" s="4">
        <v>1183086384</v>
      </c>
      <c r="Y113" s="8">
        <v>0.28220000000000001</v>
      </c>
      <c r="Z113" s="16">
        <v>77</v>
      </c>
      <c r="AA113" s="18">
        <f t="shared" si="5"/>
        <v>70.928571428571431</v>
      </c>
    </row>
    <row r="114" spans="1:27" x14ac:dyDescent="0.2">
      <c r="A114" s="7" t="s">
        <v>189</v>
      </c>
      <c r="B114" s="8">
        <v>4.4000000000000003E-3</v>
      </c>
      <c r="C114" s="5">
        <f t="shared" si="11"/>
        <v>0.10840000000000001</v>
      </c>
      <c r="D114" s="4">
        <v>203</v>
      </c>
      <c r="E114" s="4">
        <v>82</v>
      </c>
      <c r="F114" s="19">
        <v>182</v>
      </c>
      <c r="G114" s="8">
        <v>1E-3</v>
      </c>
      <c r="H114" s="37">
        <f t="shared" ref="H114:H150" si="13">G114+H115</f>
        <v>0.11430000000000001</v>
      </c>
      <c r="I114" s="4">
        <v>19</v>
      </c>
      <c r="J114" s="4">
        <v>4</v>
      </c>
      <c r="K114" s="19">
        <v>7</v>
      </c>
      <c r="L114" s="20">
        <v>49</v>
      </c>
      <c r="M114" s="36">
        <v>47</v>
      </c>
      <c r="N114">
        <v>64</v>
      </c>
      <c r="O114">
        <v>83</v>
      </c>
      <c r="P114" s="4">
        <v>415333352293</v>
      </c>
      <c r="Q114" s="3">
        <f t="shared" si="7"/>
        <v>-877313876116</v>
      </c>
      <c r="R114" s="3">
        <v>498929612293</v>
      </c>
      <c r="S114" s="3">
        <f t="shared" si="3"/>
        <v>845335399912</v>
      </c>
      <c r="T114" s="4">
        <v>28</v>
      </c>
      <c r="U114" s="4">
        <v>10</v>
      </c>
      <c r="V114" s="4">
        <v>90075452400</v>
      </c>
      <c r="W114" s="4">
        <f t="shared" si="12"/>
        <v>-431279328200</v>
      </c>
      <c r="X114" s="4">
        <v>961928011</v>
      </c>
      <c r="Y114" s="8">
        <v>0.28870000000000001</v>
      </c>
      <c r="Z114" s="16">
        <v>75.8</v>
      </c>
      <c r="AA114" s="18">
        <f t="shared" si="5"/>
        <v>70.057142857142864</v>
      </c>
    </row>
    <row r="115" spans="1:27" x14ac:dyDescent="0.2">
      <c r="A115" s="7" t="s">
        <v>185</v>
      </c>
      <c r="B115" s="8">
        <v>-1.5E-3</v>
      </c>
      <c r="C115" s="5">
        <f t="shared" si="11"/>
        <v>0.10400000000000001</v>
      </c>
      <c r="D115" s="4">
        <v>214</v>
      </c>
      <c r="E115" s="4">
        <v>80</v>
      </c>
      <c r="F115" s="19">
        <v>262</v>
      </c>
      <c r="G115" s="8">
        <v>2.9999999999999997E-4</v>
      </c>
      <c r="H115" s="37">
        <f t="shared" si="13"/>
        <v>0.11330000000000001</v>
      </c>
      <c r="I115" s="4">
        <v>9</v>
      </c>
      <c r="J115" s="4">
        <v>3</v>
      </c>
      <c r="K115" s="19">
        <v>18</v>
      </c>
      <c r="L115" s="20">
        <v>26</v>
      </c>
      <c r="M115" s="36">
        <v>73</v>
      </c>
      <c r="N115">
        <v>64</v>
      </c>
      <c r="O115">
        <v>87</v>
      </c>
      <c r="P115" s="4">
        <v>-283682679192</v>
      </c>
      <c r="Q115" s="3">
        <f t="shared" si="7"/>
        <v>-1292647228409</v>
      </c>
      <c r="R115" s="3">
        <v>121522870808</v>
      </c>
      <c r="S115" s="3">
        <f t="shared" si="3"/>
        <v>346405787619</v>
      </c>
      <c r="T115" s="4">
        <v>28</v>
      </c>
      <c r="U115" s="4">
        <v>10</v>
      </c>
      <c r="V115" s="4">
        <v>85799956000</v>
      </c>
      <c r="W115" s="4">
        <f t="shared" si="12"/>
        <v>-521354780600</v>
      </c>
      <c r="X115" s="4">
        <v>1091193600</v>
      </c>
      <c r="Y115" s="8">
        <v>0.32100000000000001</v>
      </c>
      <c r="Z115" s="16">
        <v>75.400000000000006</v>
      </c>
      <c r="AA115" s="18">
        <f t="shared" si="5"/>
        <v>69.150000000000006</v>
      </c>
    </row>
    <row r="116" spans="1:27" x14ac:dyDescent="0.2">
      <c r="A116" s="7" t="s">
        <v>181</v>
      </c>
      <c r="B116" s="8">
        <v>1.38E-2</v>
      </c>
      <c r="C116" s="5">
        <f t="shared" si="11"/>
        <v>0.10550000000000001</v>
      </c>
      <c r="D116" s="4">
        <v>309</v>
      </c>
      <c r="E116" s="4">
        <v>67</v>
      </c>
      <c r="F116" s="19">
        <v>180</v>
      </c>
      <c r="G116" s="8">
        <v>1.3999999999999999E-2</v>
      </c>
      <c r="H116" s="37">
        <f t="shared" si="13"/>
        <v>0.11300000000000002</v>
      </c>
      <c r="I116" s="4">
        <v>25</v>
      </c>
      <c r="J116" s="4">
        <v>3</v>
      </c>
      <c r="K116" s="19">
        <v>2</v>
      </c>
      <c r="L116" s="20">
        <v>20</v>
      </c>
      <c r="M116" s="36">
        <v>82</v>
      </c>
      <c r="N116">
        <v>65</v>
      </c>
      <c r="O116">
        <v>86</v>
      </c>
      <c r="P116" s="4">
        <v>188033541882</v>
      </c>
      <c r="Q116" s="3">
        <f t="shared" si="7"/>
        <v>-1008964549217</v>
      </c>
      <c r="R116" s="3">
        <v>219631761882</v>
      </c>
      <c r="S116" s="3">
        <f t="shared" si="3"/>
        <v>224882916811</v>
      </c>
      <c r="T116" s="4">
        <v>17</v>
      </c>
      <c r="U116" s="4">
        <v>23</v>
      </c>
      <c r="V116" s="4">
        <v>-165675986000</v>
      </c>
      <c r="W116" s="4">
        <f t="shared" si="12"/>
        <v>-607154736600</v>
      </c>
      <c r="X116" s="4">
        <v>970755990</v>
      </c>
      <c r="Y116" s="8">
        <v>0.3221</v>
      </c>
      <c r="Z116" s="16">
        <v>75.099999999999994</v>
      </c>
      <c r="AA116" s="18">
        <f t="shared" si="5"/>
        <v>68.2</v>
      </c>
    </row>
    <row r="117" spans="1:27" x14ac:dyDescent="0.2">
      <c r="A117" s="7" t="s">
        <v>178</v>
      </c>
      <c r="B117" s="8">
        <v>1.09E-2</v>
      </c>
      <c r="C117" s="5">
        <f t="shared" si="11"/>
        <v>9.1700000000000004E-2</v>
      </c>
      <c r="D117" s="4">
        <v>380</v>
      </c>
      <c r="E117" s="4">
        <v>86</v>
      </c>
      <c r="F117" s="19">
        <v>98</v>
      </c>
      <c r="G117" s="8">
        <v>1.18E-2</v>
      </c>
      <c r="H117" s="37">
        <f t="shared" si="13"/>
        <v>9.9000000000000019E-2</v>
      </c>
      <c r="I117" s="4">
        <v>21</v>
      </c>
      <c r="J117" s="4">
        <v>5</v>
      </c>
      <c r="K117" s="19">
        <v>4</v>
      </c>
      <c r="L117" s="20">
        <v>44</v>
      </c>
      <c r="M117" s="36">
        <v>51</v>
      </c>
      <c r="N117">
        <v>59</v>
      </c>
      <c r="O117">
        <v>94</v>
      </c>
      <c r="P117" s="4">
        <v>221541319150</v>
      </c>
      <c r="Q117" s="3">
        <f t="shared" si="7"/>
        <v>-1196998091099</v>
      </c>
      <c r="R117" s="3">
        <v>221081659150</v>
      </c>
      <c r="S117" s="3">
        <f t="shared" si="3"/>
        <v>5251154929</v>
      </c>
      <c r="T117" s="4">
        <v>14</v>
      </c>
      <c r="U117" s="4">
        <v>24</v>
      </c>
      <c r="V117" s="4">
        <v>-364491935100</v>
      </c>
      <c r="W117" s="4">
        <f t="shared" si="12"/>
        <v>-441478750600</v>
      </c>
      <c r="X117" s="4">
        <v>986854411</v>
      </c>
      <c r="Y117" s="8">
        <v>0.3639</v>
      </c>
      <c r="Z117" s="16">
        <v>69.3</v>
      </c>
      <c r="AA117" s="18">
        <f t="shared" ref="AA117:AA137" si="14">AVERAGE(Z118:Z131)</f>
        <v>67.45</v>
      </c>
    </row>
    <row r="118" spans="1:27" x14ac:dyDescent="0.2">
      <c r="A118" s="7" t="s">
        <v>175</v>
      </c>
      <c r="B118" s="8">
        <v>0.01</v>
      </c>
      <c r="C118" s="5">
        <f t="shared" si="11"/>
        <v>8.0800000000000011E-2</v>
      </c>
      <c r="D118" s="4">
        <v>270</v>
      </c>
      <c r="E118" s="4">
        <v>73</v>
      </c>
      <c r="F118" s="19">
        <v>214</v>
      </c>
      <c r="G118" s="8">
        <v>8.3999999999999995E-3</v>
      </c>
      <c r="H118" s="37">
        <f t="shared" si="13"/>
        <v>8.7200000000000014E-2</v>
      </c>
      <c r="I118" s="4">
        <v>19</v>
      </c>
      <c r="J118" s="4">
        <v>3</v>
      </c>
      <c r="K118" s="19">
        <v>8</v>
      </c>
      <c r="L118" s="20">
        <v>53</v>
      </c>
      <c r="M118" s="36">
        <v>39</v>
      </c>
      <c r="N118">
        <v>80</v>
      </c>
      <c r="O118">
        <v>70</v>
      </c>
      <c r="P118" s="4">
        <v>135599952356</v>
      </c>
      <c r="Q118" s="3">
        <f t="shared" si="7"/>
        <v>-1418539410249</v>
      </c>
      <c r="R118" s="3">
        <v>163056592356</v>
      </c>
      <c r="S118" s="3">
        <f t="shared" si="3"/>
        <v>-215830504221</v>
      </c>
      <c r="T118" s="4">
        <v>26</v>
      </c>
      <c r="U118" s="4">
        <v>9</v>
      </c>
      <c r="V118" s="4">
        <v>159132221000</v>
      </c>
      <c r="W118" s="4">
        <f t="shared" si="12"/>
        <v>-76986815500</v>
      </c>
      <c r="X118" s="4">
        <v>889748773</v>
      </c>
      <c r="Y118" s="8">
        <v>0.314</v>
      </c>
      <c r="Z118" s="16">
        <v>61.1</v>
      </c>
      <c r="AA118" s="18">
        <f t="shared" si="14"/>
        <v>68.035714285714292</v>
      </c>
    </row>
    <row r="119" spans="1:27" x14ac:dyDescent="0.2">
      <c r="A119" s="7" t="s">
        <v>111</v>
      </c>
      <c r="B119" s="8">
        <v>-1.2500000000000001E-2</v>
      </c>
      <c r="C119" s="5">
        <f t="shared" si="11"/>
        <v>7.0800000000000016E-2</v>
      </c>
      <c r="D119" s="4">
        <v>98</v>
      </c>
      <c r="E119" s="4">
        <v>45</v>
      </c>
      <c r="F119" s="19">
        <v>414</v>
      </c>
      <c r="G119" s="8">
        <v>-1.3600000000000001E-2</v>
      </c>
      <c r="H119" s="37">
        <f t="shared" si="13"/>
        <v>7.8800000000000009E-2</v>
      </c>
      <c r="I119" s="4">
        <v>2</v>
      </c>
      <c r="J119" s="4">
        <v>1</v>
      </c>
      <c r="K119" s="19">
        <v>27</v>
      </c>
      <c r="L119" s="20">
        <v>13</v>
      </c>
      <c r="M119" s="36">
        <v>98</v>
      </c>
      <c r="N119">
        <v>57</v>
      </c>
      <c r="O119">
        <v>96</v>
      </c>
      <c r="P119" s="4">
        <v>-746396579742</v>
      </c>
      <c r="Q119" s="3">
        <f t="shared" ref="Q119:Q150" si="15">P119+Q120</f>
        <v>-1554139362605</v>
      </c>
      <c r="R119" s="3">
        <v>-783204279742</v>
      </c>
      <c r="S119" s="3">
        <f t="shared" si="3"/>
        <v>-378887096577</v>
      </c>
      <c r="T119" s="4">
        <v>23</v>
      </c>
      <c r="U119" s="4">
        <v>9</v>
      </c>
      <c r="V119" s="4">
        <v>128465040000</v>
      </c>
      <c r="W119" s="4">
        <f t="shared" si="12"/>
        <v>-236119036500</v>
      </c>
      <c r="X119" s="4">
        <v>1394045720</v>
      </c>
      <c r="Y119" s="8">
        <v>0.3569</v>
      </c>
      <c r="Z119" s="16">
        <v>66.7</v>
      </c>
      <c r="AA119" s="18">
        <f t="shared" si="14"/>
        <v>68.285714285714292</v>
      </c>
    </row>
    <row r="120" spans="1:27" x14ac:dyDescent="0.2">
      <c r="A120" s="7" t="s">
        <v>110</v>
      </c>
      <c r="B120" s="8">
        <v>-2.2000000000000001E-3</v>
      </c>
      <c r="C120" s="5">
        <f t="shared" si="11"/>
        <v>8.3300000000000013E-2</v>
      </c>
      <c r="D120" s="4">
        <v>217</v>
      </c>
      <c r="E120" s="4">
        <v>77</v>
      </c>
      <c r="F120" s="19">
        <v>263</v>
      </c>
      <c r="G120" s="8">
        <v>-1.8E-3</v>
      </c>
      <c r="H120" s="37">
        <f t="shared" si="13"/>
        <v>9.240000000000001E-2</v>
      </c>
      <c r="I120" s="4">
        <v>13</v>
      </c>
      <c r="J120" s="4">
        <v>1</v>
      </c>
      <c r="K120" s="19">
        <v>16</v>
      </c>
      <c r="L120" s="20">
        <v>25</v>
      </c>
      <c r="M120" s="36">
        <v>72</v>
      </c>
      <c r="N120">
        <v>59</v>
      </c>
      <c r="O120">
        <v>79</v>
      </c>
      <c r="P120" s="4">
        <v>-964850421523</v>
      </c>
      <c r="Q120" s="3">
        <f t="shared" si="15"/>
        <v>-807742782863</v>
      </c>
      <c r="R120" s="3">
        <v>-895969140857</v>
      </c>
      <c r="S120" s="3">
        <f t="shared" si="3"/>
        <v>404317183165</v>
      </c>
      <c r="T120" s="4">
        <v>11</v>
      </c>
      <c r="U120" s="4">
        <v>15</v>
      </c>
      <c r="V120" s="4">
        <v>-25238864000</v>
      </c>
      <c r="W120" s="4">
        <f t="shared" si="12"/>
        <v>-364584076500</v>
      </c>
      <c r="X120" s="4">
        <v>840410190</v>
      </c>
      <c r="Y120" s="8">
        <v>0.30159999999999998</v>
      </c>
      <c r="Z120" s="16">
        <v>77.400000000000006</v>
      </c>
      <c r="AA120" s="18">
        <f t="shared" si="14"/>
        <v>67.242857142857133</v>
      </c>
    </row>
    <row r="121" spans="1:27" x14ac:dyDescent="0.2">
      <c r="A121" s="7" t="s">
        <v>109</v>
      </c>
      <c r="B121" s="8">
        <v>0</v>
      </c>
      <c r="C121" s="5">
        <f t="shared" si="11"/>
        <v>8.5500000000000007E-2</v>
      </c>
      <c r="D121" s="4">
        <v>239</v>
      </c>
      <c r="E121" s="4">
        <v>60</v>
      </c>
      <c r="F121" s="19">
        <v>262</v>
      </c>
      <c r="G121" s="8">
        <v>2.9999999999999997E-4</v>
      </c>
      <c r="H121" s="37">
        <f t="shared" si="13"/>
        <v>9.4200000000000006E-2</v>
      </c>
      <c r="I121" s="4">
        <v>13</v>
      </c>
      <c r="J121" s="4">
        <v>0</v>
      </c>
      <c r="K121" s="19">
        <v>17</v>
      </c>
      <c r="L121" s="20">
        <v>26</v>
      </c>
      <c r="M121" s="36">
        <v>70</v>
      </c>
      <c r="N121">
        <v>56</v>
      </c>
      <c r="O121">
        <v>94</v>
      </c>
      <c r="P121" s="4">
        <v>61064252954</v>
      </c>
      <c r="Q121" s="3">
        <f t="shared" si="15"/>
        <v>157107638660</v>
      </c>
      <c r="R121" s="3">
        <v>61343362954</v>
      </c>
      <c r="S121" s="3">
        <f t="shared" si="3"/>
        <v>1300286324022</v>
      </c>
      <c r="T121" s="4">
        <v>12</v>
      </c>
      <c r="U121" s="4">
        <v>23</v>
      </c>
      <c r="V121" s="4">
        <v>-341629878000</v>
      </c>
      <c r="W121" s="4">
        <f t="shared" si="12"/>
        <v>-339345212500</v>
      </c>
      <c r="X121" s="4">
        <v>988846280</v>
      </c>
      <c r="Y121" s="8">
        <v>0.36170000000000002</v>
      </c>
      <c r="Z121" s="16">
        <v>84.9</v>
      </c>
      <c r="AA121" s="18">
        <f t="shared" si="14"/>
        <v>65.742857142857133</v>
      </c>
    </row>
    <row r="122" spans="1:27" x14ac:dyDescent="0.2">
      <c r="A122" s="7" t="s">
        <v>108</v>
      </c>
      <c r="B122" s="8">
        <v>4.1999999999999997E-3</v>
      </c>
      <c r="C122" s="5">
        <f t="shared" si="11"/>
        <v>8.5500000000000007E-2</v>
      </c>
      <c r="D122" s="4">
        <v>245</v>
      </c>
      <c r="E122" s="4">
        <v>95</v>
      </c>
      <c r="F122" s="19">
        <v>231</v>
      </c>
      <c r="G122" s="8">
        <v>1.1999999999999999E-3</v>
      </c>
      <c r="H122" s="37">
        <f t="shared" si="13"/>
        <v>9.3900000000000011E-2</v>
      </c>
      <c r="I122" s="4">
        <v>10</v>
      </c>
      <c r="J122" s="4">
        <v>4</v>
      </c>
      <c r="K122" s="19">
        <v>16</v>
      </c>
      <c r="L122" s="20">
        <v>30</v>
      </c>
      <c r="M122" s="36">
        <v>66</v>
      </c>
      <c r="N122">
        <v>60</v>
      </c>
      <c r="O122">
        <v>90</v>
      </c>
      <c r="P122" s="4">
        <v>204994329241</v>
      </c>
      <c r="Q122" s="3">
        <f t="shared" si="15"/>
        <v>96043385706</v>
      </c>
      <c r="R122" s="3">
        <v>-141754820759</v>
      </c>
      <c r="S122" s="3">
        <f t="shared" si="3"/>
        <v>1238942961068</v>
      </c>
      <c r="T122" s="4">
        <v>13</v>
      </c>
      <c r="U122" s="4">
        <v>19</v>
      </c>
      <c r="V122" s="4">
        <v>-292962216000</v>
      </c>
      <c r="W122" s="4">
        <f t="shared" si="12"/>
        <v>2284665500</v>
      </c>
      <c r="X122" s="4">
        <v>939947595</v>
      </c>
      <c r="Y122" s="8">
        <v>0.30879999999999996</v>
      </c>
      <c r="Z122" s="16">
        <v>80</v>
      </c>
      <c r="AA122" s="18">
        <f t="shared" si="14"/>
        <v>64.964285714285708</v>
      </c>
    </row>
    <row r="123" spans="1:27" x14ac:dyDescent="0.2">
      <c r="A123" s="34" t="s">
        <v>107</v>
      </c>
      <c r="B123" s="8">
        <v>1.26E-2</v>
      </c>
      <c r="C123" s="5">
        <f t="shared" si="11"/>
        <v>8.1300000000000011E-2</v>
      </c>
      <c r="D123" s="4">
        <v>298</v>
      </c>
      <c r="E123" s="4">
        <v>52</v>
      </c>
      <c r="F123" s="19">
        <v>217</v>
      </c>
      <c r="G123" s="8">
        <v>1.2800000000000001E-2</v>
      </c>
      <c r="H123" s="37">
        <f t="shared" si="13"/>
        <v>9.2700000000000005E-2</v>
      </c>
      <c r="I123" s="4">
        <v>21</v>
      </c>
      <c r="J123" s="4">
        <v>0</v>
      </c>
      <c r="K123" s="19">
        <v>9</v>
      </c>
      <c r="L123" s="20">
        <v>28</v>
      </c>
      <c r="M123" s="36">
        <v>72</v>
      </c>
      <c r="N123">
        <v>78</v>
      </c>
      <c r="O123">
        <v>71</v>
      </c>
      <c r="P123" s="4">
        <v>188930474831</v>
      </c>
      <c r="Q123" s="3">
        <f t="shared" si="15"/>
        <v>-108950943535</v>
      </c>
      <c r="R123" s="3">
        <v>-231476905169</v>
      </c>
      <c r="S123" s="3">
        <f t="shared" si="3"/>
        <v>1380697781827</v>
      </c>
      <c r="T123" s="4">
        <v>11</v>
      </c>
      <c r="U123" s="4">
        <v>19</v>
      </c>
      <c r="V123" s="4">
        <v>-242411861000</v>
      </c>
      <c r="W123" s="4">
        <f t="shared" si="12"/>
        <v>295246881500</v>
      </c>
      <c r="X123" s="4">
        <v>1046431380</v>
      </c>
      <c r="Y123" s="8">
        <v>0.34990000000000004</v>
      </c>
      <c r="Z123" s="16">
        <v>71.400000000000006</v>
      </c>
      <c r="AA123" s="18">
        <f t="shared" si="14"/>
        <v>65.400000000000006</v>
      </c>
    </row>
    <row r="124" spans="1:27" x14ac:dyDescent="0.2">
      <c r="A124" s="33" t="s">
        <v>129</v>
      </c>
      <c r="B124" s="5">
        <v>6.0000000000000001E-3</v>
      </c>
      <c r="C124" s="5">
        <f t="shared" si="11"/>
        <v>6.8700000000000011E-2</v>
      </c>
      <c r="D124" s="4">
        <v>288</v>
      </c>
      <c r="E124">
        <v>77</v>
      </c>
      <c r="F124" s="19">
        <v>201</v>
      </c>
      <c r="G124" s="5">
        <v>6.1000000000000004E-3</v>
      </c>
      <c r="H124" s="37">
        <f t="shared" si="13"/>
        <v>7.9899999999999999E-2</v>
      </c>
      <c r="I124" s="4">
        <v>17</v>
      </c>
      <c r="J124">
        <v>4</v>
      </c>
      <c r="K124" s="19">
        <v>9</v>
      </c>
      <c r="L124" s="20">
        <v>33</v>
      </c>
      <c r="M124" s="36">
        <v>63</v>
      </c>
      <c r="N124">
        <v>74</v>
      </c>
      <c r="O124">
        <v>70</v>
      </c>
      <c r="P124" s="4">
        <v>-442481451217</v>
      </c>
      <c r="Q124" s="3">
        <f t="shared" si="15"/>
        <v>-297881418366</v>
      </c>
      <c r="R124" s="3">
        <v>-474482411217</v>
      </c>
      <c r="S124" s="3">
        <f t="shared" si="3"/>
        <v>1612174686996</v>
      </c>
      <c r="T124" s="4">
        <v>30</v>
      </c>
      <c r="U124" s="4">
        <v>9</v>
      </c>
      <c r="V124" s="4">
        <v>23891945000</v>
      </c>
      <c r="W124" s="4">
        <f t="shared" si="12"/>
        <v>537658742500</v>
      </c>
      <c r="X124" s="4">
        <v>822636730</v>
      </c>
      <c r="Y124" s="8">
        <v>0.2712</v>
      </c>
      <c r="Z124" s="16">
        <v>64.599999999999994</v>
      </c>
      <c r="AA124" s="18">
        <f t="shared" si="14"/>
        <v>66.69285714285715</v>
      </c>
    </row>
    <row r="125" spans="1:27" x14ac:dyDescent="0.2">
      <c r="A125" s="33" t="s">
        <v>130</v>
      </c>
      <c r="B125" s="5">
        <v>3.3E-3</v>
      </c>
      <c r="C125" s="5">
        <f t="shared" si="11"/>
        <v>6.2700000000000006E-2</v>
      </c>
      <c r="D125" s="4">
        <v>321</v>
      </c>
      <c r="E125">
        <v>81</v>
      </c>
      <c r="F125" s="19">
        <v>153</v>
      </c>
      <c r="G125" s="5">
        <v>3.5999999999999999E-3</v>
      </c>
      <c r="H125" s="37">
        <f t="shared" si="13"/>
        <v>7.3800000000000004E-2</v>
      </c>
      <c r="I125" s="4">
        <v>17</v>
      </c>
      <c r="J125">
        <v>5</v>
      </c>
      <c r="K125" s="19">
        <v>8</v>
      </c>
      <c r="L125" s="20">
        <v>35</v>
      </c>
      <c r="M125" s="36">
        <v>66</v>
      </c>
      <c r="N125">
        <v>71</v>
      </c>
      <c r="O125">
        <v>83</v>
      </c>
      <c r="P125" s="4">
        <v>-389907696192</v>
      </c>
      <c r="Q125" s="3">
        <f t="shared" si="15"/>
        <v>144600032851</v>
      </c>
      <c r="R125" s="3">
        <v>-323400906192</v>
      </c>
      <c r="S125" s="3">
        <f t="shared" si="3"/>
        <v>2086657098213</v>
      </c>
      <c r="T125" s="4">
        <v>10</v>
      </c>
      <c r="U125" s="4">
        <v>20</v>
      </c>
      <c r="V125" s="4">
        <v>-313522909000</v>
      </c>
      <c r="W125" s="4">
        <f t="shared" si="12"/>
        <v>513766797500</v>
      </c>
      <c r="X125" s="4">
        <v>868724308</v>
      </c>
      <c r="Y125" s="8">
        <v>0.34570000000000001</v>
      </c>
      <c r="Z125" s="16">
        <v>64.5</v>
      </c>
      <c r="AA125" s="18">
        <f t="shared" si="14"/>
        <v>68.007142857142853</v>
      </c>
    </row>
    <row r="126" spans="1:27" x14ac:dyDescent="0.2">
      <c r="A126" s="33" t="s">
        <v>131</v>
      </c>
      <c r="B126" s="5">
        <v>8.5000000000000006E-3</v>
      </c>
      <c r="C126" s="5">
        <f t="shared" si="11"/>
        <v>5.9400000000000001E-2</v>
      </c>
      <c r="D126" s="4">
        <v>356</v>
      </c>
      <c r="E126">
        <v>81</v>
      </c>
      <c r="F126" s="19">
        <v>110</v>
      </c>
      <c r="G126" s="5">
        <v>1.1299999999999999E-2</v>
      </c>
      <c r="H126" s="37">
        <f t="shared" si="13"/>
        <v>7.0199999999999999E-2</v>
      </c>
      <c r="I126" s="4">
        <v>26</v>
      </c>
      <c r="J126">
        <v>3</v>
      </c>
      <c r="K126" s="19">
        <v>1</v>
      </c>
      <c r="L126" s="20">
        <v>46</v>
      </c>
      <c r="M126" s="36">
        <v>48</v>
      </c>
      <c r="N126">
        <v>66</v>
      </c>
      <c r="O126">
        <v>77</v>
      </c>
      <c r="P126" s="4">
        <v>-20426078171</v>
      </c>
      <c r="Q126" s="3">
        <f t="shared" si="15"/>
        <v>534507729043</v>
      </c>
      <c r="R126" s="3">
        <v>25320361829</v>
      </c>
      <c r="S126" s="3">
        <f t="shared" si="3"/>
        <v>2410058004405</v>
      </c>
      <c r="T126" s="4">
        <v>21</v>
      </c>
      <c r="U126" s="4">
        <v>11</v>
      </c>
      <c r="V126" s="4">
        <v>83760967000</v>
      </c>
      <c r="W126" s="4">
        <f t="shared" si="12"/>
        <v>827289706500</v>
      </c>
      <c r="X126" s="4">
        <v>685659517</v>
      </c>
      <c r="Y126" s="8">
        <v>0.30380000000000001</v>
      </c>
      <c r="Z126" s="16">
        <v>63.6</v>
      </c>
      <c r="AA126" s="18">
        <f t="shared" si="14"/>
        <v>69.378571428571419</v>
      </c>
    </row>
    <row r="127" spans="1:27" x14ac:dyDescent="0.2">
      <c r="A127" s="33" t="s">
        <v>132</v>
      </c>
      <c r="B127" s="5">
        <v>2E-3</v>
      </c>
      <c r="C127" s="5">
        <f t="shared" si="11"/>
        <v>5.0900000000000001E-2</v>
      </c>
      <c r="D127" s="4">
        <v>244</v>
      </c>
      <c r="E127">
        <v>107</v>
      </c>
      <c r="F127" s="19">
        <v>212</v>
      </c>
      <c r="G127" s="5">
        <v>1.5E-3</v>
      </c>
      <c r="H127" s="37">
        <f t="shared" si="13"/>
        <v>5.8899999999999994E-2</v>
      </c>
      <c r="I127" s="4">
        <v>20</v>
      </c>
      <c r="J127" s="1">
        <v>1</v>
      </c>
      <c r="K127" s="19">
        <v>9</v>
      </c>
      <c r="L127" s="20">
        <v>32</v>
      </c>
      <c r="M127" s="36">
        <v>60</v>
      </c>
      <c r="N127">
        <v>65</v>
      </c>
      <c r="O127">
        <v>78</v>
      </c>
      <c r="P127" s="4">
        <v>-454044753347</v>
      </c>
      <c r="Q127" s="3">
        <f t="shared" si="15"/>
        <v>554933807214</v>
      </c>
      <c r="R127" s="3">
        <v>-314109403347</v>
      </c>
      <c r="S127" s="3">
        <f t="shared" si="3"/>
        <v>2384737642576</v>
      </c>
      <c r="T127" s="4">
        <v>15</v>
      </c>
      <c r="U127" s="4">
        <v>18</v>
      </c>
      <c r="V127" s="4">
        <v>-604171862000</v>
      </c>
      <c r="W127" s="4">
        <f t="shared" si="12"/>
        <v>743528739500</v>
      </c>
      <c r="X127" s="4">
        <v>619772100</v>
      </c>
      <c r="Y127" s="8">
        <v>0.30079999999999996</v>
      </c>
      <c r="Z127" s="16">
        <v>63.2</v>
      </c>
      <c r="AA127" s="18">
        <f t="shared" si="14"/>
        <v>70.76428571428572</v>
      </c>
    </row>
    <row r="128" spans="1:27" x14ac:dyDescent="0.2">
      <c r="A128" s="33" t="s">
        <v>133</v>
      </c>
      <c r="B128" s="5">
        <v>1.15E-2</v>
      </c>
      <c r="C128" s="5">
        <f t="shared" si="11"/>
        <v>4.8899999999999999E-2</v>
      </c>
      <c r="D128" s="4">
        <v>270</v>
      </c>
      <c r="E128">
        <v>72</v>
      </c>
      <c r="F128" s="19">
        <v>212</v>
      </c>
      <c r="G128" s="5">
        <v>1.9199999999999998E-2</v>
      </c>
      <c r="H128" s="37">
        <f t="shared" si="13"/>
        <v>5.7399999999999993E-2</v>
      </c>
      <c r="I128" s="4">
        <v>21</v>
      </c>
      <c r="J128">
        <v>3</v>
      </c>
      <c r="K128" s="19">
        <v>6</v>
      </c>
      <c r="L128" s="20">
        <v>35</v>
      </c>
      <c r="M128" s="36">
        <v>56</v>
      </c>
      <c r="N128">
        <v>71</v>
      </c>
      <c r="O128">
        <v>72</v>
      </c>
      <c r="P128" s="4">
        <v>-47724190106</v>
      </c>
      <c r="Q128" s="3">
        <f t="shared" si="15"/>
        <v>1008978560561</v>
      </c>
      <c r="R128" s="3">
        <v>19370539894</v>
      </c>
      <c r="S128" s="3">
        <f t="shared" si="3"/>
        <v>2698847045923</v>
      </c>
      <c r="T128" s="4">
        <v>29</v>
      </c>
      <c r="U128" s="4">
        <v>8</v>
      </c>
      <c r="V128" s="4">
        <v>40656712000</v>
      </c>
      <c r="W128" s="4">
        <f t="shared" si="12"/>
        <v>1347700601500</v>
      </c>
      <c r="X128" s="4">
        <v>874803630</v>
      </c>
      <c r="Y128" s="8">
        <v>0.3856</v>
      </c>
      <c r="Z128" s="16">
        <v>63.6</v>
      </c>
      <c r="AA128" s="18">
        <f t="shared" si="14"/>
        <v>72.114285714285714</v>
      </c>
    </row>
    <row r="129" spans="1:27" x14ac:dyDescent="0.2">
      <c r="A129" s="33" t="s">
        <v>134</v>
      </c>
      <c r="B129" s="5">
        <v>-4.0000000000000002E-4</v>
      </c>
      <c r="C129" s="5">
        <f t="shared" si="11"/>
        <v>3.7400000000000003E-2</v>
      </c>
      <c r="D129" s="4">
        <v>199</v>
      </c>
      <c r="E129">
        <v>89</v>
      </c>
      <c r="F129" s="19">
        <v>267</v>
      </c>
      <c r="G129" s="5">
        <v>1.1999999999999999E-3</v>
      </c>
      <c r="H129" s="37">
        <f t="shared" si="13"/>
        <v>3.8199999999999998E-2</v>
      </c>
      <c r="I129" s="4">
        <v>10</v>
      </c>
      <c r="J129">
        <v>4</v>
      </c>
      <c r="K129" s="19">
        <v>16</v>
      </c>
      <c r="L129" s="20">
        <v>21</v>
      </c>
      <c r="M129" s="36">
        <v>65</v>
      </c>
      <c r="N129">
        <v>44</v>
      </c>
      <c r="O129">
        <v>90</v>
      </c>
      <c r="P129" s="4">
        <v>-235298007611</v>
      </c>
      <c r="Q129" s="3">
        <f t="shared" si="15"/>
        <v>1056702750667</v>
      </c>
      <c r="R129" s="3">
        <v>-136928447611</v>
      </c>
      <c r="S129" s="3">
        <f t="shared" si="3"/>
        <v>2679476506029</v>
      </c>
      <c r="T129" s="4">
        <v>23</v>
      </c>
      <c r="U129" s="4">
        <v>6</v>
      </c>
      <c r="V129" s="4">
        <v>473998160000</v>
      </c>
      <c r="W129" s="4">
        <f t="shared" si="12"/>
        <v>1307043889500</v>
      </c>
      <c r="X129" s="4">
        <v>914673342</v>
      </c>
      <c r="Y129" s="8">
        <v>0.2697</v>
      </c>
      <c r="Z129" s="16">
        <v>62.7</v>
      </c>
      <c r="AA129" s="18">
        <f t="shared" si="14"/>
        <v>73.535714285714292</v>
      </c>
    </row>
    <row r="130" spans="1:27" x14ac:dyDescent="0.2">
      <c r="A130" s="33" t="s">
        <v>135</v>
      </c>
      <c r="B130" s="5">
        <v>7.4999999999999997E-3</v>
      </c>
      <c r="C130" s="5">
        <f t="shared" si="11"/>
        <v>3.78E-2</v>
      </c>
      <c r="D130" s="4">
        <v>270</v>
      </c>
      <c r="E130">
        <v>111</v>
      </c>
      <c r="F130" s="19">
        <v>177</v>
      </c>
      <c r="G130" s="5">
        <v>6.0000000000000001E-3</v>
      </c>
      <c r="H130" s="37">
        <f t="shared" si="13"/>
        <v>3.6999999999999998E-2</v>
      </c>
      <c r="I130" s="4">
        <v>17</v>
      </c>
      <c r="J130">
        <v>5</v>
      </c>
      <c r="K130" s="19">
        <v>8</v>
      </c>
      <c r="L130" s="20">
        <v>50</v>
      </c>
      <c r="M130" s="36">
        <v>39</v>
      </c>
      <c r="N130">
        <v>65</v>
      </c>
      <c r="O130">
        <v>62</v>
      </c>
      <c r="P130" s="4">
        <v>167317808902</v>
      </c>
      <c r="Q130" s="3">
        <f t="shared" si="15"/>
        <v>1292000758278</v>
      </c>
      <c r="R130" s="3">
        <v>336379167010</v>
      </c>
      <c r="S130" s="3">
        <f t="shared" si="3"/>
        <v>2816404953640</v>
      </c>
      <c r="T130" s="4">
        <v>21</v>
      </c>
      <c r="U130" s="4">
        <v>11</v>
      </c>
      <c r="V130" s="4">
        <v>117915188000</v>
      </c>
      <c r="W130" s="4">
        <f t="shared" si="12"/>
        <v>833045729500</v>
      </c>
      <c r="X130" s="4">
        <v>670246274</v>
      </c>
      <c r="Y130" s="8">
        <v>0.27279999999999999</v>
      </c>
      <c r="Z130" s="16">
        <v>61.8</v>
      </c>
      <c r="AA130" s="18">
        <f t="shared" si="14"/>
        <v>75.021428571428572</v>
      </c>
    </row>
    <row r="131" spans="1:27" x14ac:dyDescent="0.2">
      <c r="A131" s="33" t="s">
        <v>136</v>
      </c>
      <c r="B131" s="5">
        <v>-1.3000000000000001E-2</v>
      </c>
      <c r="C131" s="5">
        <f t="shared" si="11"/>
        <v>3.0299999999999997E-2</v>
      </c>
      <c r="D131" s="4">
        <v>101</v>
      </c>
      <c r="E131">
        <v>62</v>
      </c>
      <c r="F131" s="19">
        <v>393</v>
      </c>
      <c r="G131" s="5">
        <v>-1.2999999999999999E-2</v>
      </c>
      <c r="H131" s="37">
        <f t="shared" si="13"/>
        <v>3.1E-2</v>
      </c>
      <c r="I131" s="4">
        <v>3</v>
      </c>
      <c r="J131">
        <v>1</v>
      </c>
      <c r="K131" s="19">
        <v>26</v>
      </c>
      <c r="L131" s="20">
        <v>10</v>
      </c>
      <c r="M131" s="36">
        <v>94</v>
      </c>
      <c r="N131">
        <v>58</v>
      </c>
      <c r="O131">
        <v>81</v>
      </c>
      <c r="P131" s="4">
        <v>39184647355</v>
      </c>
      <c r="Q131" s="3">
        <f t="shared" si="15"/>
        <v>1124682949376</v>
      </c>
      <c r="R131" s="3">
        <v>270465114609</v>
      </c>
      <c r="S131" s="3">
        <f t="shared" si="3"/>
        <v>2480025786630</v>
      </c>
      <c r="T131" s="4">
        <v>20</v>
      </c>
      <c r="U131" s="4">
        <v>14</v>
      </c>
      <c r="V131" s="4">
        <v>135006758000</v>
      </c>
      <c r="W131" s="4">
        <f t="shared" si="12"/>
        <v>715130541500</v>
      </c>
      <c r="X131" s="4">
        <v>1120899587</v>
      </c>
      <c r="Y131" s="8">
        <v>0.37990000000000002</v>
      </c>
      <c r="Z131" s="16">
        <v>58.8</v>
      </c>
      <c r="AA131" s="18">
        <f t="shared" si="14"/>
        <v>77.378571428571419</v>
      </c>
    </row>
    <row r="132" spans="1:27" x14ac:dyDescent="0.2">
      <c r="A132" s="33" t="s">
        <v>137</v>
      </c>
      <c r="B132" s="5">
        <v>3.3999999999999998E-3</v>
      </c>
      <c r="C132" s="5">
        <f t="shared" si="11"/>
        <v>4.3299999999999998E-2</v>
      </c>
      <c r="D132" s="4">
        <v>266</v>
      </c>
      <c r="E132">
        <v>112</v>
      </c>
      <c r="F132" s="19">
        <v>174</v>
      </c>
      <c r="G132" s="5">
        <v>2.2000000000000001E-3</v>
      </c>
      <c r="H132" s="37">
        <f t="shared" si="13"/>
        <v>4.3999999999999997E-2</v>
      </c>
      <c r="I132" s="4">
        <v>14</v>
      </c>
      <c r="J132">
        <v>4</v>
      </c>
      <c r="K132" s="19">
        <v>12</v>
      </c>
      <c r="L132" s="20">
        <v>56</v>
      </c>
      <c r="M132" s="36">
        <v>39</v>
      </c>
      <c r="N132">
        <v>81</v>
      </c>
      <c r="O132">
        <v>56</v>
      </c>
      <c r="P132" s="4">
        <v>396711927017</v>
      </c>
      <c r="Q132" s="3">
        <f t="shared" si="15"/>
        <v>1085498302021</v>
      </c>
      <c r="R132" s="3">
        <v>570403367017</v>
      </c>
      <c r="S132" s="3">
        <f t="shared" si="3"/>
        <v>2209560672021</v>
      </c>
      <c r="T132" s="4">
        <v>24</v>
      </c>
      <c r="U132" s="4">
        <v>9</v>
      </c>
      <c r="V132" s="4">
        <v>145507674500</v>
      </c>
      <c r="W132" s="4">
        <f t="shared" si="12"/>
        <v>580123783500</v>
      </c>
      <c r="X132" s="4">
        <v>620146298</v>
      </c>
      <c r="Y132" s="8">
        <v>0.30130000000000001</v>
      </c>
      <c r="Z132" s="16">
        <v>69.3</v>
      </c>
      <c r="AA132" s="18">
        <f t="shared" si="14"/>
        <v>78.964285714285708</v>
      </c>
    </row>
    <row r="133" spans="1:27" x14ac:dyDescent="0.2">
      <c r="A133" s="33" t="s">
        <v>138</v>
      </c>
      <c r="B133" s="5">
        <v>0</v>
      </c>
      <c r="C133" s="5">
        <f t="shared" si="11"/>
        <v>3.9899999999999998E-2</v>
      </c>
      <c r="D133" s="4">
        <v>187</v>
      </c>
      <c r="E133">
        <v>106</v>
      </c>
      <c r="F133" s="19">
        <v>283</v>
      </c>
      <c r="G133" s="5">
        <v>-3.0999999999999999E-3</v>
      </c>
      <c r="H133" s="37">
        <f t="shared" si="13"/>
        <v>4.1799999999999997E-2</v>
      </c>
      <c r="I133" s="4">
        <v>14</v>
      </c>
      <c r="J133">
        <v>5</v>
      </c>
      <c r="K133" s="19">
        <v>11</v>
      </c>
      <c r="L133" s="20">
        <v>29</v>
      </c>
      <c r="M133" s="36">
        <v>66</v>
      </c>
      <c r="N133">
        <v>60</v>
      </c>
      <c r="O133">
        <v>77</v>
      </c>
      <c r="P133" s="4">
        <v>-137908844181</v>
      </c>
      <c r="Q133" s="3">
        <f t="shared" si="15"/>
        <v>688786375004</v>
      </c>
      <c r="R133" s="3">
        <v>-87500014181</v>
      </c>
      <c r="S133" s="3">
        <f t="shared" ref="S133:S150" si="16">R133+S134</f>
        <v>1639157305004</v>
      </c>
      <c r="T133" s="4">
        <v>21</v>
      </c>
      <c r="U133" s="4">
        <v>7</v>
      </c>
      <c r="V133" s="4">
        <v>80396993000</v>
      </c>
      <c r="W133" s="4">
        <f t="shared" si="12"/>
        <v>434616109000</v>
      </c>
      <c r="X133" s="4">
        <v>666529537</v>
      </c>
      <c r="Y133" s="8">
        <v>0.26079999999999998</v>
      </c>
      <c r="Z133" s="16">
        <v>70.2</v>
      </c>
      <c r="AA133" s="18">
        <f t="shared" si="14"/>
        <v>80.464285714285708</v>
      </c>
    </row>
    <row r="134" spans="1:27" x14ac:dyDescent="0.2">
      <c r="A134" s="33" t="s">
        <v>139</v>
      </c>
      <c r="B134" s="5">
        <v>4.4999999999999997E-3</v>
      </c>
      <c r="C134" s="5">
        <f t="shared" si="11"/>
        <v>3.9899999999999998E-2</v>
      </c>
      <c r="D134" s="4">
        <v>253</v>
      </c>
      <c r="E134">
        <v>129</v>
      </c>
      <c r="F134" s="19">
        <v>193</v>
      </c>
      <c r="G134" s="5">
        <v>4.4999999999999997E-3</v>
      </c>
      <c r="H134" s="37">
        <f t="shared" si="13"/>
        <v>4.4899999999999995E-2</v>
      </c>
      <c r="I134" s="4">
        <v>19</v>
      </c>
      <c r="J134">
        <v>3</v>
      </c>
      <c r="K134" s="19">
        <v>8</v>
      </c>
      <c r="L134" s="20">
        <v>47</v>
      </c>
      <c r="M134" s="36">
        <v>44</v>
      </c>
      <c r="N134">
        <v>77</v>
      </c>
      <c r="O134">
        <v>58</v>
      </c>
      <c r="P134" s="4">
        <v>361099360028</v>
      </c>
      <c r="Q134" s="3">
        <f t="shared" si="15"/>
        <v>826695219185</v>
      </c>
      <c r="R134" s="3">
        <v>490244690028</v>
      </c>
      <c r="S134" s="3">
        <f t="shared" si="16"/>
        <v>1726657319185</v>
      </c>
      <c r="T134" s="4">
        <v>29</v>
      </c>
      <c r="U134" s="4">
        <v>2</v>
      </c>
      <c r="V134" s="4">
        <v>446810920000</v>
      </c>
      <c r="W134" s="4">
        <f t="shared" si="12"/>
        <v>354219116000</v>
      </c>
      <c r="X134" s="4">
        <v>575224219</v>
      </c>
      <c r="Y134" s="8">
        <v>0.31219999999999998</v>
      </c>
      <c r="Z134" s="16">
        <v>62.8</v>
      </c>
      <c r="AA134" s="18">
        <f t="shared" si="14"/>
        <v>82.678571428571431</v>
      </c>
    </row>
    <row r="135" spans="1:27" x14ac:dyDescent="0.2">
      <c r="A135" s="33" t="s">
        <v>140</v>
      </c>
      <c r="B135" s="5">
        <v>-2.2000000000000001E-3</v>
      </c>
      <c r="C135" s="5">
        <f t="shared" si="11"/>
        <v>3.5400000000000001E-2</v>
      </c>
      <c r="D135" s="4">
        <v>140</v>
      </c>
      <c r="E135">
        <v>117</v>
      </c>
      <c r="F135" s="19">
        <v>301</v>
      </c>
      <c r="G135" s="5">
        <v>-1.6000000000000001E-3</v>
      </c>
      <c r="H135" s="37">
        <f t="shared" si="13"/>
        <v>4.0399999999999998E-2</v>
      </c>
      <c r="I135" s="4">
        <v>7</v>
      </c>
      <c r="J135">
        <v>7</v>
      </c>
      <c r="K135" s="19">
        <v>16</v>
      </c>
      <c r="L135" s="20">
        <v>21</v>
      </c>
      <c r="M135" s="36">
        <v>64</v>
      </c>
      <c r="N135">
        <v>59</v>
      </c>
      <c r="O135">
        <v>76</v>
      </c>
      <c r="P135" s="4">
        <v>-40176974807</v>
      </c>
      <c r="Q135" s="3">
        <f t="shared" si="15"/>
        <v>465595859157</v>
      </c>
      <c r="R135" s="3">
        <v>-83420014807</v>
      </c>
      <c r="S135" s="3">
        <f t="shared" si="16"/>
        <v>1236412629157</v>
      </c>
      <c r="T135" s="4">
        <v>19</v>
      </c>
      <c r="U135" s="4">
        <v>9</v>
      </c>
      <c r="V135" s="4">
        <v>40711116000</v>
      </c>
      <c r="W135" s="4">
        <f t="shared" si="12"/>
        <v>-92591804000</v>
      </c>
      <c r="X135" s="4">
        <v>540538159</v>
      </c>
      <c r="Y135" s="8">
        <v>0.3085</v>
      </c>
      <c r="Z135" s="16">
        <v>63.9</v>
      </c>
      <c r="AA135" s="18">
        <f t="shared" si="14"/>
        <v>84.307142857142864</v>
      </c>
    </row>
    <row r="136" spans="1:27" x14ac:dyDescent="0.2">
      <c r="A136" s="33" t="s">
        <v>141</v>
      </c>
      <c r="B136" s="5">
        <v>-3.8E-3</v>
      </c>
      <c r="C136" s="5">
        <f t="shared" si="11"/>
        <v>3.7600000000000001E-2</v>
      </c>
      <c r="D136" s="4">
        <v>167</v>
      </c>
      <c r="E136">
        <v>103</v>
      </c>
      <c r="F136" s="19">
        <v>297</v>
      </c>
      <c r="G136" s="5">
        <v>-3.7000000000000002E-3</v>
      </c>
      <c r="H136" s="37">
        <f t="shared" si="13"/>
        <v>4.1999999999999996E-2</v>
      </c>
      <c r="I136" s="4">
        <v>7</v>
      </c>
      <c r="J136">
        <v>4</v>
      </c>
      <c r="K136" s="19">
        <v>19</v>
      </c>
      <c r="L136" s="20">
        <v>16</v>
      </c>
      <c r="M136" s="36">
        <v>77</v>
      </c>
      <c r="N136">
        <v>62</v>
      </c>
      <c r="O136">
        <v>78</v>
      </c>
      <c r="P136" s="4">
        <v>153335591842</v>
      </c>
      <c r="Q136" s="3">
        <f t="shared" si="15"/>
        <v>505772833964</v>
      </c>
      <c r="R136" s="3">
        <v>171428901842</v>
      </c>
      <c r="S136" s="3">
        <f t="shared" si="16"/>
        <v>1319832643964</v>
      </c>
      <c r="T136" s="4">
        <v>21</v>
      </c>
      <c r="U136" s="4">
        <v>15</v>
      </c>
      <c r="V136" s="4">
        <v>-1449780000</v>
      </c>
      <c r="W136" s="4">
        <f t="shared" si="12"/>
        <v>-133302920000</v>
      </c>
      <c r="X136" s="4">
        <v>733190188</v>
      </c>
      <c r="Y136" s="8">
        <v>0.33909999999999996</v>
      </c>
      <c r="Z136" s="16">
        <v>69.099999999999994</v>
      </c>
      <c r="AA136" s="18">
        <f t="shared" si="14"/>
        <v>85.085714285714289</v>
      </c>
    </row>
    <row r="137" spans="1:27" x14ac:dyDescent="0.2">
      <c r="A137" s="33" t="s">
        <v>142</v>
      </c>
      <c r="B137" s="5">
        <v>-4.4999999999999997E-3</v>
      </c>
      <c r="C137" s="5">
        <f t="shared" si="11"/>
        <v>4.1399999999999999E-2</v>
      </c>
      <c r="D137" s="4">
        <v>164</v>
      </c>
      <c r="E137">
        <v>99</v>
      </c>
      <c r="F137" s="19">
        <v>313</v>
      </c>
      <c r="G137" s="5">
        <v>-4.7999999999999996E-3</v>
      </c>
      <c r="H137" s="37">
        <f t="shared" si="13"/>
        <v>4.5699999999999998E-2</v>
      </c>
      <c r="I137" s="4">
        <v>5</v>
      </c>
      <c r="J137">
        <v>0</v>
      </c>
      <c r="K137" s="19">
        <v>25</v>
      </c>
      <c r="L137" s="20">
        <v>24</v>
      </c>
      <c r="M137" s="36">
        <v>72</v>
      </c>
      <c r="N137">
        <v>65</v>
      </c>
      <c r="O137">
        <v>71</v>
      </c>
      <c r="P137" s="4">
        <v>249996770975</v>
      </c>
      <c r="Q137" s="3">
        <f t="shared" si="15"/>
        <v>352437242122</v>
      </c>
      <c r="R137" s="3">
        <v>233966350975</v>
      </c>
      <c r="S137" s="3">
        <f t="shared" si="16"/>
        <v>1148403742122</v>
      </c>
      <c r="T137" s="4">
        <v>10</v>
      </c>
      <c r="U137" s="4">
        <v>20</v>
      </c>
      <c r="V137" s="4">
        <v>-624581419000</v>
      </c>
      <c r="W137" s="4">
        <f t="shared" si="12"/>
        <v>-131853140000</v>
      </c>
      <c r="X137" s="4">
        <v>683712214</v>
      </c>
      <c r="Y137" s="8">
        <v>0.34369999999999995</v>
      </c>
      <c r="Z137" s="16">
        <v>77.5</v>
      </c>
      <c r="AA137" s="18">
        <f t="shared" si="14"/>
        <v>84.628571428571419</v>
      </c>
    </row>
    <row r="138" spans="1:27" x14ac:dyDescent="0.2">
      <c r="A138" s="33" t="s">
        <v>143</v>
      </c>
      <c r="B138" s="5">
        <v>1.1999999999999999E-3</v>
      </c>
      <c r="C138" s="5">
        <f t="shared" si="11"/>
        <v>4.5899999999999996E-2</v>
      </c>
      <c r="D138" s="4">
        <v>246</v>
      </c>
      <c r="E138">
        <v>119</v>
      </c>
      <c r="F138" s="19">
        <v>223</v>
      </c>
      <c r="G138" s="5">
        <v>3.7000000000000002E-3</v>
      </c>
      <c r="H138" s="37">
        <f t="shared" si="13"/>
        <v>5.0499999999999996E-2</v>
      </c>
      <c r="I138" s="4">
        <v>14</v>
      </c>
      <c r="J138">
        <v>6</v>
      </c>
      <c r="K138" s="19">
        <v>10</v>
      </c>
      <c r="L138" s="20">
        <v>28</v>
      </c>
      <c r="M138" s="36">
        <v>63</v>
      </c>
      <c r="N138">
        <v>75</v>
      </c>
      <c r="O138">
        <v>66</v>
      </c>
      <c r="P138" s="4">
        <v>502684290838</v>
      </c>
      <c r="Q138" s="3">
        <f t="shared" si="15"/>
        <v>102440471147</v>
      </c>
      <c r="R138" s="3">
        <v>533319270838</v>
      </c>
      <c r="S138" s="3">
        <f t="shared" si="16"/>
        <v>914437391147</v>
      </c>
      <c r="T138" s="4">
        <v>23</v>
      </c>
      <c r="U138" s="4">
        <v>5</v>
      </c>
      <c r="V138" s="4">
        <v>26002126000</v>
      </c>
      <c r="W138" s="4">
        <f t="shared" si="12"/>
        <v>492728279000</v>
      </c>
      <c r="X138" s="4">
        <v>889755900</v>
      </c>
      <c r="Y138" s="8">
        <v>0.32479999999999998</v>
      </c>
      <c r="Z138" s="16">
        <v>82.7</v>
      </c>
      <c r="AA138" s="18">
        <f>AVERAGE(Z139:Z152)</f>
        <v>83.142857142857139</v>
      </c>
    </row>
    <row r="139" spans="1:27" x14ac:dyDescent="0.2">
      <c r="A139" s="33" t="s">
        <v>144</v>
      </c>
      <c r="B139" s="5">
        <v>1.06E-2</v>
      </c>
      <c r="C139" s="5">
        <f t="shared" si="11"/>
        <v>4.4699999999999997E-2</v>
      </c>
      <c r="D139" s="4">
        <v>305</v>
      </c>
      <c r="E139">
        <v>94</v>
      </c>
      <c r="F139" s="19">
        <v>187</v>
      </c>
      <c r="G139" s="5">
        <v>9.5999999999999992E-3</v>
      </c>
      <c r="H139" s="37">
        <f t="shared" si="13"/>
        <v>4.6799999999999994E-2</v>
      </c>
      <c r="I139" s="4">
        <v>27</v>
      </c>
      <c r="J139">
        <v>0</v>
      </c>
      <c r="K139" s="19">
        <v>3</v>
      </c>
      <c r="L139" s="20">
        <v>31</v>
      </c>
      <c r="M139" s="36">
        <v>67</v>
      </c>
      <c r="N139">
        <v>64</v>
      </c>
      <c r="O139">
        <v>69</v>
      </c>
      <c r="P139" s="4">
        <v>187659123156</v>
      </c>
      <c r="Q139" s="3">
        <f t="shared" si="15"/>
        <v>-400243819691</v>
      </c>
      <c r="R139" s="3">
        <v>226375563156</v>
      </c>
      <c r="S139" s="3">
        <f t="shared" si="16"/>
        <v>381118120309</v>
      </c>
      <c r="T139" s="4">
        <v>27</v>
      </c>
      <c r="U139" s="4">
        <v>6</v>
      </c>
      <c r="V139" s="4">
        <v>209791725000</v>
      </c>
      <c r="W139" s="4">
        <f t="shared" si="12"/>
        <v>466726153000</v>
      </c>
      <c r="X139" s="4">
        <v>662887992</v>
      </c>
      <c r="Y139" s="8">
        <v>0.35840000000000005</v>
      </c>
      <c r="Z139" s="17">
        <v>82.9</v>
      </c>
    </row>
    <row r="140" spans="1:27" x14ac:dyDescent="0.2">
      <c r="A140" s="33" t="s">
        <v>356</v>
      </c>
      <c r="B140" s="5">
        <v>5.5999999999999999E-3</v>
      </c>
      <c r="C140" s="5">
        <f t="shared" si="11"/>
        <v>3.4099999999999998E-2</v>
      </c>
      <c r="D140" s="4">
        <v>289</v>
      </c>
      <c r="E140">
        <v>124</v>
      </c>
      <c r="F140" s="19">
        <v>167</v>
      </c>
      <c r="G140" s="5">
        <v>6.3E-3</v>
      </c>
      <c r="H140" s="37">
        <f t="shared" si="13"/>
        <v>3.7199999999999997E-2</v>
      </c>
      <c r="I140" s="4">
        <v>20</v>
      </c>
      <c r="J140">
        <v>5</v>
      </c>
      <c r="K140" s="19">
        <v>5</v>
      </c>
      <c r="L140" s="20">
        <v>43</v>
      </c>
      <c r="M140" s="36">
        <v>51</v>
      </c>
      <c r="N140">
        <v>71</v>
      </c>
      <c r="O140">
        <v>64</v>
      </c>
      <c r="P140" s="4">
        <v>69651700055</v>
      </c>
      <c r="Q140" s="3">
        <f t="shared" si="15"/>
        <v>-587902942847</v>
      </c>
      <c r="R140" s="3">
        <v>42444610055</v>
      </c>
      <c r="S140" s="3">
        <f t="shared" si="16"/>
        <v>154742557153</v>
      </c>
      <c r="T140" s="4">
        <v>33</v>
      </c>
      <c r="U140" s="4">
        <v>4</v>
      </c>
      <c r="V140" s="4">
        <v>435304200000</v>
      </c>
      <c r="W140" s="4">
        <f t="shared" si="12"/>
        <v>256934428000</v>
      </c>
      <c r="X140" s="4">
        <v>596224450</v>
      </c>
      <c r="Y140" s="8">
        <v>0.32030000000000003</v>
      </c>
      <c r="Z140" s="16">
        <v>82.8</v>
      </c>
    </row>
    <row r="141" spans="1:27" x14ac:dyDescent="0.2">
      <c r="A141" s="33" t="s">
        <v>145</v>
      </c>
      <c r="B141" s="5">
        <v>-5.0000000000000001E-4</v>
      </c>
      <c r="C141" s="5">
        <f t="shared" si="11"/>
        <v>2.8499999999999998E-2</v>
      </c>
      <c r="D141" s="4">
        <v>233</v>
      </c>
      <c r="E141">
        <v>109</v>
      </c>
      <c r="F141" s="19">
        <v>241</v>
      </c>
      <c r="G141" s="5">
        <v>-3.0999999999999999E-3</v>
      </c>
      <c r="H141" s="37">
        <f t="shared" si="13"/>
        <v>3.0899999999999997E-2</v>
      </c>
      <c r="I141" s="4">
        <v>9</v>
      </c>
      <c r="J141">
        <v>4</v>
      </c>
      <c r="K141" s="19">
        <v>17</v>
      </c>
      <c r="L141" s="20">
        <v>24</v>
      </c>
      <c r="M141" s="36">
        <v>56</v>
      </c>
      <c r="N141">
        <v>66</v>
      </c>
      <c r="O141">
        <v>65</v>
      </c>
      <c r="P141" s="4">
        <v>191412433815</v>
      </c>
      <c r="Q141" s="3">
        <f t="shared" si="15"/>
        <v>-657554642902</v>
      </c>
      <c r="R141" s="3">
        <v>291635273815</v>
      </c>
      <c r="S141" s="3">
        <f t="shared" si="16"/>
        <v>112297947098</v>
      </c>
      <c r="T141" s="4">
        <v>11</v>
      </c>
      <c r="U141" s="4">
        <v>19</v>
      </c>
      <c r="V141" s="4">
        <v>-170667139000</v>
      </c>
      <c r="W141" s="4">
        <f t="shared" si="12"/>
        <v>-178369772000</v>
      </c>
      <c r="X141" s="4">
        <v>769803132</v>
      </c>
      <c r="Y141" s="8">
        <v>0.33529999999999999</v>
      </c>
      <c r="Z141" s="16">
        <v>82.6</v>
      </c>
    </row>
    <row r="142" spans="1:27" x14ac:dyDescent="0.2">
      <c r="A142" s="33" t="s">
        <v>146</v>
      </c>
      <c r="B142" s="5">
        <v>7.7999999999999996E-3</v>
      </c>
      <c r="C142" s="5">
        <f t="shared" si="11"/>
        <v>2.8999999999999998E-2</v>
      </c>
      <c r="D142" s="4">
        <v>318</v>
      </c>
      <c r="E142">
        <v>102</v>
      </c>
      <c r="F142" s="19">
        <v>163</v>
      </c>
      <c r="G142" s="5">
        <v>7.7000000000000002E-3</v>
      </c>
      <c r="H142" s="37">
        <f t="shared" si="13"/>
        <v>3.3999999999999996E-2</v>
      </c>
      <c r="I142" s="4">
        <v>21</v>
      </c>
      <c r="J142">
        <v>5</v>
      </c>
      <c r="K142" s="19">
        <v>4</v>
      </c>
      <c r="L142" s="20">
        <v>54</v>
      </c>
      <c r="M142" s="36">
        <v>30</v>
      </c>
      <c r="N142">
        <v>63</v>
      </c>
      <c r="O142">
        <v>63</v>
      </c>
      <c r="P142" s="4">
        <v>52772819266</v>
      </c>
      <c r="Q142" s="3">
        <f t="shared" si="15"/>
        <v>-848967076717</v>
      </c>
      <c r="R142" s="3">
        <v>88283739266</v>
      </c>
      <c r="S142" s="3">
        <f t="shared" si="16"/>
        <v>-179337326717</v>
      </c>
      <c r="T142" s="4">
        <v>19</v>
      </c>
      <c r="U142" s="4">
        <v>11</v>
      </c>
      <c r="V142" s="4">
        <v>59044813000</v>
      </c>
      <c r="W142" s="4">
        <f t="shared" si="12"/>
        <v>-7702633000</v>
      </c>
      <c r="X142" s="4">
        <v>611399775</v>
      </c>
      <c r="Y142" s="8">
        <v>0.36820000000000003</v>
      </c>
      <c r="Z142" s="16">
        <v>82.5</v>
      </c>
    </row>
    <row r="143" spans="1:27" x14ac:dyDescent="0.2">
      <c r="A143" s="33" t="s">
        <v>147</v>
      </c>
      <c r="B143" s="5">
        <v>-5.0000000000000001E-4</v>
      </c>
      <c r="C143" s="5">
        <f t="shared" si="11"/>
        <v>2.12E-2</v>
      </c>
      <c r="D143" s="4">
        <v>180</v>
      </c>
      <c r="E143">
        <v>78</v>
      </c>
      <c r="F143" s="19">
        <v>312</v>
      </c>
      <c r="G143" s="5">
        <v>-2E-3</v>
      </c>
      <c r="H143" s="37">
        <f t="shared" si="13"/>
        <v>2.6299999999999997E-2</v>
      </c>
      <c r="I143" s="4">
        <v>12</v>
      </c>
      <c r="J143">
        <v>0</v>
      </c>
      <c r="K143" s="19">
        <v>18</v>
      </c>
      <c r="L143" s="20">
        <v>17</v>
      </c>
      <c r="M143" s="36">
        <v>75</v>
      </c>
      <c r="N143">
        <v>56</v>
      </c>
      <c r="O143">
        <v>71</v>
      </c>
      <c r="P143" s="4">
        <v>24392645189</v>
      </c>
      <c r="Q143" s="3">
        <f t="shared" si="15"/>
        <v>-901739895983</v>
      </c>
      <c r="R143" s="3">
        <v>41934295189</v>
      </c>
      <c r="S143" s="3">
        <f t="shared" si="16"/>
        <v>-267621065983</v>
      </c>
      <c r="T143" s="4">
        <v>24</v>
      </c>
      <c r="U143" s="4">
        <v>2</v>
      </c>
      <c r="V143" s="4">
        <v>207725095000</v>
      </c>
      <c r="W143" s="4">
        <f t="shared" si="12"/>
        <v>-66747446000</v>
      </c>
      <c r="X143" s="4">
        <v>617145386</v>
      </c>
      <c r="Y143" s="8">
        <v>0.36749999999999999</v>
      </c>
      <c r="Z143" s="16">
        <v>82.6</v>
      </c>
    </row>
    <row r="144" spans="1:27" x14ac:dyDescent="0.2">
      <c r="A144" s="33" t="s">
        <v>148</v>
      </c>
      <c r="B144" s="5">
        <v>-6.4999999999999997E-3</v>
      </c>
      <c r="C144" s="5">
        <f t="shared" si="11"/>
        <v>2.1700000000000001E-2</v>
      </c>
      <c r="D144" s="4">
        <v>132</v>
      </c>
      <c r="E144">
        <v>60</v>
      </c>
      <c r="F144" s="19">
        <v>380</v>
      </c>
      <c r="G144" s="5">
        <v>1E-4</v>
      </c>
      <c r="H144" s="37">
        <f t="shared" si="13"/>
        <v>2.8299999999999999E-2</v>
      </c>
      <c r="I144" s="4">
        <v>8</v>
      </c>
      <c r="J144">
        <v>1</v>
      </c>
      <c r="K144" s="19">
        <v>21</v>
      </c>
      <c r="L144" s="20">
        <v>9</v>
      </c>
      <c r="M144" s="36">
        <v>85</v>
      </c>
      <c r="N144">
        <v>68</v>
      </c>
      <c r="O144">
        <v>61</v>
      </c>
      <c r="P144" s="4">
        <v>-51248750301</v>
      </c>
      <c r="Q144" s="3">
        <f t="shared" si="15"/>
        <v>-926132541172</v>
      </c>
      <c r="R144" s="3">
        <v>-32196020301</v>
      </c>
      <c r="S144" s="3">
        <f t="shared" si="16"/>
        <v>-309555361172</v>
      </c>
      <c r="T144" s="4">
        <v>10</v>
      </c>
      <c r="U144" s="4">
        <v>22</v>
      </c>
      <c r="V144" s="4">
        <v>-379706340000</v>
      </c>
      <c r="W144" s="4">
        <f t="shared" si="12"/>
        <v>-274472541000</v>
      </c>
      <c r="X144" s="4">
        <v>1086669255</v>
      </c>
      <c r="Y144" s="8">
        <v>0.35460000000000003</v>
      </c>
      <c r="Z144" s="16">
        <v>82.6</v>
      </c>
    </row>
    <row r="145" spans="1:26" x14ac:dyDescent="0.2">
      <c r="A145" s="33" t="s">
        <v>149</v>
      </c>
      <c r="B145" s="5">
        <v>5.9999999999999995E-4</v>
      </c>
      <c r="C145" s="5">
        <f t="shared" si="11"/>
        <v>2.8199999999999999E-2</v>
      </c>
      <c r="D145" s="4">
        <v>250</v>
      </c>
      <c r="E145">
        <v>115</v>
      </c>
      <c r="F145" s="19">
        <v>221</v>
      </c>
      <c r="G145" s="5">
        <v>8.0000000000000004E-4</v>
      </c>
      <c r="H145" s="37">
        <f t="shared" si="13"/>
        <v>2.8199999999999999E-2</v>
      </c>
      <c r="I145" s="4">
        <v>20</v>
      </c>
      <c r="J145">
        <v>3</v>
      </c>
      <c r="K145" s="19">
        <v>7</v>
      </c>
      <c r="L145" s="20">
        <v>17</v>
      </c>
      <c r="M145" s="36">
        <v>69</v>
      </c>
      <c r="N145">
        <v>66</v>
      </c>
      <c r="O145">
        <v>62</v>
      </c>
      <c r="P145" s="4">
        <v>104027723444</v>
      </c>
      <c r="Q145" s="3">
        <f t="shared" si="15"/>
        <v>-874883790871</v>
      </c>
      <c r="R145" s="3">
        <v>171260793444</v>
      </c>
      <c r="S145" s="3">
        <f t="shared" si="16"/>
        <v>-277359340871</v>
      </c>
      <c r="T145" s="4">
        <v>19</v>
      </c>
      <c r="U145" s="4">
        <v>5</v>
      </c>
      <c r="V145" s="4">
        <v>-134937700000</v>
      </c>
      <c r="W145" s="4">
        <f t="shared" si="12"/>
        <v>105233799000</v>
      </c>
      <c r="X145" s="4">
        <v>860493292</v>
      </c>
      <c r="Y145" s="8">
        <v>0.33390000000000003</v>
      </c>
      <c r="Z145" s="16">
        <v>91.8</v>
      </c>
    </row>
    <row r="146" spans="1:26" x14ac:dyDescent="0.2">
      <c r="A146" s="33" t="s">
        <v>150</v>
      </c>
      <c r="B146" s="5">
        <v>2.5000000000000001E-3</v>
      </c>
      <c r="C146" s="5">
        <f t="shared" si="11"/>
        <v>2.76E-2</v>
      </c>
      <c r="D146" s="4">
        <v>195</v>
      </c>
      <c r="E146">
        <v>69</v>
      </c>
      <c r="F146" s="19">
        <v>309</v>
      </c>
      <c r="G146" s="5">
        <v>2.0999999999999999E-3</v>
      </c>
      <c r="H146" s="37">
        <f t="shared" si="13"/>
        <v>2.7400000000000001E-2</v>
      </c>
      <c r="I146" s="4">
        <v>15</v>
      </c>
      <c r="J146">
        <v>0</v>
      </c>
      <c r="K146" s="19">
        <v>15</v>
      </c>
      <c r="L146" s="20">
        <v>16</v>
      </c>
      <c r="M146" s="36">
        <v>77</v>
      </c>
      <c r="N146">
        <v>74</v>
      </c>
      <c r="O146">
        <v>62</v>
      </c>
      <c r="P146" s="4">
        <v>-199155060394</v>
      </c>
      <c r="Q146" s="3">
        <f t="shared" si="15"/>
        <v>-978911514315</v>
      </c>
      <c r="R146" s="3">
        <v>-123533970394</v>
      </c>
      <c r="S146" s="3">
        <f t="shared" si="16"/>
        <v>-448620134315</v>
      </c>
      <c r="T146" s="4">
        <v>12</v>
      </c>
      <c r="U146" s="4">
        <v>19</v>
      </c>
      <c r="V146" s="4">
        <v>-198205025000</v>
      </c>
      <c r="W146" s="4">
        <f t="shared" si="12"/>
        <v>240171499000</v>
      </c>
      <c r="X146" s="4">
        <v>992761212</v>
      </c>
      <c r="Y146" s="8">
        <v>0.37070000000000003</v>
      </c>
      <c r="Z146" s="16">
        <v>91.5</v>
      </c>
    </row>
    <row r="147" spans="1:26" x14ac:dyDescent="0.2">
      <c r="A147" s="33" t="s">
        <v>151</v>
      </c>
      <c r="B147" s="5">
        <v>-1.4E-3</v>
      </c>
      <c r="C147" s="5">
        <f t="shared" si="11"/>
        <v>2.5100000000000001E-2</v>
      </c>
      <c r="D147" s="4">
        <v>157</v>
      </c>
      <c r="E147">
        <v>70</v>
      </c>
      <c r="F147" s="19">
        <v>340</v>
      </c>
      <c r="G147" s="5">
        <v>-2.8E-3</v>
      </c>
      <c r="H147" s="37">
        <f t="shared" si="13"/>
        <v>2.53E-2</v>
      </c>
      <c r="I147" s="4">
        <v>7</v>
      </c>
      <c r="J147">
        <v>4</v>
      </c>
      <c r="K147" s="19">
        <v>19</v>
      </c>
      <c r="L147" s="20">
        <v>22</v>
      </c>
      <c r="M147" s="36">
        <v>63</v>
      </c>
      <c r="N147">
        <v>74</v>
      </c>
      <c r="O147">
        <v>60</v>
      </c>
      <c r="P147" s="4">
        <v>-106567673803</v>
      </c>
      <c r="Q147" s="3">
        <f t="shared" si="15"/>
        <v>-779756453921</v>
      </c>
      <c r="R147" s="3">
        <v>-31660023803</v>
      </c>
      <c r="S147" s="3">
        <f t="shared" si="16"/>
        <v>-325086163921</v>
      </c>
      <c r="T147" s="4">
        <v>19</v>
      </c>
      <c r="U147" s="4">
        <v>9</v>
      </c>
      <c r="V147" s="4">
        <v>80559826000</v>
      </c>
      <c r="W147" s="4">
        <f t="shared" si="12"/>
        <v>438376524000</v>
      </c>
      <c r="X147" s="4">
        <v>870509266</v>
      </c>
      <c r="Y147" s="8">
        <v>0.27960000000000002</v>
      </c>
      <c r="Z147" s="16">
        <v>91.2</v>
      </c>
    </row>
    <row r="148" spans="1:26" x14ac:dyDescent="0.2">
      <c r="A148" s="33" t="s">
        <v>152</v>
      </c>
      <c r="B148" s="5">
        <v>4.7999999999999996E-3</v>
      </c>
      <c r="C148" s="5">
        <f t="shared" si="11"/>
        <v>2.6499999999999999E-2</v>
      </c>
      <c r="D148" s="4">
        <v>273</v>
      </c>
      <c r="E148">
        <v>79</v>
      </c>
      <c r="F148" s="19">
        <v>234</v>
      </c>
      <c r="G148" s="5">
        <v>2E-3</v>
      </c>
      <c r="H148" s="37">
        <f t="shared" si="13"/>
        <v>2.81E-2</v>
      </c>
      <c r="I148" s="4">
        <v>16</v>
      </c>
      <c r="J148">
        <v>1</v>
      </c>
      <c r="K148" s="19">
        <v>13</v>
      </c>
      <c r="L148" s="20">
        <v>22</v>
      </c>
      <c r="M148" s="36">
        <v>69</v>
      </c>
      <c r="N148">
        <v>66</v>
      </c>
      <c r="O148">
        <v>66</v>
      </c>
      <c r="P148" s="4">
        <v>-204815712671</v>
      </c>
      <c r="Q148" s="3">
        <f t="shared" si="15"/>
        <v>-673188780118</v>
      </c>
      <c r="R148" s="3">
        <v>-141802292671</v>
      </c>
      <c r="S148" s="3">
        <f t="shared" si="16"/>
        <v>-293426140118</v>
      </c>
      <c r="T148" s="4">
        <v>16</v>
      </c>
      <c r="U148" s="4">
        <v>8</v>
      </c>
      <c r="V148" s="4">
        <v>81748371000</v>
      </c>
      <c r="W148" s="4">
        <f t="shared" si="12"/>
        <v>357816698000</v>
      </c>
      <c r="X148" s="4">
        <v>905408420</v>
      </c>
      <c r="Y148" s="8">
        <v>0.30609999999999998</v>
      </c>
      <c r="Z148" s="16">
        <v>93.8</v>
      </c>
    </row>
    <row r="149" spans="1:26" x14ac:dyDescent="0.2">
      <c r="A149" s="33" t="s">
        <v>153</v>
      </c>
      <c r="B149" s="5">
        <v>3.3999999999999998E-3</v>
      </c>
      <c r="C149" s="5">
        <f t="shared" si="11"/>
        <v>2.1700000000000001E-2</v>
      </c>
      <c r="D149" s="4">
        <v>221</v>
      </c>
      <c r="E149">
        <v>95</v>
      </c>
      <c r="F149" s="19">
        <v>267</v>
      </c>
      <c r="G149" s="5">
        <v>4.1000000000000003E-3</v>
      </c>
      <c r="H149" s="37">
        <f t="shared" si="13"/>
        <v>2.6099999999999998E-2</v>
      </c>
      <c r="I149" s="4">
        <v>19</v>
      </c>
      <c r="J149">
        <v>0</v>
      </c>
      <c r="K149" s="19">
        <v>11</v>
      </c>
      <c r="L149" s="20">
        <v>25</v>
      </c>
      <c r="M149" s="36">
        <v>63</v>
      </c>
      <c r="N149">
        <v>42</v>
      </c>
      <c r="O149">
        <v>67</v>
      </c>
      <c r="P149" s="4">
        <v>-321896722031</v>
      </c>
      <c r="Q149" s="3">
        <f t="shared" si="15"/>
        <v>-468373067447</v>
      </c>
      <c r="R149" s="3">
        <v>-181446052031</v>
      </c>
      <c r="S149" s="3">
        <f t="shared" si="16"/>
        <v>-151623847447</v>
      </c>
      <c r="T149" s="4">
        <v>22</v>
      </c>
      <c r="U149" s="4">
        <v>7</v>
      </c>
      <c r="V149" s="4">
        <v>93428911000</v>
      </c>
      <c r="W149" s="4">
        <f t="shared" si="12"/>
        <v>276068327000</v>
      </c>
      <c r="X149" s="4">
        <v>803268328</v>
      </c>
      <c r="Y149" s="8">
        <v>0.29699999999999999</v>
      </c>
      <c r="Z149" s="16">
        <v>86.7</v>
      </c>
    </row>
    <row r="150" spans="1:26" x14ac:dyDescent="0.2">
      <c r="A150" s="33" t="s">
        <v>154</v>
      </c>
      <c r="B150" s="5">
        <v>5.7000000000000002E-3</v>
      </c>
      <c r="C150" s="5">
        <f t="shared" si="11"/>
        <v>1.83E-2</v>
      </c>
      <c r="D150" s="4">
        <v>299</v>
      </c>
      <c r="E150">
        <v>84</v>
      </c>
      <c r="F150" s="19">
        <v>203</v>
      </c>
      <c r="G150" s="5">
        <v>1.01E-2</v>
      </c>
      <c r="H150" s="37">
        <f t="shared" si="13"/>
        <v>2.1999999999999999E-2</v>
      </c>
      <c r="I150" s="4">
        <v>22</v>
      </c>
      <c r="J150">
        <v>3</v>
      </c>
      <c r="K150" s="19">
        <v>5</v>
      </c>
      <c r="L150" s="20">
        <v>35</v>
      </c>
      <c r="M150" s="36">
        <v>54</v>
      </c>
      <c r="N150">
        <v>53</v>
      </c>
      <c r="O150">
        <v>56</v>
      </c>
      <c r="P150" s="4">
        <v>14473737182</v>
      </c>
      <c r="Q150" s="3">
        <f t="shared" si="15"/>
        <v>-146476345416</v>
      </c>
      <c r="R150" s="3">
        <v>117343897182</v>
      </c>
      <c r="S150" s="3">
        <f t="shared" si="16"/>
        <v>29822204584</v>
      </c>
      <c r="T150" s="4">
        <v>31</v>
      </c>
      <c r="U150" s="4">
        <v>4</v>
      </c>
      <c r="V150" s="4">
        <v>543935814000</v>
      </c>
      <c r="W150" s="4">
        <f t="shared" si="12"/>
        <v>182639416000</v>
      </c>
      <c r="X150" s="4">
        <v>1181354559</v>
      </c>
      <c r="Y150" s="8">
        <v>0.36979999999999996</v>
      </c>
      <c r="Z150" s="16">
        <v>80</v>
      </c>
    </row>
    <row r="151" spans="1:26" x14ac:dyDescent="0.2">
      <c r="A151" s="33" t="s">
        <v>155</v>
      </c>
      <c r="B151" s="5">
        <v>1.0999999999999999E-2</v>
      </c>
      <c r="C151" s="5">
        <f>B151+C152</f>
        <v>1.26E-2</v>
      </c>
      <c r="D151" s="4">
        <v>395</v>
      </c>
      <c r="E151">
        <v>71</v>
      </c>
      <c r="F151" s="19">
        <v>106</v>
      </c>
      <c r="G151" s="5">
        <v>1.17E-2</v>
      </c>
      <c r="H151" s="37">
        <f>G151+H152</f>
        <v>1.1900000000000001E-2</v>
      </c>
      <c r="I151" s="4">
        <v>27</v>
      </c>
      <c r="J151">
        <v>1</v>
      </c>
      <c r="K151" s="19">
        <v>2</v>
      </c>
      <c r="L151" s="20">
        <v>47</v>
      </c>
      <c r="M151" s="36">
        <v>31</v>
      </c>
      <c r="N151">
        <v>42</v>
      </c>
      <c r="O151">
        <v>65</v>
      </c>
      <c r="P151" s="4">
        <v>3414941691</v>
      </c>
      <c r="Q151" s="3">
        <f t="shared" ref="Q151" si="17">P151+Q152</f>
        <v>-160950082598</v>
      </c>
      <c r="R151" s="3">
        <v>13353661691</v>
      </c>
      <c r="S151" s="3">
        <f>R151+S152</f>
        <v>-87521692598</v>
      </c>
      <c r="T151" s="4">
        <v>9</v>
      </c>
      <c r="U151" s="4">
        <v>16</v>
      </c>
      <c r="V151" s="4">
        <v>-317844600000</v>
      </c>
      <c r="W151" s="4">
        <f>V151+W152</f>
        <v>-361296398000</v>
      </c>
      <c r="X151" s="4">
        <v>719932658</v>
      </c>
      <c r="Y151" s="8">
        <v>0.27639999999999998</v>
      </c>
      <c r="Z151" s="16">
        <v>71.099999999999994</v>
      </c>
    </row>
    <row r="152" spans="1:26" x14ac:dyDescent="0.2">
      <c r="A152" s="33" t="s">
        <v>156</v>
      </c>
      <c r="B152" s="5">
        <v>1.6000000000000001E-3</v>
      </c>
      <c r="C152" s="5">
        <f>B152</f>
        <v>1.6000000000000001E-3</v>
      </c>
      <c r="D152" s="4">
        <v>197</v>
      </c>
      <c r="E152">
        <v>77</v>
      </c>
      <c r="F152" s="19">
        <v>299</v>
      </c>
      <c r="G152" s="5">
        <v>2.0000000000000001E-4</v>
      </c>
      <c r="H152" s="37">
        <f>G152</f>
        <v>2.0000000000000001E-4</v>
      </c>
      <c r="I152" s="4">
        <v>14</v>
      </c>
      <c r="J152">
        <v>1</v>
      </c>
      <c r="K152" s="19">
        <v>15</v>
      </c>
      <c r="L152" s="20">
        <v>17</v>
      </c>
      <c r="M152" s="36">
        <v>78</v>
      </c>
      <c r="N152">
        <v>54</v>
      </c>
      <c r="O152">
        <v>57</v>
      </c>
      <c r="P152" s="4">
        <v>-164365024289</v>
      </c>
      <c r="Q152" s="3">
        <f>P152</f>
        <v>-164365024289</v>
      </c>
      <c r="R152" s="3">
        <v>-100875354289</v>
      </c>
      <c r="S152" s="3">
        <f>R152</f>
        <v>-100875354289</v>
      </c>
      <c r="T152" s="4">
        <v>14</v>
      </c>
      <c r="U152" s="4">
        <v>17</v>
      </c>
      <c r="V152" s="4">
        <v>-43451798000</v>
      </c>
      <c r="W152" s="4">
        <f>V152</f>
        <v>-43451798000</v>
      </c>
      <c r="X152" s="4">
        <v>842255467</v>
      </c>
      <c r="Y152" s="8">
        <v>0.25540000000000002</v>
      </c>
      <c r="Z152" s="16">
        <v>61.9</v>
      </c>
    </row>
    <row r="153" spans="1:26" x14ac:dyDescent="0.2">
      <c r="P153" s="3"/>
      <c r="Q153" s="3"/>
      <c r="S153" s="3"/>
      <c r="V153" s="4"/>
      <c r="X153" s="4"/>
    </row>
    <row r="159" spans="1:26" x14ac:dyDescent="0.2">
      <c r="A159" s="6"/>
    </row>
    <row r="160" spans="1:26" x14ac:dyDescent="0.2">
      <c r="A160" s="6"/>
    </row>
    <row r="161" spans="1:1" x14ac:dyDescent="0.2">
      <c r="A161" s="6"/>
    </row>
    <row r="162" spans="1:1" x14ac:dyDescent="0.2">
      <c r="A162" s="6"/>
    </row>
    <row r="163" spans="1:1" x14ac:dyDescent="0.2">
      <c r="A163" s="6"/>
    </row>
    <row r="164" spans="1:1" x14ac:dyDescent="0.2">
      <c r="A164" s="6"/>
    </row>
    <row r="165" spans="1:1" x14ac:dyDescent="0.2">
      <c r="A165" s="6"/>
    </row>
    <row r="166" spans="1:1" x14ac:dyDescent="0.2">
      <c r="A166" s="6"/>
    </row>
    <row r="167" spans="1:1" x14ac:dyDescent="0.2">
      <c r="A167" s="6"/>
    </row>
    <row r="168" spans="1:1" x14ac:dyDescent="0.2">
      <c r="A168" s="6"/>
    </row>
  </sheetData>
  <mergeCells count="7">
    <mergeCell ref="Z1:AA1"/>
    <mergeCell ref="B1:F1"/>
    <mergeCell ref="G1:K1"/>
    <mergeCell ref="N1:Q1"/>
    <mergeCell ref="T1:W1"/>
    <mergeCell ref="L1:M1"/>
    <mergeCell ref="X1:Y1"/>
  </mergeCells>
  <conditionalFormatting sqref="P6:P152">
    <cfRule type="cellIs" dxfId="653" priority="261" operator="lessThan">
      <formula>0</formula>
    </cfRule>
    <cfRule type="cellIs" dxfId="652" priority="262" operator="greaterThan">
      <formula>0</formula>
    </cfRule>
  </conditionalFormatting>
  <conditionalFormatting sqref="D56:D152">
    <cfRule type="cellIs" dxfId="651" priority="258" operator="greaterThan">
      <formula>$E56+$F56</formula>
    </cfRule>
  </conditionalFormatting>
  <conditionalFormatting sqref="F60:F152">
    <cfRule type="cellIs" dxfId="650" priority="257" operator="greaterThan">
      <formula>$D60+$E60</formula>
    </cfRule>
  </conditionalFormatting>
  <conditionalFormatting sqref="I56:I152">
    <cfRule type="cellIs" dxfId="649" priority="256" operator="greaterThan">
      <formula>$J56+$K56+2</formula>
    </cfRule>
  </conditionalFormatting>
  <conditionalFormatting sqref="K60:K152">
    <cfRule type="cellIs" dxfId="648" priority="255" operator="greaterThan">
      <formula>$J60+$I60</formula>
    </cfRule>
  </conditionalFormatting>
  <conditionalFormatting sqref="F58">
    <cfRule type="cellIs" dxfId="647" priority="247" operator="greaterThan">
      <formula>$D58+$E58</formula>
    </cfRule>
  </conditionalFormatting>
  <conditionalFormatting sqref="K58">
    <cfRule type="cellIs" dxfId="646" priority="246" operator="greaterThan">
      <formula>$J58+$I58</formula>
    </cfRule>
  </conditionalFormatting>
  <conditionalFormatting sqref="K53:K55">
    <cfRule type="cellIs" dxfId="645" priority="244" operator="greaterThan">
      <formula>$J53+$I53</formula>
    </cfRule>
  </conditionalFormatting>
  <conditionalFormatting sqref="F46:F55">
    <cfRule type="cellIs" dxfId="644" priority="243" operator="greaterThan">
      <formula>$D46+$E46</formula>
    </cfRule>
  </conditionalFormatting>
  <conditionalFormatting sqref="Z3:Z138">
    <cfRule type="cellIs" dxfId="643" priority="230" operator="greaterThan">
      <formula>AA3+AA3*0.25</formula>
    </cfRule>
    <cfRule type="cellIs" dxfId="642" priority="231" operator="lessThan">
      <formula>AA3-AA3*0.25</formula>
    </cfRule>
  </conditionalFormatting>
  <conditionalFormatting sqref="D52">
    <cfRule type="cellIs" dxfId="641" priority="229" operator="greaterThan">
      <formula>$E52+$F52</formula>
    </cfRule>
  </conditionalFormatting>
  <conditionalFormatting sqref="I51:I52">
    <cfRule type="cellIs" dxfId="640" priority="228" operator="greaterThan">
      <formula>$J51+$K51+2</formula>
    </cfRule>
  </conditionalFormatting>
  <conditionalFormatting sqref="F51">
    <cfRule type="cellIs" dxfId="639" priority="227" operator="greaterThan">
      <formula>$D51+$E51</formula>
    </cfRule>
  </conditionalFormatting>
  <conditionalFormatting sqref="F50">
    <cfRule type="cellIs" dxfId="638" priority="222" operator="greaterThan">
      <formula>$D50+$E50</formula>
    </cfRule>
  </conditionalFormatting>
  <conditionalFormatting sqref="K50">
    <cfRule type="cellIs" dxfId="637" priority="221" operator="greaterThan">
      <formula>$J50+$I50</formula>
    </cfRule>
  </conditionalFormatting>
  <conditionalFormatting sqref="Y50">
    <cfRule type="cellIs" dxfId="636" priority="219" operator="lessThan">
      <formula>0.25</formula>
    </cfRule>
    <cfRule type="cellIs" dxfId="635" priority="220" operator="greaterThan">
      <formula>0.31</formula>
    </cfRule>
  </conditionalFormatting>
  <conditionalFormatting sqref="I49">
    <cfRule type="cellIs" dxfId="634" priority="214" operator="greaterThan">
      <formula>$J49+$K49+2</formula>
    </cfRule>
  </conditionalFormatting>
  <conditionalFormatting sqref="F49">
    <cfRule type="cellIs" dxfId="633" priority="213" operator="greaterThan">
      <formula>$D49+$E49</formula>
    </cfRule>
  </conditionalFormatting>
  <conditionalFormatting sqref="D48">
    <cfRule type="cellIs" dxfId="632" priority="212" operator="greaterThan">
      <formula>$E48+$F48</formula>
    </cfRule>
  </conditionalFormatting>
  <conditionalFormatting sqref="D47">
    <cfRule type="cellIs" dxfId="631" priority="210" operator="greaterThan">
      <formula>$E47+$F47</formula>
    </cfRule>
  </conditionalFormatting>
  <conditionalFormatting sqref="K46">
    <cfRule type="cellIs" dxfId="630" priority="208" operator="greaterThan">
      <formula>$J46+$I46</formula>
    </cfRule>
  </conditionalFormatting>
  <conditionalFormatting sqref="I45">
    <cfRule type="cellIs" dxfId="629" priority="206" operator="greaterThan">
      <formula>$J45+$K45+2</formula>
    </cfRule>
  </conditionalFormatting>
  <conditionalFormatting sqref="D44:D45">
    <cfRule type="cellIs" dxfId="628" priority="205" operator="greaterThan">
      <formula>$E44+$F44</formula>
    </cfRule>
  </conditionalFormatting>
  <conditionalFormatting sqref="K42:K43">
    <cfRule type="cellIs" dxfId="627" priority="201" operator="greaterThan">
      <formula>$J42+$I42</formula>
    </cfRule>
  </conditionalFormatting>
  <conditionalFormatting sqref="F42:F43">
    <cfRule type="cellIs" dxfId="626" priority="200" operator="greaterThan">
      <formula>$D42+$E42</formula>
    </cfRule>
  </conditionalFormatting>
  <conditionalFormatting sqref="I41">
    <cfRule type="cellIs" dxfId="625" priority="197" operator="greaterThan">
      <formula>$J41+$K41+2</formula>
    </cfRule>
  </conditionalFormatting>
  <conditionalFormatting sqref="D41">
    <cfRule type="cellIs" dxfId="624" priority="196" operator="greaterThan">
      <formula>$E41+$F41</formula>
    </cfRule>
  </conditionalFormatting>
  <conditionalFormatting sqref="F40">
    <cfRule type="cellIs" dxfId="623" priority="194" operator="greaterThan">
      <formula>$D40+$E40</formula>
    </cfRule>
  </conditionalFormatting>
  <conditionalFormatting sqref="K37:K38">
    <cfRule type="cellIs" dxfId="622" priority="192" operator="greaterThan">
      <formula>$J37+$I37</formula>
    </cfRule>
  </conditionalFormatting>
  <conditionalFormatting sqref="F38:F39">
    <cfRule type="cellIs" dxfId="621" priority="191" operator="greaterThan">
      <formula>$D38+$E38</formula>
    </cfRule>
  </conditionalFormatting>
  <conditionalFormatting sqref="F37">
    <cfRule type="cellIs" dxfId="620" priority="190" operator="greaterThan">
      <formula>$D37+$E37</formula>
    </cfRule>
  </conditionalFormatting>
  <conditionalFormatting sqref="I36">
    <cfRule type="cellIs" dxfId="619" priority="185" operator="greaterThan">
      <formula>$J36+$K36+2</formula>
    </cfRule>
  </conditionalFormatting>
  <conditionalFormatting sqref="D36">
    <cfRule type="cellIs" dxfId="618" priority="184" operator="greaterThan">
      <formula>$E36+$F36</formula>
    </cfRule>
  </conditionalFormatting>
  <conditionalFormatting sqref="F35">
    <cfRule type="cellIs" dxfId="617" priority="182" operator="greaterThan">
      <formula>$D35+$E35</formula>
    </cfRule>
  </conditionalFormatting>
  <conditionalFormatting sqref="F34">
    <cfRule type="cellIs" dxfId="616" priority="177" operator="greaterThan">
      <formula>$D34+$E34</formula>
    </cfRule>
  </conditionalFormatting>
  <conditionalFormatting sqref="K34">
    <cfRule type="cellIs" dxfId="615" priority="176" operator="greaterThan">
      <formula>$J34+$I34</formula>
    </cfRule>
  </conditionalFormatting>
  <conditionalFormatting sqref="F33">
    <cfRule type="cellIs" dxfId="614" priority="174" operator="greaterThan">
      <formula>$D33+$E33</formula>
    </cfRule>
  </conditionalFormatting>
  <conditionalFormatting sqref="K33">
    <cfRule type="cellIs" dxfId="613" priority="173" operator="greaterThan">
      <formula>$J33+$I33</formula>
    </cfRule>
  </conditionalFormatting>
  <conditionalFormatting sqref="I30:I32">
    <cfRule type="cellIs" dxfId="612" priority="164" operator="greaterThan">
      <formula>$J30+$K30+2</formula>
    </cfRule>
  </conditionalFormatting>
  <conditionalFormatting sqref="D30:D32">
    <cfRule type="cellIs" dxfId="611" priority="163" operator="greaterThan">
      <formula>$E30+$F30</formula>
    </cfRule>
  </conditionalFormatting>
  <conditionalFormatting sqref="K29">
    <cfRule type="cellIs" dxfId="610" priority="151" operator="greaterThan">
      <formula>$J29+$I29</formula>
    </cfRule>
  </conditionalFormatting>
  <conditionalFormatting sqref="F29">
    <cfRule type="cellIs" dxfId="609" priority="150" operator="greaterThan">
      <formula>$D29+$E29</formula>
    </cfRule>
  </conditionalFormatting>
  <conditionalFormatting sqref="X18:X132">
    <cfRule type="cellIs" dxfId="608" priority="146" operator="lessThan">
      <formula>AVERAGE($X19:X39)-AVERAGE($X19:X39)*0.15</formula>
    </cfRule>
    <cfRule type="cellIs" dxfId="607" priority="147" operator="greaterThan">
      <formula>AVERAGE($X19:X39)+AVERAGE($X19:X39)*0.15</formula>
    </cfRule>
  </conditionalFormatting>
  <conditionalFormatting sqref="I28">
    <cfRule type="cellIs" dxfId="606" priority="142" operator="greaterThan">
      <formula>$J28+$K28+2</formula>
    </cfRule>
  </conditionalFormatting>
  <conditionalFormatting sqref="F28">
    <cfRule type="cellIs" dxfId="605" priority="141" operator="greaterThan">
      <formula>$D28+$E28</formula>
    </cfRule>
  </conditionalFormatting>
  <conditionalFormatting sqref="K27">
    <cfRule type="cellIs" dxfId="604" priority="139" operator="greaterThan">
      <formula>$J27+$I27</formula>
    </cfRule>
  </conditionalFormatting>
  <conditionalFormatting sqref="D27">
    <cfRule type="cellIs" dxfId="603" priority="138" operator="greaterThan">
      <formula>$E27+$F27</formula>
    </cfRule>
  </conditionalFormatting>
  <conditionalFormatting sqref="I26">
    <cfRule type="cellIs" dxfId="602" priority="137" operator="greaterThan">
      <formula>$J26+$K26+2</formula>
    </cfRule>
  </conditionalFormatting>
  <conditionalFormatting sqref="D26">
    <cfRule type="cellIs" dxfId="601" priority="136" operator="greaterThan">
      <formula>$E26+$F26</formula>
    </cfRule>
  </conditionalFormatting>
  <conditionalFormatting sqref="K22:K25">
    <cfRule type="cellIs" dxfId="600" priority="133" operator="greaterThan">
      <formula>$J22+$I22</formula>
    </cfRule>
  </conditionalFormatting>
  <conditionalFormatting sqref="F16:F25">
    <cfRule type="cellIs" dxfId="599" priority="132" operator="greaterThan">
      <formula>$D16+$E16</formula>
    </cfRule>
  </conditionalFormatting>
  <conditionalFormatting sqref="X25">
    <cfRule type="cellIs" dxfId="598" priority="130" operator="lessThan">
      <formula>AVERAGE($X26:X46)-AVERAGE($X26:X46)*0.15</formula>
    </cfRule>
    <cfRule type="cellIs" dxfId="597" priority="131" operator="greaterThan">
      <formula>AVERAGE($X26:X46)+AVERAGE($X26:X46)*0.15</formula>
    </cfRule>
  </conditionalFormatting>
  <conditionalFormatting sqref="Y21:Y152">
    <cfRule type="cellIs" dxfId="596" priority="127" operator="lessThan">
      <formula>0.32</formula>
    </cfRule>
    <cfRule type="cellIs" dxfId="595" priority="128" operator="greaterThan">
      <formula>0.35</formula>
    </cfRule>
  </conditionalFormatting>
  <conditionalFormatting sqref="I21">
    <cfRule type="cellIs" dxfId="594" priority="123" operator="greaterThan">
      <formula>$J21+$K21+2</formula>
    </cfRule>
  </conditionalFormatting>
  <conditionalFormatting sqref="Y19:Y20">
    <cfRule type="cellIs" dxfId="593" priority="121" operator="lessThan">
      <formula>0.32</formula>
    </cfRule>
    <cfRule type="cellIs" dxfId="592" priority="122" operator="greaterThan">
      <formula>0.35</formula>
    </cfRule>
  </conditionalFormatting>
  <conditionalFormatting sqref="K20">
    <cfRule type="cellIs" dxfId="591" priority="120" operator="greaterThan">
      <formula>$J20+$I20</formula>
    </cfRule>
  </conditionalFormatting>
  <conditionalFormatting sqref="D19">
    <cfRule type="cellIs" dxfId="590" priority="115" operator="greaterThan">
      <formula>$E19+$F19</formula>
    </cfRule>
  </conditionalFormatting>
  <conditionalFormatting sqref="I19">
    <cfRule type="cellIs" dxfId="589" priority="114" operator="greaterThan">
      <formula>$J19+$K19+2</formula>
    </cfRule>
  </conditionalFormatting>
  <conditionalFormatting sqref="Y18">
    <cfRule type="cellIs" dxfId="588" priority="112" operator="lessThan">
      <formula>0.32</formula>
    </cfRule>
    <cfRule type="cellIs" dxfId="587" priority="113" operator="greaterThan">
      <formula>0.35</formula>
    </cfRule>
  </conditionalFormatting>
  <conditionalFormatting sqref="K16:K18">
    <cfRule type="cellIs" dxfId="586" priority="110" operator="greaterThan">
      <formula>$J16+$I16</formula>
    </cfRule>
  </conditionalFormatting>
  <conditionalFormatting sqref="L18:L152">
    <cfRule type="cellIs" dxfId="585" priority="109" operator="greaterThan">
      <formula>$M18*3</formula>
    </cfRule>
  </conditionalFormatting>
  <conditionalFormatting sqref="M16:M152">
    <cfRule type="cellIs" dxfId="584" priority="108" operator="greaterThan">
      <formula>$L16*3</formula>
    </cfRule>
  </conditionalFormatting>
  <conditionalFormatting sqref="Y17">
    <cfRule type="cellIs" dxfId="583" priority="100" operator="lessThan">
      <formula>0.32</formula>
    </cfRule>
    <cfRule type="cellIs" dxfId="582" priority="101" operator="greaterThan">
      <formula>0.35</formula>
    </cfRule>
  </conditionalFormatting>
  <conditionalFormatting sqref="Y13:Y16">
    <cfRule type="cellIs" dxfId="581" priority="96" operator="lessThan">
      <formula>0.32</formula>
    </cfRule>
    <cfRule type="cellIs" dxfId="580" priority="97" operator="greaterThan">
      <formula>0.35</formula>
    </cfRule>
  </conditionalFormatting>
  <conditionalFormatting sqref="L15">
    <cfRule type="cellIs" dxfId="579" priority="91" operator="greaterThan">
      <formula>$M15*3</formula>
    </cfRule>
  </conditionalFormatting>
  <conditionalFormatting sqref="I15">
    <cfRule type="cellIs" dxfId="578" priority="90" operator="greaterThan">
      <formula>$J15+$K15+2</formula>
    </cfRule>
  </conditionalFormatting>
  <conditionalFormatting sqref="D15">
    <cfRule type="cellIs" dxfId="577" priority="89" operator="greaterThan">
      <formula>$E15+$F15</formula>
    </cfRule>
  </conditionalFormatting>
  <conditionalFormatting sqref="T14:T142">
    <cfRule type="expression" dxfId="576" priority="88">
      <formula>AND($T14&gt;AVERAGE($T15:T25),$T14&gt;$U14)</formula>
    </cfRule>
  </conditionalFormatting>
  <conditionalFormatting sqref="T28:T29">
    <cfRule type="cellIs" dxfId="575" priority="87" operator="greaterThan">
      <formula>AVERAGE($T29:T39)+AVERAGE($T29:T39)*0.2</formula>
    </cfRule>
  </conditionalFormatting>
  <conditionalFormatting sqref="U12:U140">
    <cfRule type="expression" dxfId="574" priority="86">
      <formula>AND($U12&gt;AVERAGE($U13:U23),$U12&gt;$T12)</formula>
    </cfRule>
  </conditionalFormatting>
  <conditionalFormatting sqref="N14:N139">
    <cfRule type="expression" dxfId="573" priority="85">
      <formula>AND($N14&gt;AVERAGE($N15:N25),$N14&gt;$O14)</formula>
    </cfRule>
  </conditionalFormatting>
  <conditionalFormatting sqref="O9:O138">
    <cfRule type="expression" dxfId="572" priority="84">
      <formula>AND($O9&gt;AVERAGE($O10:O20),$O9&gt;$N9)</formula>
    </cfRule>
  </conditionalFormatting>
  <conditionalFormatting sqref="X8:X15">
    <cfRule type="cellIs" dxfId="571" priority="82" operator="lessThan">
      <formula>AVERAGE($X9:X29)-AVERAGE($X9:X29)*0.15</formula>
    </cfRule>
    <cfRule type="cellIs" dxfId="570" priority="83" operator="greaterThan">
      <formula>AVERAGE($X9:X29)+AVERAGE($X9:X29)*0.15</formula>
    </cfRule>
  </conditionalFormatting>
  <conditionalFormatting sqref="M9:M14">
    <cfRule type="cellIs" dxfId="569" priority="81" operator="greaterThan">
      <formula>$L9*3</formula>
    </cfRule>
  </conditionalFormatting>
  <conditionalFormatting sqref="K13:K14">
    <cfRule type="cellIs" dxfId="568" priority="80" operator="greaterThan">
      <formula>$J13+$I13</formula>
    </cfRule>
  </conditionalFormatting>
  <conditionalFormatting sqref="F14">
    <cfRule type="cellIs" dxfId="567" priority="79" operator="greaterThan">
      <formula>$D14+$E14</formula>
    </cfRule>
  </conditionalFormatting>
  <conditionalFormatting sqref="D12:D13">
    <cfRule type="cellIs" dxfId="566" priority="76" operator="greaterThan">
      <formula>$E12+$F12</formula>
    </cfRule>
  </conditionalFormatting>
  <conditionalFormatting sqref="I12:I13">
    <cfRule type="cellIs" dxfId="565" priority="75" operator="greaterThan">
      <formula>$J12+$K12</formula>
    </cfRule>
  </conditionalFormatting>
  <conditionalFormatting sqref="R12:R152">
    <cfRule type="cellIs" dxfId="564" priority="72" operator="greaterThan">
      <formula>500000000000</formula>
    </cfRule>
  </conditionalFormatting>
  <conditionalFormatting sqref="R12:R152">
    <cfRule type="cellIs" dxfId="563" priority="71" operator="lessThan">
      <formula>-500000000000</formula>
    </cfRule>
  </conditionalFormatting>
  <conditionalFormatting sqref="V12:V153">
    <cfRule type="cellIs" dxfId="562" priority="70" operator="greaterThan">
      <formula>500000000000</formula>
    </cfRule>
  </conditionalFormatting>
  <conditionalFormatting sqref="V12:V153">
    <cfRule type="cellIs" dxfId="561" priority="69" operator="lessThan">
      <formula>-500000000000</formula>
    </cfRule>
  </conditionalFormatting>
  <conditionalFormatting sqref="Y12">
    <cfRule type="cellIs" dxfId="560" priority="67" operator="lessThan">
      <formula>0.32</formula>
    </cfRule>
    <cfRule type="cellIs" dxfId="559" priority="68" operator="greaterThan">
      <formula>0.35</formula>
    </cfRule>
  </conditionalFormatting>
  <conditionalFormatting sqref="Y11">
    <cfRule type="cellIs" dxfId="558" priority="65" operator="lessThan">
      <formula>0.32</formula>
    </cfRule>
    <cfRule type="cellIs" dxfId="557" priority="66" operator="greaterThan">
      <formula>0.35</formula>
    </cfRule>
  </conditionalFormatting>
  <conditionalFormatting sqref="T11">
    <cfRule type="expression" dxfId="556" priority="64">
      <formula>AND($T11&gt;AVERAGE($T12:T22),$T11&gt;$U11)</formula>
    </cfRule>
  </conditionalFormatting>
  <conditionalFormatting sqref="K11">
    <cfRule type="cellIs" dxfId="555" priority="63" operator="greaterThan">
      <formula>$J11+$I11</formula>
    </cfRule>
  </conditionalFormatting>
  <conditionalFormatting sqref="F6:F11">
    <cfRule type="cellIs" dxfId="554" priority="62" operator="greaterThan">
      <formula>$D6+$E6</formula>
    </cfRule>
  </conditionalFormatting>
  <conditionalFormatting sqref="I10">
    <cfRule type="cellIs" dxfId="553" priority="61" operator="greaterThan">
      <formula>$J10+$K10</formula>
    </cfRule>
  </conditionalFormatting>
  <conditionalFormatting sqref="U10">
    <cfRule type="expression" dxfId="552" priority="60">
      <formula>AND($U10&gt;AVERAGE($U11:U21),$U10&gt;$T10)</formula>
    </cfRule>
  </conditionalFormatting>
  <conditionalFormatting sqref="Y9:Y10">
    <cfRule type="cellIs" dxfId="551" priority="58" operator="lessThan">
      <formula>0.32</formula>
    </cfRule>
    <cfRule type="cellIs" dxfId="550" priority="59" operator="greaterThan">
      <formula>0.35</formula>
    </cfRule>
  </conditionalFormatting>
  <conditionalFormatting sqref="K9">
    <cfRule type="cellIs" dxfId="549" priority="57" operator="greaterThan">
      <formula>$J9+$I9</formula>
    </cfRule>
  </conditionalFormatting>
  <conditionalFormatting sqref="V9">
    <cfRule type="cellIs" dxfId="548" priority="54" operator="greaterThan">
      <formula>500000000000</formula>
    </cfRule>
  </conditionalFormatting>
  <conditionalFormatting sqref="V9">
    <cfRule type="cellIs" dxfId="547" priority="53" operator="lessThan">
      <formula>-500000000000</formula>
    </cfRule>
  </conditionalFormatting>
  <conditionalFormatting sqref="T8:T9">
    <cfRule type="expression" dxfId="546" priority="52">
      <formula>AND($T8&gt;AVERAGE($T9:T19),$T8&gt;$U8)</formula>
    </cfRule>
  </conditionalFormatting>
  <conditionalFormatting sqref="N9">
    <cfRule type="expression" dxfId="545" priority="51">
      <formula>AND($N9&gt;AVERAGE($N10:N20),$N9&gt;$O9)</formula>
    </cfRule>
  </conditionalFormatting>
  <conditionalFormatting sqref="Y7:Y8">
    <cfRule type="cellIs" dxfId="544" priority="49" operator="lessThan">
      <formula>0.32</formula>
    </cfRule>
    <cfRule type="cellIs" dxfId="543" priority="50" operator="greaterThan">
      <formula>0.35</formula>
    </cfRule>
  </conditionalFormatting>
  <conditionalFormatting sqref="R5:R8">
    <cfRule type="cellIs" dxfId="542" priority="48" operator="greaterThan">
      <formula>500000000000</formula>
    </cfRule>
  </conditionalFormatting>
  <conditionalFormatting sqref="R5:R8">
    <cfRule type="cellIs" dxfId="541" priority="47" operator="lessThan">
      <formula>-500000000000</formula>
    </cfRule>
  </conditionalFormatting>
  <conditionalFormatting sqref="N8">
    <cfRule type="expression" dxfId="540" priority="46">
      <formula>AND($N8&gt;AVERAGE($N9:N19),$N8&gt;$O8)</formula>
    </cfRule>
  </conditionalFormatting>
  <conditionalFormatting sqref="L8">
    <cfRule type="cellIs" dxfId="539" priority="45" operator="greaterThan">
      <formula>$M8*3</formula>
    </cfRule>
  </conditionalFormatting>
  <conditionalFormatting sqref="I8">
    <cfRule type="cellIs" dxfId="538" priority="44" operator="greaterThan">
      <formula>$J8+$K8</formula>
    </cfRule>
  </conditionalFormatting>
  <conditionalFormatting sqref="D8">
    <cfRule type="cellIs" dxfId="537" priority="43" operator="greaterThan">
      <formula>$E8+$F8</formula>
    </cfRule>
  </conditionalFormatting>
  <conditionalFormatting sqref="U4:U7">
    <cfRule type="expression" dxfId="536" priority="40">
      <formula>AND($U4&gt;AVERAGE($U5:U15),$U4&gt;$T4)</formula>
    </cfRule>
  </conditionalFormatting>
  <conditionalFormatting sqref="O4:O7">
    <cfRule type="expression" dxfId="535" priority="39">
      <formula>AND($O4&gt;AVERAGE($O5:O15),$O4&gt;$N4)</formula>
    </cfRule>
  </conditionalFormatting>
  <conditionalFormatting sqref="M7">
    <cfRule type="cellIs" dxfId="534" priority="38" operator="greaterThan">
      <formula>$L7*3</formula>
    </cfRule>
  </conditionalFormatting>
  <conditionalFormatting sqref="K7">
    <cfRule type="cellIs" dxfId="533" priority="37" operator="greaterThan">
      <formula>$J7+$I7</formula>
    </cfRule>
  </conditionalFormatting>
  <conditionalFormatting sqref="Y6">
    <cfRule type="cellIs" dxfId="532" priority="35" operator="lessThan">
      <formula>0.32</formula>
    </cfRule>
    <cfRule type="cellIs" dxfId="531" priority="36" operator="greaterThan">
      <formula>0.35</formula>
    </cfRule>
  </conditionalFormatting>
  <conditionalFormatting sqref="I6">
    <cfRule type="cellIs" dxfId="530" priority="33" operator="greaterThan">
      <formula>$J6+$K6</formula>
    </cfRule>
  </conditionalFormatting>
  <conditionalFormatting sqref="D5:D6">
    <cfRule type="cellIs" dxfId="529" priority="32" operator="greaterThan">
      <formula>$E5+$F5</formula>
    </cfRule>
  </conditionalFormatting>
  <conditionalFormatting sqref="L6">
    <cfRule type="cellIs" dxfId="528" priority="30" operator="greaterThan">
      <formula>$M6*3</formula>
    </cfRule>
  </conditionalFormatting>
  <conditionalFormatting sqref="Y5">
    <cfRule type="cellIs" dxfId="527" priority="26" operator="lessThan">
      <formula>0.32</formula>
    </cfRule>
    <cfRule type="cellIs" dxfId="526" priority="27" operator="greaterThan">
      <formula>0.35</formula>
    </cfRule>
  </conditionalFormatting>
  <conditionalFormatting sqref="X3:X5">
    <cfRule type="cellIs" dxfId="525" priority="24" operator="lessThan">
      <formula>AVERAGE($X4:X24)-AVERAGE($X4:X24)*0.15</formula>
    </cfRule>
    <cfRule type="cellIs" dxfId="524" priority="25" operator="greaterThan">
      <formula>AVERAGE($X4:X24)+AVERAGE($X4:X24)*0.15</formula>
    </cfRule>
  </conditionalFormatting>
  <conditionalFormatting sqref="X6">
    <cfRule type="cellIs" dxfId="523" priority="22" operator="lessThan">
      <formula>AVERAGE($X7:X27)-AVERAGE($X7:X27)*0.15</formula>
    </cfRule>
    <cfRule type="cellIs" dxfId="522" priority="23" operator="greaterThan">
      <formula>AVERAGE($X7:X27)+AVERAGE($X7:X27)*0.15</formula>
    </cfRule>
  </conditionalFormatting>
  <conditionalFormatting sqref="P3:P5">
    <cfRule type="cellIs" dxfId="521" priority="20" operator="lessThan">
      <formula>0</formula>
    </cfRule>
    <cfRule type="cellIs" dxfId="520" priority="21" operator="greaterThan">
      <formula>0</formula>
    </cfRule>
  </conditionalFormatting>
  <conditionalFormatting sqref="K5">
    <cfRule type="cellIs" dxfId="519" priority="19" operator="greaterThan">
      <formula>$J5+$I5</formula>
    </cfRule>
  </conditionalFormatting>
  <conditionalFormatting sqref="M5">
    <cfRule type="cellIs" dxfId="518" priority="17" operator="greaterThan">
      <formula>$L5*3</formula>
    </cfRule>
  </conditionalFormatting>
  <conditionalFormatting sqref="F4">
    <cfRule type="cellIs" dxfId="517" priority="16" operator="greaterThan">
      <formula>$D4+$E4</formula>
    </cfRule>
  </conditionalFormatting>
  <conditionalFormatting sqref="K4">
    <cfRule type="cellIs" dxfId="516" priority="15" operator="greaterThan">
      <formula>$J4+$I4</formula>
    </cfRule>
  </conditionalFormatting>
  <conditionalFormatting sqref="M4">
    <cfRule type="cellIs" dxfId="515" priority="14" operator="greaterThan">
      <formula>$L4*3</formula>
    </cfRule>
  </conditionalFormatting>
  <conditionalFormatting sqref="V4">
    <cfRule type="cellIs" dxfId="514" priority="13" operator="greaterThan">
      <formula>500000000000</formula>
    </cfRule>
  </conditionalFormatting>
  <conditionalFormatting sqref="V4">
    <cfRule type="cellIs" dxfId="513" priority="12" operator="lessThan">
      <formula>-500000000000</formula>
    </cfRule>
  </conditionalFormatting>
  <conditionalFormatting sqref="Y3:Y4">
    <cfRule type="cellIs" dxfId="512" priority="10" operator="lessThan">
      <formula>0.32</formula>
    </cfRule>
    <cfRule type="cellIs" dxfId="511" priority="11" operator="greaterThan">
      <formula>0.35</formula>
    </cfRule>
  </conditionalFormatting>
  <conditionalFormatting sqref="R3">
    <cfRule type="cellIs" dxfId="510" priority="8" operator="greaterThan">
      <formula>500000000000</formula>
    </cfRule>
  </conditionalFormatting>
  <conditionalFormatting sqref="R3">
    <cfRule type="cellIs" dxfId="509" priority="7" operator="lessThan">
      <formula>-500000000000</formula>
    </cfRule>
  </conditionalFormatting>
  <conditionalFormatting sqref="N3">
    <cfRule type="expression" dxfId="508" priority="6">
      <formula>AND($N3&gt;AVERAGE($N4:N14),$N3&gt;$O3)</formula>
    </cfRule>
  </conditionalFormatting>
  <conditionalFormatting sqref="I3">
    <cfRule type="cellIs" dxfId="507" priority="5" operator="greaterThan">
      <formula>$J3+$K3</formula>
    </cfRule>
  </conditionalFormatting>
  <conditionalFormatting sqref="D3">
    <cfRule type="cellIs" dxfId="506" priority="4" operator="greaterThan">
      <formula>$E3+$F3</formula>
    </cfRule>
  </conditionalFormatting>
  <conditionalFormatting sqref="T3">
    <cfRule type="expression" dxfId="505" priority="3">
      <formula>AND($T3&gt;AVERAGE($T4:T14),$T3&gt;$U3)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C35C-E741-8049-A1B3-6C067E29AE63}">
  <sheetPr codeName="Sheet6"/>
  <dimension ref="A1:CO153"/>
  <sheetViews>
    <sheetView zoomScale="110" zoomScaleNormal="110" workbookViewId="0">
      <pane xSplit="1" topLeftCell="B1" activePane="topRight" state="frozen"/>
      <selection pane="topRight" activeCell="G3" sqref="G3"/>
    </sheetView>
  </sheetViews>
  <sheetFormatPr baseColWidth="10" defaultRowHeight="16" x14ac:dyDescent="0.2"/>
  <cols>
    <col min="6" max="6" width="8.33203125" customWidth="1"/>
    <col min="7" max="7" width="11.6640625" bestFit="1" customWidth="1"/>
    <col min="8" max="9" width="11.33203125" customWidth="1"/>
    <col min="10" max="10" width="10.5" bestFit="1" customWidth="1"/>
    <col min="11" max="11" width="11.5" bestFit="1" customWidth="1"/>
    <col min="12" max="13" width="12.6640625" customWidth="1"/>
    <col min="14" max="14" width="8.33203125" customWidth="1"/>
    <col min="15" max="15" width="11.33203125" customWidth="1"/>
    <col min="16" max="17" width="13.1640625" customWidth="1"/>
    <col min="18" max="18" width="8.1640625" customWidth="1"/>
    <col min="22" max="22" width="8.5" customWidth="1"/>
    <col min="25" max="25" width="11.5" bestFit="1" customWidth="1"/>
    <col min="26" max="26" width="9.33203125" bestFit="1" customWidth="1"/>
    <col min="28" max="28" width="11.6640625" bestFit="1" customWidth="1"/>
    <col min="29" max="29" width="11.6640625" customWidth="1"/>
    <col min="38" max="41" width="12.83203125" customWidth="1"/>
    <col min="78" max="81" width="10.1640625" customWidth="1"/>
  </cols>
  <sheetData>
    <row r="1" spans="1:93" x14ac:dyDescent="0.2">
      <c r="A1" s="1492" t="s">
        <v>105</v>
      </c>
      <c r="B1" s="1492" t="s">
        <v>4</v>
      </c>
      <c r="C1" s="1492" t="s">
        <v>112</v>
      </c>
      <c r="D1" s="1492" t="s">
        <v>113</v>
      </c>
      <c r="E1" s="1492" t="s">
        <v>114</v>
      </c>
      <c r="F1" s="1469" t="s">
        <v>115</v>
      </c>
      <c r="G1" s="1469"/>
      <c r="H1" s="1469"/>
      <c r="I1" s="1469"/>
      <c r="J1" s="1471" t="s">
        <v>116</v>
      </c>
      <c r="K1" s="1471"/>
      <c r="L1" s="1471"/>
      <c r="M1" s="1471"/>
      <c r="N1" s="1472" t="s">
        <v>117</v>
      </c>
      <c r="O1" s="1472"/>
      <c r="P1" s="1472"/>
      <c r="Q1" s="1472"/>
      <c r="R1" s="1465" t="s">
        <v>118</v>
      </c>
      <c r="S1" s="1465"/>
      <c r="T1" s="1465"/>
      <c r="U1" s="1465"/>
      <c r="V1" s="1477" t="s">
        <v>119</v>
      </c>
      <c r="W1" s="1477"/>
      <c r="X1" s="1477"/>
      <c r="Y1" s="1477"/>
      <c r="Z1" s="1476" t="s">
        <v>120</v>
      </c>
      <c r="AA1" s="1476"/>
      <c r="AB1" s="1476"/>
      <c r="AC1" s="1476"/>
      <c r="AD1" s="1475" t="s">
        <v>121</v>
      </c>
      <c r="AE1" s="1475"/>
      <c r="AF1" s="1475"/>
      <c r="AG1" s="1475"/>
      <c r="AH1" s="1481" t="s">
        <v>122</v>
      </c>
      <c r="AI1" s="1481"/>
      <c r="AJ1" s="1481"/>
      <c r="AK1" s="1481"/>
      <c r="AL1" s="1480" t="s">
        <v>123</v>
      </c>
      <c r="AM1" s="1480"/>
      <c r="AN1" s="1480"/>
      <c r="AO1" s="1480"/>
      <c r="AP1" s="1479" t="s">
        <v>124</v>
      </c>
      <c r="AQ1" s="1479"/>
      <c r="AR1" s="1479"/>
      <c r="AS1" s="1479"/>
      <c r="AT1" s="1474" t="s">
        <v>125</v>
      </c>
      <c r="AU1" s="1474"/>
      <c r="AV1" s="1474"/>
      <c r="AW1" s="1474"/>
      <c r="AX1" s="1478" t="s">
        <v>328</v>
      </c>
      <c r="AY1" s="1478"/>
      <c r="AZ1" s="1478"/>
      <c r="BA1" s="1478"/>
      <c r="BB1" s="1486" t="s">
        <v>126</v>
      </c>
      <c r="BC1" s="1486"/>
      <c r="BD1" s="1486"/>
      <c r="BE1" s="1486"/>
      <c r="BF1" s="1484" t="s">
        <v>127</v>
      </c>
      <c r="BG1" s="1484"/>
      <c r="BH1" s="1484"/>
      <c r="BI1" s="1484"/>
      <c r="BJ1" s="1485" t="s">
        <v>128</v>
      </c>
      <c r="BK1" s="1485"/>
      <c r="BL1" s="1485"/>
      <c r="BM1" s="1485"/>
      <c r="BN1" s="1483" t="s">
        <v>306</v>
      </c>
      <c r="BO1" s="1483"/>
      <c r="BP1" s="1483"/>
      <c r="BQ1" s="1483"/>
      <c r="BR1" s="1482" t="s">
        <v>307</v>
      </c>
      <c r="BS1" s="1482"/>
      <c r="BT1" s="1482"/>
      <c r="BU1" s="1482"/>
      <c r="BV1" s="1491" t="s">
        <v>308</v>
      </c>
      <c r="BW1" s="1491"/>
      <c r="BX1" s="1491"/>
      <c r="BY1" s="1491"/>
      <c r="BZ1" s="1490" t="s">
        <v>329</v>
      </c>
      <c r="CA1" s="1490"/>
      <c r="CB1" s="1490"/>
      <c r="CC1" s="1490"/>
      <c r="CD1" s="1489" t="s">
        <v>330</v>
      </c>
      <c r="CE1" s="1489"/>
      <c r="CF1" s="1489"/>
      <c r="CG1" s="1489"/>
      <c r="CH1" s="1488" t="s">
        <v>355</v>
      </c>
      <c r="CI1" s="1488"/>
      <c r="CJ1" s="1488"/>
      <c r="CK1" s="1488"/>
      <c r="CL1" s="1487" t="s">
        <v>421</v>
      </c>
      <c r="CM1" s="1487"/>
      <c r="CN1" s="1487"/>
      <c r="CO1" s="1487"/>
    </row>
    <row r="2" spans="1:93" x14ac:dyDescent="0.2">
      <c r="A2" s="1492"/>
      <c r="B2" s="1492"/>
      <c r="C2" s="1492"/>
      <c r="D2" s="1492"/>
      <c r="E2" s="1492"/>
      <c r="F2" s="1" t="s">
        <v>349</v>
      </c>
      <c r="G2" s="1" t="s">
        <v>350</v>
      </c>
      <c r="H2" s="1" t="s">
        <v>351</v>
      </c>
      <c r="I2" s="1" t="s">
        <v>479</v>
      </c>
      <c r="J2" s="1" t="s">
        <v>349</v>
      </c>
      <c r="K2" s="1" t="s">
        <v>350</v>
      </c>
      <c r="L2" s="1" t="s">
        <v>351</v>
      </c>
      <c r="M2" s="1" t="s">
        <v>479</v>
      </c>
      <c r="N2" s="1" t="s">
        <v>349</v>
      </c>
      <c r="O2" s="1" t="s">
        <v>350</v>
      </c>
      <c r="P2" s="1" t="s">
        <v>351</v>
      </c>
      <c r="Q2" s="1" t="s">
        <v>479</v>
      </c>
      <c r="R2" s="1" t="s">
        <v>349</v>
      </c>
      <c r="S2" s="1" t="s">
        <v>350</v>
      </c>
      <c r="T2" s="1" t="s">
        <v>351</v>
      </c>
      <c r="U2" s="1" t="s">
        <v>479</v>
      </c>
      <c r="V2" s="1" t="s">
        <v>349</v>
      </c>
      <c r="W2" s="1" t="s">
        <v>350</v>
      </c>
      <c r="X2" s="1" t="s">
        <v>351</v>
      </c>
      <c r="Y2" s="1" t="s">
        <v>479</v>
      </c>
      <c r="Z2" s="1" t="s">
        <v>349</v>
      </c>
      <c r="AA2" s="1" t="s">
        <v>350</v>
      </c>
      <c r="AB2" s="1" t="s">
        <v>351</v>
      </c>
      <c r="AC2" s="1" t="s">
        <v>479</v>
      </c>
      <c r="AD2" s="1" t="s">
        <v>349</v>
      </c>
      <c r="AE2" s="1" t="s">
        <v>350</v>
      </c>
      <c r="AF2" s="1" t="s">
        <v>351</v>
      </c>
      <c r="AG2" s="1" t="s">
        <v>479</v>
      </c>
      <c r="AH2" s="1" t="s">
        <v>349</v>
      </c>
      <c r="AI2" s="1" t="s">
        <v>350</v>
      </c>
      <c r="AJ2" s="1" t="s">
        <v>351</v>
      </c>
      <c r="AK2" s="1" t="s">
        <v>479</v>
      </c>
      <c r="AL2" s="1" t="s">
        <v>349</v>
      </c>
      <c r="AM2" s="1" t="s">
        <v>350</v>
      </c>
      <c r="AN2" s="1" t="s">
        <v>351</v>
      </c>
      <c r="AO2" s="1" t="s">
        <v>479</v>
      </c>
      <c r="AP2" s="1" t="s">
        <v>349</v>
      </c>
      <c r="AQ2" s="1" t="s">
        <v>350</v>
      </c>
      <c r="AR2" s="1" t="s">
        <v>351</v>
      </c>
      <c r="AS2" s="1" t="s">
        <v>479</v>
      </c>
      <c r="AT2" s="1" t="s">
        <v>349</v>
      </c>
      <c r="AU2" s="1" t="s">
        <v>350</v>
      </c>
      <c r="AV2" s="1" t="s">
        <v>351</v>
      </c>
      <c r="AW2" s="1" t="s">
        <v>479</v>
      </c>
      <c r="AX2" s="1" t="s">
        <v>349</v>
      </c>
      <c r="AY2" s="1" t="s">
        <v>350</v>
      </c>
      <c r="AZ2" s="1" t="s">
        <v>351</v>
      </c>
      <c r="BA2" s="1" t="s">
        <v>479</v>
      </c>
      <c r="BB2" s="1" t="s">
        <v>349</v>
      </c>
      <c r="BC2" s="1" t="s">
        <v>350</v>
      </c>
      <c r="BD2" s="1" t="s">
        <v>351</v>
      </c>
      <c r="BE2" s="1" t="s">
        <v>479</v>
      </c>
      <c r="BF2" s="1" t="s">
        <v>349</v>
      </c>
      <c r="BG2" s="1" t="s">
        <v>350</v>
      </c>
      <c r="BH2" s="1" t="s">
        <v>351</v>
      </c>
      <c r="BI2" s="1" t="s">
        <v>479</v>
      </c>
      <c r="BJ2" s="1" t="s">
        <v>349</v>
      </c>
      <c r="BK2" s="1" t="s">
        <v>350</v>
      </c>
      <c r="BL2" s="1" t="s">
        <v>351</v>
      </c>
      <c r="BM2" s="1" t="s">
        <v>479</v>
      </c>
      <c r="BN2" s="1" t="s">
        <v>349</v>
      </c>
      <c r="BO2" s="1" t="s">
        <v>350</v>
      </c>
      <c r="BP2" s="1" t="s">
        <v>351</v>
      </c>
      <c r="BQ2" s="1" t="s">
        <v>479</v>
      </c>
      <c r="BR2" s="1" t="s">
        <v>349</v>
      </c>
      <c r="BS2" s="1" t="s">
        <v>350</v>
      </c>
      <c r="BT2" s="1" t="s">
        <v>351</v>
      </c>
      <c r="BU2" s="1" t="s">
        <v>479</v>
      </c>
      <c r="BV2" s="1" t="s">
        <v>349</v>
      </c>
      <c r="BW2" s="1" t="s">
        <v>350</v>
      </c>
      <c r="BX2" s="1" t="s">
        <v>351</v>
      </c>
      <c r="BY2" s="1" t="s">
        <v>479</v>
      </c>
      <c r="BZ2" s="1" t="s">
        <v>349</v>
      </c>
      <c r="CA2" s="1" t="s">
        <v>350</v>
      </c>
      <c r="CB2" s="1" t="s">
        <v>351</v>
      </c>
      <c r="CC2" s="1" t="s">
        <v>479</v>
      </c>
      <c r="CD2" s="1" t="s">
        <v>349</v>
      </c>
      <c r="CE2" s="1" t="s">
        <v>350</v>
      </c>
      <c r="CF2" s="1" t="s">
        <v>351</v>
      </c>
      <c r="CG2" s="1" t="s">
        <v>479</v>
      </c>
      <c r="CH2" s="1" t="s">
        <v>349</v>
      </c>
      <c r="CI2" s="1" t="s">
        <v>350</v>
      </c>
      <c r="CJ2" s="1" t="s">
        <v>351</v>
      </c>
      <c r="CK2" s="1" t="s">
        <v>479</v>
      </c>
      <c r="CL2" s="1" t="s">
        <v>349</v>
      </c>
      <c r="CM2" s="1" t="s">
        <v>350</v>
      </c>
      <c r="CN2" s="1" t="s">
        <v>351</v>
      </c>
      <c r="CO2" s="1" t="s">
        <v>479</v>
      </c>
    </row>
    <row r="3" spans="1:93" x14ac:dyDescent="0.2">
      <c r="A3" s="7" t="s">
        <v>508</v>
      </c>
      <c r="B3" s="8">
        <v>0.33770000000000006</v>
      </c>
      <c r="C3" s="8">
        <v>0.33289999999999997</v>
      </c>
      <c r="D3" s="8">
        <v>0.43810000000000004</v>
      </c>
      <c r="E3" s="8">
        <v>9.8000000000000004E-2</v>
      </c>
      <c r="F3" s="8">
        <v>0.2021</v>
      </c>
      <c r="G3" s="4">
        <v>51856700</v>
      </c>
      <c r="H3" s="4">
        <v>38634600</v>
      </c>
      <c r="I3" s="19">
        <v>118544236</v>
      </c>
      <c r="J3" s="8">
        <v>0.16620000000000001</v>
      </c>
      <c r="K3" s="4">
        <v>55439000</v>
      </c>
      <c r="L3" s="4">
        <v>33400800</v>
      </c>
      <c r="M3" s="19">
        <v>97461801</v>
      </c>
      <c r="N3" s="8">
        <v>0.13589999999999999</v>
      </c>
      <c r="O3" s="4">
        <v>29460800</v>
      </c>
      <c r="P3" s="4">
        <v>37518100</v>
      </c>
      <c r="Q3" s="19">
        <v>79729800</v>
      </c>
      <c r="R3" s="8">
        <v>2.0899999999999998E-2</v>
      </c>
      <c r="S3" s="4">
        <v>6615000</v>
      </c>
      <c r="T3" s="4">
        <v>5433300</v>
      </c>
      <c r="U3" s="19">
        <v>12257900</v>
      </c>
      <c r="V3" s="8">
        <v>4.2599999999999999E-2</v>
      </c>
      <c r="W3" s="4">
        <v>9758300</v>
      </c>
      <c r="X3" s="4">
        <v>10447200</v>
      </c>
      <c r="Y3" s="19">
        <v>24992001</v>
      </c>
      <c r="Z3" s="8">
        <v>5.5899999999999998E-2</v>
      </c>
      <c r="AA3" s="4">
        <v>16614400</v>
      </c>
      <c r="AB3" s="4">
        <v>12454000</v>
      </c>
      <c r="AC3" s="19">
        <v>32762536</v>
      </c>
      <c r="AD3" s="38">
        <v>3.44E-2</v>
      </c>
      <c r="AE3" s="4">
        <v>9358500</v>
      </c>
      <c r="AF3" s="4">
        <v>9524900</v>
      </c>
      <c r="AG3" s="19">
        <v>20134201</v>
      </c>
      <c r="AH3" s="38">
        <v>2.9900000000000003E-2</v>
      </c>
      <c r="AI3" s="4">
        <v>5374400</v>
      </c>
      <c r="AJ3" s="4">
        <v>4826500</v>
      </c>
      <c r="AK3" s="19">
        <v>17541000</v>
      </c>
      <c r="AL3" s="38">
        <v>1.84E-2</v>
      </c>
      <c r="AM3" s="4">
        <v>4789000</v>
      </c>
      <c r="AN3" s="4">
        <v>4509900</v>
      </c>
      <c r="AO3" s="19">
        <v>10765410</v>
      </c>
      <c r="AP3" s="38">
        <v>1.01E-2</v>
      </c>
      <c r="AQ3" s="4">
        <v>3199800</v>
      </c>
      <c r="AR3" s="4">
        <v>2199200</v>
      </c>
      <c r="AS3" s="4">
        <v>5880800</v>
      </c>
      <c r="AT3" s="38">
        <v>3.5999999999999999E-3</v>
      </c>
      <c r="AU3" s="4">
        <v>975600</v>
      </c>
      <c r="AV3" s="4">
        <v>830600</v>
      </c>
      <c r="AW3" s="4">
        <v>2063300</v>
      </c>
      <c r="AX3" s="38">
        <v>1.7000000000000001E-3</v>
      </c>
      <c r="AY3" s="4">
        <v>400900</v>
      </c>
      <c r="AZ3" s="4">
        <v>487100</v>
      </c>
      <c r="BA3" s="19">
        <v>969100</v>
      </c>
      <c r="BB3" s="38">
        <v>3.3E-3</v>
      </c>
      <c r="BC3" s="4">
        <v>576500</v>
      </c>
      <c r="BD3" s="4">
        <v>564300</v>
      </c>
      <c r="BE3" s="4">
        <v>1880200</v>
      </c>
      <c r="BF3" s="38">
        <v>2.5600000000000001E-2</v>
      </c>
      <c r="BG3" s="4">
        <v>6850500</v>
      </c>
      <c r="BH3" s="4">
        <v>7923200</v>
      </c>
      <c r="BI3" s="19">
        <v>14998600</v>
      </c>
      <c r="BJ3" s="38">
        <v>2.1000000000000001E-2</v>
      </c>
      <c r="BK3" s="4">
        <v>6390300</v>
      </c>
      <c r="BL3" s="4">
        <v>5109400</v>
      </c>
      <c r="BM3" s="4">
        <v>12303500</v>
      </c>
      <c r="BN3" s="38">
        <v>3.0800000000000001E-2</v>
      </c>
      <c r="BO3" s="4">
        <v>6410100</v>
      </c>
      <c r="BP3" s="4">
        <v>9983700</v>
      </c>
      <c r="BQ3" s="19">
        <v>18047500</v>
      </c>
      <c r="BR3" s="38">
        <v>1.8E-3</v>
      </c>
      <c r="BS3" s="4">
        <v>276200</v>
      </c>
      <c r="BT3" s="4">
        <v>370900</v>
      </c>
      <c r="BU3" s="19">
        <v>1039700</v>
      </c>
      <c r="BV3" s="38">
        <v>1.3899999999999999E-2</v>
      </c>
      <c r="BW3" s="4">
        <v>2954700</v>
      </c>
      <c r="BX3" s="4">
        <v>4453800</v>
      </c>
      <c r="BY3" s="19">
        <v>8141600</v>
      </c>
      <c r="BZ3" s="8">
        <v>1.34E-2</v>
      </c>
      <c r="CA3" s="4">
        <v>2660000</v>
      </c>
      <c r="CB3" s="4">
        <v>4318300</v>
      </c>
      <c r="CC3" s="19">
        <v>7855300</v>
      </c>
      <c r="CD3" s="38">
        <v>1.6399999999999998E-2</v>
      </c>
      <c r="CE3" s="4">
        <v>5045500</v>
      </c>
      <c r="CF3" s="4">
        <v>3173600</v>
      </c>
      <c r="CG3" s="19">
        <v>9585600</v>
      </c>
      <c r="CH3" s="8">
        <v>5.0000000000000001E-4</v>
      </c>
      <c r="CI3" s="4">
        <v>116600</v>
      </c>
      <c r="CJ3" s="4">
        <v>135600</v>
      </c>
      <c r="CK3" s="4">
        <v>257000</v>
      </c>
      <c r="CL3" s="8">
        <v>4.6999999999999993E-3</v>
      </c>
      <c r="CM3" s="4">
        <v>1383700</v>
      </c>
      <c r="CN3" s="4">
        <v>1237100</v>
      </c>
      <c r="CO3" s="4">
        <v>2706800</v>
      </c>
    </row>
    <row r="4" spans="1:93" x14ac:dyDescent="0.2">
      <c r="A4" s="7" t="s">
        <v>505</v>
      </c>
      <c r="B4" s="8">
        <v>0.36009999999999998</v>
      </c>
      <c r="C4" s="8">
        <v>0.40880000000000005</v>
      </c>
      <c r="D4" s="8">
        <v>0.38890000000000002</v>
      </c>
      <c r="E4" s="8">
        <v>0.1096</v>
      </c>
      <c r="F4" s="8">
        <v>0.28939999999999999</v>
      </c>
      <c r="G4" s="4">
        <v>50939800</v>
      </c>
      <c r="H4" s="4">
        <v>80678700</v>
      </c>
      <c r="I4" s="19">
        <v>219562009</v>
      </c>
      <c r="J4" s="8">
        <v>8.5600000000000009E-2</v>
      </c>
      <c r="K4" s="4">
        <v>27032100</v>
      </c>
      <c r="L4" s="4">
        <v>32851600</v>
      </c>
      <c r="M4" s="19">
        <v>64943288</v>
      </c>
      <c r="N4" s="8">
        <v>0.10060000000000001</v>
      </c>
      <c r="O4" s="4">
        <v>25620600</v>
      </c>
      <c r="P4" s="4">
        <v>41287900</v>
      </c>
      <c r="Q4" s="19">
        <v>76305700</v>
      </c>
      <c r="R4" s="8">
        <v>1.8799999999999997E-2</v>
      </c>
      <c r="S4" s="4">
        <v>4913600</v>
      </c>
      <c r="T4" s="4">
        <v>8737600</v>
      </c>
      <c r="U4" s="19">
        <v>14246700</v>
      </c>
      <c r="V4" s="8">
        <v>4.5899999999999996E-2</v>
      </c>
      <c r="W4" s="4">
        <v>8806400</v>
      </c>
      <c r="X4" s="4">
        <v>21580100</v>
      </c>
      <c r="Y4" s="19">
        <v>34809300</v>
      </c>
      <c r="Z4" s="8">
        <v>3.6400000000000002E-2</v>
      </c>
      <c r="AA4" s="4">
        <v>11171500</v>
      </c>
      <c r="AB4" s="4">
        <v>11832800</v>
      </c>
      <c r="AC4" s="19">
        <v>27575300</v>
      </c>
      <c r="AD4" s="38">
        <v>3.8300000000000001E-2</v>
      </c>
      <c r="AE4" s="4">
        <v>14805600</v>
      </c>
      <c r="AF4" s="4">
        <v>13285100</v>
      </c>
      <c r="AG4" s="19">
        <v>29005600</v>
      </c>
      <c r="AH4" s="38">
        <v>5.5300000000000002E-2</v>
      </c>
      <c r="AI4" s="4">
        <v>13660500</v>
      </c>
      <c r="AJ4" s="4">
        <v>11966800</v>
      </c>
      <c r="AK4" s="19">
        <v>41937124</v>
      </c>
      <c r="AL4" s="38">
        <v>1.8799999999999997E-2</v>
      </c>
      <c r="AM4" s="4">
        <v>6218100</v>
      </c>
      <c r="AN4" s="4">
        <v>6515400</v>
      </c>
      <c r="AO4" s="19">
        <v>14193000</v>
      </c>
      <c r="AP4" s="38">
        <v>2.4799999999999999E-2</v>
      </c>
      <c r="AQ4" s="4">
        <v>10519100</v>
      </c>
      <c r="AR4" s="4">
        <v>7460300</v>
      </c>
      <c r="AS4" s="19">
        <v>18810000</v>
      </c>
      <c r="AT4" s="38">
        <v>3.0999999999999999E-3</v>
      </c>
      <c r="AU4" s="4">
        <v>864300</v>
      </c>
      <c r="AV4" s="4">
        <v>1356500</v>
      </c>
      <c r="AW4" s="19">
        <v>2283800</v>
      </c>
      <c r="AX4" s="38">
        <v>8.0000000000000004E-4</v>
      </c>
      <c r="AY4" s="4">
        <v>173100</v>
      </c>
      <c r="AZ4" s="4">
        <v>362600</v>
      </c>
      <c r="BA4" s="19">
        <v>591800</v>
      </c>
      <c r="BB4" s="38">
        <v>4.5000000000000005E-3</v>
      </c>
      <c r="BC4" s="4">
        <v>1633000</v>
      </c>
      <c r="BD4" s="4">
        <v>1432700</v>
      </c>
      <c r="BE4" s="19">
        <v>3352100</v>
      </c>
      <c r="BF4" s="38">
        <v>3.73E-2</v>
      </c>
      <c r="BG4" s="4">
        <v>8805700</v>
      </c>
      <c r="BH4" s="4">
        <v>14570300</v>
      </c>
      <c r="BI4" s="19">
        <v>28235876</v>
      </c>
      <c r="BJ4" s="38">
        <v>1.38E-2</v>
      </c>
      <c r="BK4" s="4">
        <v>3337600</v>
      </c>
      <c r="BL4" s="4">
        <v>6361500</v>
      </c>
      <c r="BM4" s="19">
        <v>10450300</v>
      </c>
      <c r="BN4" s="38">
        <v>5.7200000000000001E-2</v>
      </c>
      <c r="BO4" s="4">
        <v>17467700</v>
      </c>
      <c r="BP4" s="4">
        <v>24391000</v>
      </c>
      <c r="BQ4" s="19">
        <v>43376400</v>
      </c>
      <c r="BR4" s="38">
        <v>8.9999999999999998E-4</v>
      </c>
      <c r="BS4" s="4">
        <v>223000</v>
      </c>
      <c r="BT4" s="4">
        <v>289000</v>
      </c>
      <c r="BU4" s="19">
        <v>611600</v>
      </c>
      <c r="BV4" s="38">
        <v>1.0200000000000001E-2</v>
      </c>
      <c r="BW4" s="4">
        <v>2461700</v>
      </c>
      <c r="BX4" s="4">
        <v>3413900</v>
      </c>
      <c r="BY4" s="19">
        <v>7678800</v>
      </c>
      <c r="BZ4" s="8">
        <v>2.23E-2</v>
      </c>
      <c r="CA4" s="4">
        <v>3354400</v>
      </c>
      <c r="CB4" s="4">
        <v>7857800</v>
      </c>
      <c r="CC4" s="19">
        <v>16861100</v>
      </c>
      <c r="CD4" s="38">
        <v>9.4999999999999998E-3</v>
      </c>
      <c r="CE4" s="4">
        <v>2171600</v>
      </c>
      <c r="CF4" s="4">
        <v>3102400</v>
      </c>
      <c r="CG4" s="19">
        <v>7141331</v>
      </c>
      <c r="CH4" s="8">
        <v>2.0000000000000001E-4</v>
      </c>
      <c r="CI4" s="4">
        <v>62100</v>
      </c>
      <c r="CJ4" s="4">
        <v>63300</v>
      </c>
      <c r="CK4" s="19">
        <v>147400</v>
      </c>
      <c r="CL4" s="8">
        <v>6.1999999999999998E-3</v>
      </c>
      <c r="CM4" s="4">
        <v>663500</v>
      </c>
      <c r="CN4" s="4">
        <v>964600</v>
      </c>
      <c r="CO4" s="19">
        <v>4657700</v>
      </c>
    </row>
    <row r="5" spans="1:93" x14ac:dyDescent="0.2">
      <c r="A5" s="7" t="s">
        <v>503</v>
      </c>
      <c r="B5" s="8">
        <v>0.42599999999999999</v>
      </c>
      <c r="C5" s="8">
        <v>0.4929</v>
      </c>
      <c r="D5" s="8">
        <v>0.30059999999999998</v>
      </c>
      <c r="E5" s="8">
        <v>7.7300000000000008E-2</v>
      </c>
      <c r="F5" s="8">
        <v>0.29330000000000001</v>
      </c>
      <c r="G5" s="4">
        <v>38515000</v>
      </c>
      <c r="H5" s="4">
        <v>53199300</v>
      </c>
      <c r="I5" s="19">
        <v>182957000</v>
      </c>
      <c r="J5" s="8">
        <v>7.2900000000000006E-2</v>
      </c>
      <c r="K5" s="4">
        <v>17483600</v>
      </c>
      <c r="L5" s="4">
        <v>23744600</v>
      </c>
      <c r="M5" s="19">
        <v>45447500</v>
      </c>
      <c r="N5" s="8">
        <v>0.1065</v>
      </c>
      <c r="O5" s="4">
        <v>28961400</v>
      </c>
      <c r="P5" s="4">
        <v>25619700</v>
      </c>
      <c r="Q5" s="19">
        <v>66436500</v>
      </c>
      <c r="R5" s="8">
        <v>1.8100000000000002E-2</v>
      </c>
      <c r="S5" s="4">
        <v>5716200</v>
      </c>
      <c r="T5" s="4">
        <v>5569700</v>
      </c>
      <c r="U5" s="19">
        <v>11274700</v>
      </c>
      <c r="V5" s="8">
        <v>4.2900000000000001E-2</v>
      </c>
      <c r="W5" s="4">
        <v>8680200</v>
      </c>
      <c r="X5" s="4">
        <v>13208300</v>
      </c>
      <c r="Y5" s="19">
        <v>26739700</v>
      </c>
      <c r="Z5" s="8">
        <v>4.87E-2</v>
      </c>
      <c r="AA5" s="4">
        <v>10827500</v>
      </c>
      <c r="AB5" s="4">
        <v>9426400</v>
      </c>
      <c r="AC5" s="19">
        <v>30374700</v>
      </c>
      <c r="AD5" s="38">
        <v>3.6299999999999999E-2</v>
      </c>
      <c r="AE5" s="4">
        <v>12940700</v>
      </c>
      <c r="AF5" s="4">
        <v>8753700</v>
      </c>
      <c r="AG5" s="19">
        <v>22635501</v>
      </c>
      <c r="AH5" s="38">
        <v>2.2000000000000002E-2</v>
      </c>
      <c r="AI5" s="4">
        <v>4023900</v>
      </c>
      <c r="AJ5" s="4">
        <v>4239200</v>
      </c>
      <c r="AK5" s="19">
        <v>13694400</v>
      </c>
      <c r="AL5" s="38">
        <v>1.6399999999999998E-2</v>
      </c>
      <c r="AM5" s="4">
        <v>3978500</v>
      </c>
      <c r="AN5" s="4">
        <v>4145500</v>
      </c>
      <c r="AO5" s="19">
        <v>10192900</v>
      </c>
      <c r="AP5" s="38">
        <v>7.6E-3</v>
      </c>
      <c r="AQ5" s="4">
        <v>2616200</v>
      </c>
      <c r="AR5" s="4">
        <v>1899600</v>
      </c>
      <c r="AS5" s="19">
        <v>4724400</v>
      </c>
      <c r="AT5" s="38">
        <v>2.5000000000000001E-3</v>
      </c>
      <c r="AU5" s="4">
        <v>712300</v>
      </c>
      <c r="AV5" s="4">
        <v>732500</v>
      </c>
      <c r="AW5" s="19">
        <v>1511700</v>
      </c>
      <c r="AX5" s="38">
        <v>1.1000000000000001E-3</v>
      </c>
      <c r="AY5" s="4">
        <v>304100</v>
      </c>
      <c r="AZ5" s="4">
        <v>260100</v>
      </c>
      <c r="BA5" s="19">
        <v>658800</v>
      </c>
      <c r="BB5" s="38">
        <v>2.0999999999999999E-3</v>
      </c>
      <c r="BC5" s="4">
        <v>522900</v>
      </c>
      <c r="BD5" s="4">
        <v>402300</v>
      </c>
      <c r="BE5" s="4">
        <v>1309000</v>
      </c>
      <c r="BF5" s="38">
        <v>1.9E-2</v>
      </c>
      <c r="BG5" s="4">
        <v>4592400</v>
      </c>
      <c r="BH5" s="4">
        <v>8752300</v>
      </c>
      <c r="BI5" s="19">
        <v>11836400</v>
      </c>
      <c r="BJ5" s="38">
        <v>1.84E-2</v>
      </c>
      <c r="BK5" s="4">
        <v>5899100</v>
      </c>
      <c r="BL5" s="4">
        <v>4846000</v>
      </c>
      <c r="BM5" s="4">
        <v>11430300</v>
      </c>
      <c r="BN5" s="8">
        <v>2.18E-2</v>
      </c>
      <c r="BO5" s="4">
        <v>4404800</v>
      </c>
      <c r="BP5" s="4">
        <v>7255300</v>
      </c>
      <c r="BQ5" s="19">
        <v>13569100</v>
      </c>
      <c r="BR5" s="38">
        <v>1E-3</v>
      </c>
      <c r="BS5" s="4">
        <v>135000</v>
      </c>
      <c r="BT5" s="4">
        <v>302100</v>
      </c>
      <c r="BU5" s="19">
        <v>608600</v>
      </c>
      <c r="BV5" s="38">
        <v>5.1999999999999998E-3</v>
      </c>
      <c r="BW5" s="4">
        <v>1142100</v>
      </c>
      <c r="BX5" s="4">
        <v>1706300</v>
      </c>
      <c r="BY5" s="19">
        <v>3190500</v>
      </c>
      <c r="BZ5" s="8">
        <v>1.4999999999999999E-2</v>
      </c>
      <c r="CA5" s="4">
        <v>2918200</v>
      </c>
      <c r="CB5" s="4">
        <v>5791700</v>
      </c>
      <c r="CC5" s="19">
        <v>9345700</v>
      </c>
      <c r="CD5" s="38">
        <v>8.3999999999999995E-3</v>
      </c>
      <c r="CE5" s="4">
        <v>2410500</v>
      </c>
      <c r="CF5" s="4">
        <v>2224300</v>
      </c>
      <c r="CG5" s="19">
        <v>5183300</v>
      </c>
      <c r="CH5" s="8">
        <v>5.9999999999999995E-4</v>
      </c>
      <c r="CI5" s="4">
        <v>93100</v>
      </c>
      <c r="CJ5" s="4">
        <v>248000</v>
      </c>
      <c r="CK5" s="19">
        <v>372800</v>
      </c>
      <c r="CL5" s="8">
        <v>2.5999999999999999E-3</v>
      </c>
      <c r="CM5" s="4">
        <v>636000</v>
      </c>
      <c r="CN5" s="4">
        <v>904600</v>
      </c>
      <c r="CO5" s="19">
        <v>1604100</v>
      </c>
    </row>
    <row r="6" spans="1:93" x14ac:dyDescent="0.2">
      <c r="A6" s="7" t="s">
        <v>500</v>
      </c>
      <c r="B6" s="8">
        <v>0.39069999999999999</v>
      </c>
      <c r="C6" s="8">
        <v>0.35859999999999997</v>
      </c>
      <c r="D6" s="8">
        <v>0.37689999999999996</v>
      </c>
      <c r="E6" s="8">
        <v>0.10009999999999999</v>
      </c>
      <c r="F6" s="8">
        <v>0.22640000000000002</v>
      </c>
      <c r="G6" s="4">
        <v>62701400</v>
      </c>
      <c r="H6" s="4">
        <v>52867500</v>
      </c>
      <c r="I6" s="19">
        <v>155948551</v>
      </c>
      <c r="J6" s="8">
        <v>0.12279999999999999</v>
      </c>
      <c r="K6" s="4">
        <v>43036600</v>
      </c>
      <c r="L6" s="4">
        <v>34063100</v>
      </c>
      <c r="M6" s="19">
        <v>84522000</v>
      </c>
      <c r="N6" s="8">
        <v>0.1263</v>
      </c>
      <c r="O6" s="4">
        <v>39325300</v>
      </c>
      <c r="P6" s="4">
        <v>28923300</v>
      </c>
      <c r="Q6" s="19">
        <v>86967275</v>
      </c>
      <c r="R6" s="8">
        <v>2.0199999999999999E-2</v>
      </c>
      <c r="S6" s="4">
        <v>8115700</v>
      </c>
      <c r="T6" s="4">
        <v>5628100</v>
      </c>
      <c r="U6" s="19">
        <v>13853300</v>
      </c>
      <c r="V6" s="8">
        <v>5.5899999999999998E-2</v>
      </c>
      <c r="W6" s="4">
        <v>17752700</v>
      </c>
      <c r="X6" s="4">
        <v>15123400</v>
      </c>
      <c r="Y6" s="19">
        <v>38502400</v>
      </c>
      <c r="Z6" s="8">
        <v>4.8099999999999997E-2</v>
      </c>
      <c r="AA6" s="4">
        <v>16395000</v>
      </c>
      <c r="AB6" s="4">
        <v>11680600</v>
      </c>
      <c r="AC6" s="19">
        <v>33123500</v>
      </c>
      <c r="AD6" s="38">
        <v>2.8300000000000002E-2</v>
      </c>
      <c r="AE6" s="4">
        <v>9337500</v>
      </c>
      <c r="AF6" s="4">
        <v>9348800</v>
      </c>
      <c r="AG6" s="19">
        <v>19462900</v>
      </c>
      <c r="AH6" s="38">
        <v>3.9300000000000002E-2</v>
      </c>
      <c r="AI6" s="4">
        <v>7390500</v>
      </c>
      <c r="AJ6" s="4">
        <v>6461000</v>
      </c>
      <c r="AK6" s="19">
        <v>27022800</v>
      </c>
      <c r="AL6" s="38">
        <v>2.2499999999999999E-2</v>
      </c>
      <c r="AM6" s="4">
        <v>7213600</v>
      </c>
      <c r="AN6" s="4">
        <v>6266900</v>
      </c>
      <c r="AO6" s="19">
        <v>15494600</v>
      </c>
      <c r="AP6" s="38">
        <v>1.1699999999999999E-2</v>
      </c>
      <c r="AQ6" s="4">
        <v>4595400</v>
      </c>
      <c r="AR6" s="4">
        <v>2967400</v>
      </c>
      <c r="AS6" s="19">
        <v>8044100</v>
      </c>
      <c r="AT6" s="38">
        <v>4.3E-3</v>
      </c>
      <c r="AU6" s="4">
        <v>1573400</v>
      </c>
      <c r="AV6" s="4">
        <v>1144700</v>
      </c>
      <c r="AW6" s="19">
        <v>2894900</v>
      </c>
      <c r="AX6" s="38">
        <v>2.7000000000000001E-3</v>
      </c>
      <c r="AY6" s="4">
        <v>777200</v>
      </c>
      <c r="AZ6" s="4">
        <v>1011400</v>
      </c>
      <c r="BA6" s="19">
        <v>1832100</v>
      </c>
      <c r="BB6" s="38">
        <v>3.5999999999999999E-3</v>
      </c>
      <c r="BC6" s="4">
        <v>833100</v>
      </c>
      <c r="BD6" s="4">
        <v>628600</v>
      </c>
      <c r="BE6" s="19">
        <v>2414400</v>
      </c>
      <c r="BF6" s="38">
        <v>2.4700000000000003E-2</v>
      </c>
      <c r="BG6" s="4">
        <v>9371000</v>
      </c>
      <c r="BH6" s="4">
        <v>10226400</v>
      </c>
      <c r="BI6" s="19">
        <v>16991900</v>
      </c>
      <c r="BJ6" s="38">
        <v>1.7000000000000001E-2</v>
      </c>
      <c r="BK6" s="4">
        <v>5820300</v>
      </c>
      <c r="BL6" s="4">
        <v>4794700</v>
      </c>
      <c r="BM6" s="19">
        <v>11646900</v>
      </c>
      <c r="BN6" s="38">
        <v>2.29E-2</v>
      </c>
      <c r="BO6" s="4">
        <v>7763000</v>
      </c>
      <c r="BP6" s="4">
        <v>6528200</v>
      </c>
      <c r="BQ6" s="19">
        <v>15735300</v>
      </c>
      <c r="BR6" s="38">
        <v>1.6000000000000001E-3</v>
      </c>
      <c r="BS6" s="4">
        <v>322500</v>
      </c>
      <c r="BT6" s="4">
        <v>350100</v>
      </c>
      <c r="BU6" s="19">
        <v>1056600</v>
      </c>
      <c r="BV6" s="38">
        <v>7.7000000000000002E-3</v>
      </c>
      <c r="BW6" s="4">
        <v>2408700</v>
      </c>
      <c r="BX6" s="4">
        <v>1842200</v>
      </c>
      <c r="BY6" s="19">
        <v>5263800</v>
      </c>
      <c r="BZ6" s="8">
        <v>6.7000000000000002E-3</v>
      </c>
      <c r="CA6" s="4">
        <v>1747700</v>
      </c>
      <c r="CB6" s="4">
        <v>2407500</v>
      </c>
      <c r="CC6" s="19">
        <v>4579700</v>
      </c>
      <c r="CD6" s="38">
        <v>1.46E-2</v>
      </c>
      <c r="CE6" s="4">
        <v>4324600</v>
      </c>
      <c r="CF6" s="4">
        <v>4505600</v>
      </c>
      <c r="CG6" s="19">
        <v>10056050</v>
      </c>
      <c r="CH6" s="8">
        <v>7.000000000000001E-4</v>
      </c>
      <c r="CI6" s="4">
        <v>95500</v>
      </c>
      <c r="CJ6" s="4">
        <v>319700</v>
      </c>
      <c r="CK6" s="19">
        <v>481700</v>
      </c>
      <c r="CL6" s="8">
        <v>0.01</v>
      </c>
      <c r="CM6" s="4">
        <v>2087200</v>
      </c>
      <c r="CN6" s="4">
        <v>2679600</v>
      </c>
      <c r="CO6" s="4">
        <v>6875600</v>
      </c>
    </row>
    <row r="7" spans="1:93" x14ac:dyDescent="0.2">
      <c r="A7" s="7" t="s">
        <v>497</v>
      </c>
      <c r="B7" s="8">
        <v>0.40179999999999999</v>
      </c>
      <c r="C7" s="8">
        <v>0.4103</v>
      </c>
      <c r="D7" s="8">
        <v>0.37549999999999994</v>
      </c>
      <c r="E7" s="8">
        <v>8.5800000000000001E-2</v>
      </c>
      <c r="F7" s="8">
        <v>0.26329999999999998</v>
      </c>
      <c r="G7" s="4">
        <v>71867100</v>
      </c>
      <c r="H7" s="4">
        <v>142199800</v>
      </c>
      <c r="I7" s="19">
        <v>273280912</v>
      </c>
      <c r="J7" s="8">
        <v>0.107</v>
      </c>
      <c r="K7" s="4">
        <v>33417800</v>
      </c>
      <c r="L7" s="4">
        <v>68710800</v>
      </c>
      <c r="M7" s="19">
        <v>111054501</v>
      </c>
      <c r="N7" s="8">
        <v>0.1057</v>
      </c>
      <c r="O7" s="4">
        <v>32630500</v>
      </c>
      <c r="P7" s="4">
        <v>60555600</v>
      </c>
      <c r="Q7" s="19">
        <v>109628400</v>
      </c>
      <c r="R7" s="8">
        <v>2.12E-2</v>
      </c>
      <c r="S7" s="4">
        <v>6371800</v>
      </c>
      <c r="T7" s="4">
        <v>15376900</v>
      </c>
      <c r="U7" s="19">
        <v>21905800</v>
      </c>
      <c r="V7" s="8">
        <v>7.2099999999999997E-2</v>
      </c>
      <c r="W7" s="4">
        <v>20334800</v>
      </c>
      <c r="X7" s="4">
        <v>41572500</v>
      </c>
      <c r="Y7" s="19">
        <v>74772400</v>
      </c>
      <c r="Z7" s="8">
        <v>3.8100000000000002E-2</v>
      </c>
      <c r="AA7" s="4">
        <v>12282000</v>
      </c>
      <c r="AB7" s="4">
        <v>21871300</v>
      </c>
      <c r="AC7" s="19">
        <v>39501100</v>
      </c>
      <c r="AD7" s="38">
        <v>3.5299999999999998E-2</v>
      </c>
      <c r="AE7" s="4">
        <v>12784400</v>
      </c>
      <c r="AF7" s="4">
        <v>22841600</v>
      </c>
      <c r="AG7" s="19">
        <v>36587400</v>
      </c>
      <c r="AH7" s="38">
        <v>4.1700000000000001E-2</v>
      </c>
      <c r="AI7" s="4">
        <v>7165300</v>
      </c>
      <c r="AJ7" s="4">
        <v>18783100</v>
      </c>
      <c r="AK7" s="19">
        <v>43237000</v>
      </c>
      <c r="AL7" s="8">
        <v>1.7600000000000001E-2</v>
      </c>
      <c r="AM7" s="4">
        <v>5207400</v>
      </c>
      <c r="AN7" s="4">
        <v>10581500</v>
      </c>
      <c r="AO7" s="19">
        <v>18250800</v>
      </c>
      <c r="AP7" s="8">
        <v>9.1999999999999998E-3</v>
      </c>
      <c r="AQ7" s="4">
        <v>3280700</v>
      </c>
      <c r="AR7" s="4">
        <v>5407700</v>
      </c>
      <c r="AS7" s="19">
        <v>9499900</v>
      </c>
      <c r="AT7" s="8">
        <v>5.3E-3</v>
      </c>
      <c r="AU7" s="4">
        <v>1446100</v>
      </c>
      <c r="AV7" s="4">
        <v>3541900</v>
      </c>
      <c r="AW7" s="19">
        <v>5488000</v>
      </c>
      <c r="AX7" s="8">
        <v>3.4000000000000002E-3</v>
      </c>
      <c r="AY7" s="4">
        <v>819400</v>
      </c>
      <c r="AZ7" s="4">
        <v>2552900</v>
      </c>
      <c r="BA7" s="19">
        <v>3486300</v>
      </c>
      <c r="BB7" s="8">
        <v>2.8999999999999998E-3</v>
      </c>
      <c r="BC7" s="4">
        <v>637400</v>
      </c>
      <c r="BD7" s="4">
        <v>1775000</v>
      </c>
      <c r="BE7" s="19">
        <v>2993600</v>
      </c>
      <c r="BF7" s="8">
        <v>2.5399999999999999E-2</v>
      </c>
      <c r="BG7" s="4">
        <v>9348600</v>
      </c>
      <c r="BH7" s="4">
        <v>20479000</v>
      </c>
      <c r="BI7" s="19">
        <v>26287500</v>
      </c>
      <c r="BJ7" s="8">
        <v>1.78E-2</v>
      </c>
      <c r="BK7" s="4">
        <v>5372200</v>
      </c>
      <c r="BL7" s="4">
        <v>11291300</v>
      </c>
      <c r="BM7" s="19">
        <v>18467400</v>
      </c>
      <c r="BN7" s="8">
        <v>2.1299999999999999E-2</v>
      </c>
      <c r="BO7" s="4">
        <v>6836300</v>
      </c>
      <c r="BP7" s="4">
        <v>13509900</v>
      </c>
      <c r="BQ7" s="19">
        <v>22083400</v>
      </c>
      <c r="BR7" s="8">
        <v>1.8E-3</v>
      </c>
      <c r="BS7" s="4">
        <v>565400</v>
      </c>
      <c r="BT7" s="4">
        <v>827900</v>
      </c>
      <c r="BU7" s="19">
        <v>1804800</v>
      </c>
      <c r="BV7" s="8">
        <v>0.01</v>
      </c>
      <c r="BW7" s="4">
        <v>3088500</v>
      </c>
      <c r="BX7" s="4">
        <v>3952500</v>
      </c>
      <c r="BY7" s="19">
        <v>10374000</v>
      </c>
      <c r="BZ7" s="8">
        <v>9.8999999999999991E-3</v>
      </c>
      <c r="CA7" s="4">
        <v>2730600</v>
      </c>
      <c r="CB7" s="4">
        <v>6088200</v>
      </c>
      <c r="CC7" s="19">
        <v>10178800</v>
      </c>
      <c r="CD7" s="38">
        <v>1.55E-2</v>
      </c>
      <c r="CE7" s="4">
        <v>5830500</v>
      </c>
      <c r="CF7" s="4">
        <v>9240700</v>
      </c>
      <c r="CG7" s="19">
        <v>16015500</v>
      </c>
      <c r="CH7" s="8">
        <v>8.9999999999999998E-4</v>
      </c>
      <c r="CI7" s="4">
        <v>169400</v>
      </c>
      <c r="CJ7" s="4">
        <v>612700</v>
      </c>
      <c r="CK7" s="19">
        <v>834700</v>
      </c>
      <c r="CL7" s="8">
        <v>8.199999999999999E-3</v>
      </c>
      <c r="CM7" s="4">
        <v>2371200</v>
      </c>
      <c r="CN7" s="4">
        <v>5529800</v>
      </c>
      <c r="CO7" s="19">
        <v>8465900</v>
      </c>
    </row>
    <row r="8" spans="1:93" x14ac:dyDescent="0.2">
      <c r="A8" s="7" t="s">
        <v>494</v>
      </c>
      <c r="B8" s="8">
        <v>0.37180000000000002</v>
      </c>
      <c r="C8" s="8">
        <v>0.3599</v>
      </c>
      <c r="D8" s="8">
        <v>0.39950000000000002</v>
      </c>
      <c r="E8" s="8">
        <v>0.1106</v>
      </c>
      <c r="F8" s="8">
        <v>0.2334</v>
      </c>
      <c r="G8" s="4">
        <v>64483000</v>
      </c>
      <c r="H8" s="4">
        <v>71087600</v>
      </c>
      <c r="I8" s="19">
        <v>162568294</v>
      </c>
      <c r="J8" s="8">
        <v>0.12670000000000001</v>
      </c>
      <c r="K8" s="4">
        <v>44274100</v>
      </c>
      <c r="L8" s="4">
        <v>37195500</v>
      </c>
      <c r="M8" s="19">
        <v>88205700</v>
      </c>
      <c r="N8" s="8">
        <v>0.105</v>
      </c>
      <c r="O8" s="4">
        <v>32923200</v>
      </c>
      <c r="P8" s="4">
        <v>31471000</v>
      </c>
      <c r="Q8" s="19">
        <v>73115600</v>
      </c>
      <c r="R8" s="8">
        <v>2.06E-2</v>
      </c>
      <c r="S8" s="4">
        <v>6528400</v>
      </c>
      <c r="T8" s="4">
        <v>7266900</v>
      </c>
      <c r="U8" s="19">
        <v>14327900</v>
      </c>
      <c r="V8" s="8">
        <v>5.4400000000000004E-2</v>
      </c>
      <c r="W8" s="4">
        <v>16398800</v>
      </c>
      <c r="X8" s="4">
        <v>16500700</v>
      </c>
      <c r="Y8" s="19">
        <v>37851100</v>
      </c>
      <c r="Z8" s="8">
        <v>4.2800000000000005E-2</v>
      </c>
      <c r="AA8" s="4">
        <v>13633400</v>
      </c>
      <c r="AB8" s="4">
        <v>11598600</v>
      </c>
      <c r="AC8" s="19">
        <v>29774900</v>
      </c>
      <c r="AD8" s="38">
        <v>3.6200000000000003E-2</v>
      </c>
      <c r="AE8" s="4">
        <v>13101400</v>
      </c>
      <c r="AF8" s="4">
        <v>11234800</v>
      </c>
      <c r="AG8" s="19">
        <v>25164500</v>
      </c>
      <c r="AH8" s="38">
        <v>3.7200000000000004E-2</v>
      </c>
      <c r="AI8" s="4">
        <v>7586900</v>
      </c>
      <c r="AJ8" s="4">
        <v>7922200</v>
      </c>
      <c r="AK8" s="19">
        <v>25889900</v>
      </c>
      <c r="AL8" s="38">
        <v>2.29E-2</v>
      </c>
      <c r="AM8" s="4">
        <v>7029800</v>
      </c>
      <c r="AN8" s="4">
        <v>6650800</v>
      </c>
      <c r="AO8" s="19">
        <v>15931700</v>
      </c>
      <c r="AP8" s="38">
        <v>1.15E-2</v>
      </c>
      <c r="AQ8" s="4">
        <v>4344500</v>
      </c>
      <c r="AR8" s="4">
        <v>2737900</v>
      </c>
      <c r="AS8" s="19">
        <v>7961600</v>
      </c>
      <c r="AT8" s="38">
        <v>4.5999999999999999E-3</v>
      </c>
      <c r="AU8" s="4">
        <v>1467900</v>
      </c>
      <c r="AV8" s="4">
        <v>1494900</v>
      </c>
      <c r="AW8" s="19">
        <v>3150900</v>
      </c>
      <c r="AX8" s="38">
        <v>2.5000000000000001E-3</v>
      </c>
      <c r="AY8" s="4">
        <v>548900</v>
      </c>
      <c r="AZ8" s="4">
        <v>1104200</v>
      </c>
      <c r="BA8" s="19">
        <v>1710600</v>
      </c>
      <c r="BB8" s="38">
        <v>3.4000000000000002E-3</v>
      </c>
      <c r="BC8" s="4">
        <v>883500</v>
      </c>
      <c r="BD8" s="4">
        <v>945900</v>
      </c>
      <c r="BE8" s="19">
        <v>2306200</v>
      </c>
      <c r="BF8" s="38">
        <v>4.5100000000000001E-2</v>
      </c>
      <c r="BG8" s="4">
        <v>9656800</v>
      </c>
      <c r="BH8" s="4">
        <v>10427400</v>
      </c>
      <c r="BI8" s="19">
        <v>31371900</v>
      </c>
      <c r="BJ8" s="38">
        <v>0.02</v>
      </c>
      <c r="BK8" s="4">
        <v>7204100</v>
      </c>
      <c r="BL8" s="4">
        <v>5665800</v>
      </c>
      <c r="BM8" s="19">
        <v>13903600</v>
      </c>
      <c r="BN8" s="38">
        <v>2.7900000000000001E-2</v>
      </c>
      <c r="BO8" s="4">
        <v>11191200</v>
      </c>
      <c r="BP8" s="4">
        <v>6873300</v>
      </c>
      <c r="BQ8" s="19">
        <v>19381600</v>
      </c>
      <c r="BR8" s="38">
        <v>1.6000000000000001E-3</v>
      </c>
      <c r="BS8" s="4">
        <v>403400</v>
      </c>
      <c r="BT8" s="4">
        <v>371900</v>
      </c>
      <c r="BU8" s="19">
        <v>1113800</v>
      </c>
      <c r="BV8" s="38">
        <v>9.300000000000001E-3</v>
      </c>
      <c r="BW8" s="4">
        <v>3198900</v>
      </c>
      <c r="BX8" s="4">
        <v>2731100</v>
      </c>
      <c r="BY8" s="19">
        <v>6467100</v>
      </c>
      <c r="BZ8" s="8">
        <v>7.4999999999999997E-3</v>
      </c>
      <c r="CA8" s="4">
        <v>2285300</v>
      </c>
      <c r="CB8" s="4">
        <v>2527100</v>
      </c>
      <c r="CC8" s="4">
        <v>5177800</v>
      </c>
      <c r="CD8" s="38">
        <v>2.2499999999999999E-2</v>
      </c>
      <c r="CE8" s="4">
        <v>5261300</v>
      </c>
      <c r="CF8" s="4">
        <v>6569900</v>
      </c>
      <c r="CG8" s="19">
        <v>15673400</v>
      </c>
      <c r="CH8" s="8">
        <v>1E-3</v>
      </c>
      <c r="CI8" s="4">
        <v>372900</v>
      </c>
      <c r="CJ8" s="4">
        <v>260300</v>
      </c>
      <c r="CK8" s="4">
        <v>642000</v>
      </c>
      <c r="CL8" s="8">
        <v>7.8000000000000005E-3</v>
      </c>
      <c r="CM8" s="4">
        <v>1657200</v>
      </c>
      <c r="CN8" s="4">
        <v>2038000</v>
      </c>
      <c r="CO8" s="4">
        <v>5387300</v>
      </c>
    </row>
    <row r="9" spans="1:93" x14ac:dyDescent="0.2">
      <c r="A9" s="7" t="s">
        <v>492</v>
      </c>
      <c r="B9" s="8">
        <v>0.34759999999999996</v>
      </c>
      <c r="C9" s="8">
        <v>0.35310000000000002</v>
      </c>
      <c r="D9" s="8">
        <v>0.45179999999999998</v>
      </c>
      <c r="E9" s="8">
        <v>9.820000000000001E-2</v>
      </c>
      <c r="F9" s="8">
        <v>0.22339999999999999</v>
      </c>
      <c r="G9" s="4">
        <v>57111100</v>
      </c>
      <c r="H9" s="4">
        <v>104031800</v>
      </c>
      <c r="I9" s="19">
        <v>200359924</v>
      </c>
      <c r="J9" s="8">
        <v>0.1459</v>
      </c>
      <c r="K9" s="4">
        <v>41224800</v>
      </c>
      <c r="L9" s="4">
        <v>78741700</v>
      </c>
      <c r="M9" s="19">
        <v>130867400</v>
      </c>
      <c r="N9" s="8">
        <v>0.1157</v>
      </c>
      <c r="O9" s="4">
        <v>27087800</v>
      </c>
      <c r="P9" s="4">
        <v>59995200</v>
      </c>
      <c r="Q9" s="19">
        <v>103763100</v>
      </c>
      <c r="R9" s="8">
        <v>2.9300000000000003E-2</v>
      </c>
      <c r="S9" s="4">
        <v>7245500</v>
      </c>
      <c r="T9" s="4">
        <v>17527000</v>
      </c>
      <c r="U9" s="19">
        <v>26242400</v>
      </c>
      <c r="V9" s="8">
        <v>7.0699999999999999E-2</v>
      </c>
      <c r="W9" s="4">
        <v>15575600</v>
      </c>
      <c r="X9" s="4">
        <v>34761800</v>
      </c>
      <c r="Y9" s="19">
        <v>63376800</v>
      </c>
      <c r="Z9" s="8">
        <v>4.3400000000000001E-2</v>
      </c>
      <c r="AA9" s="4">
        <v>12266000</v>
      </c>
      <c r="AB9" s="4">
        <v>20916500</v>
      </c>
      <c r="AC9" s="19">
        <v>38858700</v>
      </c>
      <c r="AD9" s="38">
        <v>3.4799999999999998E-2</v>
      </c>
      <c r="AE9" s="4">
        <v>11608000</v>
      </c>
      <c r="AF9" s="4">
        <v>18855000</v>
      </c>
      <c r="AG9" s="19">
        <v>31172800</v>
      </c>
      <c r="AH9" s="38">
        <v>3.3599999999999998E-2</v>
      </c>
      <c r="AI9" s="4">
        <v>5879900</v>
      </c>
      <c r="AJ9" s="4">
        <v>13641400</v>
      </c>
      <c r="AK9" s="19">
        <v>30098600</v>
      </c>
      <c r="AL9" s="38">
        <v>3.3000000000000002E-2</v>
      </c>
      <c r="AM9" s="4">
        <v>8285800</v>
      </c>
      <c r="AN9" s="4">
        <v>18373500</v>
      </c>
      <c r="AO9" s="19">
        <v>29599600</v>
      </c>
      <c r="AP9" s="38">
        <v>1.77E-2</v>
      </c>
      <c r="AQ9" s="4">
        <v>5554400</v>
      </c>
      <c r="AR9" s="4">
        <v>8370400</v>
      </c>
      <c r="AS9" s="19">
        <v>15857400</v>
      </c>
      <c r="AT9" s="38">
        <v>6.8999999999999999E-3</v>
      </c>
      <c r="AU9" s="4">
        <v>1693400</v>
      </c>
      <c r="AV9" s="4">
        <v>4138500</v>
      </c>
      <c r="AW9" s="19">
        <v>6176900</v>
      </c>
      <c r="AX9" s="38">
        <v>2.8999999999999998E-3</v>
      </c>
      <c r="AY9" s="4">
        <v>745300</v>
      </c>
      <c r="AZ9" s="4">
        <v>1613500</v>
      </c>
      <c r="BA9" s="19">
        <v>2527800</v>
      </c>
      <c r="BB9" s="38">
        <v>3.8E-3</v>
      </c>
      <c r="BC9" s="4">
        <v>865500</v>
      </c>
      <c r="BD9" s="4">
        <v>1901100</v>
      </c>
      <c r="BE9" s="19">
        <v>3367000</v>
      </c>
      <c r="BF9" s="38">
        <v>2.06E-2</v>
      </c>
      <c r="BG9" s="4">
        <v>6926200</v>
      </c>
      <c r="BH9" s="4">
        <v>16152400</v>
      </c>
      <c r="BI9" s="19">
        <v>18454400</v>
      </c>
      <c r="BJ9" s="38">
        <v>2.3799999999999998E-2</v>
      </c>
      <c r="BK9" s="4">
        <v>6882500</v>
      </c>
      <c r="BL9" s="4">
        <v>13397400</v>
      </c>
      <c r="BM9" s="19">
        <v>21305600</v>
      </c>
      <c r="BN9" s="38">
        <v>2.1400000000000002E-2</v>
      </c>
      <c r="BO9" s="4">
        <v>5793700</v>
      </c>
      <c r="BP9" s="4">
        <v>12099700</v>
      </c>
      <c r="BQ9" s="19">
        <v>19161100</v>
      </c>
      <c r="BR9" s="38">
        <v>1.6000000000000001E-3</v>
      </c>
      <c r="BS9" s="4">
        <v>285900</v>
      </c>
      <c r="BT9" s="4">
        <v>576100</v>
      </c>
      <c r="BU9" s="19">
        <v>1364700</v>
      </c>
      <c r="BV9" s="38">
        <v>9.0000000000000011E-3</v>
      </c>
      <c r="BW9" s="4">
        <v>3069600</v>
      </c>
      <c r="BX9" s="4">
        <v>4730700</v>
      </c>
      <c r="BY9" s="4">
        <v>8065700</v>
      </c>
      <c r="BZ9" s="8">
        <v>1.2199999999999999E-2</v>
      </c>
      <c r="CA9" s="4">
        <v>3088200</v>
      </c>
      <c r="CB9" s="4">
        <v>6949000</v>
      </c>
      <c r="CC9" s="19">
        <v>10881700</v>
      </c>
      <c r="CD9" s="38">
        <v>1.7399999999999999E-2</v>
      </c>
      <c r="CE9" s="4">
        <v>4664900</v>
      </c>
      <c r="CF9" s="4">
        <v>8231800</v>
      </c>
      <c r="CG9" s="19">
        <v>15581601</v>
      </c>
      <c r="CH9" s="8">
        <v>1.2342002529475253E-3</v>
      </c>
      <c r="CI9" s="4">
        <v>339300</v>
      </c>
      <c r="CJ9" s="4">
        <v>702900</v>
      </c>
      <c r="CK9" s="19">
        <v>1107400</v>
      </c>
      <c r="CL9" s="8">
        <v>1.3214546667124356E-2</v>
      </c>
      <c r="CM9" s="4">
        <v>1841700</v>
      </c>
      <c r="CN9" s="4">
        <v>9529000</v>
      </c>
      <c r="CO9" s="19">
        <v>11856900</v>
      </c>
    </row>
    <row r="10" spans="1:93" x14ac:dyDescent="0.2">
      <c r="A10" s="7" t="s">
        <v>491</v>
      </c>
      <c r="B10" s="8">
        <v>0.38020000000000004</v>
      </c>
      <c r="C10" s="8">
        <v>0.38909999999999995</v>
      </c>
      <c r="D10" s="8">
        <v>0.34570000000000001</v>
      </c>
      <c r="E10" s="8">
        <v>0.13250000000000001</v>
      </c>
      <c r="F10" s="8">
        <v>0.23379999999999998</v>
      </c>
      <c r="G10" s="4">
        <v>80973800</v>
      </c>
      <c r="H10" s="4">
        <v>65389000</v>
      </c>
      <c r="I10" s="19">
        <v>175079357</v>
      </c>
      <c r="J10" s="8">
        <v>8.9200000000000002E-2</v>
      </c>
      <c r="K10" s="4">
        <v>20980000</v>
      </c>
      <c r="L10" s="4">
        <v>33190800</v>
      </c>
      <c r="M10" s="19">
        <v>66762602</v>
      </c>
      <c r="N10" s="8">
        <v>9.1499999999999998E-2</v>
      </c>
      <c r="O10" s="4">
        <v>27549500</v>
      </c>
      <c r="P10" s="4">
        <v>34123900</v>
      </c>
      <c r="Q10" s="19">
        <v>68460800</v>
      </c>
      <c r="R10" s="8">
        <v>2.0499999999999997E-2</v>
      </c>
      <c r="S10" s="4">
        <v>5306700</v>
      </c>
      <c r="T10" s="4">
        <v>8959000</v>
      </c>
      <c r="U10" s="19">
        <v>15346100</v>
      </c>
      <c r="V10" s="8">
        <v>9.3900000000000011E-2</v>
      </c>
      <c r="W10" s="4">
        <v>17887800</v>
      </c>
      <c r="X10" s="4">
        <v>37864200</v>
      </c>
      <c r="Y10" s="19">
        <v>70286700</v>
      </c>
      <c r="Z10" s="8">
        <v>6.2400000000000004E-2</v>
      </c>
      <c r="AA10" s="4">
        <v>20866900</v>
      </c>
      <c r="AB10" s="4">
        <v>16004200</v>
      </c>
      <c r="AC10" s="19">
        <v>46711800</v>
      </c>
      <c r="AD10" s="38">
        <v>4.2699999999999995E-2</v>
      </c>
      <c r="AE10" s="4">
        <v>17581800</v>
      </c>
      <c r="AF10" s="4">
        <v>13576900</v>
      </c>
      <c r="AG10" s="19">
        <v>31924400</v>
      </c>
      <c r="AH10" s="38">
        <v>4.2900000000000001E-2</v>
      </c>
      <c r="AI10" s="4">
        <v>4747600</v>
      </c>
      <c r="AJ10" s="4">
        <v>6920500</v>
      </c>
      <c r="AK10" s="19">
        <v>32052000</v>
      </c>
      <c r="AL10" s="38">
        <v>1.54E-2</v>
      </c>
      <c r="AM10" s="4">
        <v>3357400</v>
      </c>
      <c r="AN10" s="4">
        <v>6676300</v>
      </c>
      <c r="AO10" s="4">
        <v>11482200</v>
      </c>
      <c r="AP10" s="38">
        <v>1.1200000000000002E-2</v>
      </c>
      <c r="AQ10" s="4">
        <v>3415700</v>
      </c>
      <c r="AR10" s="4">
        <v>4060000</v>
      </c>
      <c r="AS10" s="19">
        <v>8313300</v>
      </c>
      <c r="AT10" s="38">
        <v>3.4999999999999996E-3</v>
      </c>
      <c r="AU10" s="4">
        <v>915000</v>
      </c>
      <c r="AV10" s="4">
        <v>1565100</v>
      </c>
      <c r="AW10" s="4">
        <v>2597400</v>
      </c>
      <c r="AX10" s="38">
        <v>3.7000000000000002E-3</v>
      </c>
      <c r="AY10" s="4">
        <v>335600</v>
      </c>
      <c r="AZ10" s="4">
        <v>1448000</v>
      </c>
      <c r="BA10" s="19">
        <v>2760824</v>
      </c>
      <c r="BB10" s="38">
        <v>2.3E-3</v>
      </c>
      <c r="BC10" s="4">
        <v>555000</v>
      </c>
      <c r="BD10" s="4">
        <v>758500</v>
      </c>
      <c r="BE10" s="4">
        <v>1686800</v>
      </c>
      <c r="BF10" s="38">
        <v>3.7900000000000003E-2</v>
      </c>
      <c r="BG10" s="4">
        <v>10676100</v>
      </c>
      <c r="BH10" s="4">
        <v>18521100</v>
      </c>
      <c r="BI10" s="19">
        <v>28377600</v>
      </c>
      <c r="BJ10" s="38">
        <v>1.38E-2</v>
      </c>
      <c r="BK10" s="4">
        <v>3589500</v>
      </c>
      <c r="BL10" s="4">
        <v>5762600</v>
      </c>
      <c r="BM10" s="19">
        <v>10266600</v>
      </c>
      <c r="BN10" s="38">
        <v>2.1299999999999999E-2</v>
      </c>
      <c r="BO10" s="4">
        <v>8166800</v>
      </c>
      <c r="BP10" s="4">
        <v>6501900</v>
      </c>
      <c r="BQ10" s="19">
        <v>15934600</v>
      </c>
      <c r="BR10" s="38">
        <v>1.8E-3</v>
      </c>
      <c r="BS10" s="4">
        <v>358700</v>
      </c>
      <c r="BT10" s="4">
        <v>379600</v>
      </c>
      <c r="BU10" s="19">
        <v>1289600</v>
      </c>
      <c r="BV10" s="38">
        <v>9.1000000000000004E-3</v>
      </c>
      <c r="BW10" s="4">
        <v>2152700</v>
      </c>
      <c r="BX10" s="4">
        <v>4344700</v>
      </c>
      <c r="BY10" s="19">
        <v>6756600</v>
      </c>
      <c r="BZ10" s="8">
        <v>1.1699999999999999E-2</v>
      </c>
      <c r="CA10" s="4">
        <v>2417300</v>
      </c>
      <c r="CB10" s="4">
        <v>5492200</v>
      </c>
      <c r="CC10" s="4">
        <v>8741400</v>
      </c>
      <c r="CD10" s="38">
        <v>9.0000000000000011E-3</v>
      </c>
      <c r="CE10" s="4">
        <v>2443400</v>
      </c>
      <c r="CF10" s="4">
        <v>2854700</v>
      </c>
      <c r="CG10" s="4">
        <v>6730800</v>
      </c>
      <c r="CH10" s="8">
        <v>1.1528393893327628E-3</v>
      </c>
      <c r="CI10" s="4">
        <v>267000</v>
      </c>
      <c r="CJ10" s="4">
        <v>572200</v>
      </c>
      <c r="CK10" s="4">
        <v>863300</v>
      </c>
      <c r="CL10" s="8">
        <v>4.5981372284136478E-3</v>
      </c>
      <c r="CM10" s="4">
        <v>1232600</v>
      </c>
      <c r="CN10" s="4">
        <v>1959000</v>
      </c>
      <c r="CO10" s="4">
        <v>3443300</v>
      </c>
    </row>
    <row r="11" spans="1:93" x14ac:dyDescent="0.2">
      <c r="A11" s="7" t="s">
        <v>485</v>
      </c>
      <c r="B11" s="8">
        <v>0.28649999999999998</v>
      </c>
      <c r="C11" s="8">
        <v>0.2802</v>
      </c>
      <c r="D11" s="8">
        <v>0.38740000000000002</v>
      </c>
      <c r="E11" s="8">
        <v>0.1045</v>
      </c>
      <c r="F11" s="8">
        <v>0.18789999999999998</v>
      </c>
      <c r="G11" s="4">
        <v>42234200</v>
      </c>
      <c r="H11" s="4">
        <v>49224400</v>
      </c>
      <c r="I11" s="19">
        <v>122693716</v>
      </c>
      <c r="J11" s="8">
        <v>0.11259999999999999</v>
      </c>
      <c r="K11" s="4">
        <v>23936400</v>
      </c>
      <c r="L11" s="4">
        <v>40265600</v>
      </c>
      <c r="M11" s="19">
        <v>73499300</v>
      </c>
      <c r="N11" s="8">
        <v>0.1148</v>
      </c>
      <c r="O11" s="4">
        <v>27057400</v>
      </c>
      <c r="P11" s="4">
        <v>37314300</v>
      </c>
      <c r="Q11" s="19">
        <v>74969900</v>
      </c>
      <c r="R11" s="8">
        <v>1.84E-2</v>
      </c>
      <c r="S11" s="4">
        <v>4725800</v>
      </c>
      <c r="T11" s="4">
        <v>7114400</v>
      </c>
      <c r="U11" s="19">
        <v>12013600</v>
      </c>
      <c r="V11" s="8">
        <v>4.8499999999999995E-2</v>
      </c>
      <c r="W11" s="4">
        <v>12391000</v>
      </c>
      <c r="X11" s="4">
        <v>15086800</v>
      </c>
      <c r="Y11" s="19">
        <v>31629200</v>
      </c>
      <c r="Z11" s="8">
        <v>3.7000000000000005E-2</v>
      </c>
      <c r="AA11" s="4">
        <v>11231000</v>
      </c>
      <c r="AB11" s="4">
        <v>8874900</v>
      </c>
      <c r="AC11" s="4">
        <v>24099100</v>
      </c>
      <c r="AD11" s="38">
        <v>2.3599999999999999E-2</v>
      </c>
      <c r="AE11" s="4">
        <v>6109700</v>
      </c>
      <c r="AF11" s="4">
        <v>9021400</v>
      </c>
      <c r="AG11" s="4">
        <v>15384200</v>
      </c>
      <c r="AH11" s="38">
        <v>2.5399999999999999E-2</v>
      </c>
      <c r="AI11" s="4">
        <v>4135300</v>
      </c>
      <c r="AJ11" s="4">
        <v>5713400</v>
      </c>
      <c r="AK11" s="19">
        <v>16587300</v>
      </c>
      <c r="AL11" s="38">
        <v>2.64E-2</v>
      </c>
      <c r="AM11" s="4">
        <v>7459500</v>
      </c>
      <c r="AN11" s="4">
        <v>8327700</v>
      </c>
      <c r="AO11" s="4">
        <v>17232500</v>
      </c>
      <c r="AP11" s="38">
        <v>1.1299999999999999E-2</v>
      </c>
      <c r="AQ11" s="4">
        <v>3252400</v>
      </c>
      <c r="AR11" s="4">
        <v>3447700</v>
      </c>
      <c r="AS11" s="4">
        <v>7327100</v>
      </c>
      <c r="AT11" s="38">
        <v>1.01E-2</v>
      </c>
      <c r="AU11" s="4">
        <v>2021300</v>
      </c>
      <c r="AV11" s="4">
        <v>4256900</v>
      </c>
      <c r="AW11" s="19">
        <v>6550900</v>
      </c>
      <c r="AX11" s="8">
        <v>1.1999999999999999E-3</v>
      </c>
      <c r="AY11" s="4">
        <v>245100</v>
      </c>
      <c r="AZ11" s="4">
        <v>406700</v>
      </c>
      <c r="BA11" s="4">
        <v>773400</v>
      </c>
      <c r="BB11" s="38">
        <v>3.3E-3</v>
      </c>
      <c r="BC11" s="4">
        <v>495200</v>
      </c>
      <c r="BD11" s="4">
        <v>759900</v>
      </c>
      <c r="BE11" s="4">
        <v>2148200</v>
      </c>
      <c r="BF11" s="38">
        <v>2.4500000000000001E-2</v>
      </c>
      <c r="BG11" s="4">
        <v>7248600</v>
      </c>
      <c r="BH11" s="4">
        <v>10891000</v>
      </c>
      <c r="BI11" s="19">
        <v>15962900</v>
      </c>
      <c r="BJ11" s="38">
        <v>1.7399999999999999E-2</v>
      </c>
      <c r="BK11" s="4">
        <v>4398000</v>
      </c>
      <c r="BL11" s="4">
        <v>6212300</v>
      </c>
      <c r="BM11" s="19">
        <v>11306400</v>
      </c>
      <c r="BN11" s="38">
        <v>3.0099999999999998E-2</v>
      </c>
      <c r="BO11" s="4">
        <v>8097500</v>
      </c>
      <c r="BP11" s="4">
        <v>10150700</v>
      </c>
      <c r="BQ11" s="19">
        <v>19651400</v>
      </c>
      <c r="BR11" s="38">
        <v>1.6000000000000001E-3</v>
      </c>
      <c r="BS11" s="4">
        <v>195300</v>
      </c>
      <c r="BT11" s="4">
        <v>282800</v>
      </c>
      <c r="BU11" s="19">
        <v>1016500</v>
      </c>
      <c r="BV11" s="38">
        <v>1.55E-2</v>
      </c>
      <c r="BW11" s="4">
        <v>3925300</v>
      </c>
      <c r="BX11" s="4">
        <v>5843800</v>
      </c>
      <c r="BY11" s="19">
        <v>10087500</v>
      </c>
      <c r="BZ11" s="8">
        <v>2.7099999999999999E-2</v>
      </c>
      <c r="CA11" s="4">
        <v>8259200</v>
      </c>
      <c r="CB11" s="4">
        <v>8306000</v>
      </c>
      <c r="CC11" s="19">
        <v>17659300</v>
      </c>
      <c r="CD11" s="38">
        <v>9.7000000000000003E-3</v>
      </c>
      <c r="CE11" s="4">
        <v>1978700</v>
      </c>
      <c r="CF11" s="4">
        <v>3376500</v>
      </c>
      <c r="CG11" s="19">
        <v>6271500</v>
      </c>
      <c r="CH11" s="8">
        <v>5.2153410730699623E-4</v>
      </c>
      <c r="CI11" s="4">
        <v>197100</v>
      </c>
      <c r="CJ11" s="4">
        <v>128500</v>
      </c>
      <c r="CK11" s="4">
        <v>340600</v>
      </c>
      <c r="CL11" s="8">
        <v>5.0838091299763889E-3</v>
      </c>
      <c r="CM11" s="4">
        <v>1032000</v>
      </c>
      <c r="CN11" s="4">
        <v>2131700</v>
      </c>
      <c r="CO11" s="4">
        <v>3320100</v>
      </c>
    </row>
    <row r="12" spans="1:93" x14ac:dyDescent="0.2">
      <c r="A12" s="7" t="s">
        <v>483</v>
      </c>
      <c r="B12" s="8">
        <v>0.29339999999999999</v>
      </c>
      <c r="C12" s="8">
        <v>0.28000000000000003</v>
      </c>
      <c r="D12" s="8">
        <v>0.42020000000000002</v>
      </c>
      <c r="E12" s="8">
        <v>0.12770000000000001</v>
      </c>
      <c r="F12" s="8">
        <v>0.16260000000000002</v>
      </c>
      <c r="G12" s="4">
        <v>30519100</v>
      </c>
      <c r="H12" s="4">
        <v>34175800</v>
      </c>
      <c r="I12" s="19">
        <v>80748140</v>
      </c>
      <c r="J12" s="8">
        <v>0.1067</v>
      </c>
      <c r="K12" s="4">
        <v>19761500</v>
      </c>
      <c r="L12" s="4">
        <v>26465100</v>
      </c>
      <c r="M12" s="19">
        <v>52994402</v>
      </c>
      <c r="N12" s="8">
        <v>0.11720000000000001</v>
      </c>
      <c r="O12" s="4">
        <v>28874000</v>
      </c>
      <c r="P12" s="4">
        <v>25522200</v>
      </c>
      <c r="Q12" s="19">
        <v>58190320</v>
      </c>
      <c r="R12" s="8">
        <v>0.03</v>
      </c>
      <c r="S12" s="4">
        <v>6289000</v>
      </c>
      <c r="T12" s="4">
        <v>8930300</v>
      </c>
      <c r="U12" s="19">
        <v>14881700</v>
      </c>
      <c r="V12" s="8">
        <v>7.1199999999999999E-2</v>
      </c>
      <c r="W12" s="4">
        <v>16011200</v>
      </c>
      <c r="X12" s="4">
        <v>12191200</v>
      </c>
      <c r="Y12" s="19">
        <v>35350840</v>
      </c>
      <c r="Z12" s="8">
        <v>4.0999999999999995E-2</v>
      </c>
      <c r="AA12" s="4">
        <v>9290100</v>
      </c>
      <c r="AB12" s="4">
        <v>7966800</v>
      </c>
      <c r="AC12" s="4">
        <v>20343800</v>
      </c>
      <c r="AD12" s="8">
        <v>2.8999999999999998E-2</v>
      </c>
      <c r="AE12" s="4">
        <v>5184200</v>
      </c>
      <c r="AF12" s="4">
        <v>8442800</v>
      </c>
      <c r="AG12" s="19">
        <v>14389900</v>
      </c>
      <c r="AH12" s="38">
        <v>3.0600000000000002E-2</v>
      </c>
      <c r="AI12" s="4">
        <v>3506700</v>
      </c>
      <c r="AJ12" s="4">
        <v>5008500</v>
      </c>
      <c r="AK12" s="19">
        <v>15159800</v>
      </c>
      <c r="AL12" s="38">
        <v>2.4199999999999999E-2</v>
      </c>
      <c r="AM12" s="4">
        <v>4576000</v>
      </c>
      <c r="AN12" s="4">
        <v>6248000</v>
      </c>
      <c r="AO12" s="19">
        <v>12014115</v>
      </c>
      <c r="AP12" s="38">
        <v>2.0899999999999998E-2</v>
      </c>
      <c r="AQ12" s="4">
        <v>6153300</v>
      </c>
      <c r="AR12" s="4">
        <v>3623600</v>
      </c>
      <c r="AS12" s="19">
        <v>10345700</v>
      </c>
      <c r="AT12" s="38">
        <v>5.6000000000000008E-3</v>
      </c>
      <c r="AU12" s="4">
        <v>881600</v>
      </c>
      <c r="AV12" s="4">
        <v>1397200</v>
      </c>
      <c r="AW12" s="19">
        <v>2755500</v>
      </c>
      <c r="AX12" s="38">
        <v>4.3E-3</v>
      </c>
      <c r="AY12" s="4">
        <v>522800</v>
      </c>
      <c r="AZ12" s="4">
        <v>1288700</v>
      </c>
      <c r="BA12" s="19">
        <v>2112500</v>
      </c>
      <c r="BB12" s="38">
        <v>1.9E-3</v>
      </c>
      <c r="BC12" s="4">
        <v>243600</v>
      </c>
      <c r="BD12" s="4">
        <v>457300</v>
      </c>
      <c r="BE12" s="19">
        <v>935500</v>
      </c>
      <c r="BF12" s="38">
        <v>3.3599999999999998E-2</v>
      </c>
      <c r="BG12" s="4">
        <v>7065000</v>
      </c>
      <c r="BH12" s="4">
        <v>11781100</v>
      </c>
      <c r="BI12" s="19">
        <v>16677800</v>
      </c>
      <c r="BJ12" s="38">
        <v>3.6000000000000004E-2</v>
      </c>
      <c r="BK12" s="4">
        <v>9175500</v>
      </c>
      <c r="BL12" s="4">
        <v>7680900</v>
      </c>
      <c r="BM12" s="19">
        <v>17844000</v>
      </c>
      <c r="BN12" s="38">
        <v>3.6000000000000004E-2</v>
      </c>
      <c r="BO12" s="4">
        <v>9817000</v>
      </c>
      <c r="BP12" s="4">
        <v>7104700</v>
      </c>
      <c r="BQ12" s="19">
        <v>17872400</v>
      </c>
      <c r="BR12" s="38">
        <v>2.0999999999999999E-3</v>
      </c>
      <c r="BS12" s="4">
        <v>217400</v>
      </c>
      <c r="BT12" s="4">
        <v>294500</v>
      </c>
      <c r="BU12" s="19">
        <v>1025700</v>
      </c>
      <c r="BV12" s="38">
        <v>8.6999999999999994E-3</v>
      </c>
      <c r="BW12" s="4">
        <v>2628500</v>
      </c>
      <c r="BX12" s="4">
        <v>1677400</v>
      </c>
      <c r="BY12" s="19">
        <v>4311900</v>
      </c>
      <c r="BZ12" s="8">
        <v>6.8000000000000005E-3</v>
      </c>
      <c r="CA12" s="4">
        <v>1386100</v>
      </c>
      <c r="CB12" s="4">
        <v>1593800</v>
      </c>
      <c r="CC12" s="4">
        <v>3342100</v>
      </c>
      <c r="CD12" s="38">
        <v>1.78E-2</v>
      </c>
      <c r="CE12" s="4">
        <v>3709400</v>
      </c>
      <c r="CF12" s="4">
        <v>4016300</v>
      </c>
      <c r="CG12" s="4">
        <v>8843200</v>
      </c>
      <c r="CH12" s="8">
        <v>3.6086245821595632E-4</v>
      </c>
      <c r="CI12" s="4">
        <v>45500</v>
      </c>
      <c r="CJ12" s="4">
        <v>127600</v>
      </c>
      <c r="CK12" s="19">
        <v>179300</v>
      </c>
      <c r="CL12" s="8">
        <v>1.6866143738657878E-2</v>
      </c>
      <c r="CM12" s="4">
        <v>1310100</v>
      </c>
      <c r="CN12" s="4">
        <v>2004400</v>
      </c>
      <c r="CO12" s="19">
        <v>8380200</v>
      </c>
    </row>
    <row r="13" spans="1:93" x14ac:dyDescent="0.2">
      <c r="A13" s="7" t="s">
        <v>477</v>
      </c>
      <c r="B13" s="8">
        <v>0.33409999999999995</v>
      </c>
      <c r="C13" s="8">
        <v>0.31829999999999997</v>
      </c>
      <c r="D13" s="8">
        <v>0.38219999999999998</v>
      </c>
      <c r="E13" s="8">
        <v>8.7300000000000003E-2</v>
      </c>
      <c r="F13" s="8">
        <v>0.21059999999999998</v>
      </c>
      <c r="G13" s="4">
        <v>37063800</v>
      </c>
      <c r="H13" s="4">
        <v>39919200</v>
      </c>
      <c r="I13" s="19">
        <v>96579026</v>
      </c>
      <c r="J13" s="8">
        <v>0.10400000000000001</v>
      </c>
      <c r="K13" s="4">
        <v>18122700</v>
      </c>
      <c r="L13" s="4">
        <v>25353200</v>
      </c>
      <c r="M13" s="19">
        <v>47676500</v>
      </c>
      <c r="N13" s="8">
        <v>0.1052</v>
      </c>
      <c r="O13" s="4">
        <v>14540200</v>
      </c>
      <c r="P13" s="4">
        <v>22584600</v>
      </c>
      <c r="Q13" s="19">
        <v>48241000</v>
      </c>
      <c r="R13" s="8">
        <v>2.7300000000000001E-2</v>
      </c>
      <c r="S13" s="4">
        <v>6630800</v>
      </c>
      <c r="T13" s="4">
        <v>5202400</v>
      </c>
      <c r="U13" s="19">
        <v>12513300</v>
      </c>
      <c r="V13" s="8">
        <v>4.1900000000000007E-2</v>
      </c>
      <c r="W13" s="4">
        <v>7149400</v>
      </c>
      <c r="X13" s="4">
        <v>10005100</v>
      </c>
      <c r="Y13" s="19">
        <v>19199600</v>
      </c>
      <c r="Z13" s="8">
        <v>4.7500000000000001E-2</v>
      </c>
      <c r="AA13" s="4">
        <v>9362900</v>
      </c>
      <c r="AB13" s="4">
        <v>7439500</v>
      </c>
      <c r="AC13" s="19">
        <v>21750300</v>
      </c>
      <c r="AD13" s="38">
        <v>3.8300000000000001E-2</v>
      </c>
      <c r="AE13" s="4">
        <v>7016100</v>
      </c>
      <c r="AF13" s="4">
        <v>9344000</v>
      </c>
      <c r="AG13" s="19">
        <v>17528600</v>
      </c>
      <c r="AH13" s="8">
        <v>2.7400000000000001E-2</v>
      </c>
      <c r="AI13" s="4">
        <v>4613300</v>
      </c>
      <c r="AJ13" s="4">
        <v>3450900</v>
      </c>
      <c r="AK13" s="19">
        <v>12566100</v>
      </c>
      <c r="AL13" s="38">
        <v>2.1000000000000001E-2</v>
      </c>
      <c r="AM13" s="4">
        <v>3765000</v>
      </c>
      <c r="AN13" s="4">
        <v>4051200</v>
      </c>
      <c r="AO13" s="19">
        <v>9613797</v>
      </c>
      <c r="AP13" s="8">
        <v>1.09E-2</v>
      </c>
      <c r="AQ13" s="4">
        <v>2719600</v>
      </c>
      <c r="AR13" s="4">
        <v>1753400</v>
      </c>
      <c r="AS13" s="19">
        <v>4978000</v>
      </c>
      <c r="AT13" s="8">
        <v>5.1000000000000004E-3</v>
      </c>
      <c r="AU13" s="4">
        <v>884800</v>
      </c>
      <c r="AV13" s="4">
        <v>1158900</v>
      </c>
      <c r="AW13" s="19">
        <v>2311200</v>
      </c>
      <c r="AX13" s="8">
        <v>2E-3</v>
      </c>
      <c r="AY13" s="4">
        <v>321500</v>
      </c>
      <c r="AZ13" s="4">
        <v>469400</v>
      </c>
      <c r="BA13" s="19">
        <v>896700</v>
      </c>
      <c r="BB13" s="8">
        <v>4.0000000000000001E-3</v>
      </c>
      <c r="BC13" s="4">
        <v>445100</v>
      </c>
      <c r="BD13" s="4">
        <v>443000</v>
      </c>
      <c r="BE13" s="19">
        <v>1792400</v>
      </c>
      <c r="BF13" s="8">
        <v>1.83E-2</v>
      </c>
      <c r="BG13" s="4">
        <v>5308400</v>
      </c>
      <c r="BH13" s="4">
        <v>5835800</v>
      </c>
      <c r="BI13" s="19">
        <v>8391600</v>
      </c>
      <c r="BJ13" s="8">
        <v>2.0899999999999998E-2</v>
      </c>
      <c r="BK13" s="4">
        <v>4180000</v>
      </c>
      <c r="BL13" s="4">
        <v>4652800</v>
      </c>
      <c r="BM13" s="19">
        <v>9576100</v>
      </c>
      <c r="BN13" s="38">
        <v>3.8300000000000001E-2</v>
      </c>
      <c r="BO13" s="4">
        <v>7967500</v>
      </c>
      <c r="BP13" s="4">
        <v>8237400</v>
      </c>
      <c r="BQ13" s="19">
        <v>17542600</v>
      </c>
      <c r="BR13" s="8">
        <v>1.9E-3</v>
      </c>
      <c r="BS13" s="4">
        <v>220800</v>
      </c>
      <c r="BT13" s="4">
        <v>287600</v>
      </c>
      <c r="BU13" s="19">
        <v>849800</v>
      </c>
      <c r="BV13" s="38">
        <v>2.1899999999999999E-2</v>
      </c>
      <c r="BW13" s="4">
        <v>4874900</v>
      </c>
      <c r="BX13" s="4">
        <v>4828600</v>
      </c>
      <c r="BY13" s="19">
        <v>10031500</v>
      </c>
      <c r="BZ13" s="8">
        <v>8.199999999999999E-3</v>
      </c>
      <c r="CA13" s="4">
        <v>1493500</v>
      </c>
      <c r="CB13" s="4">
        <v>1205200</v>
      </c>
      <c r="CC13" s="19">
        <v>3718800</v>
      </c>
      <c r="CD13" s="38">
        <v>2.3099999999999999E-2</v>
      </c>
      <c r="CE13" s="4">
        <v>3959300</v>
      </c>
      <c r="CF13" s="4">
        <v>2777400</v>
      </c>
      <c r="CG13" s="19">
        <v>10596900</v>
      </c>
      <c r="CH13" s="8">
        <v>8.71418495593833E-4</v>
      </c>
      <c r="CI13" s="4">
        <v>200800</v>
      </c>
      <c r="CJ13" s="4">
        <v>181300</v>
      </c>
      <c r="CK13" s="19">
        <v>399800</v>
      </c>
      <c r="CL13" s="8">
        <v>1.5576115190626938E-2</v>
      </c>
      <c r="CM13" s="4">
        <v>956900</v>
      </c>
      <c r="CN13" s="4">
        <v>1002500</v>
      </c>
      <c r="CO13" s="19">
        <v>7146200</v>
      </c>
    </row>
    <row r="14" spans="1:93" x14ac:dyDescent="0.2">
      <c r="A14" s="7" t="s">
        <v>473</v>
      </c>
      <c r="B14" s="8">
        <v>0.39880000000000004</v>
      </c>
      <c r="C14" s="8">
        <v>0.39270000000000005</v>
      </c>
      <c r="D14" s="8">
        <v>0.3332</v>
      </c>
      <c r="E14" s="8">
        <v>8.5099999999999995E-2</v>
      </c>
      <c r="F14" s="8">
        <v>0.2452</v>
      </c>
      <c r="G14" s="4">
        <v>35863800</v>
      </c>
      <c r="H14" s="4">
        <v>55265100</v>
      </c>
      <c r="I14" s="19">
        <v>118765373</v>
      </c>
      <c r="J14" s="8">
        <v>0.10730000000000001</v>
      </c>
      <c r="K14" s="4">
        <v>20369800</v>
      </c>
      <c r="L14" s="4">
        <v>27168900</v>
      </c>
      <c r="M14" s="19">
        <v>51975901</v>
      </c>
      <c r="N14" s="8">
        <v>9.2799999999999994E-2</v>
      </c>
      <c r="O14" s="4">
        <v>15449100</v>
      </c>
      <c r="P14" s="4">
        <v>19316000</v>
      </c>
      <c r="Q14" s="19">
        <v>44907600</v>
      </c>
      <c r="R14" s="8">
        <v>2.0299999999999999E-2</v>
      </c>
      <c r="S14" s="4">
        <v>4223600</v>
      </c>
      <c r="T14" s="4">
        <v>5033600</v>
      </c>
      <c r="U14" s="19">
        <v>9800100</v>
      </c>
      <c r="V14" s="8">
        <v>5.0499999999999996E-2</v>
      </c>
      <c r="W14" s="4">
        <v>8872900</v>
      </c>
      <c r="X14" s="4">
        <v>12000700</v>
      </c>
      <c r="Y14" s="19">
        <v>24455800</v>
      </c>
      <c r="Z14" s="8">
        <v>0.03</v>
      </c>
      <c r="AA14" s="4">
        <v>4187700</v>
      </c>
      <c r="AB14" s="4">
        <v>6155200</v>
      </c>
      <c r="AC14" s="19">
        <v>14520600</v>
      </c>
      <c r="AD14" s="38">
        <v>2.7999999999999997E-2</v>
      </c>
      <c r="AE14" s="4">
        <v>6140400</v>
      </c>
      <c r="AF14" s="4">
        <v>6678600</v>
      </c>
      <c r="AG14" s="19">
        <v>13537600</v>
      </c>
      <c r="AH14" s="38">
        <v>2.2400000000000003E-2</v>
      </c>
      <c r="AI14" s="4">
        <v>2605500</v>
      </c>
      <c r="AJ14" s="4">
        <v>4074200</v>
      </c>
      <c r="AK14" s="19">
        <v>10817800</v>
      </c>
      <c r="AL14" s="38">
        <v>2.18E-2</v>
      </c>
      <c r="AM14" s="4">
        <v>4438900</v>
      </c>
      <c r="AN14" s="4">
        <v>4877600</v>
      </c>
      <c r="AO14" s="19">
        <v>10516000</v>
      </c>
      <c r="AP14" s="38">
        <v>1.09E-2</v>
      </c>
      <c r="AQ14" s="4">
        <v>2783200</v>
      </c>
      <c r="AR14" s="4">
        <v>1921100</v>
      </c>
      <c r="AS14" s="19">
        <v>5275900</v>
      </c>
      <c r="AT14" s="38">
        <v>4.5999999999999999E-3</v>
      </c>
      <c r="AU14" s="4">
        <v>1025200</v>
      </c>
      <c r="AV14" s="4">
        <v>1085900</v>
      </c>
      <c r="AW14" s="19">
        <v>2192200</v>
      </c>
      <c r="AX14" s="38">
        <v>1.1999999999999999E-3</v>
      </c>
      <c r="AY14" s="4">
        <v>194500</v>
      </c>
      <c r="AZ14" s="4">
        <v>328100</v>
      </c>
      <c r="BA14" s="19">
        <v>562700</v>
      </c>
      <c r="BB14" s="38">
        <v>2.8999999999999998E-3</v>
      </c>
      <c r="BC14" s="4">
        <v>543200</v>
      </c>
      <c r="BD14" s="4">
        <v>511100</v>
      </c>
      <c r="BE14" s="19">
        <v>1373600</v>
      </c>
      <c r="BF14" s="38">
        <v>1.9E-2</v>
      </c>
      <c r="BG14" s="4">
        <v>5737800</v>
      </c>
      <c r="BH14" s="4">
        <v>6573300</v>
      </c>
      <c r="BI14" s="19">
        <v>9177300</v>
      </c>
      <c r="BJ14" s="38">
        <v>1.95E-2</v>
      </c>
      <c r="BK14" s="4">
        <v>4479800</v>
      </c>
      <c r="BL14" s="4">
        <v>4401000</v>
      </c>
      <c r="BM14" s="19">
        <v>9439300</v>
      </c>
      <c r="BN14" s="38">
        <v>1.7500000000000002E-2</v>
      </c>
      <c r="BO14" s="4">
        <v>4045600</v>
      </c>
      <c r="BP14" s="4">
        <v>3386400</v>
      </c>
      <c r="BQ14" s="19">
        <v>8471500</v>
      </c>
      <c r="BR14" s="38">
        <v>2.5000000000000001E-3</v>
      </c>
      <c r="BS14" s="4">
        <v>429300</v>
      </c>
      <c r="BT14" s="4">
        <v>388800</v>
      </c>
      <c r="BU14" s="19">
        <v>1200000</v>
      </c>
      <c r="BV14" s="38">
        <v>1.6399999999999998E-2</v>
      </c>
      <c r="BW14" s="4">
        <v>3015900</v>
      </c>
      <c r="BX14" s="4">
        <v>4059700</v>
      </c>
      <c r="BY14" s="19">
        <v>7917600</v>
      </c>
      <c r="BZ14" s="8">
        <v>1.1899999999999999E-2</v>
      </c>
      <c r="CA14" s="4">
        <v>2037800</v>
      </c>
      <c r="CB14" s="4">
        <v>3299000</v>
      </c>
      <c r="CC14" s="19">
        <v>5729200</v>
      </c>
      <c r="CD14" s="38">
        <v>1.37E-2</v>
      </c>
      <c r="CE14" s="4">
        <v>1957000</v>
      </c>
      <c r="CF14" s="4">
        <v>2249900</v>
      </c>
      <c r="CG14" s="19">
        <v>6601701</v>
      </c>
      <c r="CH14" s="8">
        <v>7.018856001821187E-4</v>
      </c>
      <c r="CI14" s="4">
        <v>78700</v>
      </c>
      <c r="CJ14" s="4">
        <v>256200</v>
      </c>
      <c r="CK14" s="19">
        <v>340000</v>
      </c>
      <c r="CL14" s="8">
        <v>2.8313858674405439E-2</v>
      </c>
      <c r="CM14" s="4">
        <v>1416900</v>
      </c>
      <c r="CN14" s="4">
        <v>1436400</v>
      </c>
      <c r="CO14" s="19">
        <v>13715500</v>
      </c>
    </row>
    <row r="15" spans="1:93" x14ac:dyDescent="0.2">
      <c r="A15" s="7" t="s">
        <v>472</v>
      </c>
      <c r="B15" s="8">
        <v>0.37819999999999998</v>
      </c>
      <c r="C15" s="8">
        <v>0.34689999999999999</v>
      </c>
      <c r="D15" s="8">
        <v>0.40450000000000003</v>
      </c>
      <c r="E15" s="8">
        <v>9.1600000000000001E-2</v>
      </c>
      <c r="F15" s="8">
        <v>0.2198</v>
      </c>
      <c r="G15" s="4">
        <v>71732300</v>
      </c>
      <c r="H15" s="4">
        <v>70809800</v>
      </c>
      <c r="I15" s="19">
        <v>162695411</v>
      </c>
      <c r="J15" s="8">
        <v>0.1278</v>
      </c>
      <c r="K15" s="4">
        <v>42861000</v>
      </c>
      <c r="L15" s="4">
        <v>46127100</v>
      </c>
      <c r="M15" s="19">
        <v>94590401</v>
      </c>
      <c r="N15" s="8">
        <v>0.11609999999999999</v>
      </c>
      <c r="O15" s="4">
        <v>39136900</v>
      </c>
      <c r="P15" s="4">
        <v>31946900</v>
      </c>
      <c r="Q15" s="19">
        <v>85932600</v>
      </c>
      <c r="R15" s="8">
        <v>2.35E-2</v>
      </c>
      <c r="S15" s="4">
        <v>9925200</v>
      </c>
      <c r="T15" s="4">
        <v>7837600</v>
      </c>
      <c r="U15" s="19">
        <v>17348000</v>
      </c>
      <c r="V15" s="8">
        <v>5.1500000000000004E-2</v>
      </c>
      <c r="W15" s="4">
        <v>15978000</v>
      </c>
      <c r="X15" s="4">
        <v>16559700</v>
      </c>
      <c r="Y15" s="19">
        <v>38120100</v>
      </c>
      <c r="Z15" s="8">
        <v>4.4000000000000004E-2</v>
      </c>
      <c r="AA15" s="4">
        <v>12188600</v>
      </c>
      <c r="AB15" s="4">
        <v>16861400</v>
      </c>
      <c r="AC15" s="19">
        <v>32513600</v>
      </c>
      <c r="AD15" s="38">
        <v>3.1899999999999998E-2</v>
      </c>
      <c r="AE15" s="4">
        <v>11530100</v>
      </c>
      <c r="AF15" s="4">
        <v>11172600</v>
      </c>
      <c r="AG15" s="19">
        <v>23564700</v>
      </c>
      <c r="AH15" s="38">
        <v>3.4300000000000004E-2</v>
      </c>
      <c r="AI15" s="4">
        <v>7166400</v>
      </c>
      <c r="AJ15" s="4">
        <v>8138000</v>
      </c>
      <c r="AK15" s="19">
        <v>25344400</v>
      </c>
      <c r="AL15" s="38">
        <v>2.3799999999999998E-2</v>
      </c>
      <c r="AM15" s="4">
        <v>7501900</v>
      </c>
      <c r="AN15" s="4">
        <v>8504300</v>
      </c>
      <c r="AO15" s="19">
        <v>17570600</v>
      </c>
      <c r="AP15" s="38">
        <v>1.52E-2</v>
      </c>
      <c r="AQ15" s="4">
        <v>5714700</v>
      </c>
      <c r="AR15" s="4">
        <v>4258000</v>
      </c>
      <c r="AS15" s="19">
        <v>11230400</v>
      </c>
      <c r="AT15" s="38">
        <v>7.4000000000000003E-3</v>
      </c>
      <c r="AU15" s="4">
        <v>2494300</v>
      </c>
      <c r="AV15" s="4">
        <v>2744600</v>
      </c>
      <c r="AW15" s="19">
        <v>5438700</v>
      </c>
      <c r="AX15" s="38">
        <v>2.2000000000000001E-3</v>
      </c>
      <c r="AY15" s="4">
        <v>711900</v>
      </c>
      <c r="AZ15" s="4">
        <v>769800</v>
      </c>
      <c r="BA15" s="19">
        <v>1570000</v>
      </c>
      <c r="BB15" s="38">
        <v>4.1999999999999997E-3</v>
      </c>
      <c r="BC15" s="4">
        <v>920200</v>
      </c>
      <c r="BD15" s="4">
        <v>939000</v>
      </c>
      <c r="BE15" s="19">
        <v>3046400</v>
      </c>
      <c r="BF15" s="38">
        <v>2.18E-2</v>
      </c>
      <c r="BG15" s="4">
        <v>10159900</v>
      </c>
      <c r="BH15" s="4">
        <v>10293500</v>
      </c>
      <c r="BI15" s="19">
        <v>16103500</v>
      </c>
      <c r="BJ15" s="38">
        <v>2.0400000000000001E-2</v>
      </c>
      <c r="BK15" s="4">
        <v>7491100</v>
      </c>
      <c r="BL15" s="4">
        <v>6802900</v>
      </c>
      <c r="BM15" s="19">
        <v>15067300</v>
      </c>
      <c r="BN15" s="38">
        <v>2.3799999999999998E-2</v>
      </c>
      <c r="BO15" s="4">
        <v>9491100</v>
      </c>
      <c r="BP15" s="4">
        <v>6569000</v>
      </c>
      <c r="BQ15" s="19">
        <v>17575300</v>
      </c>
      <c r="BR15" s="38">
        <v>4.6999999999999993E-3</v>
      </c>
      <c r="BS15" s="4">
        <v>791500</v>
      </c>
      <c r="BT15" s="4">
        <v>1029600</v>
      </c>
      <c r="BU15" s="19">
        <v>3407600</v>
      </c>
      <c r="BV15" s="38">
        <v>2.0199999999999999E-2</v>
      </c>
      <c r="BW15" s="4">
        <v>9907700</v>
      </c>
      <c r="BX15" s="4">
        <v>4656000</v>
      </c>
      <c r="BY15" s="19">
        <v>14948700</v>
      </c>
      <c r="BZ15" s="8">
        <v>6.8999999999999999E-3</v>
      </c>
      <c r="CA15" s="4">
        <v>2341000</v>
      </c>
      <c r="CB15" s="4">
        <v>2282900</v>
      </c>
      <c r="CC15" s="19">
        <v>5057200</v>
      </c>
      <c r="CD15" s="38">
        <v>1.4800000000000001E-2</v>
      </c>
      <c r="CE15" s="4">
        <v>5447100</v>
      </c>
      <c r="CF15" s="4">
        <v>4605500</v>
      </c>
      <c r="CG15" s="19">
        <v>10940100</v>
      </c>
      <c r="CH15" s="8">
        <v>6.2315658936929039E-4</v>
      </c>
      <c r="CI15" s="4">
        <v>252100</v>
      </c>
      <c r="CJ15" s="4">
        <v>202400</v>
      </c>
      <c r="CK15" s="19">
        <v>461300</v>
      </c>
      <c r="CL15" s="8">
        <v>1.4167525173050741E-2</v>
      </c>
      <c r="CM15" s="4">
        <v>1822900</v>
      </c>
      <c r="CN15" s="4">
        <v>2360900</v>
      </c>
      <c r="CO15" s="19">
        <v>10487700</v>
      </c>
    </row>
    <row r="16" spans="1:93" x14ac:dyDescent="0.2">
      <c r="A16" s="7" t="s">
        <v>428</v>
      </c>
      <c r="B16" s="8">
        <v>0.37219999999999998</v>
      </c>
      <c r="C16" s="8">
        <v>0.38590000000000002</v>
      </c>
      <c r="D16" s="8">
        <v>0.38340000000000002</v>
      </c>
      <c r="E16" s="8">
        <v>8.5800000000000001E-2</v>
      </c>
      <c r="F16" s="8">
        <v>0.2984</v>
      </c>
      <c r="G16" s="4">
        <v>54389800</v>
      </c>
      <c r="H16" s="4">
        <v>116885200</v>
      </c>
      <c r="I16" s="19">
        <v>217278320</v>
      </c>
      <c r="J16" s="8">
        <v>0.1186</v>
      </c>
      <c r="K16" s="4">
        <v>23365700</v>
      </c>
      <c r="L16" s="4">
        <v>49578200</v>
      </c>
      <c r="M16" s="19">
        <v>86382702</v>
      </c>
      <c r="N16" s="8">
        <v>9.1300000000000006E-2</v>
      </c>
      <c r="O16" s="4">
        <v>17752600</v>
      </c>
      <c r="P16" s="4">
        <v>29172100</v>
      </c>
      <c r="Q16" s="19">
        <v>66455100</v>
      </c>
      <c r="R16" s="8">
        <v>1.95E-2</v>
      </c>
      <c r="S16" s="4">
        <v>4626800</v>
      </c>
      <c r="T16" s="4">
        <v>7678700</v>
      </c>
      <c r="U16" s="19">
        <v>14196900</v>
      </c>
      <c r="V16" s="8">
        <v>4.9800000000000004E-2</v>
      </c>
      <c r="W16" s="4">
        <v>9078000</v>
      </c>
      <c r="X16" s="4">
        <v>19234200</v>
      </c>
      <c r="Y16" s="19">
        <v>36264301</v>
      </c>
      <c r="Z16" s="8">
        <v>3.6000000000000004E-2</v>
      </c>
      <c r="AA16" s="4">
        <v>7393000</v>
      </c>
      <c r="AB16" s="4">
        <v>13632500</v>
      </c>
      <c r="AC16" s="19">
        <v>26173500</v>
      </c>
      <c r="AD16" s="38">
        <v>3.5900000000000001E-2</v>
      </c>
      <c r="AE16" s="4">
        <v>9018100</v>
      </c>
      <c r="AF16" s="4">
        <v>15502500</v>
      </c>
      <c r="AG16" s="19">
        <v>26090500</v>
      </c>
      <c r="AH16" s="38">
        <v>3.2799999999999996E-2</v>
      </c>
      <c r="AI16" s="4">
        <v>3629000</v>
      </c>
      <c r="AJ16" s="4">
        <v>8863100</v>
      </c>
      <c r="AK16" s="19">
        <v>23835100</v>
      </c>
      <c r="AL16" s="38">
        <v>2.3599999999999999E-2</v>
      </c>
      <c r="AM16" s="4">
        <v>5949500</v>
      </c>
      <c r="AN16" s="4">
        <v>7930400</v>
      </c>
      <c r="AO16" s="19">
        <v>17153000</v>
      </c>
      <c r="AP16" s="38">
        <v>1.5700000000000002E-2</v>
      </c>
      <c r="AQ16" s="4">
        <v>4816700</v>
      </c>
      <c r="AR16" s="4">
        <v>5210500</v>
      </c>
      <c r="AS16" s="19">
        <v>11423100</v>
      </c>
      <c r="AT16" s="38">
        <v>9.5999999999999992E-3</v>
      </c>
      <c r="AU16" s="4">
        <v>1854300</v>
      </c>
      <c r="AV16" s="4">
        <v>4103400</v>
      </c>
      <c r="AW16" s="19">
        <v>6973100</v>
      </c>
      <c r="AX16" s="38">
        <v>2.3E-3</v>
      </c>
      <c r="AY16" s="4">
        <v>558800</v>
      </c>
      <c r="AZ16" s="4">
        <v>931700</v>
      </c>
      <c r="BA16" s="19">
        <v>1615900</v>
      </c>
      <c r="BB16" s="38">
        <v>3.2000000000000002E-3</v>
      </c>
      <c r="BC16" s="4">
        <v>430900</v>
      </c>
      <c r="BD16" s="4">
        <v>1185900</v>
      </c>
      <c r="BE16" s="19">
        <v>2272600</v>
      </c>
      <c r="BF16" s="38">
        <v>2.3900000000000001E-2</v>
      </c>
      <c r="BG16" s="4">
        <v>7288900</v>
      </c>
      <c r="BH16" s="4">
        <v>12577000</v>
      </c>
      <c r="BI16" s="19">
        <v>17392682</v>
      </c>
      <c r="BJ16" s="38">
        <v>2.58E-2</v>
      </c>
      <c r="BK16" s="4">
        <v>5815000</v>
      </c>
      <c r="BL16" s="4">
        <v>10942000</v>
      </c>
      <c r="BM16" s="19">
        <v>18785100</v>
      </c>
      <c r="BN16" s="8">
        <v>1.83E-2</v>
      </c>
      <c r="BO16" s="4">
        <v>3131100</v>
      </c>
      <c r="BP16" s="4">
        <v>6918100</v>
      </c>
      <c r="BQ16" s="19">
        <v>13297500</v>
      </c>
      <c r="BR16" s="38">
        <v>2.0999999999999999E-3</v>
      </c>
      <c r="BS16" s="4">
        <v>380600</v>
      </c>
      <c r="BT16" s="4">
        <v>613800</v>
      </c>
      <c r="BU16" s="19">
        <v>1519000</v>
      </c>
      <c r="BV16" s="38">
        <v>2.3999999999999998E-3</v>
      </c>
      <c r="BW16" s="4">
        <v>950300</v>
      </c>
      <c r="BX16" s="4">
        <v>452200</v>
      </c>
      <c r="BY16" s="19">
        <v>1679500</v>
      </c>
      <c r="BZ16" s="8">
        <v>7.1999999999999998E-3</v>
      </c>
      <c r="CA16" s="4">
        <v>1806900</v>
      </c>
      <c r="CB16" s="4">
        <v>2751200</v>
      </c>
      <c r="CC16" s="19">
        <v>5212800</v>
      </c>
      <c r="CD16" s="38">
        <v>1.4199999999999999E-2</v>
      </c>
      <c r="CE16" s="4">
        <v>4543600</v>
      </c>
      <c r="CF16" s="4">
        <v>4988200</v>
      </c>
      <c r="CG16" s="19">
        <v>10319300</v>
      </c>
      <c r="CH16" s="8">
        <v>5.6852118698887545E-4</v>
      </c>
      <c r="CI16" s="4">
        <v>88500</v>
      </c>
      <c r="CJ16" s="4">
        <v>319000</v>
      </c>
      <c r="CK16" s="19">
        <v>414100</v>
      </c>
      <c r="CL16" s="8">
        <v>1.0989968977030324E-2</v>
      </c>
      <c r="CM16" s="4">
        <v>1354700</v>
      </c>
      <c r="CN16" s="4">
        <v>4069100</v>
      </c>
      <c r="CO16" s="19">
        <v>8004884</v>
      </c>
    </row>
    <row r="17" spans="1:93" x14ac:dyDescent="0.2">
      <c r="A17" s="7" t="s">
        <v>427</v>
      </c>
      <c r="B17" s="8">
        <v>0.32780000000000004</v>
      </c>
      <c r="C17" s="8">
        <v>0.33310000000000001</v>
      </c>
      <c r="D17" s="8">
        <v>0.45049999999999996</v>
      </c>
      <c r="E17" s="8">
        <v>0.1014</v>
      </c>
      <c r="F17" s="8">
        <v>0.26400000000000001</v>
      </c>
      <c r="G17" s="4">
        <v>103754700</v>
      </c>
      <c r="H17" s="4">
        <v>98694200</v>
      </c>
      <c r="I17" s="19">
        <v>243828844</v>
      </c>
      <c r="J17" s="8">
        <v>0.1245</v>
      </c>
      <c r="K17" s="4">
        <v>48296200</v>
      </c>
      <c r="L17" s="4">
        <v>53586500</v>
      </c>
      <c r="M17" s="19">
        <v>114954200</v>
      </c>
      <c r="N17" s="8">
        <v>0.14360000000000001</v>
      </c>
      <c r="O17" s="4">
        <v>55957100</v>
      </c>
      <c r="P17" s="4">
        <v>55598300</v>
      </c>
      <c r="Q17" s="19">
        <v>132600600</v>
      </c>
      <c r="R17" s="8">
        <v>2.12E-2</v>
      </c>
      <c r="S17" s="4">
        <v>7434300</v>
      </c>
      <c r="T17" s="4">
        <v>12054700</v>
      </c>
      <c r="U17" s="19">
        <v>19539700</v>
      </c>
      <c r="V17" s="8">
        <v>5.2300000000000006E-2</v>
      </c>
      <c r="W17" s="4">
        <v>15344000</v>
      </c>
      <c r="X17" s="4">
        <v>21593900</v>
      </c>
      <c r="Y17" s="19">
        <v>48221400</v>
      </c>
      <c r="Z17" s="8">
        <v>2.1000000000000001E-2</v>
      </c>
      <c r="AA17" s="4">
        <v>8123400</v>
      </c>
      <c r="AB17" s="4">
        <v>9260400</v>
      </c>
      <c r="AC17" s="19">
        <v>19393300</v>
      </c>
      <c r="AD17" s="38">
        <v>2.8500000000000001E-2</v>
      </c>
      <c r="AE17" s="4">
        <v>9773900</v>
      </c>
      <c r="AF17" s="4">
        <v>15509400</v>
      </c>
      <c r="AG17" s="19">
        <v>26314400</v>
      </c>
      <c r="AH17" s="38">
        <v>3.2099999999999997E-2</v>
      </c>
      <c r="AI17" s="4">
        <v>6761800</v>
      </c>
      <c r="AJ17" s="4">
        <v>12770700</v>
      </c>
      <c r="AK17" s="19">
        <v>29636400</v>
      </c>
      <c r="AL17" s="38">
        <v>2.2799999999999997E-2</v>
      </c>
      <c r="AM17" s="4">
        <v>6738800</v>
      </c>
      <c r="AN17" s="4">
        <v>11718200</v>
      </c>
      <c r="AO17" s="19">
        <v>21019300</v>
      </c>
      <c r="AP17" s="38">
        <v>1.43E-2</v>
      </c>
      <c r="AQ17" s="4">
        <v>4451400</v>
      </c>
      <c r="AR17" s="4">
        <v>5140300</v>
      </c>
      <c r="AS17" s="19">
        <v>13116800</v>
      </c>
      <c r="AT17" s="38">
        <v>8.3000000000000001E-3</v>
      </c>
      <c r="AU17" s="4">
        <v>3190000</v>
      </c>
      <c r="AV17" s="4">
        <v>4072300</v>
      </c>
      <c r="AW17" s="19">
        <v>7635800</v>
      </c>
      <c r="AX17" s="38">
        <v>1.9E-3</v>
      </c>
      <c r="AY17" s="4">
        <v>545000</v>
      </c>
      <c r="AZ17" s="4">
        <v>1056200</v>
      </c>
      <c r="BA17" s="19">
        <v>1723900</v>
      </c>
      <c r="BB17" s="38">
        <v>3.2000000000000002E-3</v>
      </c>
      <c r="BC17" s="4">
        <v>957400</v>
      </c>
      <c r="BD17" s="4">
        <v>1461200</v>
      </c>
      <c r="BE17" s="19">
        <v>2915100</v>
      </c>
      <c r="BF17" s="38">
        <v>3.2400000000000005E-2</v>
      </c>
      <c r="BG17" s="4">
        <v>13843000</v>
      </c>
      <c r="BH17" s="4">
        <v>23003200</v>
      </c>
      <c r="BI17" s="19">
        <v>29847100</v>
      </c>
      <c r="BJ17" s="38">
        <v>2.3799999999999998E-2</v>
      </c>
      <c r="BK17" s="4">
        <v>8313500</v>
      </c>
      <c r="BL17" s="4">
        <v>12488400</v>
      </c>
      <c r="BM17" s="19">
        <v>21969400</v>
      </c>
      <c r="BN17" s="38">
        <v>1.9599999999999999E-2</v>
      </c>
      <c r="BO17" s="4">
        <v>6148600</v>
      </c>
      <c r="BP17" s="4">
        <v>10552200</v>
      </c>
      <c r="BQ17" s="19">
        <v>18082900</v>
      </c>
      <c r="BR17" s="38">
        <v>2.5999999999999999E-3</v>
      </c>
      <c r="BS17" s="4">
        <v>433800</v>
      </c>
      <c r="BT17" s="4">
        <v>777600</v>
      </c>
      <c r="BU17" s="19">
        <v>2325200</v>
      </c>
      <c r="BV17" s="38">
        <v>2.3999999999999998E-3</v>
      </c>
      <c r="BW17" s="4">
        <v>1117700</v>
      </c>
      <c r="BX17" s="4">
        <v>770100</v>
      </c>
      <c r="BY17" s="19">
        <v>2195500</v>
      </c>
      <c r="BZ17" s="8">
        <v>7.4999999999999997E-3</v>
      </c>
      <c r="CA17" s="4">
        <v>2373300</v>
      </c>
      <c r="CB17" s="4">
        <v>4028900</v>
      </c>
      <c r="CC17" s="19">
        <v>6926700</v>
      </c>
      <c r="CD17" s="38">
        <v>1.18E-2</v>
      </c>
      <c r="CE17" s="4">
        <v>4563300</v>
      </c>
      <c r="CF17" s="4">
        <v>5262800</v>
      </c>
      <c r="CG17" s="19">
        <v>10848600</v>
      </c>
      <c r="CH17" s="8">
        <v>8.2446491039068451E-4</v>
      </c>
      <c r="CI17" s="4">
        <v>213600</v>
      </c>
      <c r="CJ17" s="4">
        <v>527000</v>
      </c>
      <c r="CK17" s="19">
        <v>761500</v>
      </c>
      <c r="CL17" s="8">
        <v>3.9508055354017586E-2</v>
      </c>
      <c r="CM17" s="4">
        <v>4306800</v>
      </c>
      <c r="CN17" s="4">
        <v>3602600</v>
      </c>
      <c r="CO17" s="19">
        <v>36490800</v>
      </c>
    </row>
    <row r="18" spans="1:93" x14ac:dyDescent="0.2">
      <c r="A18" s="7" t="s">
        <v>425</v>
      </c>
      <c r="B18" s="8">
        <v>0.41389999999999999</v>
      </c>
      <c r="C18" s="8">
        <v>0.40539999999999998</v>
      </c>
      <c r="D18" s="8">
        <v>0.40950000000000003</v>
      </c>
      <c r="E18" s="8">
        <v>7.0599999999999996E-2</v>
      </c>
      <c r="F18" s="8">
        <v>0.31120000000000003</v>
      </c>
      <c r="G18" s="4">
        <v>109306900</v>
      </c>
      <c r="H18" s="4">
        <v>106581600</v>
      </c>
      <c r="I18" s="19">
        <v>246369592</v>
      </c>
      <c r="J18" s="8">
        <v>0.1542</v>
      </c>
      <c r="K18" s="4">
        <v>47691900</v>
      </c>
      <c r="L18" s="4">
        <v>69286700</v>
      </c>
      <c r="M18" s="19">
        <v>122084743</v>
      </c>
      <c r="N18" s="8">
        <v>9.5899999999999999E-2</v>
      </c>
      <c r="O18" s="4">
        <v>19517400</v>
      </c>
      <c r="P18" s="4">
        <v>44519300</v>
      </c>
      <c r="Q18" s="19">
        <v>75917848</v>
      </c>
      <c r="R18" s="8">
        <v>1.6899999999999998E-2</v>
      </c>
      <c r="S18" s="4">
        <v>4031200</v>
      </c>
      <c r="T18" s="4">
        <v>8655300</v>
      </c>
      <c r="U18" s="19">
        <v>13328000</v>
      </c>
      <c r="V18" s="8">
        <v>4.07E-2</v>
      </c>
      <c r="W18" s="4">
        <v>8105700</v>
      </c>
      <c r="X18" s="4">
        <v>16960500</v>
      </c>
      <c r="Y18" s="19">
        <v>32203179</v>
      </c>
      <c r="Z18" s="8">
        <v>3.9300000000000002E-2</v>
      </c>
      <c r="AA18" s="4">
        <v>12304100</v>
      </c>
      <c r="AB18" s="4">
        <v>15540100</v>
      </c>
      <c r="AC18" s="19">
        <v>31072009</v>
      </c>
      <c r="AD18" s="38">
        <v>2.3900000000000001E-2</v>
      </c>
      <c r="AE18" s="4">
        <v>6851400</v>
      </c>
      <c r="AF18" s="4">
        <v>10797500</v>
      </c>
      <c r="AG18" s="19">
        <v>18910834</v>
      </c>
      <c r="AH18" s="38">
        <v>2.63E-2</v>
      </c>
      <c r="AI18" s="4">
        <v>4369300</v>
      </c>
      <c r="AJ18" s="4">
        <v>8417900</v>
      </c>
      <c r="AK18" s="19">
        <v>20824200</v>
      </c>
      <c r="AL18" s="38">
        <v>1.8500000000000003E-2</v>
      </c>
      <c r="AM18" s="4">
        <v>3709200</v>
      </c>
      <c r="AN18" s="4">
        <v>8760300</v>
      </c>
      <c r="AO18" s="19">
        <v>14591172</v>
      </c>
      <c r="AP18" s="38">
        <v>1.2199999999999999E-2</v>
      </c>
      <c r="AQ18" s="4">
        <v>4031300</v>
      </c>
      <c r="AR18" s="4">
        <v>3677200</v>
      </c>
      <c r="AS18" s="19">
        <v>9610000</v>
      </c>
      <c r="AT18" s="38">
        <v>9.0000000000000011E-3</v>
      </c>
      <c r="AU18" s="4">
        <v>3127600</v>
      </c>
      <c r="AV18" s="4">
        <v>3574100</v>
      </c>
      <c r="AW18" s="19">
        <v>7107300</v>
      </c>
      <c r="AX18" s="38">
        <v>1.2999999999999999E-3</v>
      </c>
      <c r="AY18" s="4">
        <v>243300</v>
      </c>
      <c r="AZ18" s="4">
        <v>673400</v>
      </c>
      <c r="BA18" s="19">
        <v>1004700</v>
      </c>
      <c r="BB18" s="38">
        <v>4.0000000000000001E-3</v>
      </c>
      <c r="BC18" s="4">
        <v>634700</v>
      </c>
      <c r="BD18" s="4">
        <v>931300</v>
      </c>
      <c r="BE18" s="19">
        <v>3116500</v>
      </c>
      <c r="BF18" s="38">
        <v>1.8100000000000002E-2</v>
      </c>
      <c r="BG18" s="4">
        <v>5372100</v>
      </c>
      <c r="BH18" s="4">
        <v>12164700</v>
      </c>
      <c r="BI18" s="19">
        <v>14270300</v>
      </c>
      <c r="BJ18" s="38">
        <v>1.3000000000000001E-2</v>
      </c>
      <c r="BK18" s="4">
        <v>3285300</v>
      </c>
      <c r="BL18" s="4">
        <v>6344000</v>
      </c>
      <c r="BM18" s="19">
        <v>10292400</v>
      </c>
      <c r="BN18" s="38">
        <v>1.34E-2</v>
      </c>
      <c r="BO18" s="4">
        <v>3424000</v>
      </c>
      <c r="BP18" s="4">
        <v>6039800</v>
      </c>
      <c r="BQ18" s="19">
        <v>10558200</v>
      </c>
      <c r="BR18" s="38">
        <v>1.9E-3</v>
      </c>
      <c r="BS18" s="4">
        <v>347900</v>
      </c>
      <c r="BT18" s="4">
        <v>674300</v>
      </c>
      <c r="BU18" s="19">
        <v>1492800</v>
      </c>
      <c r="BV18" s="38">
        <v>6.5000000000000006E-3</v>
      </c>
      <c r="BW18" s="4">
        <v>1883900</v>
      </c>
      <c r="BX18" s="4">
        <v>2923700</v>
      </c>
      <c r="BY18" s="19">
        <v>5114800</v>
      </c>
      <c r="BZ18" s="8">
        <v>6.1999999999999998E-3</v>
      </c>
      <c r="CA18" s="4">
        <v>1639000</v>
      </c>
      <c r="CB18" s="4">
        <v>2892700</v>
      </c>
      <c r="CC18" s="19">
        <v>4905400</v>
      </c>
      <c r="CD18" s="38">
        <v>1.1899999999999999E-2</v>
      </c>
      <c r="CE18" s="4">
        <v>2813400</v>
      </c>
      <c r="CF18" s="4">
        <v>5004000</v>
      </c>
      <c r="CG18" s="19">
        <v>9345500</v>
      </c>
      <c r="CH18" s="8">
        <v>1.4507376256324008E-3</v>
      </c>
      <c r="CI18" s="4">
        <v>242800</v>
      </c>
      <c r="CJ18" s="4">
        <v>878400</v>
      </c>
      <c r="CK18" s="19">
        <v>1148700</v>
      </c>
      <c r="CL18" s="8">
        <v>5.0351469511208641E-2</v>
      </c>
      <c r="CM18" s="4">
        <v>2217300</v>
      </c>
      <c r="CN18" s="4">
        <v>4980200</v>
      </c>
      <c r="CO18" s="19">
        <v>39868500</v>
      </c>
    </row>
    <row r="19" spans="1:93" x14ac:dyDescent="0.2">
      <c r="A19" s="7" t="s">
        <v>424</v>
      </c>
      <c r="B19" s="8">
        <v>0.41189999999999999</v>
      </c>
      <c r="C19" s="8">
        <v>0.40340000000000004</v>
      </c>
      <c r="D19" s="8">
        <v>0.35639999999999999</v>
      </c>
      <c r="E19" s="8">
        <v>0.12029999999999999</v>
      </c>
      <c r="F19" s="8">
        <v>0.28510000000000002</v>
      </c>
      <c r="G19" s="4">
        <v>54934800</v>
      </c>
      <c r="H19" s="4">
        <v>74124200</v>
      </c>
      <c r="I19" s="19">
        <v>210660395</v>
      </c>
      <c r="J19" s="8">
        <v>7.9199999999999993E-2</v>
      </c>
      <c r="K19" s="4">
        <v>20174100</v>
      </c>
      <c r="L19" s="4">
        <v>29715200</v>
      </c>
      <c r="M19" s="19">
        <v>58506664</v>
      </c>
      <c r="N19" s="8">
        <v>0.10210000000000001</v>
      </c>
      <c r="O19" s="4">
        <v>26028000</v>
      </c>
      <c r="P19" s="4">
        <v>36746200</v>
      </c>
      <c r="Q19" s="19">
        <v>75414184</v>
      </c>
      <c r="R19" s="8">
        <v>2.18E-2</v>
      </c>
      <c r="S19" s="4">
        <v>7938800</v>
      </c>
      <c r="T19" s="4">
        <v>9517100</v>
      </c>
      <c r="U19" s="19">
        <v>16089500</v>
      </c>
      <c r="V19" s="8">
        <v>6.4299999999999996E-2</v>
      </c>
      <c r="W19" s="4">
        <v>17276300</v>
      </c>
      <c r="X19" s="4">
        <v>22581000</v>
      </c>
      <c r="Y19" s="19">
        <v>47478542</v>
      </c>
      <c r="Z19" s="8">
        <v>4.0500000000000001E-2</v>
      </c>
      <c r="AA19" s="4">
        <v>8809800</v>
      </c>
      <c r="AB19" s="4">
        <v>12696700</v>
      </c>
      <c r="AC19" s="19">
        <v>29897812</v>
      </c>
      <c r="AD19" s="38">
        <v>3.2099999999999997E-2</v>
      </c>
      <c r="AE19" s="4">
        <v>10365200</v>
      </c>
      <c r="AF19" s="4">
        <v>12437500</v>
      </c>
      <c r="AG19" s="19">
        <v>23681613</v>
      </c>
      <c r="AH19" s="38">
        <v>3.6600000000000001E-2</v>
      </c>
      <c r="AI19" s="4">
        <v>6439100</v>
      </c>
      <c r="AJ19" s="4">
        <v>8940900</v>
      </c>
      <c r="AK19" s="19">
        <v>27038200</v>
      </c>
      <c r="AL19" s="38">
        <v>2.52E-2</v>
      </c>
      <c r="AM19" s="4">
        <v>7439000</v>
      </c>
      <c r="AN19" s="4">
        <v>8748100</v>
      </c>
      <c r="AO19" s="19">
        <v>18576727</v>
      </c>
      <c r="AP19" s="38">
        <v>1.5600000000000001E-2</v>
      </c>
      <c r="AQ19" s="4">
        <v>4226200</v>
      </c>
      <c r="AR19" s="4">
        <v>4331900</v>
      </c>
      <c r="AS19" s="19">
        <v>11525600</v>
      </c>
      <c r="AT19" s="38">
        <v>7.1999999999999998E-3</v>
      </c>
      <c r="AU19" s="4">
        <v>2227800</v>
      </c>
      <c r="AV19" s="4">
        <v>2567400</v>
      </c>
      <c r="AW19" s="19">
        <v>5297300</v>
      </c>
      <c r="AX19" s="38">
        <v>2E-3</v>
      </c>
      <c r="AY19" s="4">
        <v>674600</v>
      </c>
      <c r="AZ19" s="4">
        <v>604800</v>
      </c>
      <c r="BA19" s="19">
        <v>1423500</v>
      </c>
      <c r="BB19" s="38">
        <v>3.8E-3</v>
      </c>
      <c r="BC19" s="4">
        <v>934000</v>
      </c>
      <c r="BD19" s="4">
        <v>1277500</v>
      </c>
      <c r="BE19" s="19">
        <v>2774500</v>
      </c>
      <c r="BF19" s="38">
        <v>2.6200000000000001E-2</v>
      </c>
      <c r="BG19" s="4">
        <v>10327200</v>
      </c>
      <c r="BH19" s="4">
        <v>12168500</v>
      </c>
      <c r="BI19" s="19">
        <v>19290447</v>
      </c>
      <c r="BJ19" s="38">
        <v>2.2400000000000003E-2</v>
      </c>
      <c r="BK19" s="4">
        <v>7401900</v>
      </c>
      <c r="BL19" s="4">
        <v>8232700</v>
      </c>
      <c r="BM19" s="19">
        <v>16538700</v>
      </c>
      <c r="BN19" s="38">
        <v>2.5600000000000001E-2</v>
      </c>
      <c r="BO19" s="4">
        <v>8969700</v>
      </c>
      <c r="BP19" s="4">
        <v>8392200</v>
      </c>
      <c r="BQ19" s="19">
        <v>18871500</v>
      </c>
      <c r="BR19" s="38">
        <v>4.3E-3</v>
      </c>
      <c r="BS19" s="4">
        <v>334200</v>
      </c>
      <c r="BT19" s="4">
        <v>517700</v>
      </c>
      <c r="BU19" s="19">
        <v>3145600</v>
      </c>
      <c r="BV19" s="38">
        <v>1.49E-2</v>
      </c>
      <c r="BW19" s="4">
        <v>4730300</v>
      </c>
      <c r="BX19" s="4">
        <v>4500400</v>
      </c>
      <c r="BY19" s="19">
        <v>10960475</v>
      </c>
      <c r="BZ19" s="8">
        <v>9.5999999999999992E-3</v>
      </c>
      <c r="CA19" s="4">
        <v>3553200</v>
      </c>
      <c r="CB19" s="4">
        <v>2969100</v>
      </c>
      <c r="CC19" s="19">
        <v>7080200</v>
      </c>
      <c r="CD19" s="38">
        <v>2.3E-2</v>
      </c>
      <c r="CE19" s="4">
        <v>5797900</v>
      </c>
      <c r="CF19" s="4">
        <v>9057700</v>
      </c>
      <c r="CG19" s="19">
        <v>16972101</v>
      </c>
      <c r="CH19" s="8">
        <v>1.6867726078125182E-3</v>
      </c>
      <c r="CI19" s="4">
        <v>764800</v>
      </c>
      <c r="CJ19" s="4">
        <v>446700</v>
      </c>
      <c r="CK19" s="19">
        <v>1246600</v>
      </c>
      <c r="CL19" s="8">
        <v>1.1592130281077031E-2</v>
      </c>
      <c r="CM19" s="4">
        <v>3390100</v>
      </c>
      <c r="CN19" s="4">
        <v>3449300</v>
      </c>
      <c r="CO19" s="19">
        <v>8567100</v>
      </c>
    </row>
    <row r="20" spans="1:93" x14ac:dyDescent="0.2">
      <c r="A20" s="7" t="s">
        <v>423</v>
      </c>
      <c r="B20" s="8">
        <v>0.40020000000000006</v>
      </c>
      <c r="C20" s="8">
        <v>0.38939999999999997</v>
      </c>
      <c r="D20" s="8">
        <v>0.38240000000000002</v>
      </c>
      <c r="E20" s="8">
        <v>0.1125</v>
      </c>
      <c r="F20" s="8">
        <v>0.30249999999999999</v>
      </c>
      <c r="G20" s="4">
        <v>194454800</v>
      </c>
      <c r="H20" s="4">
        <v>129171800</v>
      </c>
      <c r="I20" s="19">
        <v>370644733</v>
      </c>
      <c r="J20" s="8">
        <v>7.0400000000000004E-2</v>
      </c>
      <c r="K20" s="4">
        <v>33132200</v>
      </c>
      <c r="L20" s="4">
        <v>45384600</v>
      </c>
      <c r="M20" s="19">
        <v>86235525</v>
      </c>
      <c r="N20" s="8">
        <v>0.13800000000000001</v>
      </c>
      <c r="O20" s="4">
        <v>50277700</v>
      </c>
      <c r="P20" s="4">
        <v>95040700</v>
      </c>
      <c r="Q20" s="19">
        <v>169076930</v>
      </c>
      <c r="R20" s="8">
        <v>2.6600000000000002E-2</v>
      </c>
      <c r="S20" s="4">
        <v>9554400</v>
      </c>
      <c r="T20" s="4">
        <v>20794400</v>
      </c>
      <c r="U20" s="19">
        <v>32560700</v>
      </c>
      <c r="V20" s="8">
        <v>5.5199999999999999E-2</v>
      </c>
      <c r="W20" s="4">
        <v>16105400</v>
      </c>
      <c r="X20" s="4">
        <v>39812900</v>
      </c>
      <c r="Y20" s="19">
        <v>67594315</v>
      </c>
      <c r="Z20" s="8">
        <v>3.15E-2</v>
      </c>
      <c r="AA20" s="4">
        <v>11352400</v>
      </c>
      <c r="AB20" s="4">
        <v>21061600</v>
      </c>
      <c r="AC20" s="19">
        <v>38501173</v>
      </c>
      <c r="AD20" s="38">
        <v>3.3099999999999997E-2</v>
      </c>
      <c r="AE20" s="4">
        <v>14380900</v>
      </c>
      <c r="AF20" s="4">
        <v>25228700</v>
      </c>
      <c r="AG20" s="19">
        <v>40465881</v>
      </c>
      <c r="AH20" s="38">
        <v>2.9700000000000001E-2</v>
      </c>
      <c r="AI20" s="4">
        <v>8163200</v>
      </c>
      <c r="AJ20" s="4">
        <v>16593100</v>
      </c>
      <c r="AK20" s="19">
        <v>36283600</v>
      </c>
      <c r="AL20" s="38">
        <v>3.4799999999999998E-2</v>
      </c>
      <c r="AM20" s="4">
        <v>12151300</v>
      </c>
      <c r="AN20" s="4">
        <v>27349800</v>
      </c>
      <c r="AO20" s="19">
        <v>42620645</v>
      </c>
      <c r="AP20" s="38">
        <v>1.2500000000000001E-2</v>
      </c>
      <c r="AQ20" s="4">
        <v>5735000</v>
      </c>
      <c r="AR20" s="4">
        <v>8517800</v>
      </c>
      <c r="AS20" s="19">
        <v>15306700</v>
      </c>
      <c r="AT20" s="38">
        <v>8.3000000000000001E-3</v>
      </c>
      <c r="AU20" s="4">
        <v>3262600</v>
      </c>
      <c r="AV20" s="4">
        <v>6200700</v>
      </c>
      <c r="AW20" s="19">
        <v>10161300</v>
      </c>
      <c r="AX20" s="38">
        <v>1.9E-3</v>
      </c>
      <c r="AY20" s="4">
        <v>549600</v>
      </c>
      <c r="AZ20" s="4">
        <v>1582000</v>
      </c>
      <c r="BA20" s="19">
        <v>2323000</v>
      </c>
      <c r="BB20" s="38">
        <v>4.1999999999999997E-3</v>
      </c>
      <c r="BC20" s="4">
        <v>1024300</v>
      </c>
      <c r="BD20" s="4">
        <v>2618600</v>
      </c>
      <c r="BE20" s="19">
        <v>5064600</v>
      </c>
      <c r="BF20" s="38">
        <v>2.8799999999999999E-2</v>
      </c>
      <c r="BG20" s="4">
        <v>13168900</v>
      </c>
      <c r="BH20" s="4">
        <v>30951400</v>
      </c>
      <c r="BI20" s="19">
        <v>35247600</v>
      </c>
      <c r="BJ20" s="38">
        <v>2.8799999999999999E-2</v>
      </c>
      <c r="BK20" s="4">
        <v>10071000</v>
      </c>
      <c r="BL20" s="4">
        <v>23374600</v>
      </c>
      <c r="BM20" s="19">
        <v>35210400</v>
      </c>
      <c r="BN20" s="38">
        <v>1.6200000000000003E-2</v>
      </c>
      <c r="BO20" s="4">
        <v>5855900</v>
      </c>
      <c r="BP20" s="4">
        <v>12532700</v>
      </c>
      <c r="BQ20" s="19">
        <v>19747100</v>
      </c>
      <c r="BR20" s="38">
        <v>2.5999999999999999E-3</v>
      </c>
      <c r="BS20" s="4">
        <v>762800</v>
      </c>
      <c r="BT20" s="4">
        <v>1174000</v>
      </c>
      <c r="BU20" s="19">
        <v>3173200</v>
      </c>
      <c r="BV20" s="38">
        <v>8.1000000000000013E-3</v>
      </c>
      <c r="BW20" s="4">
        <v>3787800</v>
      </c>
      <c r="BX20" s="4">
        <v>5482000</v>
      </c>
      <c r="BY20" s="19">
        <v>9898700</v>
      </c>
      <c r="BZ20" s="8">
        <v>8.6999999999999994E-3</v>
      </c>
      <c r="CA20" s="4">
        <v>3412000</v>
      </c>
      <c r="CB20" s="4">
        <v>6250200</v>
      </c>
      <c r="CC20" s="19">
        <v>10558900</v>
      </c>
      <c r="CD20" s="8">
        <v>1.1699999999999999E-2</v>
      </c>
      <c r="CE20" s="4">
        <v>4011700</v>
      </c>
      <c r="CF20" s="4">
        <v>8379600</v>
      </c>
      <c r="CG20" s="19">
        <v>14243000</v>
      </c>
      <c r="CH20" s="8">
        <v>1.1740818494688956E-3</v>
      </c>
      <c r="CI20" s="4">
        <v>506200</v>
      </c>
      <c r="CJ20" s="4">
        <v>907300</v>
      </c>
      <c r="CK20" s="19">
        <v>1438700</v>
      </c>
      <c r="CL20" s="8">
        <v>1.0199341324005842E-2</v>
      </c>
      <c r="CM20" s="4">
        <v>2473400</v>
      </c>
      <c r="CN20" s="4">
        <v>4747300</v>
      </c>
      <c r="CO20" s="19">
        <v>12498100</v>
      </c>
    </row>
    <row r="21" spans="1:93" x14ac:dyDescent="0.2">
      <c r="A21" s="7" t="s">
        <v>422</v>
      </c>
      <c r="B21" s="8">
        <v>0.34659999999999996</v>
      </c>
      <c r="C21" s="8">
        <v>0.33770000000000006</v>
      </c>
      <c r="D21" s="8">
        <v>0.40360000000000001</v>
      </c>
      <c r="E21" s="8">
        <v>0.13699999999999998</v>
      </c>
      <c r="F21" s="8">
        <v>0.2545</v>
      </c>
      <c r="G21" s="4">
        <v>70131700</v>
      </c>
      <c r="H21" s="4">
        <v>56747300</v>
      </c>
      <c r="I21" s="19">
        <v>174099267</v>
      </c>
      <c r="J21" s="8">
        <v>8.6800000000000002E-2</v>
      </c>
      <c r="K21" s="4">
        <v>24632000</v>
      </c>
      <c r="L21" s="4">
        <v>28867400</v>
      </c>
      <c r="M21" s="19">
        <v>59343256</v>
      </c>
      <c r="N21" s="8">
        <v>0.13019999999999998</v>
      </c>
      <c r="O21" s="4">
        <v>26574000</v>
      </c>
      <c r="P21" s="4">
        <v>49622700</v>
      </c>
      <c r="Q21" s="19">
        <v>89087865</v>
      </c>
      <c r="R21" s="8">
        <v>2.5699999999999997E-2</v>
      </c>
      <c r="S21" s="4">
        <v>8087700</v>
      </c>
      <c r="T21" s="4">
        <v>12475300</v>
      </c>
      <c r="U21" s="19">
        <v>17566400</v>
      </c>
      <c r="V21" s="8">
        <v>5.2300000000000006E-2</v>
      </c>
      <c r="W21" s="4">
        <v>12791200</v>
      </c>
      <c r="X21" s="4">
        <v>18843100</v>
      </c>
      <c r="Y21" s="19">
        <v>35734323</v>
      </c>
      <c r="Z21" s="8">
        <v>3.0600000000000002E-2</v>
      </c>
      <c r="AA21" s="4">
        <v>6463400</v>
      </c>
      <c r="AB21" s="4">
        <v>11300100</v>
      </c>
      <c r="AC21" s="19">
        <v>20900738</v>
      </c>
      <c r="AD21" s="38">
        <v>3.3500000000000002E-2</v>
      </c>
      <c r="AE21" s="4">
        <v>10019000</v>
      </c>
      <c r="AF21" s="4">
        <v>12045200</v>
      </c>
      <c r="AG21" s="19">
        <v>22872308</v>
      </c>
      <c r="AH21" s="38">
        <v>3.49E-2</v>
      </c>
      <c r="AI21" s="4">
        <v>5843500</v>
      </c>
      <c r="AJ21" s="4">
        <v>7537900</v>
      </c>
      <c r="AK21" s="19">
        <v>23879800</v>
      </c>
      <c r="AL21" s="38">
        <v>2.75E-2</v>
      </c>
      <c r="AM21" s="4">
        <v>5285700</v>
      </c>
      <c r="AN21" s="4">
        <v>10409900</v>
      </c>
      <c r="AO21" s="19">
        <v>18760893</v>
      </c>
      <c r="AP21" s="38">
        <v>1.9099999999999999E-2</v>
      </c>
      <c r="AQ21" s="4">
        <v>6645700</v>
      </c>
      <c r="AR21" s="4">
        <v>5772400</v>
      </c>
      <c r="AS21" s="19">
        <v>13016200</v>
      </c>
      <c r="AT21" s="38">
        <v>1.0200000000000001E-2</v>
      </c>
      <c r="AU21" s="4">
        <v>2187100</v>
      </c>
      <c r="AV21" s="4">
        <v>4408600</v>
      </c>
      <c r="AW21" s="19">
        <v>6928000</v>
      </c>
      <c r="AX21" s="38">
        <v>1.9E-3</v>
      </c>
      <c r="AY21" s="4">
        <v>387200</v>
      </c>
      <c r="AZ21" s="4">
        <v>802500</v>
      </c>
      <c r="BA21" s="19">
        <v>1265500</v>
      </c>
      <c r="BB21" s="38">
        <v>5.1999999999999998E-3</v>
      </c>
      <c r="BC21" s="4">
        <v>923200</v>
      </c>
      <c r="BD21" s="4">
        <v>1628900</v>
      </c>
      <c r="BE21" s="19">
        <v>3498900</v>
      </c>
      <c r="BF21" s="38">
        <v>3.1200000000000002E-2</v>
      </c>
      <c r="BG21" s="4">
        <v>10547200</v>
      </c>
      <c r="BH21" s="4">
        <v>13443900</v>
      </c>
      <c r="BI21" s="19">
        <v>21301325</v>
      </c>
      <c r="BJ21" s="38">
        <v>2.0400000000000001E-2</v>
      </c>
      <c r="BK21" s="4">
        <v>4453300</v>
      </c>
      <c r="BL21" s="4">
        <v>8506000</v>
      </c>
      <c r="BM21" s="19">
        <v>13925600</v>
      </c>
      <c r="BN21" s="38">
        <v>1.32E-2</v>
      </c>
      <c r="BO21" s="4">
        <v>2860200</v>
      </c>
      <c r="BP21" s="4">
        <v>5416400</v>
      </c>
      <c r="BQ21" s="19">
        <v>9019600</v>
      </c>
      <c r="BR21" s="38">
        <v>1.9E-3</v>
      </c>
      <c r="BS21" s="4">
        <v>569700</v>
      </c>
      <c r="BT21" s="4">
        <v>586200</v>
      </c>
      <c r="BU21" s="19">
        <v>1297800</v>
      </c>
      <c r="BV21" s="38">
        <v>1.6899999999999998E-2</v>
      </c>
      <c r="BW21" s="4">
        <v>3953500</v>
      </c>
      <c r="BX21" s="4">
        <v>7138700</v>
      </c>
      <c r="BY21" s="19">
        <v>11559200</v>
      </c>
      <c r="BZ21" s="8">
        <v>1.06E-2</v>
      </c>
      <c r="CA21" s="4">
        <v>2606000</v>
      </c>
      <c r="CB21" s="4">
        <v>3972500</v>
      </c>
      <c r="CC21" s="19">
        <v>7217000</v>
      </c>
      <c r="CD21" s="38">
        <v>1.34E-2</v>
      </c>
      <c r="CE21" s="4">
        <v>2813500</v>
      </c>
      <c r="CF21" s="4">
        <v>5032000</v>
      </c>
      <c r="CG21" s="19">
        <v>9106300</v>
      </c>
      <c r="CH21" s="8">
        <v>6.3197000102138499E-3</v>
      </c>
      <c r="CI21" s="4">
        <v>2511800</v>
      </c>
      <c r="CJ21" s="4">
        <v>1800300</v>
      </c>
      <c r="CK21" s="19">
        <v>4324300</v>
      </c>
      <c r="CL21" s="8">
        <v>1.6596245701267141E-2</v>
      </c>
      <c r="CM21" s="4">
        <v>5583700</v>
      </c>
      <c r="CN21" s="4">
        <v>4649600</v>
      </c>
      <c r="CO21" s="19">
        <v>11356100</v>
      </c>
    </row>
    <row r="22" spans="1:93" x14ac:dyDescent="0.2">
      <c r="A22" s="7" t="s">
        <v>420</v>
      </c>
      <c r="B22" s="8">
        <v>0.37780000000000002</v>
      </c>
      <c r="C22" s="8">
        <v>0.35869999999999996</v>
      </c>
      <c r="D22" s="8">
        <v>0.35460000000000003</v>
      </c>
      <c r="E22" s="8">
        <v>0.1421</v>
      </c>
      <c r="F22" s="8">
        <v>0.24640000000000001</v>
      </c>
      <c r="G22" s="4">
        <v>35475000</v>
      </c>
      <c r="H22" s="4">
        <v>44963000</v>
      </c>
      <c r="I22" s="19">
        <v>141295044</v>
      </c>
      <c r="J22" s="8">
        <v>6.59E-2</v>
      </c>
      <c r="K22" s="4">
        <v>13105100</v>
      </c>
      <c r="L22" s="4">
        <v>21684200</v>
      </c>
      <c r="M22" s="19">
        <v>37792584</v>
      </c>
      <c r="N22" s="8">
        <v>0.1225</v>
      </c>
      <c r="O22" s="4">
        <v>20512800</v>
      </c>
      <c r="P22" s="4">
        <v>27198600</v>
      </c>
      <c r="Q22" s="19">
        <v>70224475</v>
      </c>
      <c r="R22" s="8">
        <v>4.0399999999999998E-2</v>
      </c>
      <c r="S22" s="4">
        <v>11623900</v>
      </c>
      <c r="T22" s="4">
        <v>13072700</v>
      </c>
      <c r="U22" s="19">
        <v>23168700</v>
      </c>
      <c r="V22" s="8">
        <v>5.3600000000000002E-2</v>
      </c>
      <c r="W22" s="4">
        <v>8788400</v>
      </c>
      <c r="X22" s="4">
        <v>17485600</v>
      </c>
      <c r="Y22" s="19">
        <v>30693207</v>
      </c>
      <c r="Z22" s="8">
        <v>3.2000000000000001E-2</v>
      </c>
      <c r="AA22" s="4">
        <v>4875200</v>
      </c>
      <c r="AB22" s="4">
        <v>7319300</v>
      </c>
      <c r="AC22" s="19">
        <v>18303232</v>
      </c>
      <c r="AD22" s="38">
        <v>4.4699999999999997E-2</v>
      </c>
      <c r="AE22" s="4">
        <v>13840200</v>
      </c>
      <c r="AF22" s="4">
        <v>11081500</v>
      </c>
      <c r="AG22" s="19">
        <v>25611766</v>
      </c>
      <c r="AH22" s="38">
        <v>2.8300000000000002E-2</v>
      </c>
      <c r="AI22" s="4">
        <v>5498700</v>
      </c>
      <c r="AJ22" s="4">
        <v>6150900</v>
      </c>
      <c r="AK22" s="19">
        <v>16175300</v>
      </c>
      <c r="AL22" s="38">
        <v>2.29E-2</v>
      </c>
      <c r="AM22" s="4">
        <v>5148200</v>
      </c>
      <c r="AN22" s="4">
        <v>5568800</v>
      </c>
      <c r="AO22" s="19">
        <v>13115543</v>
      </c>
      <c r="AP22" s="38">
        <v>1.41E-2</v>
      </c>
      <c r="AQ22" s="4">
        <v>3894300</v>
      </c>
      <c r="AR22" s="4">
        <v>3367300</v>
      </c>
      <c r="AS22" s="19">
        <v>8053059</v>
      </c>
      <c r="AT22" s="38">
        <v>8.3000000000000001E-3</v>
      </c>
      <c r="AU22" s="4">
        <v>1898400</v>
      </c>
      <c r="AV22" s="4">
        <v>2539100</v>
      </c>
      <c r="AW22" s="19">
        <v>4747600</v>
      </c>
      <c r="AX22" s="38">
        <v>2E-3</v>
      </c>
      <c r="AY22" s="4">
        <v>374200</v>
      </c>
      <c r="AZ22" s="4">
        <v>695300</v>
      </c>
      <c r="BA22" s="19">
        <v>1116200</v>
      </c>
      <c r="BB22" s="38">
        <v>3.8E-3</v>
      </c>
      <c r="BC22" s="4">
        <v>577800</v>
      </c>
      <c r="BD22" s="4">
        <v>1233100</v>
      </c>
      <c r="BE22" s="19">
        <v>2160900</v>
      </c>
      <c r="BF22" s="38">
        <v>3.6600000000000001E-2</v>
      </c>
      <c r="BG22" s="4">
        <v>12580100</v>
      </c>
      <c r="BH22" s="4">
        <v>14465600</v>
      </c>
      <c r="BI22" s="19">
        <v>20962900</v>
      </c>
      <c r="BJ22" s="38">
        <v>2.1000000000000001E-2</v>
      </c>
      <c r="BK22" s="4">
        <v>4172500</v>
      </c>
      <c r="BL22" s="4">
        <v>7291400</v>
      </c>
      <c r="BM22" s="19">
        <v>12015800</v>
      </c>
      <c r="BN22" s="38">
        <v>1.77E-2</v>
      </c>
      <c r="BO22" s="4">
        <v>3111600</v>
      </c>
      <c r="BP22" s="4">
        <v>5687800</v>
      </c>
      <c r="BQ22" s="19">
        <v>10127400</v>
      </c>
      <c r="BR22" s="38">
        <v>2.3999999999999998E-3</v>
      </c>
      <c r="BS22" s="4">
        <v>264700</v>
      </c>
      <c r="BT22" s="4">
        <v>369500</v>
      </c>
      <c r="BU22" s="19">
        <v>1366300</v>
      </c>
      <c r="BV22" s="38">
        <v>1.3100000000000001E-2</v>
      </c>
      <c r="BW22" s="4">
        <v>1089300</v>
      </c>
      <c r="BX22" s="4">
        <v>2143500</v>
      </c>
      <c r="BY22" s="19">
        <v>7495175</v>
      </c>
      <c r="BZ22" s="8">
        <v>1.7100000000000001E-2</v>
      </c>
      <c r="CA22" s="4">
        <v>6215600</v>
      </c>
      <c r="CB22" s="4">
        <v>3058900</v>
      </c>
      <c r="CC22" s="19">
        <v>9800100</v>
      </c>
      <c r="CD22" s="38">
        <v>1.11E-2</v>
      </c>
      <c r="CE22" s="4">
        <v>1758300</v>
      </c>
      <c r="CF22" s="4">
        <v>3869900</v>
      </c>
      <c r="CG22" s="19">
        <v>6320200</v>
      </c>
      <c r="CH22" s="8">
        <v>2.2055370816614758E-3</v>
      </c>
      <c r="CI22" s="4">
        <v>1078800</v>
      </c>
      <c r="CJ22" s="4">
        <v>157600</v>
      </c>
      <c r="CK22" s="19">
        <v>1264900</v>
      </c>
      <c r="CL22" s="8">
        <v>9.0866593356490229E-3</v>
      </c>
      <c r="CM22" s="4">
        <v>2589200</v>
      </c>
      <c r="CN22" s="4">
        <v>2346600</v>
      </c>
      <c r="CO22" s="19">
        <v>5201500</v>
      </c>
    </row>
    <row r="23" spans="1:93" x14ac:dyDescent="0.2">
      <c r="A23" s="33" t="s">
        <v>418</v>
      </c>
      <c r="B23" s="8">
        <v>0.31890000000000002</v>
      </c>
      <c r="C23" s="8">
        <v>0.33509999999999995</v>
      </c>
      <c r="D23" s="8">
        <v>0.40279999999999999</v>
      </c>
      <c r="E23" s="8">
        <v>0.1115</v>
      </c>
      <c r="F23" s="8">
        <v>0.22047803392749124</v>
      </c>
      <c r="G23" s="4">
        <v>38571800</v>
      </c>
      <c r="H23" s="4">
        <v>47953400</v>
      </c>
      <c r="I23" s="19">
        <v>133677626</v>
      </c>
      <c r="J23" s="8">
        <v>7.304902622476267E-2</v>
      </c>
      <c r="K23" s="4">
        <v>12530800</v>
      </c>
      <c r="L23" s="4">
        <v>25914100</v>
      </c>
      <c r="M23" s="19">
        <v>44290219</v>
      </c>
      <c r="N23" s="8">
        <v>8.5973903068366705E-2</v>
      </c>
      <c r="O23" s="4">
        <v>15376700</v>
      </c>
      <c r="P23" s="4">
        <v>24355200</v>
      </c>
      <c r="Q23" s="19">
        <v>52126677</v>
      </c>
      <c r="R23" s="8">
        <v>2.4794653217725164E-2</v>
      </c>
      <c r="S23" s="4">
        <v>6287400</v>
      </c>
      <c r="T23" s="4">
        <v>9155900</v>
      </c>
      <c r="U23" s="19">
        <v>15033200</v>
      </c>
      <c r="V23" s="8">
        <v>8.2351400142927661E-2</v>
      </c>
      <c r="W23" s="4">
        <v>15806000</v>
      </c>
      <c r="X23" s="4">
        <v>24695000</v>
      </c>
      <c r="Y23" s="19">
        <v>49930324</v>
      </c>
      <c r="Z23" s="8">
        <v>3.8702731446271191E-2</v>
      </c>
      <c r="AA23" s="4">
        <v>8037200</v>
      </c>
      <c r="AB23" s="4">
        <v>12569000</v>
      </c>
      <c r="AC23" s="19">
        <v>23465781</v>
      </c>
      <c r="AD23" s="38">
        <v>3.515291103539981E-2</v>
      </c>
      <c r="AE23" s="4">
        <v>10124600</v>
      </c>
      <c r="AF23" s="4">
        <v>11012800</v>
      </c>
      <c r="AG23" s="19">
        <v>21313496</v>
      </c>
      <c r="AH23" s="38">
        <v>4.0803344851035706E-2</v>
      </c>
      <c r="AI23" s="4">
        <v>7102700</v>
      </c>
      <c r="AJ23" s="4">
        <v>10101800</v>
      </c>
      <c r="AK23" s="19">
        <v>24739400</v>
      </c>
      <c r="AL23" s="38">
        <v>3.0286233813154317E-2</v>
      </c>
      <c r="AM23" s="4">
        <v>6345300</v>
      </c>
      <c r="AN23" s="4">
        <v>10847700</v>
      </c>
      <c r="AO23" s="19">
        <v>18362790</v>
      </c>
      <c r="AP23" s="38">
        <v>1.9584761073394599E-2</v>
      </c>
      <c r="AQ23" s="4">
        <v>5469900</v>
      </c>
      <c r="AR23" s="4">
        <v>5406500</v>
      </c>
      <c r="AS23" s="19">
        <v>11874400</v>
      </c>
      <c r="AT23" s="38">
        <v>2.1640646396272924E-2</v>
      </c>
      <c r="AU23" s="4">
        <v>7288600</v>
      </c>
      <c r="AV23" s="4">
        <v>5229700</v>
      </c>
      <c r="AW23" s="19">
        <v>13120900</v>
      </c>
      <c r="AX23" s="38">
        <v>1.9659970355964396E-3</v>
      </c>
      <c r="AY23" s="4">
        <v>370400</v>
      </c>
      <c r="AZ23" s="4">
        <v>806800</v>
      </c>
      <c r="BA23" s="19">
        <v>1192000</v>
      </c>
      <c r="BB23" s="38">
        <v>8.6002474349111367E-3</v>
      </c>
      <c r="BC23" s="4">
        <v>1666600</v>
      </c>
      <c r="BD23" s="4">
        <v>2303800</v>
      </c>
      <c r="BE23" s="19">
        <v>5214400</v>
      </c>
      <c r="BF23" s="38">
        <v>2.0627960003776098E-2</v>
      </c>
      <c r="BG23" s="4">
        <v>6862300</v>
      </c>
      <c r="BH23" s="4">
        <v>11099200</v>
      </c>
      <c r="BI23" s="19">
        <v>12506900</v>
      </c>
      <c r="BJ23" s="38">
        <v>2.2591483049814322E-2</v>
      </c>
      <c r="BK23" s="4">
        <v>5342100</v>
      </c>
      <c r="BL23" s="4">
        <v>7357600</v>
      </c>
      <c r="BM23" s="19">
        <v>13697400</v>
      </c>
      <c r="BN23" s="38">
        <v>4.0192599295430537E-2</v>
      </c>
      <c r="BO23" s="4">
        <v>11408500</v>
      </c>
      <c r="BP23" s="4">
        <v>10523200</v>
      </c>
      <c r="BQ23" s="19">
        <v>24369100</v>
      </c>
      <c r="BR23" s="38">
        <v>1.9701203515268013E-3</v>
      </c>
      <c r="BS23" s="4">
        <v>423800</v>
      </c>
      <c r="BT23" s="4">
        <v>687800</v>
      </c>
      <c r="BU23" s="19">
        <v>1194500</v>
      </c>
      <c r="BV23" s="38">
        <v>5.5809905780631148E-3</v>
      </c>
      <c r="BW23" s="4">
        <v>820900</v>
      </c>
      <c r="BX23" s="4">
        <v>1451400</v>
      </c>
      <c r="BY23" s="19">
        <v>3383800</v>
      </c>
      <c r="BZ23" s="8">
        <v>1.1647707772722832E-2</v>
      </c>
      <c r="CA23" s="4">
        <v>2979600</v>
      </c>
      <c r="CB23" s="4">
        <v>3400500</v>
      </c>
      <c r="CC23" s="19">
        <v>7062100</v>
      </c>
      <c r="CD23" s="38">
        <v>1.2288965866212679E-2</v>
      </c>
      <c r="CE23" s="4">
        <v>2457300</v>
      </c>
      <c r="CF23" s="4">
        <v>3935000</v>
      </c>
      <c r="CG23" s="19">
        <v>7450900</v>
      </c>
      <c r="CH23" s="8">
        <v>7.2751786275301129E-4</v>
      </c>
      <c r="CI23" s="4">
        <v>198100</v>
      </c>
      <c r="CJ23" s="4">
        <v>239900</v>
      </c>
      <c r="CK23" s="19">
        <v>441100</v>
      </c>
      <c r="CL23" s="8">
        <v>1.0252047796614018E-2</v>
      </c>
      <c r="CM23" s="4">
        <v>1387400</v>
      </c>
      <c r="CN23" s="4">
        <v>2767600</v>
      </c>
      <c r="CO23" s="19">
        <v>6210000</v>
      </c>
    </row>
    <row r="24" spans="1:93" x14ac:dyDescent="0.2">
      <c r="A24" s="33" t="s">
        <v>417</v>
      </c>
      <c r="B24" s="8">
        <v>0.34380000000000005</v>
      </c>
      <c r="C24" s="8">
        <v>0.35369999999999996</v>
      </c>
      <c r="D24" s="8">
        <v>0.43380000000000002</v>
      </c>
      <c r="E24" s="8">
        <v>0.1082</v>
      </c>
      <c r="F24" s="8">
        <v>0.25276408781594639</v>
      </c>
      <c r="G24" s="4">
        <v>53655400</v>
      </c>
      <c r="H24" s="4">
        <v>56056300</v>
      </c>
      <c r="I24" s="19">
        <v>176235487</v>
      </c>
      <c r="J24" s="8">
        <v>9.2861642049366061E-2</v>
      </c>
      <c r="K24" s="4">
        <v>36070700</v>
      </c>
      <c r="L24" s="4">
        <v>24645700</v>
      </c>
      <c r="M24" s="19">
        <v>64746210</v>
      </c>
      <c r="N24" s="8">
        <v>0.15523673923601797</v>
      </c>
      <c r="O24" s="4">
        <v>51424200</v>
      </c>
      <c r="P24" s="4">
        <v>42555000</v>
      </c>
      <c r="Q24" s="19">
        <v>108236192</v>
      </c>
      <c r="R24" s="8">
        <v>2.1150459045766408E-2</v>
      </c>
      <c r="S24" s="4">
        <v>7456300</v>
      </c>
      <c r="T24" s="4">
        <v>9495500</v>
      </c>
      <c r="U24" s="19">
        <v>14746800</v>
      </c>
      <c r="V24" s="8">
        <v>5.7938266768501959E-2</v>
      </c>
      <c r="W24" s="4">
        <v>12340300</v>
      </c>
      <c r="X24" s="4">
        <v>23363100</v>
      </c>
      <c r="Y24" s="19">
        <v>40396477</v>
      </c>
      <c r="Z24" s="8">
        <v>3.6987661976928481E-2</v>
      </c>
      <c r="AA24" s="4">
        <v>7322300</v>
      </c>
      <c r="AB24" s="4">
        <v>11285300</v>
      </c>
      <c r="AC24" s="19">
        <v>25789022</v>
      </c>
      <c r="AD24" s="38">
        <v>2.7389550444947754E-2</v>
      </c>
      <c r="AE24" s="4">
        <v>7159000</v>
      </c>
      <c r="AF24" s="4">
        <v>11408100</v>
      </c>
      <c r="AG24" s="19">
        <v>19096901</v>
      </c>
      <c r="AH24" s="38">
        <v>3.782192817141293E-2</v>
      </c>
      <c r="AI24" s="4">
        <v>8005400</v>
      </c>
      <c r="AJ24" s="4">
        <v>10353100</v>
      </c>
      <c r="AK24" s="19">
        <v>26370700</v>
      </c>
      <c r="AL24" s="38">
        <v>2.7844620639880299E-2</v>
      </c>
      <c r="AM24" s="4">
        <v>6800500</v>
      </c>
      <c r="AN24" s="4">
        <v>10037200</v>
      </c>
      <c r="AO24" s="19">
        <v>19414191</v>
      </c>
      <c r="AP24" s="38">
        <v>1.6018602811759246E-2</v>
      </c>
      <c r="AQ24" s="4">
        <v>4346100</v>
      </c>
      <c r="AR24" s="4">
        <v>5816800</v>
      </c>
      <c r="AS24" s="19">
        <v>11168700</v>
      </c>
      <c r="AT24" s="38">
        <v>9.1242083239382217E-3</v>
      </c>
      <c r="AU24" s="4">
        <v>2593000</v>
      </c>
      <c r="AV24" s="4">
        <v>3388400</v>
      </c>
      <c r="AW24" s="19">
        <v>6361700</v>
      </c>
      <c r="AX24" s="38">
        <v>2.3861460597852805E-3</v>
      </c>
      <c r="AY24" s="4">
        <v>898900</v>
      </c>
      <c r="AZ24" s="4">
        <v>716200</v>
      </c>
      <c r="BA24" s="19">
        <v>1663700</v>
      </c>
      <c r="BB24" s="38">
        <v>4.4338113417203917E-3</v>
      </c>
      <c r="BC24" s="4">
        <v>725000</v>
      </c>
      <c r="BD24" s="4">
        <v>1409200</v>
      </c>
      <c r="BE24" s="19">
        <v>3091400</v>
      </c>
      <c r="BF24" s="38">
        <v>1.6823068355387043E-2</v>
      </c>
      <c r="BG24" s="4">
        <v>6354400</v>
      </c>
      <c r="BH24" s="4">
        <v>8674500</v>
      </c>
      <c r="BI24" s="19">
        <v>11729600</v>
      </c>
      <c r="BJ24" s="38">
        <v>3.3656032970804453E-2</v>
      </c>
      <c r="BK24" s="4">
        <v>8000000</v>
      </c>
      <c r="BL24" s="4">
        <v>14217900</v>
      </c>
      <c r="BM24" s="19">
        <v>23466100</v>
      </c>
      <c r="BN24" s="38">
        <v>2.5998048796002791E-2</v>
      </c>
      <c r="BO24" s="4">
        <v>5286000</v>
      </c>
      <c r="BP24" s="4">
        <v>11202400</v>
      </c>
      <c r="BQ24" s="19">
        <v>18126700</v>
      </c>
      <c r="BR24" s="38">
        <v>2.9056279993502432E-3</v>
      </c>
      <c r="BS24" s="4">
        <v>260600</v>
      </c>
      <c r="BT24" s="4">
        <v>644700</v>
      </c>
      <c r="BU24" s="19">
        <v>2025900</v>
      </c>
      <c r="BV24" s="38">
        <v>9.1090053737466446E-3</v>
      </c>
      <c r="BW24" s="4">
        <v>923300</v>
      </c>
      <c r="BX24" s="4">
        <v>1143600</v>
      </c>
      <c r="BY24" s="19">
        <v>6351100</v>
      </c>
      <c r="BZ24" s="8">
        <v>1.8265770958944185E-2</v>
      </c>
      <c r="CA24" s="4">
        <v>7500500</v>
      </c>
      <c r="CB24" s="4">
        <v>4431900</v>
      </c>
      <c r="CC24" s="19">
        <v>12735500</v>
      </c>
      <c r="CD24" s="38">
        <v>1.5217005749299673E-2</v>
      </c>
      <c r="CE24" s="4">
        <v>3358800</v>
      </c>
      <c r="CF24" s="4">
        <v>5871300</v>
      </c>
      <c r="CG24" s="19">
        <v>10609800</v>
      </c>
      <c r="CH24" s="8">
        <v>8.804802945856727E-4</v>
      </c>
      <c r="CI24" s="4">
        <v>286000</v>
      </c>
      <c r="CJ24" s="4">
        <v>326800</v>
      </c>
      <c r="CK24" s="19">
        <v>613900</v>
      </c>
      <c r="CL24" s="8">
        <v>1.0252381967399844E-2</v>
      </c>
      <c r="CM24" s="4">
        <v>2104500</v>
      </c>
      <c r="CN24" s="4">
        <v>4753100</v>
      </c>
      <c r="CO24" s="19">
        <v>7131500</v>
      </c>
    </row>
    <row r="25" spans="1:93" x14ac:dyDescent="0.2">
      <c r="A25" s="33" t="s">
        <v>416</v>
      </c>
      <c r="B25" s="8">
        <v>0.35090000000000005</v>
      </c>
      <c r="C25" s="8">
        <v>0.36619999999999997</v>
      </c>
      <c r="D25" s="8">
        <v>0.39549999999999996</v>
      </c>
      <c r="E25" s="8">
        <v>0.1234</v>
      </c>
      <c r="F25" s="8">
        <v>0.24727119359859281</v>
      </c>
      <c r="G25" s="4">
        <v>55647500</v>
      </c>
      <c r="H25" s="4">
        <v>63759000</v>
      </c>
      <c r="I25" s="19">
        <v>185701223</v>
      </c>
      <c r="J25" s="8">
        <v>5.9805341382392206E-2</v>
      </c>
      <c r="K25" s="4">
        <v>13536200</v>
      </c>
      <c r="L25" s="4">
        <v>26646500</v>
      </c>
      <c r="M25" s="19">
        <v>44913946</v>
      </c>
      <c r="N25" s="8">
        <v>0.11046993253286534</v>
      </c>
      <c r="O25" s="4">
        <v>32123600</v>
      </c>
      <c r="P25" s="4">
        <v>33588000</v>
      </c>
      <c r="Q25" s="19">
        <v>82963168</v>
      </c>
      <c r="R25" s="8">
        <v>2.1371706913831872E-2</v>
      </c>
      <c r="S25" s="4">
        <v>7123600</v>
      </c>
      <c r="T25" s="4">
        <v>12577200</v>
      </c>
      <c r="U25" s="19">
        <v>16050200</v>
      </c>
      <c r="V25" s="8">
        <v>0.10384651030826271</v>
      </c>
      <c r="W25" s="4">
        <v>30809300</v>
      </c>
      <c r="X25" s="4">
        <v>32913400</v>
      </c>
      <c r="Y25" s="19">
        <v>77988963</v>
      </c>
      <c r="Z25" s="8">
        <v>4.1833959829236253E-2</v>
      </c>
      <c r="AA25" s="4">
        <v>7451000</v>
      </c>
      <c r="AB25" s="4">
        <v>15448400</v>
      </c>
      <c r="AC25" s="19">
        <v>31417398</v>
      </c>
      <c r="AD25" s="38">
        <v>3.3219759284050403E-2</v>
      </c>
      <c r="AE25" s="4">
        <v>10518400</v>
      </c>
      <c r="AF25" s="4">
        <v>14620400</v>
      </c>
      <c r="AG25" s="19">
        <v>24948114</v>
      </c>
      <c r="AH25" s="38">
        <v>3.3733054682947947E-2</v>
      </c>
      <c r="AI25" s="4">
        <v>7902600</v>
      </c>
      <c r="AJ25" s="4">
        <v>11215600</v>
      </c>
      <c r="AK25" s="19">
        <v>25333600</v>
      </c>
      <c r="AL25" s="38">
        <v>4.0537933088032781E-2</v>
      </c>
      <c r="AM25" s="4">
        <v>10032600</v>
      </c>
      <c r="AN25" s="4">
        <v>18349100</v>
      </c>
      <c r="AO25" s="19">
        <v>30444079</v>
      </c>
      <c r="AP25" s="38">
        <v>1.6735502434599227E-2</v>
      </c>
      <c r="AQ25" s="4">
        <v>5041100</v>
      </c>
      <c r="AR25" s="4">
        <v>6612200</v>
      </c>
      <c r="AS25" s="19">
        <v>12568400</v>
      </c>
      <c r="AT25" s="38">
        <v>9.3866562858011988E-3</v>
      </c>
      <c r="AU25" s="4">
        <v>2430100</v>
      </c>
      <c r="AV25" s="4">
        <v>4332900</v>
      </c>
      <c r="AW25" s="19">
        <v>7049400</v>
      </c>
      <c r="AX25" s="38">
        <v>1.7784234311169862E-3</v>
      </c>
      <c r="AY25" s="4">
        <v>537600</v>
      </c>
      <c r="AZ25" s="4">
        <v>757500</v>
      </c>
      <c r="BA25" s="19">
        <v>1335600</v>
      </c>
      <c r="BB25" s="38">
        <v>5.6009153027159172E-3</v>
      </c>
      <c r="BC25" s="4">
        <v>1664300</v>
      </c>
      <c r="BD25" s="4">
        <v>2123000</v>
      </c>
      <c r="BE25" s="19">
        <v>4206300</v>
      </c>
      <c r="BF25" s="38">
        <v>2.1658523630710129E-2</v>
      </c>
      <c r="BG25" s="4">
        <v>14119900</v>
      </c>
      <c r="BH25" s="4">
        <v>13208900</v>
      </c>
      <c r="BI25" s="19">
        <v>16265600</v>
      </c>
      <c r="BJ25" s="38">
        <v>4.3397339963498989E-2</v>
      </c>
      <c r="BK25" s="4">
        <v>13073700</v>
      </c>
      <c r="BL25" s="4">
        <v>17264300</v>
      </c>
      <c r="BM25" s="19">
        <v>32591500</v>
      </c>
      <c r="BN25" s="38">
        <v>2.4847861607807619E-2</v>
      </c>
      <c r="BO25" s="4">
        <v>6712800</v>
      </c>
      <c r="BP25" s="4">
        <v>10005600</v>
      </c>
      <c r="BQ25" s="19">
        <v>18660800</v>
      </c>
      <c r="BR25" s="38">
        <v>2.3199664151206385E-3</v>
      </c>
      <c r="BS25" s="4">
        <v>259400</v>
      </c>
      <c r="BT25" s="4">
        <v>732100</v>
      </c>
      <c r="BU25" s="19">
        <v>1742300</v>
      </c>
      <c r="BV25" s="38">
        <v>9.9958422095328715E-3</v>
      </c>
      <c r="BW25" s="4">
        <v>1964300</v>
      </c>
      <c r="BX25" s="4">
        <v>3661100</v>
      </c>
      <c r="BY25" s="19">
        <v>7506900</v>
      </c>
      <c r="BZ25" s="8">
        <v>6.2254140966616087E-3</v>
      </c>
      <c r="CA25" s="4">
        <v>1349500</v>
      </c>
      <c r="CB25" s="4">
        <v>2605600</v>
      </c>
      <c r="CC25" s="19">
        <v>4675300</v>
      </c>
      <c r="CD25" s="38">
        <v>1.7615659583422472E-2</v>
      </c>
      <c r="CE25" s="4">
        <v>4690600</v>
      </c>
      <c r="CF25" s="4">
        <v>6852100</v>
      </c>
      <c r="CG25" s="19">
        <v>13229400</v>
      </c>
      <c r="CH25" s="8">
        <v>5.9986504621009455E-4</v>
      </c>
      <c r="CI25" s="4">
        <v>159600</v>
      </c>
      <c r="CJ25" s="4">
        <v>267300</v>
      </c>
      <c r="CK25" s="19">
        <v>450500</v>
      </c>
      <c r="CL25" s="8">
        <v>1.2020603118005834E-2</v>
      </c>
      <c r="CM25" s="4">
        <v>3846800</v>
      </c>
      <c r="CN25" s="4">
        <v>3613700</v>
      </c>
      <c r="CO25" s="19">
        <v>9015800</v>
      </c>
    </row>
    <row r="26" spans="1:93" x14ac:dyDescent="0.2">
      <c r="A26" s="33" t="s">
        <v>414</v>
      </c>
      <c r="B26" s="8">
        <v>0.35310000000000002</v>
      </c>
      <c r="C26" s="8">
        <v>0.3337</v>
      </c>
      <c r="D26" s="8">
        <v>0.42780000000000001</v>
      </c>
      <c r="E26" s="8">
        <v>0.12230000000000001</v>
      </c>
      <c r="F26" s="8">
        <v>0.22491327436149847</v>
      </c>
      <c r="G26" s="4">
        <v>82261300</v>
      </c>
      <c r="H26" s="4">
        <v>58938100</v>
      </c>
      <c r="I26" s="19">
        <v>184835532</v>
      </c>
      <c r="J26" s="8">
        <v>8.8069677470668919E-2</v>
      </c>
      <c r="K26" s="4">
        <v>36435900</v>
      </c>
      <c r="L26" s="4">
        <v>30017100</v>
      </c>
      <c r="M26" s="19">
        <v>72376367</v>
      </c>
      <c r="N26" s="8">
        <v>8.5040215663897564E-2</v>
      </c>
      <c r="O26" s="4">
        <v>26425700</v>
      </c>
      <c r="P26" s="4">
        <v>29760900</v>
      </c>
      <c r="Q26" s="19">
        <v>69886731</v>
      </c>
      <c r="R26" s="8">
        <v>2.8248933473229917E-2</v>
      </c>
      <c r="S26" s="4">
        <v>12583200</v>
      </c>
      <c r="T26" s="4">
        <v>10558000</v>
      </c>
      <c r="U26" s="19">
        <v>23215200</v>
      </c>
      <c r="V26" s="8">
        <v>5.732761183321481E-2</v>
      </c>
      <c r="W26" s="4">
        <v>20187300</v>
      </c>
      <c r="X26" s="4">
        <v>19535600</v>
      </c>
      <c r="Y26" s="19">
        <v>47112291</v>
      </c>
      <c r="Z26" s="8">
        <v>3.6957256891788144E-2</v>
      </c>
      <c r="AA26" s="4">
        <v>11937800</v>
      </c>
      <c r="AB26" s="4">
        <v>14891900</v>
      </c>
      <c r="AC26" s="19">
        <v>30371770</v>
      </c>
      <c r="AD26" s="38">
        <v>4.2300728735772362E-2</v>
      </c>
      <c r="AE26" s="4">
        <v>20194300</v>
      </c>
      <c r="AF26" s="4">
        <v>14230500</v>
      </c>
      <c r="AG26" s="19">
        <v>34763078</v>
      </c>
      <c r="AH26" s="38">
        <v>5.1396918898638587E-2</v>
      </c>
      <c r="AI26" s="4">
        <v>20656300</v>
      </c>
      <c r="AJ26" s="4">
        <v>12955200</v>
      </c>
      <c r="AK26" s="19">
        <v>42238400</v>
      </c>
      <c r="AL26" s="38">
        <v>3.3704728387919825E-2</v>
      </c>
      <c r="AM26" s="4">
        <v>11777600</v>
      </c>
      <c r="AN26" s="4">
        <v>13865500</v>
      </c>
      <c r="AO26" s="19">
        <v>27698816</v>
      </c>
      <c r="AP26" s="38">
        <v>1.7091218033225879E-2</v>
      </c>
      <c r="AQ26" s="4">
        <v>7525200</v>
      </c>
      <c r="AR26" s="4">
        <v>6180200</v>
      </c>
      <c r="AS26" s="19">
        <v>14045700</v>
      </c>
      <c r="AT26" s="38">
        <v>1.5327180727661361E-2</v>
      </c>
      <c r="AU26" s="4">
        <v>7583500</v>
      </c>
      <c r="AV26" s="4">
        <v>4741500</v>
      </c>
      <c r="AW26" s="19">
        <v>12596000</v>
      </c>
      <c r="AX26" s="38">
        <v>1.5276073900846359E-3</v>
      </c>
      <c r="AY26" s="4">
        <v>566400</v>
      </c>
      <c r="AZ26" s="4">
        <v>591300</v>
      </c>
      <c r="BA26" s="19">
        <v>1255400</v>
      </c>
      <c r="BB26" s="38">
        <v>5.0941338042459127E-3</v>
      </c>
      <c r="BC26" s="4">
        <v>1808300</v>
      </c>
      <c r="BD26" s="4">
        <v>1907300</v>
      </c>
      <c r="BE26" s="19">
        <v>4186400</v>
      </c>
      <c r="BF26" s="38">
        <v>3.5630201207930048E-2</v>
      </c>
      <c r="BG26" s="4">
        <v>18184600</v>
      </c>
      <c r="BH26" s="4">
        <v>12773100</v>
      </c>
      <c r="BI26" s="19">
        <v>29281185</v>
      </c>
      <c r="BJ26" s="38">
        <v>2.7230325741638511E-2</v>
      </c>
      <c r="BK26" s="4">
        <v>10121100</v>
      </c>
      <c r="BL26" s="4">
        <v>10700900</v>
      </c>
      <c r="BM26" s="19">
        <v>22378100</v>
      </c>
      <c r="BN26" s="38">
        <v>3.3981902612663366E-2</v>
      </c>
      <c r="BO26" s="4">
        <v>14199300</v>
      </c>
      <c r="BP26" s="4">
        <v>10065700</v>
      </c>
      <c r="BQ26" s="19">
        <v>27926600</v>
      </c>
      <c r="BR26" s="38">
        <v>4.4781748582041394E-3</v>
      </c>
      <c r="BS26" s="4">
        <v>1074100</v>
      </c>
      <c r="BT26" s="4">
        <v>1149900</v>
      </c>
      <c r="BU26" s="19">
        <v>3680200</v>
      </c>
      <c r="BV26" s="38">
        <v>9.1128339527989776E-3</v>
      </c>
      <c r="BW26" s="4">
        <v>1960100</v>
      </c>
      <c r="BX26" s="4">
        <v>3862000</v>
      </c>
      <c r="BY26" s="19">
        <v>7489000</v>
      </c>
      <c r="BZ26" s="8">
        <v>1.105039110369253E-2</v>
      </c>
      <c r="CA26" s="4">
        <v>5038600</v>
      </c>
      <c r="CB26" s="4">
        <v>3557300</v>
      </c>
      <c r="CC26" s="19">
        <v>9081300</v>
      </c>
      <c r="CD26" s="38">
        <v>1.8600086253478348E-2</v>
      </c>
      <c r="CE26" s="4">
        <v>5905000</v>
      </c>
      <c r="CF26" s="4">
        <v>7587200</v>
      </c>
      <c r="CG26" s="19">
        <v>15285700</v>
      </c>
      <c r="CH26" s="8">
        <v>6.3299455498010799E-4</v>
      </c>
      <c r="CI26" s="4">
        <v>233100</v>
      </c>
      <c r="CJ26" s="4">
        <v>286800</v>
      </c>
      <c r="CK26" s="19">
        <v>520200</v>
      </c>
      <c r="CL26" s="8">
        <v>1.3406294136943178E-2</v>
      </c>
      <c r="CM26" s="4">
        <v>5058400</v>
      </c>
      <c r="CN26" s="4">
        <v>3552600</v>
      </c>
      <c r="CO26" s="19">
        <v>11011900</v>
      </c>
    </row>
    <row r="27" spans="1:93" x14ac:dyDescent="0.2">
      <c r="A27" s="33" t="s">
        <v>413</v>
      </c>
      <c r="B27" s="8">
        <v>0.33770000000000006</v>
      </c>
      <c r="C27" s="8">
        <v>0.34770000000000001</v>
      </c>
      <c r="D27" s="8">
        <v>0.40749999999999997</v>
      </c>
      <c r="E27" s="8">
        <v>0.1162</v>
      </c>
      <c r="F27" s="8">
        <v>0.22358620945697794</v>
      </c>
      <c r="G27" s="4">
        <v>41960100</v>
      </c>
      <c r="H27" s="4">
        <v>56366200</v>
      </c>
      <c r="I27" s="19">
        <v>171467858</v>
      </c>
      <c r="J27" s="8">
        <v>6.9698769817402514E-2</v>
      </c>
      <c r="K27" s="4">
        <v>20281000</v>
      </c>
      <c r="L27" s="4">
        <v>27023200</v>
      </c>
      <c r="M27" s="19">
        <v>53451860</v>
      </c>
      <c r="N27" s="8">
        <v>0.13217561485319673</v>
      </c>
      <c r="O27" s="4">
        <v>30829600</v>
      </c>
      <c r="P27" s="4">
        <v>50886300</v>
      </c>
      <c r="Q27" s="19">
        <v>101365239</v>
      </c>
      <c r="R27" s="8">
        <v>2.7910484659590746E-2</v>
      </c>
      <c r="S27" s="4">
        <v>10737800</v>
      </c>
      <c r="T27" s="4">
        <v>11596300</v>
      </c>
      <c r="U27" s="19">
        <v>21404500</v>
      </c>
      <c r="V27" s="8">
        <v>6.3296497517850422E-2</v>
      </c>
      <c r="W27" s="4">
        <v>18721500</v>
      </c>
      <c r="X27" s="4">
        <v>21603900</v>
      </c>
      <c r="Y27" s="19">
        <v>48541969</v>
      </c>
      <c r="Z27" s="8">
        <v>4.1801176047640762E-2</v>
      </c>
      <c r="AA27" s="4">
        <v>12890600</v>
      </c>
      <c r="AB27" s="4">
        <v>13924300</v>
      </c>
      <c r="AC27" s="19">
        <v>32057246</v>
      </c>
      <c r="AD27" s="38">
        <v>3.9702978355207579E-2</v>
      </c>
      <c r="AE27" s="4">
        <v>18289000</v>
      </c>
      <c r="AF27" s="4">
        <v>12370000</v>
      </c>
      <c r="AG27" s="19">
        <v>30448142</v>
      </c>
      <c r="AH27" s="38">
        <v>3.0979992514886433E-2</v>
      </c>
      <c r="AI27" s="4">
        <v>7526900</v>
      </c>
      <c r="AJ27" s="4">
        <v>8092400</v>
      </c>
      <c r="AK27" s="19">
        <v>23758500</v>
      </c>
      <c r="AL27" s="38">
        <v>3.4498779045224602E-2</v>
      </c>
      <c r="AM27" s="4">
        <v>12321000</v>
      </c>
      <c r="AN27" s="4">
        <v>12368100</v>
      </c>
      <c r="AO27" s="19">
        <v>26457051</v>
      </c>
      <c r="AP27" s="38">
        <v>1.832238006707811E-2</v>
      </c>
      <c r="AQ27" s="4">
        <v>6327600</v>
      </c>
      <c r="AR27" s="4">
        <v>6876500</v>
      </c>
      <c r="AS27" s="19">
        <v>14051400</v>
      </c>
      <c r="AT27" s="38">
        <v>9.532164963374069E-3</v>
      </c>
      <c r="AU27" s="4">
        <v>2674200</v>
      </c>
      <c r="AV27" s="4">
        <v>3421500</v>
      </c>
      <c r="AW27" s="19">
        <v>7310200</v>
      </c>
      <c r="AX27" s="38">
        <v>1.9172036532035914E-3</v>
      </c>
      <c r="AY27" s="4">
        <v>650600</v>
      </c>
      <c r="AZ27" s="4">
        <v>766900</v>
      </c>
      <c r="BA27" s="19">
        <v>1470300</v>
      </c>
      <c r="BB27" s="38">
        <v>5.6599429892508386E-3</v>
      </c>
      <c r="BC27" s="4">
        <v>1683500</v>
      </c>
      <c r="BD27" s="4">
        <v>1905700</v>
      </c>
      <c r="BE27" s="19">
        <v>4340600</v>
      </c>
      <c r="BF27" s="38">
        <v>1.8728431361104907E-2</v>
      </c>
      <c r="BG27" s="4">
        <v>11675000</v>
      </c>
      <c r="BH27" s="4">
        <v>11517100</v>
      </c>
      <c r="BI27" s="19">
        <v>14362800</v>
      </c>
      <c r="BJ27" s="38">
        <v>5.542821835655827E-2</v>
      </c>
      <c r="BK27" s="4">
        <v>25638400</v>
      </c>
      <c r="BL27" s="4">
        <v>15794900</v>
      </c>
      <c r="BM27" s="19">
        <v>42507800</v>
      </c>
      <c r="BN27" s="38">
        <v>1.7866387332584947E-2</v>
      </c>
      <c r="BO27" s="4">
        <v>5149600</v>
      </c>
      <c r="BP27" s="4">
        <v>6818900</v>
      </c>
      <c r="BQ27" s="19">
        <v>13701700</v>
      </c>
      <c r="BR27" s="38">
        <v>2.8310146578727586E-3</v>
      </c>
      <c r="BS27" s="4">
        <v>470200</v>
      </c>
      <c r="BT27" s="4">
        <v>839100</v>
      </c>
      <c r="BU27" s="19">
        <v>2171100</v>
      </c>
      <c r="BV27" s="38">
        <v>1.4288102682480729E-2</v>
      </c>
      <c r="BW27" s="4">
        <v>2020800</v>
      </c>
      <c r="BX27" s="4">
        <v>3933800</v>
      </c>
      <c r="BY27" s="19">
        <v>10957520</v>
      </c>
      <c r="BZ27" s="8">
        <v>6.2012143192139834E-3</v>
      </c>
      <c r="CA27" s="4">
        <v>1946100</v>
      </c>
      <c r="CB27" s="4">
        <v>2437800</v>
      </c>
      <c r="CC27" s="19">
        <v>4755700</v>
      </c>
      <c r="CD27" s="38">
        <v>1.3426032574879588E-2</v>
      </c>
      <c r="CE27" s="4">
        <v>3859100</v>
      </c>
      <c r="CF27" s="4">
        <v>5185000</v>
      </c>
      <c r="CG27" s="19">
        <v>10296400</v>
      </c>
      <c r="CH27" s="8">
        <v>4.5155929069197015E-4</v>
      </c>
      <c r="CI27" s="4">
        <v>147100</v>
      </c>
      <c r="CJ27" s="4">
        <v>190600</v>
      </c>
      <c r="CK27" s="19">
        <v>346300</v>
      </c>
      <c r="CL27" s="8">
        <v>5.9727615680466913E-3</v>
      </c>
      <c r="CM27" s="4">
        <v>2208200</v>
      </c>
      <c r="CN27" s="4">
        <v>2295400</v>
      </c>
      <c r="CO27" s="19">
        <v>4577400</v>
      </c>
    </row>
    <row r="28" spans="1:93" x14ac:dyDescent="0.2">
      <c r="A28" s="33" t="s">
        <v>367</v>
      </c>
      <c r="B28" s="8">
        <v>0.30930000000000002</v>
      </c>
      <c r="C28" s="8">
        <v>0.30769999999999997</v>
      </c>
      <c r="D28" s="8">
        <v>0.38740000000000002</v>
      </c>
      <c r="E28" s="8">
        <v>0.1211</v>
      </c>
      <c r="F28" s="8">
        <v>0.21606659916404625</v>
      </c>
      <c r="G28" s="4">
        <v>52221000</v>
      </c>
      <c r="H28" s="4">
        <v>53175500</v>
      </c>
      <c r="I28" s="19">
        <v>133205809</v>
      </c>
      <c r="J28" s="8">
        <v>7.2298784807820884E-2</v>
      </c>
      <c r="K28" s="4">
        <v>16200700</v>
      </c>
      <c r="L28" s="4">
        <v>22988700</v>
      </c>
      <c r="M28" s="19">
        <v>44572452</v>
      </c>
      <c r="N28" s="8">
        <v>0.12528583902189008</v>
      </c>
      <c r="O28" s="4">
        <v>30742300</v>
      </c>
      <c r="P28" s="4">
        <v>37079800</v>
      </c>
      <c r="Q28" s="19">
        <v>77239155</v>
      </c>
      <c r="R28" s="8">
        <v>1.9412056062477274E-2</v>
      </c>
      <c r="S28" s="4">
        <v>13190300</v>
      </c>
      <c r="T28" s="4">
        <v>14333500</v>
      </c>
      <c r="U28" s="19">
        <v>11967600</v>
      </c>
      <c r="V28" s="8">
        <v>4.9085716911953688E-2</v>
      </c>
      <c r="W28" s="4">
        <v>12556300</v>
      </c>
      <c r="X28" s="4">
        <v>14670900</v>
      </c>
      <c r="Y28" s="19">
        <v>30261515</v>
      </c>
      <c r="Z28" s="8">
        <v>3.4807442139409582E-2</v>
      </c>
      <c r="AA28" s="4">
        <v>10205000</v>
      </c>
      <c r="AB28" s="4">
        <v>8376800</v>
      </c>
      <c r="AC28" s="19">
        <v>21458909</v>
      </c>
      <c r="AD28" s="38">
        <v>2.506727804748753E-2</v>
      </c>
      <c r="AE28" s="4">
        <v>7636400</v>
      </c>
      <c r="AF28" s="4">
        <v>7503600</v>
      </c>
      <c r="AG28" s="19">
        <v>15454064</v>
      </c>
      <c r="AH28" s="38">
        <v>2.8738037573491436E-2</v>
      </c>
      <c r="AI28" s="4">
        <v>4773200</v>
      </c>
      <c r="AJ28" s="4">
        <v>7060600</v>
      </c>
      <c r="AK28" s="19">
        <v>17717100</v>
      </c>
      <c r="AL28" s="38">
        <v>5.333767186525213E-2</v>
      </c>
      <c r="AM28" s="4">
        <v>18651200</v>
      </c>
      <c r="AN28" s="4">
        <v>12557300</v>
      </c>
      <c r="AO28" s="19">
        <v>32882860</v>
      </c>
      <c r="AP28" s="38">
        <v>3.5712788213744927E-2</v>
      </c>
      <c r="AQ28" s="4">
        <v>12153400</v>
      </c>
      <c r="AR28" s="4">
        <v>9155300</v>
      </c>
      <c r="AS28" s="19">
        <v>22017058</v>
      </c>
      <c r="AT28" s="38">
        <v>6.8909587361060025E-3</v>
      </c>
      <c r="AU28" s="4">
        <v>2228800</v>
      </c>
      <c r="AV28" s="4">
        <v>1770300</v>
      </c>
      <c r="AW28" s="19">
        <v>4248300</v>
      </c>
      <c r="AX28" s="38">
        <v>2.3832793519667985E-3</v>
      </c>
      <c r="AY28" s="4">
        <v>673200</v>
      </c>
      <c r="AZ28" s="4">
        <v>771800</v>
      </c>
      <c r="BA28" s="19">
        <v>1469300</v>
      </c>
      <c r="BB28" s="38">
        <v>4.0836752851777115E-3</v>
      </c>
      <c r="BC28" s="4">
        <v>1012400</v>
      </c>
      <c r="BD28" s="4">
        <v>1286600</v>
      </c>
      <c r="BE28" s="19">
        <v>2517600</v>
      </c>
      <c r="BF28" s="38">
        <v>3.3558286161417476E-2</v>
      </c>
      <c r="BG28" s="4">
        <v>5952100</v>
      </c>
      <c r="BH28" s="4">
        <v>8921900</v>
      </c>
      <c r="BI28" s="19">
        <v>20688800</v>
      </c>
      <c r="BJ28" s="38">
        <v>2.765580522908781E-2</v>
      </c>
      <c r="BK28" s="4">
        <v>7862900</v>
      </c>
      <c r="BL28" s="4">
        <v>8313100</v>
      </c>
      <c r="BM28" s="19">
        <v>17049900</v>
      </c>
      <c r="BN28" s="38">
        <v>4.0942186158710925E-2</v>
      </c>
      <c r="BO28" s="4">
        <v>9364200</v>
      </c>
      <c r="BP28" s="4">
        <v>13949700</v>
      </c>
      <c r="BQ28" s="19">
        <v>25241000</v>
      </c>
      <c r="BR28" s="38">
        <v>2.1591119209167669E-3</v>
      </c>
      <c r="BS28" s="4">
        <v>286900</v>
      </c>
      <c r="BT28" s="4">
        <v>672700</v>
      </c>
      <c r="BU28" s="19">
        <v>1331100</v>
      </c>
      <c r="BV28" s="38">
        <v>1.647955028392914E-2</v>
      </c>
      <c r="BW28" s="4">
        <v>5603300</v>
      </c>
      <c r="BX28" s="4">
        <v>2516400</v>
      </c>
      <c r="BY28" s="19">
        <v>10159700</v>
      </c>
      <c r="BZ28" s="8">
        <v>2.4744223906838843E-2</v>
      </c>
      <c r="CA28" s="4">
        <v>7255800</v>
      </c>
      <c r="CB28" s="4">
        <v>4772700</v>
      </c>
      <c r="CC28" s="19">
        <v>15254900</v>
      </c>
      <c r="CD28" s="38">
        <v>1.8921061262340916E-2</v>
      </c>
      <c r="CE28" s="4">
        <v>5423300</v>
      </c>
      <c r="CF28" s="4">
        <v>4851500</v>
      </c>
      <c r="CG28" s="19">
        <v>11664900</v>
      </c>
      <c r="CH28" s="8">
        <v>7.6090406588690202E-4</v>
      </c>
      <c r="CI28" s="4">
        <v>211500</v>
      </c>
      <c r="CJ28" s="4">
        <v>247300</v>
      </c>
      <c r="CK28" s="19">
        <v>469100</v>
      </c>
      <c r="CL28" s="8">
        <v>5.05658140054536E-3</v>
      </c>
      <c r="CM28" s="4">
        <v>956600</v>
      </c>
      <c r="CN28" s="4">
        <v>1069300</v>
      </c>
      <c r="CO28" s="19">
        <v>3116100</v>
      </c>
    </row>
    <row r="29" spans="1:93" x14ac:dyDescent="0.2">
      <c r="A29" s="33" t="s">
        <v>365</v>
      </c>
      <c r="B29" s="8">
        <v>0.3478</v>
      </c>
      <c r="C29" s="8">
        <v>0.377</v>
      </c>
      <c r="D29" s="8">
        <v>0.39770000000000005</v>
      </c>
      <c r="E29" s="8">
        <v>9.8000000000000004E-2</v>
      </c>
      <c r="F29" s="8">
        <v>0.27116137757387532</v>
      </c>
      <c r="G29" s="4">
        <v>48099100</v>
      </c>
      <c r="H29" s="4">
        <v>45467500</v>
      </c>
      <c r="I29" s="19">
        <v>141942792</v>
      </c>
      <c r="J29" s="8">
        <v>0.10080013880805321</v>
      </c>
      <c r="K29" s="4">
        <v>24724200</v>
      </c>
      <c r="L29" s="4">
        <v>24457900</v>
      </c>
      <c r="M29" s="19">
        <v>52765085</v>
      </c>
      <c r="N29" s="8">
        <v>9.4771110065390296E-2</v>
      </c>
      <c r="O29" s="4">
        <v>18797700</v>
      </c>
      <c r="P29" s="4">
        <v>26282100</v>
      </c>
      <c r="Q29" s="19">
        <v>49609115</v>
      </c>
      <c r="R29" s="8">
        <v>2.419677023464821E-2</v>
      </c>
      <c r="S29" s="4">
        <v>5802700</v>
      </c>
      <c r="T29" s="4">
        <v>6843700</v>
      </c>
      <c r="U29" s="19">
        <v>12666100</v>
      </c>
      <c r="V29" s="8">
        <v>5.270384030468632E-2</v>
      </c>
      <c r="W29" s="4">
        <v>8444600</v>
      </c>
      <c r="X29" s="4">
        <v>15724100</v>
      </c>
      <c r="Y29" s="19">
        <v>27588480</v>
      </c>
      <c r="Z29" s="8">
        <v>3.6224510357595413E-2</v>
      </c>
      <c r="AA29" s="4">
        <v>7276700</v>
      </c>
      <c r="AB29" s="4">
        <v>9575200</v>
      </c>
      <c r="AC29" s="19">
        <v>18962170</v>
      </c>
      <c r="AD29" s="38">
        <v>5.9301973889151594E-2</v>
      </c>
      <c r="AE29" s="4">
        <v>18535400</v>
      </c>
      <c r="AF29" s="4">
        <v>12461500</v>
      </c>
      <c r="AG29" s="19">
        <v>31042355</v>
      </c>
      <c r="AH29" s="38">
        <v>2.8435469897262387E-2</v>
      </c>
      <c r="AI29" s="4">
        <v>4448500</v>
      </c>
      <c r="AJ29" s="4">
        <v>6227400</v>
      </c>
      <c r="AK29" s="19">
        <v>14884900</v>
      </c>
      <c r="AL29" s="38">
        <v>2.894545874796163E-2</v>
      </c>
      <c r="AM29" s="4">
        <v>5292400</v>
      </c>
      <c r="AN29" s="4">
        <v>7822100</v>
      </c>
      <c r="AO29" s="19">
        <v>15151860</v>
      </c>
      <c r="AP29" s="38">
        <v>2.783332543464476E-2</v>
      </c>
      <c r="AQ29" s="4">
        <v>7372000</v>
      </c>
      <c r="AR29" s="4">
        <v>5525700</v>
      </c>
      <c r="AS29" s="19">
        <v>14569700</v>
      </c>
      <c r="AT29" s="38">
        <v>6.0753166878698443E-3</v>
      </c>
      <c r="AU29" s="4">
        <v>1147500</v>
      </c>
      <c r="AV29" s="4">
        <v>1920300</v>
      </c>
      <c r="AW29" s="19">
        <v>3180200</v>
      </c>
      <c r="AX29" s="38">
        <v>2.0593646278610441E-3</v>
      </c>
      <c r="AY29" s="4">
        <v>430700</v>
      </c>
      <c r="AZ29" s="4">
        <v>604100</v>
      </c>
      <c r="BA29" s="19">
        <v>1078000</v>
      </c>
      <c r="BB29" s="38">
        <v>4.2723219422527263E-3</v>
      </c>
      <c r="BC29" s="4">
        <v>581700</v>
      </c>
      <c r="BD29" s="4">
        <v>1146200</v>
      </c>
      <c r="BE29" s="19">
        <v>2236400</v>
      </c>
      <c r="BF29" s="38">
        <v>4.5021187614414135E-2</v>
      </c>
      <c r="BG29" s="4">
        <v>6033300</v>
      </c>
      <c r="BH29" s="4">
        <v>8221900</v>
      </c>
      <c r="BI29" s="19">
        <v>23566900</v>
      </c>
      <c r="BJ29" s="38">
        <v>2.6173798484530764E-2</v>
      </c>
      <c r="BK29" s="4">
        <v>5591300</v>
      </c>
      <c r="BL29" s="4">
        <v>7588700</v>
      </c>
      <c r="BM29" s="19">
        <v>13701000</v>
      </c>
      <c r="BN29" s="38">
        <v>2.643398908036998E-2</v>
      </c>
      <c r="BO29" s="4">
        <v>3798700</v>
      </c>
      <c r="BP29" s="4">
        <v>9315700</v>
      </c>
      <c r="BQ29" s="19">
        <v>13837200</v>
      </c>
      <c r="BR29" s="38">
        <v>2.8899877634769827E-3</v>
      </c>
      <c r="BS29" s="4">
        <v>424900</v>
      </c>
      <c r="BT29" s="4">
        <v>468700</v>
      </c>
      <c r="BU29" s="19">
        <v>1512800</v>
      </c>
      <c r="BV29" s="38">
        <v>8.8550768641227247E-3</v>
      </c>
      <c r="BW29" s="4">
        <v>994600</v>
      </c>
      <c r="BX29" s="4">
        <v>1161200</v>
      </c>
      <c r="BY29" s="19">
        <v>4635300</v>
      </c>
      <c r="BZ29" s="8">
        <v>7.5394141375847833E-3</v>
      </c>
      <c r="CA29" s="4">
        <v>909300</v>
      </c>
      <c r="CB29" s="4">
        <v>1356800</v>
      </c>
      <c r="CC29" s="19">
        <v>3946600</v>
      </c>
      <c r="CD29" s="38">
        <v>2.3813743696720437E-2</v>
      </c>
      <c r="CE29" s="4">
        <v>6712800</v>
      </c>
      <c r="CF29" s="4">
        <v>4572500</v>
      </c>
      <c r="CG29" s="19">
        <v>12465600</v>
      </c>
      <c r="CH29" s="8">
        <v>3.1024194393750791E-4</v>
      </c>
      <c r="CI29" s="4">
        <v>23500</v>
      </c>
      <c r="CJ29" s="4">
        <v>138800</v>
      </c>
      <c r="CK29" s="19">
        <v>162400</v>
      </c>
      <c r="CL29" s="8">
        <v>4.9869864202516283E-3</v>
      </c>
      <c r="CM29" s="4">
        <v>1208900</v>
      </c>
      <c r="CN29" s="4">
        <v>1159900</v>
      </c>
      <c r="CO29" s="19">
        <v>2609900</v>
      </c>
    </row>
    <row r="30" spans="1:93" x14ac:dyDescent="0.2">
      <c r="A30" s="33" t="s">
        <v>364</v>
      </c>
      <c r="B30" s="8">
        <v>0.40100000000000002</v>
      </c>
      <c r="C30" s="8">
        <v>0.35590000000000005</v>
      </c>
      <c r="D30" s="8">
        <v>0.36829999999999996</v>
      </c>
      <c r="E30" s="8">
        <v>7.9000000000000001E-2</v>
      </c>
      <c r="F30" s="8">
        <v>0.22652024705105325</v>
      </c>
      <c r="G30" s="4">
        <v>58230100</v>
      </c>
      <c r="H30" s="4">
        <v>45947000</v>
      </c>
      <c r="I30" s="19">
        <v>133534753</v>
      </c>
      <c r="J30" s="8">
        <v>8.1284132297147774E-2</v>
      </c>
      <c r="K30" s="4">
        <v>19144700</v>
      </c>
      <c r="L30" s="4">
        <v>26452700</v>
      </c>
      <c r="M30" s="19">
        <v>47917379</v>
      </c>
      <c r="N30" s="8">
        <v>6.6583657774053548E-2</v>
      </c>
      <c r="O30" s="4">
        <v>14126400</v>
      </c>
      <c r="P30" s="4">
        <v>19007300</v>
      </c>
      <c r="Q30" s="19">
        <v>39251380</v>
      </c>
      <c r="R30" s="8">
        <v>1.972045305720983E-2</v>
      </c>
      <c r="S30" s="4">
        <v>6045000</v>
      </c>
      <c r="T30" s="4">
        <v>5715000</v>
      </c>
      <c r="U30" s="19">
        <v>11625300</v>
      </c>
      <c r="V30" s="8">
        <v>6.4049326886466001E-2</v>
      </c>
      <c r="W30" s="4">
        <v>15094800</v>
      </c>
      <c r="X30" s="4">
        <v>14982600</v>
      </c>
      <c r="Y30" s="19">
        <v>37757380</v>
      </c>
      <c r="Z30" s="8">
        <v>2.9996620281467743E-2</v>
      </c>
      <c r="AA30" s="4">
        <v>5856200</v>
      </c>
      <c r="AB30" s="4">
        <v>7798200</v>
      </c>
      <c r="AC30" s="19">
        <v>17683149</v>
      </c>
      <c r="AD30" s="38">
        <v>2.3621624588473181E-2</v>
      </c>
      <c r="AE30" s="4">
        <v>6109700</v>
      </c>
      <c r="AF30" s="4">
        <v>7269400</v>
      </c>
      <c r="AG30" s="19">
        <v>13925059</v>
      </c>
      <c r="AH30" s="38">
        <v>3.4470462383683204E-2</v>
      </c>
      <c r="AI30" s="4">
        <v>6901800</v>
      </c>
      <c r="AJ30" s="4">
        <v>6313600</v>
      </c>
      <c r="AK30" s="19">
        <v>20320500</v>
      </c>
      <c r="AL30" s="38">
        <v>7.4875192855116651E-2</v>
      </c>
      <c r="AM30" s="4">
        <v>11424400</v>
      </c>
      <c r="AN30" s="4">
        <v>9559700</v>
      </c>
      <c r="AO30" s="19">
        <v>44139279</v>
      </c>
      <c r="AP30" s="38">
        <v>2.3091588112700276E-2</v>
      </c>
      <c r="AQ30" s="4">
        <v>7379600</v>
      </c>
      <c r="AR30" s="4">
        <v>5133600</v>
      </c>
      <c r="AS30" s="19">
        <v>13612600</v>
      </c>
      <c r="AT30" s="38">
        <v>6.5017292007667612E-3</v>
      </c>
      <c r="AU30" s="4">
        <v>1436200</v>
      </c>
      <c r="AV30" s="4">
        <v>1604900</v>
      </c>
      <c r="AW30" s="19">
        <v>3832800</v>
      </c>
      <c r="AX30" s="38">
        <v>1.6859916125657702E-3</v>
      </c>
      <c r="AY30" s="4">
        <v>458600</v>
      </c>
      <c r="AZ30" s="4">
        <v>518000</v>
      </c>
      <c r="BA30" s="19">
        <v>993900</v>
      </c>
      <c r="BB30" s="38">
        <v>6.1310790676088779E-3</v>
      </c>
      <c r="BC30" s="4">
        <v>1546300</v>
      </c>
      <c r="BD30" s="4">
        <v>1330500</v>
      </c>
      <c r="BE30" s="19">
        <v>3614300</v>
      </c>
      <c r="BF30" s="38">
        <v>4.8856481405020559E-2</v>
      </c>
      <c r="BG30" s="4">
        <v>6749300</v>
      </c>
      <c r="BH30" s="4">
        <v>6567700</v>
      </c>
      <c r="BI30" s="19">
        <v>28801126</v>
      </c>
      <c r="BJ30" s="38">
        <v>2.9265075662363832E-2</v>
      </c>
      <c r="BK30" s="4">
        <v>9923100</v>
      </c>
      <c r="BL30" s="4">
        <v>6572400</v>
      </c>
      <c r="BM30" s="19">
        <v>17251900</v>
      </c>
      <c r="BN30" s="38">
        <v>1.4672215206992273E-2</v>
      </c>
      <c r="BO30" s="4">
        <v>3738300</v>
      </c>
      <c r="BP30" s="4">
        <v>4241100</v>
      </c>
      <c r="BQ30" s="19">
        <v>8649340</v>
      </c>
      <c r="BR30" s="38">
        <v>2.520081637617173E-3</v>
      </c>
      <c r="BS30" s="4">
        <v>336600</v>
      </c>
      <c r="BT30" s="4">
        <v>496700</v>
      </c>
      <c r="BU30" s="19">
        <v>1485600</v>
      </c>
      <c r="BV30" s="38">
        <v>7.5030782790418138E-3</v>
      </c>
      <c r="BW30" s="4">
        <v>1326500</v>
      </c>
      <c r="BX30" s="4">
        <v>1338800</v>
      </c>
      <c r="BY30" s="19">
        <v>4423100</v>
      </c>
      <c r="BZ30" s="8">
        <v>1.547570327139302E-2</v>
      </c>
      <c r="CA30" s="4">
        <v>1721200</v>
      </c>
      <c r="CB30" s="4">
        <v>1444000</v>
      </c>
      <c r="CC30" s="19">
        <v>9123000</v>
      </c>
      <c r="CD30" s="38">
        <v>1.8427844220522533E-2</v>
      </c>
      <c r="CE30" s="4">
        <v>5692400</v>
      </c>
      <c r="CF30" s="4">
        <v>3876900</v>
      </c>
      <c r="CG30" s="19">
        <v>10863301</v>
      </c>
      <c r="CH30" s="8">
        <v>1.7692818713211574E-4</v>
      </c>
      <c r="CI30" s="4">
        <v>15500</v>
      </c>
      <c r="CJ30" s="4">
        <v>89200</v>
      </c>
      <c r="CK30" s="19">
        <v>104300</v>
      </c>
      <c r="CL30" s="8">
        <v>4.5975883565117287E-3</v>
      </c>
      <c r="CM30" s="4">
        <v>1476000</v>
      </c>
      <c r="CN30" s="4">
        <v>1060200</v>
      </c>
      <c r="CO30" s="19">
        <v>2706000</v>
      </c>
    </row>
    <row r="31" spans="1:93" x14ac:dyDescent="0.2">
      <c r="A31" s="33" t="s">
        <v>363</v>
      </c>
      <c r="B31" s="8">
        <v>0.38420000000000004</v>
      </c>
      <c r="C31" s="8">
        <v>0.3503</v>
      </c>
      <c r="D31" s="8">
        <v>0.36399999999999999</v>
      </c>
      <c r="E31" s="8">
        <v>7.4400000000000008E-2</v>
      </c>
      <c r="F31" s="8">
        <v>0.28086489222789474</v>
      </c>
      <c r="G31" s="4">
        <v>71979300</v>
      </c>
      <c r="H31" s="4">
        <v>47964000</v>
      </c>
      <c r="I31" s="19">
        <v>148428671</v>
      </c>
      <c r="J31" s="8">
        <v>7.646638336645048E-2</v>
      </c>
      <c r="K31" s="4">
        <v>18972300</v>
      </c>
      <c r="L31" s="4">
        <v>18904500</v>
      </c>
      <c r="M31" s="19">
        <v>40410190</v>
      </c>
      <c r="N31" s="8">
        <v>0.10088893313822039</v>
      </c>
      <c r="O31" s="4">
        <v>26570900</v>
      </c>
      <c r="P31" s="4">
        <v>21513700</v>
      </c>
      <c r="Q31" s="19">
        <v>53316775</v>
      </c>
      <c r="R31" s="8">
        <v>1.8525019220343452E-2</v>
      </c>
      <c r="S31" s="4">
        <v>5672500</v>
      </c>
      <c r="T31" s="4">
        <v>5179600</v>
      </c>
      <c r="U31" s="19">
        <v>9789917</v>
      </c>
      <c r="V31" s="8">
        <v>7.3866864023815315E-2</v>
      </c>
      <c r="W31" s="4">
        <v>19209700</v>
      </c>
      <c r="X31" s="4">
        <v>16433500</v>
      </c>
      <c r="Y31" s="19">
        <v>39036422</v>
      </c>
      <c r="Z31" s="8">
        <v>3.5143074960328168E-2</v>
      </c>
      <c r="AA31" s="4">
        <v>7369900</v>
      </c>
      <c r="AB31" s="4">
        <v>8867200</v>
      </c>
      <c r="AC31" s="19">
        <v>18572061</v>
      </c>
      <c r="AD31" s="38">
        <v>3.0031732832216277E-2</v>
      </c>
      <c r="AE31" s="4">
        <v>9315700</v>
      </c>
      <c r="AF31" s="4">
        <v>7295600</v>
      </c>
      <c r="AG31" s="19">
        <v>15870870</v>
      </c>
      <c r="AH31" s="38">
        <v>3.5870153122503141E-2</v>
      </c>
      <c r="AI31" s="4">
        <v>5021500</v>
      </c>
      <c r="AJ31" s="4">
        <v>5760900</v>
      </c>
      <c r="AK31" s="19">
        <v>18956300</v>
      </c>
      <c r="AL31" s="38">
        <v>2.9554903499206166E-2</v>
      </c>
      <c r="AM31" s="4">
        <v>5874800</v>
      </c>
      <c r="AN31" s="4">
        <v>8967900</v>
      </c>
      <c r="AO31" s="19">
        <v>15618880</v>
      </c>
      <c r="AP31" s="38">
        <v>1.5481862589344119E-2</v>
      </c>
      <c r="AQ31" s="4">
        <v>4683900</v>
      </c>
      <c r="AR31" s="4">
        <v>2948100</v>
      </c>
      <c r="AS31" s="19">
        <v>8181700</v>
      </c>
      <c r="AT31" s="38">
        <v>6.3823868300718414E-3</v>
      </c>
      <c r="AU31" s="4">
        <v>1699700</v>
      </c>
      <c r="AV31" s="4">
        <v>1506800</v>
      </c>
      <c r="AW31" s="19">
        <v>3372900</v>
      </c>
      <c r="AX31" s="38">
        <v>2.5127253911033228E-3</v>
      </c>
      <c r="AY31" s="4">
        <v>849200</v>
      </c>
      <c r="AZ31" s="4">
        <v>444600</v>
      </c>
      <c r="BA31" s="19">
        <v>1327900</v>
      </c>
      <c r="BB31" s="38">
        <v>4.0683482121184906E-3</v>
      </c>
      <c r="BC31" s="4">
        <v>942700</v>
      </c>
      <c r="BD31" s="4">
        <v>955900</v>
      </c>
      <c r="BE31" s="19">
        <v>2150000</v>
      </c>
      <c r="BF31" s="38">
        <v>3.9144891487266152E-2</v>
      </c>
      <c r="BG31" s="4">
        <v>5732700</v>
      </c>
      <c r="BH31" s="4">
        <v>7290500</v>
      </c>
      <c r="BI31" s="19">
        <v>20686901</v>
      </c>
      <c r="BJ31" s="38">
        <v>1.8543720376334321E-2</v>
      </c>
      <c r="BK31" s="4">
        <v>4747000</v>
      </c>
      <c r="BL31" s="4">
        <v>4571900</v>
      </c>
      <c r="BM31" s="19">
        <v>9799800</v>
      </c>
      <c r="BN31" s="38">
        <v>1.4496943871014968E-2</v>
      </c>
      <c r="BO31" s="4">
        <v>3373100</v>
      </c>
      <c r="BP31" s="4">
        <v>3724600</v>
      </c>
      <c r="BQ31" s="19">
        <v>7661200</v>
      </c>
      <c r="BR31" s="38">
        <v>5.1034116874807307E-3</v>
      </c>
      <c r="BS31" s="4">
        <v>1067000</v>
      </c>
      <c r="BT31" s="4">
        <v>908000</v>
      </c>
      <c r="BU31" s="19">
        <v>2697000</v>
      </c>
      <c r="BV31" s="38">
        <v>9.4308096066871381E-3</v>
      </c>
      <c r="BW31" s="4">
        <v>1069500</v>
      </c>
      <c r="BX31" s="4">
        <v>1469400</v>
      </c>
      <c r="BY31" s="19">
        <v>4983900</v>
      </c>
      <c r="BZ31" s="8">
        <v>9.3484965149535776E-3</v>
      </c>
      <c r="CA31" s="4">
        <v>1693300</v>
      </c>
      <c r="CB31" s="4">
        <v>2077600</v>
      </c>
      <c r="CC31" s="19">
        <v>4940400</v>
      </c>
      <c r="CD31" s="38">
        <v>2.1281626002595928E-2</v>
      </c>
      <c r="CE31" s="4">
        <v>4588300</v>
      </c>
      <c r="CF31" s="4">
        <v>4471400</v>
      </c>
      <c r="CG31" s="19">
        <v>11246701</v>
      </c>
      <c r="CH31" s="8">
        <v>9.1812211745111248E-4</v>
      </c>
      <c r="CI31" s="4">
        <v>45200</v>
      </c>
      <c r="CJ31" s="4">
        <v>440000</v>
      </c>
      <c r="CK31" s="19">
        <v>485200</v>
      </c>
      <c r="CL31" s="8">
        <v>1.2187654813067394E-2</v>
      </c>
      <c r="CM31" s="4">
        <v>1771500</v>
      </c>
      <c r="CN31" s="4">
        <v>1588400</v>
      </c>
      <c r="CO31" s="19">
        <v>6440510</v>
      </c>
    </row>
    <row r="32" spans="1:93" x14ac:dyDescent="0.2">
      <c r="A32" s="33" t="s">
        <v>362</v>
      </c>
      <c r="B32" s="8">
        <v>0.38350000000000001</v>
      </c>
      <c r="C32" s="8">
        <v>0.3236</v>
      </c>
      <c r="D32" s="8">
        <v>0.35909999999999997</v>
      </c>
      <c r="E32" s="8">
        <v>8.9099999999999999E-2</v>
      </c>
      <c r="F32" s="8">
        <v>0.2063073114430867</v>
      </c>
      <c r="G32" s="4">
        <v>41456300</v>
      </c>
      <c r="H32" s="4">
        <v>35837900</v>
      </c>
      <c r="I32" s="19">
        <v>100511086</v>
      </c>
      <c r="J32" s="8">
        <v>9.4631420812079689E-2</v>
      </c>
      <c r="K32" s="4">
        <v>21884400</v>
      </c>
      <c r="L32" s="4">
        <v>21421900</v>
      </c>
      <c r="M32" s="19">
        <v>46103586</v>
      </c>
      <c r="N32" s="8">
        <v>7.9960044426098914E-2</v>
      </c>
      <c r="O32" s="4">
        <v>17070100</v>
      </c>
      <c r="P32" s="4">
        <v>15629000</v>
      </c>
      <c r="Q32" s="19">
        <v>38955822</v>
      </c>
      <c r="R32" s="8">
        <v>1.793197782143393E-2</v>
      </c>
      <c r="S32" s="4">
        <v>4263600</v>
      </c>
      <c r="T32" s="4">
        <v>5618100</v>
      </c>
      <c r="U32" s="19">
        <v>8736300</v>
      </c>
      <c r="V32" s="8">
        <v>5.8118750527257165E-2</v>
      </c>
      <c r="W32" s="4">
        <v>11103600</v>
      </c>
      <c r="X32" s="4">
        <v>13458700</v>
      </c>
      <c r="Y32" s="19">
        <v>28314938</v>
      </c>
      <c r="Z32" s="8">
        <v>6.2497459415822659E-2</v>
      </c>
      <c r="AA32" s="4">
        <v>17500000</v>
      </c>
      <c r="AB32" s="4">
        <v>10974900</v>
      </c>
      <c r="AC32" s="19">
        <v>30448206</v>
      </c>
      <c r="AD32" s="38">
        <v>3.2467969960863409E-2</v>
      </c>
      <c r="AE32" s="4">
        <v>7980400</v>
      </c>
      <c r="AF32" s="4">
        <v>7896000</v>
      </c>
      <c r="AG32" s="19">
        <v>15818106</v>
      </c>
      <c r="AH32" s="38">
        <v>3.7055685130537072E-2</v>
      </c>
      <c r="AI32" s="4">
        <v>6739300</v>
      </c>
      <c r="AJ32" s="4">
        <v>5073100</v>
      </c>
      <c r="AK32" s="19">
        <v>18053200</v>
      </c>
      <c r="AL32" s="38">
        <v>3.5121799228269975E-2</v>
      </c>
      <c r="AM32" s="4">
        <v>6077200</v>
      </c>
      <c r="AN32" s="4">
        <v>8235100</v>
      </c>
      <c r="AO32" s="19">
        <v>17111028</v>
      </c>
      <c r="AP32" s="38">
        <v>2.3808521953705641E-2</v>
      </c>
      <c r="AQ32" s="4">
        <v>7356600</v>
      </c>
      <c r="AR32" s="4">
        <v>3876200</v>
      </c>
      <c r="AS32" s="19">
        <v>11599300</v>
      </c>
      <c r="AT32" s="38">
        <v>6.5588226057495718E-3</v>
      </c>
      <c r="AU32" s="4">
        <v>1139500</v>
      </c>
      <c r="AV32" s="4">
        <v>1323000</v>
      </c>
      <c r="AW32" s="19">
        <v>3195400</v>
      </c>
      <c r="AX32" s="38">
        <v>2.0591509163447362E-3</v>
      </c>
      <c r="AY32" s="4">
        <v>503700</v>
      </c>
      <c r="AZ32" s="4">
        <v>465100</v>
      </c>
      <c r="BA32" s="19">
        <v>1003200</v>
      </c>
      <c r="BB32" s="38">
        <v>3.8079513357284238E-3</v>
      </c>
      <c r="BC32" s="4">
        <v>516100</v>
      </c>
      <c r="BD32" s="4">
        <v>579300</v>
      </c>
      <c r="BE32" s="19">
        <v>1855200</v>
      </c>
      <c r="BF32" s="38">
        <v>6.0115632243692464E-2</v>
      </c>
      <c r="BG32" s="4">
        <v>7345800</v>
      </c>
      <c r="BH32" s="4">
        <v>7841300</v>
      </c>
      <c r="BI32" s="19">
        <v>29287801</v>
      </c>
      <c r="BJ32" s="38">
        <v>2.065986016575426E-2</v>
      </c>
      <c r="BK32" s="4">
        <v>3905300</v>
      </c>
      <c r="BL32" s="4">
        <v>5486900</v>
      </c>
      <c r="BM32" s="19">
        <v>10065300</v>
      </c>
      <c r="BN32" s="38">
        <v>2.1424447203571659E-2</v>
      </c>
      <c r="BO32" s="4">
        <v>4542100</v>
      </c>
      <c r="BP32" s="4">
        <v>5439700</v>
      </c>
      <c r="BQ32" s="19">
        <v>10437800</v>
      </c>
      <c r="BR32" s="38">
        <v>3.2734588131843952E-3</v>
      </c>
      <c r="BS32" s="4">
        <v>284800</v>
      </c>
      <c r="BT32" s="4">
        <v>321000</v>
      </c>
      <c r="BU32" s="19">
        <v>1594800</v>
      </c>
      <c r="BV32" s="38">
        <v>1.1167281175702922E-2</v>
      </c>
      <c r="BW32" s="4">
        <v>2097700</v>
      </c>
      <c r="BX32" s="4">
        <v>1247000</v>
      </c>
      <c r="BY32" s="19">
        <v>5440600</v>
      </c>
      <c r="BZ32" s="8">
        <v>8.0112300902048499E-3</v>
      </c>
      <c r="CA32" s="4">
        <v>709700</v>
      </c>
      <c r="CB32" s="4">
        <v>1578200</v>
      </c>
      <c r="CC32" s="19">
        <v>3903000</v>
      </c>
      <c r="CD32" s="38">
        <v>2.1223909878485055E-2</v>
      </c>
      <c r="CE32" s="4">
        <v>4245800</v>
      </c>
      <c r="CF32" s="4">
        <v>5209000</v>
      </c>
      <c r="CG32" s="19">
        <v>10340100</v>
      </c>
      <c r="CH32" s="8">
        <v>6.3568484728066671E-4</v>
      </c>
      <c r="CI32" s="4">
        <v>82500</v>
      </c>
      <c r="CJ32" s="4">
        <v>225700</v>
      </c>
      <c r="CK32" s="19">
        <v>309700</v>
      </c>
      <c r="CL32" s="8">
        <v>7.3539931250796659E-3</v>
      </c>
      <c r="CM32" s="4">
        <v>2055800</v>
      </c>
      <c r="CN32" s="4">
        <v>1511800</v>
      </c>
      <c r="CO32" s="19">
        <v>3582600</v>
      </c>
    </row>
    <row r="33" spans="1:93" x14ac:dyDescent="0.2">
      <c r="A33" s="33" t="s">
        <v>358</v>
      </c>
      <c r="B33" s="8">
        <v>0.33380000000000004</v>
      </c>
      <c r="C33" s="8">
        <v>0.35009999999999997</v>
      </c>
      <c r="D33" s="8">
        <v>0.36780000000000002</v>
      </c>
      <c r="E33" s="8">
        <v>8.2100000000000006E-2</v>
      </c>
      <c r="F33" s="8">
        <v>0.33696774264986629</v>
      </c>
      <c r="G33" s="4">
        <v>61708600</v>
      </c>
      <c r="H33" s="4">
        <v>77055200</v>
      </c>
      <c r="I33" s="19">
        <v>283197186</v>
      </c>
      <c r="J33" s="8">
        <v>9.3495770438101616E-2</v>
      </c>
      <c r="K33" s="4">
        <v>23298300</v>
      </c>
      <c r="L33" s="4">
        <v>49575800</v>
      </c>
      <c r="M33" s="19">
        <v>78576480</v>
      </c>
      <c r="N33" s="8">
        <v>7.8869152338202533E-2</v>
      </c>
      <c r="O33" s="4">
        <v>22568900</v>
      </c>
      <c r="P33" s="4">
        <v>36167700</v>
      </c>
      <c r="Q33" s="19">
        <v>66283858</v>
      </c>
      <c r="R33" s="8">
        <v>2.2995778230558091E-2</v>
      </c>
      <c r="S33" s="4">
        <v>6399100</v>
      </c>
      <c r="T33" s="4">
        <v>14966000</v>
      </c>
      <c r="U33" s="19">
        <v>19326300</v>
      </c>
      <c r="V33" s="8">
        <v>6.1771658017872884E-2</v>
      </c>
      <c r="W33" s="4">
        <v>13581100</v>
      </c>
      <c r="X33" s="4">
        <v>28181000</v>
      </c>
      <c r="Y33" s="19">
        <v>51914642</v>
      </c>
      <c r="Z33" s="8">
        <v>4.0989515703744053E-2</v>
      </c>
      <c r="AA33" s="4">
        <v>8651200</v>
      </c>
      <c r="AB33" s="4">
        <v>11500400</v>
      </c>
      <c r="AC33" s="19">
        <v>34448744</v>
      </c>
      <c r="AD33" s="38">
        <v>3.4037830654459568E-2</v>
      </c>
      <c r="AE33" s="4">
        <v>10119700</v>
      </c>
      <c r="AF33" s="4">
        <v>18844900</v>
      </c>
      <c r="AG33" s="19">
        <v>28606352</v>
      </c>
      <c r="AH33" s="38">
        <v>3.8156978596688602E-2</v>
      </c>
      <c r="AI33" s="4">
        <v>6921700</v>
      </c>
      <c r="AJ33" s="4">
        <v>13013900</v>
      </c>
      <c r="AK33" s="19">
        <v>32068200</v>
      </c>
      <c r="AL33" s="38">
        <v>3.3466336251281668E-2</v>
      </c>
      <c r="AM33" s="4">
        <v>12094700</v>
      </c>
      <c r="AN33" s="4">
        <v>14443400</v>
      </c>
      <c r="AO33" s="19">
        <v>28126052</v>
      </c>
      <c r="AP33" s="38">
        <v>1.2156065524019115E-2</v>
      </c>
      <c r="AQ33" s="4">
        <v>4685500</v>
      </c>
      <c r="AR33" s="4">
        <v>5297900</v>
      </c>
      <c r="AS33" s="19">
        <v>10216300</v>
      </c>
      <c r="AT33" s="38">
        <v>5.1603457779351132E-3</v>
      </c>
      <c r="AU33" s="4">
        <v>1422400</v>
      </c>
      <c r="AV33" s="4">
        <v>2785900</v>
      </c>
      <c r="AW33" s="19">
        <v>4336900</v>
      </c>
      <c r="AX33" s="38">
        <v>2.0168290930388105E-3</v>
      </c>
      <c r="AY33" s="4">
        <v>485300</v>
      </c>
      <c r="AZ33" s="4">
        <v>1025200</v>
      </c>
      <c r="BA33" s="19">
        <v>1695000</v>
      </c>
      <c r="BB33" s="38">
        <v>3.0101322947313175E-3</v>
      </c>
      <c r="BC33" s="4">
        <v>599100</v>
      </c>
      <c r="BD33" s="4">
        <v>1583100</v>
      </c>
      <c r="BE33" s="19">
        <v>2529800</v>
      </c>
      <c r="BF33" s="38">
        <v>3.3844898046719231E-2</v>
      </c>
      <c r="BG33" s="4">
        <v>5859900</v>
      </c>
      <c r="BH33" s="4">
        <v>14173400</v>
      </c>
      <c r="BI33" s="19">
        <v>28444206</v>
      </c>
      <c r="BJ33" s="38">
        <v>1.8032593857175504E-2</v>
      </c>
      <c r="BK33" s="4">
        <v>4006000</v>
      </c>
      <c r="BL33" s="4">
        <v>9411000</v>
      </c>
      <c r="BM33" s="19">
        <v>15155100</v>
      </c>
      <c r="BN33" s="38">
        <v>2.1934176509726688E-2</v>
      </c>
      <c r="BO33" s="4">
        <v>5125500</v>
      </c>
      <c r="BP33" s="4">
        <v>11558100</v>
      </c>
      <c r="BQ33" s="19">
        <v>18434100</v>
      </c>
      <c r="BR33" s="38">
        <v>2.4265012209050418E-3</v>
      </c>
      <c r="BS33" s="4">
        <v>526300</v>
      </c>
      <c r="BT33" s="4">
        <v>972300</v>
      </c>
      <c r="BU33" s="19">
        <v>2039300</v>
      </c>
      <c r="BV33" s="38">
        <v>7.7518819222646296E-3</v>
      </c>
      <c r="BW33" s="4">
        <v>1609800</v>
      </c>
      <c r="BX33" s="4">
        <v>3259100</v>
      </c>
      <c r="BY33" s="19">
        <v>6514900</v>
      </c>
      <c r="BZ33" s="8">
        <v>1.2110969463472702E-2</v>
      </c>
      <c r="CA33" s="4">
        <v>2670600</v>
      </c>
      <c r="CB33" s="4">
        <v>5027700</v>
      </c>
      <c r="CC33" s="19">
        <v>10178400</v>
      </c>
      <c r="CD33" s="38">
        <v>1.5702353092687475E-2</v>
      </c>
      <c r="CE33" s="4">
        <v>4189600</v>
      </c>
      <c r="CF33" s="4">
        <v>7925300</v>
      </c>
      <c r="CG33" s="19">
        <v>13196700</v>
      </c>
      <c r="CH33" s="8">
        <v>5.9303104423040899E-4</v>
      </c>
      <c r="CI33" s="4">
        <v>133400</v>
      </c>
      <c r="CJ33" s="4">
        <v>358600</v>
      </c>
      <c r="CK33" s="19">
        <v>498400</v>
      </c>
      <c r="CL33" s="8">
        <v>1.0183975530625295E-2</v>
      </c>
      <c r="CM33" s="4">
        <v>5664700</v>
      </c>
      <c r="CN33" s="4">
        <v>2821800</v>
      </c>
      <c r="CO33" s="19">
        <v>8558700</v>
      </c>
    </row>
    <row r="34" spans="1:93" x14ac:dyDescent="0.2">
      <c r="A34" s="33" t="s">
        <v>354</v>
      </c>
      <c r="B34" s="8">
        <v>0.3422</v>
      </c>
      <c r="C34" s="8">
        <v>0.37549999999999994</v>
      </c>
      <c r="D34" s="8">
        <v>0.35960000000000003</v>
      </c>
      <c r="E34" s="8">
        <v>7.8799999999999995E-2</v>
      </c>
      <c r="F34" s="8">
        <v>0.30045366250849664</v>
      </c>
      <c r="G34" s="4">
        <v>43151000</v>
      </c>
      <c r="H34" s="4">
        <v>48337400</v>
      </c>
      <c r="I34" s="19">
        <v>179367381</v>
      </c>
      <c r="J34" s="8">
        <v>6.6677133758317172E-2</v>
      </c>
      <c r="K34" s="4">
        <v>12560900</v>
      </c>
      <c r="L34" s="4">
        <v>22411600</v>
      </c>
      <c r="M34" s="19">
        <v>39805482</v>
      </c>
      <c r="N34" s="8">
        <v>0.10243626318167982</v>
      </c>
      <c r="O34" s="4">
        <v>28324500</v>
      </c>
      <c r="P34" s="4">
        <v>22280500</v>
      </c>
      <c r="Q34" s="19">
        <v>61153271</v>
      </c>
      <c r="R34" s="8">
        <v>2.6579574022915976E-2</v>
      </c>
      <c r="S34" s="4">
        <v>8723900</v>
      </c>
      <c r="T34" s="4">
        <v>7884200</v>
      </c>
      <c r="U34" s="19">
        <v>15867700</v>
      </c>
      <c r="V34" s="8">
        <v>4.4975067434255549E-2</v>
      </c>
      <c r="W34" s="4">
        <v>9075500</v>
      </c>
      <c r="X34" s="4">
        <v>13883200</v>
      </c>
      <c r="Y34" s="19">
        <v>26849598</v>
      </c>
      <c r="Z34" s="8">
        <v>3.1081496596804623E-2</v>
      </c>
      <c r="AA34" s="4">
        <v>8574400</v>
      </c>
      <c r="AB34" s="4">
        <v>7584000</v>
      </c>
      <c r="AC34" s="19">
        <v>18555296</v>
      </c>
      <c r="AD34" s="38">
        <v>2.7321779276019184E-2</v>
      </c>
      <c r="AE34" s="4">
        <v>7144200</v>
      </c>
      <c r="AF34" s="4">
        <v>9087600</v>
      </c>
      <c r="AG34" s="19">
        <v>16310788</v>
      </c>
      <c r="AH34" s="38">
        <v>5.0480704486737527E-2</v>
      </c>
      <c r="AI34" s="4">
        <v>7906500</v>
      </c>
      <c r="AJ34" s="4">
        <v>9087800</v>
      </c>
      <c r="AK34" s="19">
        <v>30136400</v>
      </c>
      <c r="AL34" s="38">
        <v>2.8022146202183369E-2</v>
      </c>
      <c r="AM34" s="4">
        <v>4617900</v>
      </c>
      <c r="AN34" s="4">
        <v>7225800</v>
      </c>
      <c r="AO34" s="19">
        <v>16728899</v>
      </c>
      <c r="AP34" s="38">
        <v>1.8054451665408047E-2</v>
      </c>
      <c r="AQ34" s="4">
        <v>6116900</v>
      </c>
      <c r="AR34" s="4">
        <v>4239100</v>
      </c>
      <c r="AS34" s="19">
        <v>10778300</v>
      </c>
      <c r="AT34" s="38">
        <v>6.1976068319533912E-3</v>
      </c>
      <c r="AU34" s="4">
        <v>1015000</v>
      </c>
      <c r="AV34" s="4">
        <v>1786200</v>
      </c>
      <c r="AW34" s="19">
        <v>3699900</v>
      </c>
      <c r="AX34" s="38">
        <v>2.0965228008521485E-3</v>
      </c>
      <c r="AY34" s="4">
        <v>595800</v>
      </c>
      <c r="AZ34" s="4">
        <v>596600</v>
      </c>
      <c r="BA34" s="19">
        <v>1251600</v>
      </c>
      <c r="BB34" s="38">
        <v>2.9891698131357136E-3</v>
      </c>
      <c r="BC34" s="4">
        <v>525600</v>
      </c>
      <c r="BD34" s="4">
        <v>836700</v>
      </c>
      <c r="BE34" s="19">
        <v>1784500</v>
      </c>
      <c r="BF34" s="38">
        <v>5.641063447019605E-2</v>
      </c>
      <c r="BG34" s="4">
        <v>7749700</v>
      </c>
      <c r="BH34" s="4">
        <v>7916500</v>
      </c>
      <c r="BI34" s="19">
        <v>33676500</v>
      </c>
      <c r="BJ34" s="38">
        <v>2.4316381344559202E-2</v>
      </c>
      <c r="BK34" s="4">
        <v>7479300</v>
      </c>
      <c r="BL34" s="4">
        <v>6017400</v>
      </c>
      <c r="BM34" s="19">
        <v>14516600</v>
      </c>
      <c r="BN34" s="38">
        <v>1.3902110365446085E-2</v>
      </c>
      <c r="BO34" s="4">
        <v>2810100</v>
      </c>
      <c r="BP34" s="4">
        <v>4390400</v>
      </c>
      <c r="BQ34" s="19">
        <v>8299400</v>
      </c>
      <c r="BR34" s="38">
        <v>8.3683354174633774E-3</v>
      </c>
      <c r="BS34" s="4">
        <v>1768100</v>
      </c>
      <c r="BT34" s="4">
        <v>1389200</v>
      </c>
      <c r="BU34" s="19">
        <v>4995800</v>
      </c>
      <c r="BV34" s="38">
        <v>9.3038643278787851E-3</v>
      </c>
      <c r="BW34" s="4">
        <v>1856100</v>
      </c>
      <c r="BX34" s="4">
        <v>1583000</v>
      </c>
      <c r="BY34" s="19">
        <v>5554300</v>
      </c>
      <c r="BZ34" s="8">
        <v>8.4303131608570569E-3</v>
      </c>
      <c r="CA34" s="4">
        <v>1726500</v>
      </c>
      <c r="CB34" s="4">
        <v>1993700</v>
      </c>
      <c r="CC34" s="19">
        <v>5032800</v>
      </c>
      <c r="CD34" s="38">
        <v>1.8343736970383412E-2</v>
      </c>
      <c r="CE34" s="4">
        <v>4336400</v>
      </c>
      <c r="CF34" s="4">
        <v>4371600</v>
      </c>
      <c r="CG34" s="19">
        <v>10951000</v>
      </c>
      <c r="CH34" s="8">
        <v>4.0687551000877822E-4</v>
      </c>
      <c r="CI34" s="4">
        <v>154500</v>
      </c>
      <c r="CJ34" s="4">
        <v>86800</v>
      </c>
      <c r="CK34" s="19">
        <v>242900</v>
      </c>
      <c r="CL34" s="8">
        <v>4.3325792780473651E-3</v>
      </c>
      <c r="CM34" s="4">
        <v>680300</v>
      </c>
      <c r="CN34" s="4">
        <v>1077200</v>
      </c>
      <c r="CO34" s="19">
        <v>2577800</v>
      </c>
    </row>
    <row r="35" spans="1:93" x14ac:dyDescent="0.2">
      <c r="A35" s="33" t="s">
        <v>353</v>
      </c>
      <c r="B35" s="8">
        <v>0.41070000000000001</v>
      </c>
      <c r="C35" s="8">
        <v>0.3669</v>
      </c>
      <c r="D35" s="8">
        <v>0.28029999999999999</v>
      </c>
      <c r="E35" s="8">
        <v>8.3000000000000004E-2</v>
      </c>
      <c r="F35" s="8">
        <v>0.42635248270974291</v>
      </c>
      <c r="G35" s="4">
        <v>46590300</v>
      </c>
      <c r="H35" s="4">
        <v>63243500</v>
      </c>
      <c r="I35" s="19">
        <v>374495770</v>
      </c>
      <c r="J35" s="8">
        <v>6.7487611781690493E-2</v>
      </c>
      <c r="K35" s="4">
        <v>23925500</v>
      </c>
      <c r="L35" s="4">
        <v>30465900</v>
      </c>
      <c r="M35" s="19">
        <v>59279179</v>
      </c>
      <c r="N35" s="8">
        <v>5.8877914159819522E-2</v>
      </c>
      <c r="O35" s="4">
        <v>16567700</v>
      </c>
      <c r="P35" s="4">
        <v>26279000</v>
      </c>
      <c r="Q35" s="19">
        <v>51716668</v>
      </c>
      <c r="R35" s="8">
        <v>2.6925288787850672E-2</v>
      </c>
      <c r="S35" s="4">
        <v>12769200</v>
      </c>
      <c r="T35" s="4">
        <v>10902200</v>
      </c>
      <c r="U35" s="19">
        <v>23650400</v>
      </c>
      <c r="V35" s="8">
        <v>5.221011180026465E-2</v>
      </c>
      <c r="W35" s="4">
        <v>20483200</v>
      </c>
      <c r="X35" s="4">
        <v>20696500</v>
      </c>
      <c r="Y35" s="19">
        <v>45859862</v>
      </c>
      <c r="Z35" s="8">
        <v>2.2400686089838463E-2</v>
      </c>
      <c r="AA35" s="4">
        <v>6175800</v>
      </c>
      <c r="AB35" s="4">
        <v>9153300</v>
      </c>
      <c r="AC35" s="19">
        <v>19676119</v>
      </c>
      <c r="AD35" s="38">
        <v>2.3181122593780294E-2</v>
      </c>
      <c r="AE35" s="4">
        <v>11030100</v>
      </c>
      <c r="AF35" s="4">
        <v>9497800</v>
      </c>
      <c r="AG35" s="19">
        <v>20361632</v>
      </c>
      <c r="AH35" s="38">
        <v>2.2826794063183758E-2</v>
      </c>
      <c r="AI35" s="4">
        <v>5687200</v>
      </c>
      <c r="AJ35" s="4">
        <v>7283200</v>
      </c>
      <c r="AK35" s="19">
        <v>20050400</v>
      </c>
      <c r="AL35" s="38">
        <v>2.3001031320166159E-2</v>
      </c>
      <c r="AM35" s="4">
        <v>7738400</v>
      </c>
      <c r="AN35" s="4">
        <v>9480700</v>
      </c>
      <c r="AO35" s="19">
        <v>20203445</v>
      </c>
      <c r="AP35" s="38">
        <v>1.00070441056527E-2</v>
      </c>
      <c r="AQ35" s="4">
        <v>4886700</v>
      </c>
      <c r="AR35" s="4">
        <v>3196000</v>
      </c>
      <c r="AS35" s="19">
        <v>8789900</v>
      </c>
      <c r="AT35" s="38">
        <v>4.4534699066533442E-3</v>
      </c>
      <c r="AU35" s="4">
        <v>1565000</v>
      </c>
      <c r="AV35" s="4">
        <v>2111500</v>
      </c>
      <c r="AW35" s="19">
        <v>3911800</v>
      </c>
      <c r="AX35" s="38">
        <v>1.6675181175610087E-3</v>
      </c>
      <c r="AY35" s="4">
        <v>629300</v>
      </c>
      <c r="AZ35" s="4">
        <v>664900</v>
      </c>
      <c r="BA35" s="19">
        <v>1464700</v>
      </c>
      <c r="BB35" s="38">
        <v>2.3677914801006252E-3</v>
      </c>
      <c r="BC35" s="4">
        <v>692900</v>
      </c>
      <c r="BD35" s="4">
        <v>1077700</v>
      </c>
      <c r="BE35" s="19">
        <v>2079800</v>
      </c>
      <c r="BF35" s="38">
        <v>4.817575624109726E-2</v>
      </c>
      <c r="BG35" s="4">
        <v>10361400</v>
      </c>
      <c r="BH35" s="4">
        <v>14332100</v>
      </c>
      <c r="BI35" s="19">
        <v>42316200</v>
      </c>
      <c r="BJ35" s="38">
        <v>1.431592822618585E-2</v>
      </c>
      <c r="BK35" s="4">
        <v>5340600</v>
      </c>
      <c r="BL35" s="4">
        <v>6188100</v>
      </c>
      <c r="BM35" s="19">
        <v>12574700</v>
      </c>
      <c r="BN35" s="38">
        <v>2.2622324715253151E-2</v>
      </c>
      <c r="BO35" s="4">
        <v>8862400</v>
      </c>
      <c r="BP35" s="4">
        <v>9687100</v>
      </c>
      <c r="BQ35" s="19">
        <v>19870800</v>
      </c>
      <c r="BR35" s="38">
        <v>1.5989821779985229E-3</v>
      </c>
      <c r="BS35" s="4">
        <v>357700</v>
      </c>
      <c r="BT35" s="4">
        <v>363700</v>
      </c>
      <c r="BU35" s="19">
        <v>1404500</v>
      </c>
      <c r="BV35" s="38">
        <v>6.3032924849798083E-3</v>
      </c>
      <c r="BW35" s="4">
        <v>1612100</v>
      </c>
      <c r="BX35" s="4">
        <v>1784200</v>
      </c>
      <c r="BY35" s="19">
        <v>5536631</v>
      </c>
      <c r="BZ35" s="8">
        <v>2.2173881084129179E-2</v>
      </c>
      <c r="CA35" s="4">
        <v>9786600</v>
      </c>
      <c r="CB35" s="4">
        <v>6809100</v>
      </c>
      <c r="CC35" s="19">
        <v>19476900</v>
      </c>
      <c r="CD35" s="38">
        <v>1.4433304561217284E-2</v>
      </c>
      <c r="CE35" s="4">
        <v>4400600</v>
      </c>
      <c r="CF35" s="4">
        <v>6436600</v>
      </c>
      <c r="CG35" s="19">
        <v>12677800</v>
      </c>
      <c r="CH35" s="8">
        <v>3.8264002137793063E-4</v>
      </c>
      <c r="CI35" s="4">
        <v>191700</v>
      </c>
      <c r="CJ35" s="4">
        <v>141400</v>
      </c>
      <c r="CK35" s="19">
        <v>336100</v>
      </c>
      <c r="CL35" s="8">
        <v>3.6427648806990915E-3</v>
      </c>
      <c r="CM35" s="4">
        <v>1262100</v>
      </c>
      <c r="CN35" s="4">
        <v>1809100</v>
      </c>
      <c r="CO35" s="19">
        <v>3190900</v>
      </c>
    </row>
    <row r="36" spans="1:93" x14ac:dyDescent="0.2">
      <c r="A36" s="33" t="s">
        <v>352</v>
      </c>
      <c r="B36" s="8">
        <v>0.3044</v>
      </c>
      <c r="C36" s="8">
        <v>0.41420000000000001</v>
      </c>
      <c r="D36" s="8">
        <v>0.28899999999999998</v>
      </c>
      <c r="E36" s="8">
        <v>6.6900000000000001E-2</v>
      </c>
      <c r="F36" s="8">
        <v>0.38790263907064371</v>
      </c>
      <c r="G36" s="4">
        <v>46172900</v>
      </c>
      <c r="H36" s="4">
        <v>58476900</v>
      </c>
      <c r="I36" s="19">
        <v>324016396</v>
      </c>
      <c r="J36" s="8">
        <v>7.1080455918695898E-2</v>
      </c>
      <c r="K36" s="4">
        <v>25045300</v>
      </c>
      <c r="L36" s="4">
        <v>27183600</v>
      </c>
      <c r="M36" s="19">
        <v>59373747</v>
      </c>
      <c r="N36" s="8">
        <v>6.8232044215761234E-2</v>
      </c>
      <c r="O36" s="4">
        <v>21651900</v>
      </c>
      <c r="P36" s="4">
        <v>23131800</v>
      </c>
      <c r="Q36" s="19">
        <v>56994459</v>
      </c>
      <c r="R36" s="8">
        <v>1.2469481044508656E-2</v>
      </c>
      <c r="S36" s="4">
        <v>5276300</v>
      </c>
      <c r="T36" s="4">
        <v>6604500</v>
      </c>
      <c r="U36" s="19">
        <v>10415800</v>
      </c>
      <c r="V36" s="8">
        <v>5.7105757740552349E-2</v>
      </c>
      <c r="W36" s="4">
        <v>23655500</v>
      </c>
      <c r="X36" s="4">
        <v>17514200</v>
      </c>
      <c r="Y36" s="19">
        <v>47700634</v>
      </c>
      <c r="Z36" s="8">
        <v>3.0485236605769045E-2</v>
      </c>
      <c r="AA36" s="4">
        <v>6479200</v>
      </c>
      <c r="AB36" s="4">
        <v>10829900</v>
      </c>
      <c r="AC36" s="19">
        <v>25464422</v>
      </c>
      <c r="AD36" s="38">
        <v>2.6325969480931376E-2</v>
      </c>
      <c r="AE36" s="4">
        <v>10388300</v>
      </c>
      <c r="AF36" s="4">
        <v>11771400</v>
      </c>
      <c r="AG36" s="19">
        <v>21990172</v>
      </c>
      <c r="AH36" s="38">
        <v>2.3632849853801687E-2</v>
      </c>
      <c r="AI36" s="4">
        <v>5712200</v>
      </c>
      <c r="AJ36" s="4">
        <v>8681000</v>
      </c>
      <c r="AK36" s="19">
        <v>19740600</v>
      </c>
      <c r="AL36" s="38">
        <v>3.2711604874371115E-2</v>
      </c>
      <c r="AM36" s="4">
        <v>13611000</v>
      </c>
      <c r="AN36" s="4">
        <v>11051200</v>
      </c>
      <c r="AO36" s="19">
        <v>27324115</v>
      </c>
      <c r="AP36" s="38">
        <v>1.1084714754431738E-2</v>
      </c>
      <c r="AQ36" s="4">
        <v>4645600</v>
      </c>
      <c r="AR36" s="4">
        <v>3854400</v>
      </c>
      <c r="AS36" s="19">
        <v>9259100</v>
      </c>
      <c r="AT36" s="38">
        <v>5.7235490241451872E-3</v>
      </c>
      <c r="AU36" s="4">
        <v>1610000</v>
      </c>
      <c r="AV36" s="4">
        <v>2449600</v>
      </c>
      <c r="AW36" s="19">
        <v>4780900</v>
      </c>
      <c r="AX36" s="38">
        <v>1.8738101471672795E-3</v>
      </c>
      <c r="AY36" s="4">
        <v>704900</v>
      </c>
      <c r="AZ36" s="4">
        <v>804200</v>
      </c>
      <c r="BA36" s="19">
        <v>1565200</v>
      </c>
      <c r="BB36" s="38">
        <v>7.5445639838028341E-3</v>
      </c>
      <c r="BC36" s="4">
        <v>1553900</v>
      </c>
      <c r="BD36" s="4">
        <v>2995700</v>
      </c>
      <c r="BE36" s="19">
        <v>6302000</v>
      </c>
      <c r="BF36" s="38">
        <v>3.2347169631501332E-2</v>
      </c>
      <c r="BG36" s="4">
        <v>6496900</v>
      </c>
      <c r="BH36" s="4">
        <v>7893800</v>
      </c>
      <c r="BI36" s="19">
        <v>27019701</v>
      </c>
      <c r="BJ36" s="38">
        <v>1.491936929212118E-2</v>
      </c>
      <c r="BK36" s="4">
        <v>5293700</v>
      </c>
      <c r="BL36" s="4">
        <v>6610800</v>
      </c>
      <c r="BM36" s="19">
        <v>12462200</v>
      </c>
      <c r="BN36" s="38">
        <v>1.7230505561675508E-2</v>
      </c>
      <c r="BO36" s="4">
        <v>5171200</v>
      </c>
      <c r="BP36" s="4">
        <v>7066600</v>
      </c>
      <c r="BQ36" s="19">
        <v>14392700</v>
      </c>
      <c r="BR36" s="38">
        <v>1.1175579941097977E-3</v>
      </c>
      <c r="BS36" s="4">
        <v>263100</v>
      </c>
      <c r="BT36" s="4">
        <v>367900</v>
      </c>
      <c r="BU36" s="19">
        <v>933500</v>
      </c>
      <c r="BV36" s="38">
        <v>1.3087819238357303E-2</v>
      </c>
      <c r="BW36" s="4">
        <v>4719600</v>
      </c>
      <c r="BX36" s="4">
        <v>3869000</v>
      </c>
      <c r="BY36" s="19">
        <v>10932300</v>
      </c>
      <c r="BZ36" s="8">
        <v>6.682721455726087E-3</v>
      </c>
      <c r="CA36" s="4">
        <v>2265900</v>
      </c>
      <c r="CB36" s="4">
        <v>1619100</v>
      </c>
      <c r="CC36" s="19">
        <v>5582100</v>
      </c>
      <c r="CD36" s="38">
        <v>2.4334562542973084E-2</v>
      </c>
      <c r="CE36" s="4">
        <v>8462800</v>
      </c>
      <c r="CF36" s="4">
        <v>10091400</v>
      </c>
      <c r="CG36" s="19">
        <v>20326743</v>
      </c>
      <c r="CH36" s="8">
        <v>4.9371281925107723E-4</v>
      </c>
      <c r="CI36" s="4">
        <v>267600</v>
      </c>
      <c r="CJ36" s="4">
        <v>137400</v>
      </c>
      <c r="CK36" s="19">
        <v>412400</v>
      </c>
      <c r="CL36" s="8">
        <v>2.4515642853112415E-3</v>
      </c>
      <c r="CM36" s="4">
        <v>980000</v>
      </c>
      <c r="CN36" s="4">
        <v>1109500</v>
      </c>
      <c r="CO36" s="19">
        <v>2047700</v>
      </c>
    </row>
    <row r="37" spans="1:93" x14ac:dyDescent="0.2">
      <c r="A37" s="33" t="s">
        <v>347</v>
      </c>
      <c r="B37" s="8">
        <v>0.33710000000000001</v>
      </c>
      <c r="C37" s="8">
        <v>0.30909999999999999</v>
      </c>
      <c r="D37" s="8">
        <v>0.43090000000000006</v>
      </c>
      <c r="E37" s="8">
        <v>8.4100000000000008E-2</v>
      </c>
      <c r="F37" s="8">
        <v>0.26112397155804701</v>
      </c>
      <c r="G37" s="4">
        <v>63193400</v>
      </c>
      <c r="H37" s="4">
        <v>111558500</v>
      </c>
      <c r="I37" s="19">
        <v>325648223</v>
      </c>
      <c r="J37" s="8">
        <v>0.13945277149041888</v>
      </c>
      <c r="K37" s="4">
        <v>54776500</v>
      </c>
      <c r="L37" s="4">
        <v>101767400</v>
      </c>
      <c r="M37" s="19">
        <v>173911828</v>
      </c>
      <c r="N37" s="8">
        <v>9.3683701492692034E-2</v>
      </c>
      <c r="O37" s="4">
        <v>33848300</v>
      </c>
      <c r="P37" s="4">
        <v>56601100</v>
      </c>
      <c r="Q37" s="19">
        <v>116833130</v>
      </c>
      <c r="R37" s="8">
        <v>2.3507700553862643E-2</v>
      </c>
      <c r="S37" s="4">
        <v>9589600</v>
      </c>
      <c r="T37" s="4">
        <v>14058300</v>
      </c>
      <c r="U37" s="19">
        <v>29316500</v>
      </c>
      <c r="V37" s="8">
        <v>6.8638866827430214E-2</v>
      </c>
      <c r="W37" s="4">
        <v>24552800</v>
      </c>
      <c r="X37" s="4">
        <v>45504300</v>
      </c>
      <c r="Y37" s="19">
        <v>85599667</v>
      </c>
      <c r="Z37" s="8">
        <v>2.7239090656438248E-2</v>
      </c>
      <c r="AA37" s="4">
        <v>8948600</v>
      </c>
      <c r="AB37" s="4">
        <v>22332700</v>
      </c>
      <c r="AC37" s="19">
        <v>33969924</v>
      </c>
      <c r="AD37" s="38">
        <v>3.4590737207904239E-2</v>
      </c>
      <c r="AE37" s="4">
        <v>14696300</v>
      </c>
      <c r="AF37" s="4">
        <v>26741600</v>
      </c>
      <c r="AG37" s="19">
        <v>43138177</v>
      </c>
      <c r="AH37" s="38">
        <v>3.7886476492046059E-2</v>
      </c>
      <c r="AI37" s="4">
        <v>11108700</v>
      </c>
      <c r="AJ37" s="4">
        <v>21373000</v>
      </c>
      <c r="AK37" s="19">
        <v>47248300</v>
      </c>
      <c r="AL37" s="38">
        <v>3.0824455812909685E-2</v>
      </c>
      <c r="AM37" s="4">
        <v>11093800</v>
      </c>
      <c r="AN37" s="4">
        <v>21725300</v>
      </c>
      <c r="AO37" s="19">
        <v>38441240</v>
      </c>
      <c r="AP37" s="38">
        <v>1.1289774357379261E-2</v>
      </c>
      <c r="AQ37" s="4">
        <v>5984600</v>
      </c>
      <c r="AR37" s="4">
        <v>7404900</v>
      </c>
      <c r="AS37" s="19">
        <v>14079500</v>
      </c>
      <c r="AT37" s="38">
        <v>9.5223166608321263E-3</v>
      </c>
      <c r="AU37" s="4">
        <v>2110500</v>
      </c>
      <c r="AV37" s="4">
        <v>6328500</v>
      </c>
      <c r="AW37" s="19">
        <v>11875300</v>
      </c>
      <c r="AX37" s="38">
        <v>2.6449320443066508E-3</v>
      </c>
      <c r="AY37" s="4">
        <v>904100</v>
      </c>
      <c r="AZ37" s="4">
        <v>2222700</v>
      </c>
      <c r="BA37" s="19">
        <v>3298500</v>
      </c>
      <c r="BB37" s="38">
        <v>3.474134477842351E-3</v>
      </c>
      <c r="BC37" s="4">
        <v>1074500</v>
      </c>
      <c r="BD37" s="4">
        <v>2410100</v>
      </c>
      <c r="BE37" s="19">
        <v>4332600</v>
      </c>
      <c r="BF37" s="38">
        <v>5.3510619705661538E-2</v>
      </c>
      <c r="BG37" s="4">
        <v>10516500</v>
      </c>
      <c r="BH37" s="4">
        <v>25685500</v>
      </c>
      <c r="BI37" s="19">
        <v>66733200</v>
      </c>
      <c r="BJ37" s="38">
        <v>2.3543704024770438E-2</v>
      </c>
      <c r="BK37" s="4">
        <v>8717000</v>
      </c>
      <c r="BL37" s="4">
        <v>19249200</v>
      </c>
      <c r="BM37" s="19">
        <v>29361400</v>
      </c>
      <c r="BN37" s="38">
        <v>2.4272834450081351E-2</v>
      </c>
      <c r="BO37" s="4">
        <v>11191800</v>
      </c>
      <c r="BP37" s="4">
        <v>16842100</v>
      </c>
      <c r="BQ37" s="19">
        <v>30270700</v>
      </c>
      <c r="BR37" s="38">
        <v>1.9072217272649292E-3</v>
      </c>
      <c r="BS37" s="4">
        <v>576700</v>
      </c>
      <c r="BT37" s="4">
        <v>1197700</v>
      </c>
      <c r="BU37" s="19">
        <v>2378500</v>
      </c>
      <c r="BV37" s="38">
        <v>9.5895926343101696E-3</v>
      </c>
      <c r="BW37" s="4">
        <v>3150700</v>
      </c>
      <c r="BX37" s="4">
        <v>4430300</v>
      </c>
      <c r="BY37" s="19">
        <v>11959200</v>
      </c>
      <c r="BZ37" s="8">
        <v>6.2794094632761003E-3</v>
      </c>
      <c r="CA37" s="4">
        <v>320700</v>
      </c>
      <c r="CB37" s="4">
        <v>474700</v>
      </c>
      <c r="CC37" s="19">
        <v>7831064</v>
      </c>
      <c r="CD37" s="38">
        <v>1.9990907175078312E-2</v>
      </c>
      <c r="CE37" s="4">
        <v>8779100</v>
      </c>
      <c r="CF37" s="4">
        <v>13793100</v>
      </c>
      <c r="CG37" s="19">
        <v>24930700</v>
      </c>
      <c r="CH37" s="8">
        <v>5.625041167443127E-4</v>
      </c>
      <c r="CI37" s="4">
        <v>248100</v>
      </c>
      <c r="CJ37" s="4">
        <v>446100</v>
      </c>
      <c r="CK37" s="19">
        <v>701500</v>
      </c>
      <c r="CL37" s="8">
        <v>4.1650964128367544E-3</v>
      </c>
      <c r="CM37" s="4">
        <v>1482800</v>
      </c>
      <c r="CN37" s="4">
        <v>3699600</v>
      </c>
      <c r="CO37" s="19">
        <v>5190900</v>
      </c>
    </row>
    <row r="38" spans="1:93" x14ac:dyDescent="0.2">
      <c r="A38" s="33" t="s">
        <v>346</v>
      </c>
      <c r="B38" s="8">
        <v>0.32250000000000001</v>
      </c>
      <c r="C38" s="8">
        <v>0.28660000000000002</v>
      </c>
      <c r="D38" s="8">
        <v>0.4239</v>
      </c>
      <c r="E38" s="8">
        <v>0.1038</v>
      </c>
      <c r="F38" s="8">
        <v>0.27686386602679613</v>
      </c>
      <c r="G38" s="4">
        <v>70878500</v>
      </c>
      <c r="H38" s="4">
        <v>59565600</v>
      </c>
      <c r="I38" s="19">
        <v>231112600</v>
      </c>
      <c r="J38" s="8">
        <v>9.296092027895593E-2</v>
      </c>
      <c r="K38" s="4">
        <v>21507300</v>
      </c>
      <c r="L38" s="4">
        <v>37770000</v>
      </c>
      <c r="M38" s="19">
        <v>77599292</v>
      </c>
      <c r="N38" s="8">
        <v>0.12391598042532793</v>
      </c>
      <c r="O38" s="4">
        <v>17004800</v>
      </c>
      <c r="P38" s="4">
        <v>30876000</v>
      </c>
      <c r="Q38" s="19">
        <v>103439083</v>
      </c>
      <c r="R38" s="8">
        <v>1.8061537197450083E-2</v>
      </c>
      <c r="S38" s="4">
        <v>5012200</v>
      </c>
      <c r="T38" s="4">
        <v>7709400</v>
      </c>
      <c r="U38" s="19">
        <v>15076900</v>
      </c>
      <c r="V38" s="8">
        <v>5.1905130330231038E-2</v>
      </c>
      <c r="W38" s="4">
        <v>12519700</v>
      </c>
      <c r="X38" s="4">
        <v>16496100</v>
      </c>
      <c r="Y38" s="19">
        <v>43327899</v>
      </c>
      <c r="Z38" s="8">
        <v>2.7302456894963703E-2</v>
      </c>
      <c r="AA38" s="4">
        <v>8697000</v>
      </c>
      <c r="AB38" s="4">
        <v>10687900</v>
      </c>
      <c r="AC38" s="19">
        <v>22790774</v>
      </c>
      <c r="AD38" s="38">
        <v>3.6192550139235287E-2</v>
      </c>
      <c r="AE38" s="4">
        <v>14017700</v>
      </c>
      <c r="AF38" s="4">
        <v>13413200</v>
      </c>
      <c r="AG38" s="19">
        <v>30211795</v>
      </c>
      <c r="AH38" s="38">
        <v>3.5290251953969523E-2</v>
      </c>
      <c r="AI38" s="4">
        <v>8984400</v>
      </c>
      <c r="AJ38" s="4">
        <v>10494900</v>
      </c>
      <c r="AK38" s="19">
        <v>29458600</v>
      </c>
      <c r="AL38" s="38">
        <v>2.6864113405728876E-2</v>
      </c>
      <c r="AM38" s="4">
        <v>9207500</v>
      </c>
      <c r="AN38" s="4">
        <v>9237200</v>
      </c>
      <c r="AO38" s="19">
        <v>22424866</v>
      </c>
      <c r="AP38" s="38">
        <v>2.0259675714227484E-2</v>
      </c>
      <c r="AQ38" s="4">
        <v>8672100</v>
      </c>
      <c r="AR38" s="4">
        <v>7114400</v>
      </c>
      <c r="AS38" s="19">
        <v>16911800</v>
      </c>
      <c r="AT38" s="38">
        <v>1.0647117388175097E-2</v>
      </c>
      <c r="AU38" s="4">
        <v>1525300</v>
      </c>
      <c r="AV38" s="4">
        <v>3281700</v>
      </c>
      <c r="AW38" s="19">
        <v>8887700</v>
      </c>
      <c r="AX38" s="38">
        <v>2.4003543223428381E-3</v>
      </c>
      <c r="AY38" s="4">
        <v>664700</v>
      </c>
      <c r="AZ38" s="4">
        <v>1279800</v>
      </c>
      <c r="BA38" s="19">
        <v>2003700</v>
      </c>
      <c r="BB38" s="38">
        <v>1.1137323002140605E-2</v>
      </c>
      <c r="BC38" s="4">
        <v>1281600</v>
      </c>
      <c r="BD38" s="4">
        <v>1558600</v>
      </c>
      <c r="BE38" s="19">
        <v>9296900</v>
      </c>
      <c r="BF38" s="38">
        <v>4.8087833805614655E-2</v>
      </c>
      <c r="BG38" s="4">
        <v>9101100</v>
      </c>
      <c r="BH38" s="4">
        <v>12702100</v>
      </c>
      <c r="BI38" s="19">
        <v>40141404</v>
      </c>
      <c r="BJ38" s="38">
        <v>2.8763880584656974E-2</v>
      </c>
      <c r="BK38" s="4">
        <v>11558600</v>
      </c>
      <c r="BL38" s="4">
        <v>10382200</v>
      </c>
      <c r="BM38" s="19">
        <v>24010700</v>
      </c>
      <c r="BN38" s="38">
        <v>3.0980827088089451E-2</v>
      </c>
      <c r="BO38" s="4">
        <v>12450800</v>
      </c>
      <c r="BP38" s="4">
        <v>10499300</v>
      </c>
      <c r="BQ38" s="19">
        <v>25861300</v>
      </c>
      <c r="BR38" s="38">
        <v>1.4441419052674009E-3</v>
      </c>
      <c r="BS38" s="4">
        <v>329600</v>
      </c>
      <c r="BT38" s="4">
        <v>428700</v>
      </c>
      <c r="BU38" s="19">
        <v>1205500</v>
      </c>
      <c r="BV38" s="38">
        <v>1.2505633980320967E-2</v>
      </c>
      <c r="BW38" s="4">
        <v>3044000</v>
      </c>
      <c r="BX38" s="4">
        <v>3746100</v>
      </c>
      <c r="BY38" s="19">
        <v>10439100</v>
      </c>
      <c r="BZ38" s="8">
        <v>1.0673951713084254E-2</v>
      </c>
      <c r="CA38" s="4">
        <v>252000</v>
      </c>
      <c r="CB38" s="4">
        <v>296200</v>
      </c>
      <c r="CC38" s="19">
        <v>8910100</v>
      </c>
      <c r="CD38" s="38">
        <v>1.9828829064514154E-2</v>
      </c>
      <c r="CE38" s="4">
        <v>8114700</v>
      </c>
      <c r="CF38" s="4">
        <v>6822200</v>
      </c>
      <c r="CG38" s="19">
        <v>16552150</v>
      </c>
      <c r="CH38" s="8">
        <v>8.9164232276277603E-4</v>
      </c>
      <c r="CI38" s="4">
        <v>76900</v>
      </c>
      <c r="CJ38" s="4">
        <v>658400</v>
      </c>
      <c r="CK38" s="19">
        <v>744300</v>
      </c>
      <c r="CL38" s="8">
        <v>4.1338037930370971E-3</v>
      </c>
      <c r="CM38" s="4">
        <v>806900</v>
      </c>
      <c r="CN38" s="4">
        <v>2626800</v>
      </c>
      <c r="CO38" s="19">
        <v>3450500</v>
      </c>
    </row>
    <row r="39" spans="1:93" x14ac:dyDescent="0.2">
      <c r="A39" s="33" t="s">
        <v>345</v>
      </c>
      <c r="B39" s="8">
        <v>0.37909999999999999</v>
      </c>
      <c r="C39" s="8">
        <v>0.34189999999999998</v>
      </c>
      <c r="D39" s="8">
        <v>0.39539999999999997</v>
      </c>
      <c r="E39" s="8">
        <v>7.4800000000000005E-2</v>
      </c>
      <c r="F39" s="8">
        <v>0.28748551151890578</v>
      </c>
      <c r="G39" s="4">
        <v>109006700</v>
      </c>
      <c r="H39" s="4">
        <v>71966200</v>
      </c>
      <c r="I39" s="19">
        <v>268093214</v>
      </c>
      <c r="J39" s="8">
        <v>9.1983713333011863E-2</v>
      </c>
      <c r="K39" s="4">
        <v>27422400</v>
      </c>
      <c r="L39" s="4">
        <v>48298200</v>
      </c>
      <c r="M39" s="19">
        <v>85778964</v>
      </c>
      <c r="N39" s="8">
        <v>0.1140638436296763</v>
      </c>
      <c r="O39" s="4">
        <v>36980400</v>
      </c>
      <c r="P39" s="4">
        <v>44822800</v>
      </c>
      <c r="Q39" s="19">
        <v>106369682</v>
      </c>
      <c r="R39" s="8">
        <v>1.6086728139273292E-2</v>
      </c>
      <c r="S39" s="4">
        <v>5125800</v>
      </c>
      <c r="T39" s="4">
        <v>6513500</v>
      </c>
      <c r="U39" s="19">
        <v>15001600</v>
      </c>
      <c r="V39" s="8">
        <v>6.3367081158456018E-2</v>
      </c>
      <c r="W39" s="4">
        <v>16809500</v>
      </c>
      <c r="X39" s="4">
        <v>29633500</v>
      </c>
      <c r="Y39" s="19">
        <v>59092663</v>
      </c>
      <c r="Z39" s="8">
        <v>2.0844616902514285E-2</v>
      </c>
      <c r="AA39" s="4">
        <v>8433900</v>
      </c>
      <c r="AB39" s="4">
        <v>8512000</v>
      </c>
      <c r="AC39" s="19">
        <v>19438546</v>
      </c>
      <c r="AD39" s="38">
        <v>2.7769300529434646E-2</v>
      </c>
      <c r="AE39" s="4">
        <v>12084300</v>
      </c>
      <c r="AF39" s="4">
        <v>12535500</v>
      </c>
      <c r="AG39" s="19">
        <v>25896126</v>
      </c>
      <c r="AH39" s="38">
        <v>3.8814223351513057E-2</v>
      </c>
      <c r="AI39" s="4">
        <v>11510400</v>
      </c>
      <c r="AJ39" s="4">
        <v>10686300</v>
      </c>
      <c r="AK39" s="19">
        <v>36196015</v>
      </c>
      <c r="AL39" s="38">
        <v>3.7527682936344661E-2</v>
      </c>
      <c r="AM39" s="4">
        <v>10440400</v>
      </c>
      <c r="AN39" s="4">
        <v>20805900</v>
      </c>
      <c r="AO39" s="19">
        <v>34996258</v>
      </c>
      <c r="AP39" s="38">
        <v>1.0961614253498259E-2</v>
      </c>
      <c r="AQ39" s="4">
        <v>4672100</v>
      </c>
      <c r="AR39" s="4">
        <v>4278700</v>
      </c>
      <c r="AS39" s="19">
        <v>10222200</v>
      </c>
      <c r="AT39" s="38">
        <v>6.2726186707203983E-3</v>
      </c>
      <c r="AU39" s="4">
        <v>1208000</v>
      </c>
      <c r="AV39" s="4">
        <v>2995400</v>
      </c>
      <c r="AW39" s="19">
        <v>5849500</v>
      </c>
      <c r="AX39" s="38">
        <v>3.2934599065533054E-3</v>
      </c>
      <c r="AY39" s="4">
        <v>961700</v>
      </c>
      <c r="AZ39" s="4">
        <v>2083300</v>
      </c>
      <c r="BA39" s="19">
        <v>3071300</v>
      </c>
      <c r="BB39" s="38">
        <v>4.7435773915375252E-3</v>
      </c>
      <c r="BC39" s="4">
        <v>1478200</v>
      </c>
      <c r="BD39" s="4">
        <v>2251100</v>
      </c>
      <c r="BE39" s="19">
        <v>4423600</v>
      </c>
      <c r="BF39" s="38">
        <v>3.252335891505502E-2</v>
      </c>
      <c r="BG39" s="4">
        <v>9763500</v>
      </c>
      <c r="BH39" s="4">
        <v>14185400</v>
      </c>
      <c r="BI39" s="19">
        <v>30329500</v>
      </c>
      <c r="BJ39" s="38">
        <v>1.708614357668015E-2</v>
      </c>
      <c r="BK39" s="4">
        <v>6973800</v>
      </c>
      <c r="BL39" s="4">
        <v>8426700</v>
      </c>
      <c r="BM39" s="19">
        <v>15933600</v>
      </c>
      <c r="BN39" s="38">
        <v>2.7336264114814192E-2</v>
      </c>
      <c r="BO39" s="4">
        <v>10137600</v>
      </c>
      <c r="BP39" s="4">
        <v>13363100</v>
      </c>
      <c r="BQ39" s="19">
        <v>25492300</v>
      </c>
      <c r="BR39" s="38">
        <v>1.6370253291258673E-3</v>
      </c>
      <c r="BS39" s="4">
        <v>874300</v>
      </c>
      <c r="BT39" s="4">
        <v>931500</v>
      </c>
      <c r="BU39" s="19">
        <v>1526600</v>
      </c>
      <c r="BV39" s="38">
        <v>1.2244340376058432E-2</v>
      </c>
      <c r="BW39" s="4">
        <v>3688400</v>
      </c>
      <c r="BX39" s="4">
        <v>4011600</v>
      </c>
      <c r="BY39" s="19">
        <v>11418400</v>
      </c>
      <c r="BZ39" s="8">
        <v>6.2294036040599944E-3</v>
      </c>
      <c r="CA39" s="4">
        <v>199900</v>
      </c>
      <c r="CB39" s="4">
        <v>231300</v>
      </c>
      <c r="CC39" s="19">
        <v>5809200</v>
      </c>
      <c r="CD39" s="38">
        <v>1.6952316273473739E-2</v>
      </c>
      <c r="CE39" s="4">
        <v>8049700</v>
      </c>
      <c r="CF39" s="4">
        <v>5578700</v>
      </c>
      <c r="CG39" s="19">
        <v>15808800</v>
      </c>
      <c r="CH39" s="8">
        <v>5.7498557675703522E-4</v>
      </c>
      <c r="CI39" s="4">
        <v>190900</v>
      </c>
      <c r="CJ39" s="4">
        <v>344300</v>
      </c>
      <c r="CK39" s="19">
        <v>536200</v>
      </c>
      <c r="CL39" s="8">
        <v>5.4802709596689751E-3</v>
      </c>
      <c r="CM39" s="4">
        <v>2274600</v>
      </c>
      <c r="CN39" s="4">
        <v>2828700</v>
      </c>
      <c r="CO39" s="19">
        <v>5109000</v>
      </c>
    </row>
    <row r="40" spans="1:93" x14ac:dyDescent="0.2">
      <c r="A40" s="33" t="s">
        <v>344</v>
      </c>
      <c r="B40" s="8">
        <v>0.33779999999999999</v>
      </c>
      <c r="C40" s="8">
        <v>0.40029999999999999</v>
      </c>
      <c r="D40" s="8">
        <v>0.36099999999999999</v>
      </c>
      <c r="E40" s="8">
        <v>8.1099999999999992E-2</v>
      </c>
      <c r="F40" s="8">
        <v>0.36700353968999194</v>
      </c>
      <c r="G40" s="4">
        <v>74727200</v>
      </c>
      <c r="H40" s="4">
        <v>66156400</v>
      </c>
      <c r="I40" s="19">
        <v>368792995</v>
      </c>
      <c r="J40" s="8">
        <v>8.4504279555018824E-2</v>
      </c>
      <c r="K40" s="4">
        <v>26597100</v>
      </c>
      <c r="L40" s="4">
        <v>44198100</v>
      </c>
      <c r="M40" s="19">
        <v>84916310</v>
      </c>
      <c r="N40" s="8">
        <v>7.4826147703242696E-2</v>
      </c>
      <c r="O40" s="4">
        <v>22168400</v>
      </c>
      <c r="P40" s="4">
        <v>33651200</v>
      </c>
      <c r="Q40" s="19">
        <v>75190989</v>
      </c>
      <c r="R40" s="8">
        <v>1.6974634179014351E-2</v>
      </c>
      <c r="S40" s="4">
        <v>5001500</v>
      </c>
      <c r="T40" s="4">
        <v>8300900</v>
      </c>
      <c r="U40" s="19">
        <v>17057400</v>
      </c>
      <c r="V40" s="8">
        <v>4.6399166484897114E-2</v>
      </c>
      <c r="W40" s="4">
        <v>18139300</v>
      </c>
      <c r="X40" s="4">
        <v>20315600</v>
      </c>
      <c r="Y40" s="19">
        <v>46625402</v>
      </c>
      <c r="Z40" s="8">
        <v>2.7478773539600619E-2</v>
      </c>
      <c r="AA40" s="4">
        <v>10021900</v>
      </c>
      <c r="AB40" s="4">
        <v>13579600</v>
      </c>
      <c r="AC40" s="19">
        <v>27612756</v>
      </c>
      <c r="AD40" s="38">
        <v>2.4077753413784139E-2</v>
      </c>
      <c r="AE40" s="4">
        <v>11843800</v>
      </c>
      <c r="AF40" s="4">
        <v>10205300</v>
      </c>
      <c r="AG40" s="19">
        <v>24195153</v>
      </c>
      <c r="AH40" s="38">
        <v>3.2967555047817433E-2</v>
      </c>
      <c r="AI40" s="4">
        <v>8738100</v>
      </c>
      <c r="AJ40" s="4">
        <v>12024100</v>
      </c>
      <c r="AK40" s="19">
        <v>33128300</v>
      </c>
      <c r="AL40" s="38">
        <v>3.432981586432847E-2</v>
      </c>
      <c r="AM40" s="4">
        <v>9853100</v>
      </c>
      <c r="AN40" s="4">
        <v>12070400</v>
      </c>
      <c r="AO40" s="19">
        <v>34497203</v>
      </c>
      <c r="AP40" s="38">
        <v>1.020623589409706E-2</v>
      </c>
      <c r="AQ40" s="4">
        <v>5232900</v>
      </c>
      <c r="AR40" s="4">
        <v>4005600</v>
      </c>
      <c r="AS40" s="19">
        <v>10256000</v>
      </c>
      <c r="AT40" s="38">
        <v>1.3141722891016668E-2</v>
      </c>
      <c r="AU40" s="4">
        <v>3813800</v>
      </c>
      <c r="AV40" s="4">
        <v>4445300</v>
      </c>
      <c r="AW40" s="19">
        <v>13205800</v>
      </c>
      <c r="AX40" s="38">
        <v>2.3295414980978751E-3</v>
      </c>
      <c r="AY40" s="4">
        <v>810800</v>
      </c>
      <c r="AZ40" s="4">
        <v>1262700</v>
      </c>
      <c r="BA40" s="19">
        <v>2340900</v>
      </c>
      <c r="BB40" s="38">
        <v>4.0543316747407203E-3</v>
      </c>
      <c r="BC40" s="4">
        <v>1138900</v>
      </c>
      <c r="BD40" s="4">
        <v>2380700</v>
      </c>
      <c r="BE40" s="19">
        <v>4074100</v>
      </c>
      <c r="BF40" s="38">
        <v>4.2291393382700777E-2</v>
      </c>
      <c r="BG40" s="4">
        <v>12786500</v>
      </c>
      <c r="BH40" s="4">
        <v>18747500</v>
      </c>
      <c r="BI40" s="19">
        <v>42497600</v>
      </c>
      <c r="BJ40" s="38">
        <v>2.6059836070118008E-2</v>
      </c>
      <c r="BK40" s="4">
        <v>13106600</v>
      </c>
      <c r="BL40" s="4">
        <v>12139000</v>
      </c>
      <c r="BM40" s="19">
        <v>26186900</v>
      </c>
      <c r="BN40" s="38">
        <v>3.6443904877073406E-2</v>
      </c>
      <c r="BO40" s="4">
        <v>13100000</v>
      </c>
      <c r="BP40" s="4">
        <v>21102600</v>
      </c>
      <c r="BQ40" s="19">
        <v>36621600</v>
      </c>
      <c r="BR40" s="38">
        <v>1.5889525011802627E-3</v>
      </c>
      <c r="BS40" s="4">
        <v>444900</v>
      </c>
      <c r="BT40" s="4">
        <v>558900</v>
      </c>
      <c r="BU40" s="19">
        <v>1596700</v>
      </c>
      <c r="BV40" s="38">
        <v>8.9677744500444283E-3</v>
      </c>
      <c r="BW40" s="4">
        <v>3739100</v>
      </c>
      <c r="BX40" s="4">
        <v>2250300</v>
      </c>
      <c r="BY40" s="19">
        <v>9011500</v>
      </c>
      <c r="BZ40" s="8">
        <v>6.4269441650121927E-3</v>
      </c>
      <c r="CA40" s="4">
        <v>154100</v>
      </c>
      <c r="CB40" s="4">
        <v>155900</v>
      </c>
      <c r="CC40" s="19">
        <v>6458281</v>
      </c>
      <c r="CD40" s="38">
        <v>1.7553412142743568E-2</v>
      </c>
      <c r="CE40" s="4">
        <v>7605200</v>
      </c>
      <c r="CF40" s="4">
        <v>8583300</v>
      </c>
      <c r="CG40" s="19">
        <v>17639000</v>
      </c>
      <c r="CH40" s="8">
        <v>4.8981174990976725E-4</v>
      </c>
      <c r="CI40" s="4">
        <v>161100</v>
      </c>
      <c r="CJ40" s="4">
        <v>299000</v>
      </c>
      <c r="CK40" s="19">
        <v>492200</v>
      </c>
      <c r="CL40" s="8">
        <v>2.798654173651439E-3</v>
      </c>
      <c r="CM40" s="4">
        <v>1003500</v>
      </c>
      <c r="CN40" s="4">
        <v>1680500</v>
      </c>
      <c r="CO40" s="19">
        <v>2811800</v>
      </c>
    </row>
    <row r="41" spans="1:93" x14ac:dyDescent="0.2">
      <c r="A41" s="33" t="s">
        <v>343</v>
      </c>
      <c r="B41" s="8">
        <v>0.36570000000000003</v>
      </c>
      <c r="C41" s="8">
        <v>0.35189999999999999</v>
      </c>
      <c r="D41" s="8">
        <v>0.35229999999999995</v>
      </c>
      <c r="E41" s="8">
        <v>7.5600000000000001E-2</v>
      </c>
      <c r="F41" s="8">
        <v>0.3100749217582553</v>
      </c>
      <c r="G41" s="4">
        <v>55769600</v>
      </c>
      <c r="H41" s="4">
        <v>57178900</v>
      </c>
      <c r="I41" s="19">
        <v>249700057</v>
      </c>
      <c r="J41" s="8">
        <v>9.0473433880784951E-2</v>
      </c>
      <c r="K41" s="4">
        <v>24301600</v>
      </c>
      <c r="L41" s="4">
        <v>39780000</v>
      </c>
      <c r="M41" s="19">
        <v>72857300</v>
      </c>
      <c r="N41" s="8">
        <v>7.9578469072914562E-2</v>
      </c>
      <c r="O41" s="4">
        <v>18936000</v>
      </c>
      <c r="P41" s="4">
        <v>21741400</v>
      </c>
      <c r="Q41" s="19">
        <v>64083700</v>
      </c>
      <c r="R41" s="8">
        <v>1.4024274477314325E-2</v>
      </c>
      <c r="S41" s="4">
        <v>3891300</v>
      </c>
      <c r="T41" s="4">
        <v>4627300</v>
      </c>
      <c r="U41" s="19">
        <v>11293600</v>
      </c>
      <c r="V41" s="8">
        <v>4.6447027126631971E-2</v>
      </c>
      <c r="W41" s="4">
        <v>12618000</v>
      </c>
      <c r="X41" s="4">
        <v>15571200</v>
      </c>
      <c r="Y41" s="19">
        <v>37403300</v>
      </c>
      <c r="Z41" s="8">
        <v>3.0957565157660148E-2</v>
      </c>
      <c r="AA41" s="4">
        <v>6069400</v>
      </c>
      <c r="AB41" s="4">
        <v>10024600</v>
      </c>
      <c r="AC41" s="19">
        <v>24929800</v>
      </c>
      <c r="AD41" s="38">
        <v>4.2280574823886613E-2</v>
      </c>
      <c r="AE41" s="4">
        <v>19690100</v>
      </c>
      <c r="AF41" s="4">
        <v>11723600</v>
      </c>
      <c r="AG41" s="19">
        <v>34048100</v>
      </c>
      <c r="AH41" s="38">
        <v>2.6753859168373785E-2</v>
      </c>
      <c r="AI41" s="4">
        <v>5310000</v>
      </c>
      <c r="AJ41" s="4">
        <v>8465300</v>
      </c>
      <c r="AK41" s="19">
        <v>21544600</v>
      </c>
      <c r="AL41" s="38">
        <v>2.4870312776860862E-2</v>
      </c>
      <c r="AM41" s="4">
        <v>7267400</v>
      </c>
      <c r="AN41" s="4">
        <v>9240000</v>
      </c>
      <c r="AO41" s="19">
        <v>20027800</v>
      </c>
      <c r="AP41" s="38">
        <v>1.1624640348253423E-2</v>
      </c>
      <c r="AQ41" s="4">
        <v>5183100</v>
      </c>
      <c r="AR41" s="4">
        <v>3339000</v>
      </c>
      <c r="AS41" s="19">
        <v>9361200</v>
      </c>
      <c r="AT41" s="38">
        <v>6.1382899313604548E-3</v>
      </c>
      <c r="AU41" s="4">
        <v>1819500</v>
      </c>
      <c r="AV41" s="4">
        <v>1773300</v>
      </c>
      <c r="AW41" s="19">
        <v>4943100</v>
      </c>
      <c r="AX41" s="38">
        <v>2.9523546583741949E-3</v>
      </c>
      <c r="AY41" s="4">
        <v>1256700</v>
      </c>
      <c r="AZ41" s="4">
        <v>1009900</v>
      </c>
      <c r="BA41" s="19">
        <v>2377500</v>
      </c>
      <c r="BB41" s="38">
        <v>5.3043040686626174E-3</v>
      </c>
      <c r="BC41" s="4">
        <v>1357100</v>
      </c>
      <c r="BD41" s="4">
        <v>1767000</v>
      </c>
      <c r="BE41" s="19">
        <v>4271500</v>
      </c>
      <c r="BF41" s="38">
        <v>6.8379638361824771E-2</v>
      </c>
      <c r="BG41" s="4">
        <v>11253200</v>
      </c>
      <c r="BH41" s="4">
        <v>12372700</v>
      </c>
      <c r="BI41" s="19">
        <v>55065400</v>
      </c>
      <c r="BJ41" s="38">
        <v>3.0385721069255807E-2</v>
      </c>
      <c r="BK41" s="4">
        <v>14293500</v>
      </c>
      <c r="BL41" s="4">
        <v>9266500</v>
      </c>
      <c r="BM41" s="19">
        <v>24469300</v>
      </c>
      <c r="BN41" s="38">
        <v>1.5539506087891902E-2</v>
      </c>
      <c r="BO41" s="4">
        <v>6009800</v>
      </c>
      <c r="BP41" s="4">
        <v>5247900</v>
      </c>
      <c r="BQ41" s="19">
        <v>12513800</v>
      </c>
      <c r="BR41" s="38">
        <v>2.2635339942311174E-3</v>
      </c>
      <c r="BS41" s="4">
        <v>578200</v>
      </c>
      <c r="BT41" s="4">
        <v>526000</v>
      </c>
      <c r="BU41" s="19">
        <v>1822800</v>
      </c>
      <c r="BV41" s="38">
        <v>9.9509563909214605E-3</v>
      </c>
      <c r="BW41" s="4">
        <v>3145200</v>
      </c>
      <c r="BX41" s="4">
        <v>1852000</v>
      </c>
      <c r="BY41" s="19">
        <v>8013400</v>
      </c>
      <c r="BZ41" s="8">
        <v>6.4044054322183264E-3</v>
      </c>
      <c r="CA41" s="4">
        <v>124000</v>
      </c>
      <c r="CB41" s="4">
        <v>217900</v>
      </c>
      <c r="CC41" s="19">
        <v>5157400</v>
      </c>
      <c r="CD41" s="38">
        <v>1.8376995212764681E-2</v>
      </c>
      <c r="CE41" s="4">
        <v>4628600</v>
      </c>
      <c r="CF41" s="4">
        <v>8624800</v>
      </c>
      <c r="CG41" s="19">
        <v>14798800</v>
      </c>
      <c r="CH41" s="8">
        <v>5.1795042187502698E-4</v>
      </c>
      <c r="CI41" s="4">
        <v>60400</v>
      </c>
      <c r="CJ41" s="4">
        <v>328700</v>
      </c>
      <c r="CK41" s="19">
        <v>417100</v>
      </c>
      <c r="CL41" s="8">
        <v>2.8658019266439398E-3</v>
      </c>
      <c r="CM41" s="4">
        <v>871200</v>
      </c>
      <c r="CN41" s="4">
        <v>1432500</v>
      </c>
      <c r="CO41" s="19">
        <v>2307300</v>
      </c>
    </row>
    <row r="42" spans="1:93" x14ac:dyDescent="0.2">
      <c r="A42" s="33" t="s">
        <v>341</v>
      </c>
      <c r="B42" s="8">
        <v>0.33679999999999999</v>
      </c>
      <c r="C42" s="8">
        <v>0.30760000000000004</v>
      </c>
      <c r="D42" s="8">
        <v>0.41920000000000002</v>
      </c>
      <c r="E42" s="8">
        <v>8.9700000000000002E-2</v>
      </c>
      <c r="F42" s="8">
        <v>0.26115101243762384</v>
      </c>
      <c r="G42" s="4">
        <v>53401600</v>
      </c>
      <c r="H42" s="4">
        <v>69777900</v>
      </c>
      <c r="I42" s="19">
        <v>235180885</v>
      </c>
      <c r="J42" s="8">
        <v>0.11080698586079017</v>
      </c>
      <c r="K42" s="4">
        <v>34120200</v>
      </c>
      <c r="L42" s="4">
        <v>51545000</v>
      </c>
      <c r="M42" s="19">
        <v>99787800</v>
      </c>
      <c r="N42" s="8">
        <v>9.1006310336575122E-2</v>
      </c>
      <c r="O42" s="4">
        <v>20174400</v>
      </c>
      <c r="P42" s="4">
        <v>36728800</v>
      </c>
      <c r="Q42" s="19">
        <v>81956200</v>
      </c>
      <c r="R42" s="8">
        <v>2.3179813441605454E-2</v>
      </c>
      <c r="S42" s="4">
        <v>6039300</v>
      </c>
      <c r="T42" s="4">
        <v>9059500</v>
      </c>
      <c r="U42" s="19">
        <v>20874700</v>
      </c>
      <c r="V42" s="8">
        <v>0.1104678617045117</v>
      </c>
      <c r="W42" s="4">
        <v>47921800</v>
      </c>
      <c r="X42" s="4">
        <v>36118900</v>
      </c>
      <c r="Y42" s="19">
        <v>99482400</v>
      </c>
      <c r="Z42" s="8">
        <v>3.2108084123142651E-2</v>
      </c>
      <c r="AA42" s="4">
        <v>8841200</v>
      </c>
      <c r="AB42" s="4">
        <v>16340000</v>
      </c>
      <c r="AC42" s="19">
        <v>28915100</v>
      </c>
      <c r="AD42" s="38">
        <v>2.6069697582780091E-2</v>
      </c>
      <c r="AE42" s="4">
        <v>8219100</v>
      </c>
      <c r="AF42" s="4">
        <v>12516200</v>
      </c>
      <c r="AG42" s="19">
        <v>23477200</v>
      </c>
      <c r="AH42" s="38">
        <v>3.5741176508577874E-2</v>
      </c>
      <c r="AI42" s="4">
        <v>6951100</v>
      </c>
      <c r="AJ42" s="4">
        <v>12098400</v>
      </c>
      <c r="AK42" s="19">
        <v>32186900</v>
      </c>
      <c r="AL42" s="38">
        <v>4.0693954891161614E-2</v>
      </c>
      <c r="AM42" s="4">
        <v>14092300</v>
      </c>
      <c r="AN42" s="4">
        <v>13891900</v>
      </c>
      <c r="AO42" s="19">
        <v>36647150</v>
      </c>
      <c r="AP42" s="38">
        <v>1.1864903765014791E-2</v>
      </c>
      <c r="AQ42" s="4">
        <v>4995800</v>
      </c>
      <c r="AR42" s="4">
        <v>5117900</v>
      </c>
      <c r="AS42" s="19">
        <v>10685000</v>
      </c>
      <c r="AT42" s="38">
        <v>7.2684056232363891E-3</v>
      </c>
      <c r="AU42" s="4">
        <v>2234800</v>
      </c>
      <c r="AV42" s="4">
        <v>2986300</v>
      </c>
      <c r="AW42" s="19">
        <v>6545600</v>
      </c>
      <c r="AX42" s="38">
        <v>2.4263922524037267E-3</v>
      </c>
      <c r="AY42" s="4">
        <v>887400</v>
      </c>
      <c r="AZ42" s="4">
        <v>1153000</v>
      </c>
      <c r="BA42" s="19">
        <v>2185100</v>
      </c>
      <c r="BB42" s="38">
        <v>3.606886327517178E-3</v>
      </c>
      <c r="BC42" s="4">
        <v>1278000</v>
      </c>
      <c r="BD42" s="4">
        <v>1649600</v>
      </c>
      <c r="BE42" s="19">
        <v>3248200</v>
      </c>
      <c r="BF42" s="38">
        <v>4.6922501915357469E-2</v>
      </c>
      <c r="BG42" s="4">
        <v>17483800</v>
      </c>
      <c r="BH42" s="4">
        <v>14669900</v>
      </c>
      <c r="BI42" s="19">
        <v>42256300</v>
      </c>
      <c r="BJ42" s="38">
        <v>1.6991963537015379E-2</v>
      </c>
      <c r="BK42" s="4">
        <v>5783200</v>
      </c>
      <c r="BL42" s="4">
        <v>7674600</v>
      </c>
      <c r="BM42" s="19">
        <v>15302200</v>
      </c>
      <c r="BN42" s="38">
        <v>1.8075184278500821E-2</v>
      </c>
      <c r="BO42" s="4">
        <v>6135400</v>
      </c>
      <c r="BP42" s="4">
        <v>9209300</v>
      </c>
      <c r="BQ42" s="19">
        <v>16277700</v>
      </c>
      <c r="BR42" s="38">
        <v>1.9304759190901465E-3</v>
      </c>
      <c r="BS42" s="4">
        <v>525800</v>
      </c>
      <c r="BT42" s="4">
        <v>635900</v>
      </c>
      <c r="BU42" s="19">
        <v>1738500</v>
      </c>
      <c r="BV42" s="38">
        <v>8.2690106567089982E-3</v>
      </c>
      <c r="BW42" s="4">
        <v>1897400</v>
      </c>
      <c r="BX42" s="4">
        <v>2069200</v>
      </c>
      <c r="BY42" s="19">
        <v>7446700</v>
      </c>
      <c r="BZ42" s="8">
        <v>1.0255341012802443E-2</v>
      </c>
      <c r="CA42" s="4">
        <v>320300</v>
      </c>
      <c r="CB42" s="4">
        <v>522300</v>
      </c>
      <c r="CC42" s="19">
        <v>9235500</v>
      </c>
      <c r="CD42" s="38">
        <v>1.5290457496853269E-2</v>
      </c>
      <c r="CE42" s="4">
        <v>4863900</v>
      </c>
      <c r="CF42" s="4">
        <v>7761100</v>
      </c>
      <c r="CG42" s="19">
        <v>13769900</v>
      </c>
      <c r="CH42" s="8">
        <v>8.2604603751001439E-4</v>
      </c>
      <c r="CI42" s="4">
        <v>177500</v>
      </c>
      <c r="CJ42" s="4">
        <v>565100</v>
      </c>
      <c r="CK42" s="19">
        <v>743900</v>
      </c>
      <c r="CL42" s="8">
        <v>3.3893538382737151E-3</v>
      </c>
      <c r="CM42" s="4">
        <v>1130300</v>
      </c>
      <c r="CN42" s="4">
        <v>1801800</v>
      </c>
      <c r="CO42" s="19">
        <v>3051200</v>
      </c>
    </row>
    <row r="43" spans="1:93" x14ac:dyDescent="0.2">
      <c r="A43" s="33" t="s">
        <v>340</v>
      </c>
      <c r="B43" s="8">
        <v>0.3236</v>
      </c>
      <c r="C43" s="8">
        <v>0.29320000000000002</v>
      </c>
      <c r="D43" s="8">
        <v>0.44939999999999997</v>
      </c>
      <c r="E43" s="8">
        <v>0.1012</v>
      </c>
      <c r="F43" s="8">
        <v>0.23246917884094115</v>
      </c>
      <c r="G43" s="4">
        <v>66944700</v>
      </c>
      <c r="H43" s="4">
        <v>88990400</v>
      </c>
      <c r="I43" s="19">
        <v>258188893</v>
      </c>
      <c r="J43" s="8">
        <v>0.13031025247776412</v>
      </c>
      <c r="K43" s="4">
        <v>61477400</v>
      </c>
      <c r="L43" s="4">
        <v>72655100</v>
      </c>
      <c r="M43" s="19">
        <v>144727400</v>
      </c>
      <c r="N43" s="8">
        <v>9.0936364935544245E-2</v>
      </c>
      <c r="O43" s="4">
        <v>18201700</v>
      </c>
      <c r="P43" s="4">
        <v>46131800</v>
      </c>
      <c r="Q43" s="19">
        <v>100997300</v>
      </c>
      <c r="R43" s="8">
        <v>2.4720136012961347E-2</v>
      </c>
      <c r="S43" s="4">
        <v>7079800</v>
      </c>
      <c r="T43" s="4">
        <v>13771800</v>
      </c>
      <c r="U43" s="19">
        <v>27455100</v>
      </c>
      <c r="V43" s="8">
        <v>6.615680357075919E-2</v>
      </c>
      <c r="W43" s="4">
        <v>24202700</v>
      </c>
      <c r="X43" s="4">
        <v>31397800</v>
      </c>
      <c r="Y43" s="19">
        <v>73476200</v>
      </c>
      <c r="Z43" s="8">
        <v>3.3474030567066611E-2</v>
      </c>
      <c r="AA43" s="4">
        <v>13408500</v>
      </c>
      <c r="AB43" s="4">
        <v>18586600</v>
      </c>
      <c r="AC43" s="19">
        <v>37177500</v>
      </c>
      <c r="AD43" s="38">
        <v>3.284178083902696E-2</v>
      </c>
      <c r="AE43" s="4">
        <v>11728200</v>
      </c>
      <c r="AF43" s="4">
        <v>20430700</v>
      </c>
      <c r="AG43" s="19">
        <v>36475300</v>
      </c>
      <c r="AH43" s="38">
        <v>4.1794210091270559E-2</v>
      </c>
      <c r="AI43" s="4">
        <v>11227200</v>
      </c>
      <c r="AJ43" s="4">
        <v>18740700</v>
      </c>
      <c r="AK43" s="19">
        <v>46418200</v>
      </c>
      <c r="AL43" s="38">
        <v>3.9728818961748832E-2</v>
      </c>
      <c r="AM43" s="4">
        <v>17260200</v>
      </c>
      <c r="AN43" s="4">
        <v>21625700</v>
      </c>
      <c r="AO43" s="19">
        <v>44124300</v>
      </c>
      <c r="AP43" s="38">
        <v>1.5219102717290571E-2</v>
      </c>
      <c r="AQ43" s="4">
        <v>6253300</v>
      </c>
      <c r="AR43" s="4">
        <v>9360400</v>
      </c>
      <c r="AS43" s="19">
        <v>16902900</v>
      </c>
      <c r="AT43" s="38">
        <v>8.001713661475918E-3</v>
      </c>
      <c r="AU43" s="4">
        <v>1724100</v>
      </c>
      <c r="AV43" s="4">
        <v>5322800</v>
      </c>
      <c r="AW43" s="19">
        <v>8887000</v>
      </c>
      <c r="AX43" s="38">
        <v>2.378814841185932E-3</v>
      </c>
      <c r="AY43" s="4">
        <v>903500</v>
      </c>
      <c r="AZ43" s="4">
        <v>1628700</v>
      </c>
      <c r="BA43" s="19">
        <v>2642000</v>
      </c>
      <c r="BB43" s="38">
        <v>8.2214974248118328E-3</v>
      </c>
      <c r="BC43" s="4">
        <v>3247400</v>
      </c>
      <c r="BD43" s="4">
        <v>3210900</v>
      </c>
      <c r="BE43" s="19">
        <v>9131100</v>
      </c>
      <c r="BF43" s="38">
        <v>4.5072022459455172E-2</v>
      </c>
      <c r="BG43" s="4">
        <v>14592600</v>
      </c>
      <c r="BH43" s="4">
        <v>29725000</v>
      </c>
      <c r="BI43" s="19">
        <v>50058660</v>
      </c>
      <c r="BJ43" s="38">
        <v>2.7009812826411697E-2</v>
      </c>
      <c r="BK43" s="4">
        <v>9130700</v>
      </c>
      <c r="BL43" s="4">
        <v>18908000</v>
      </c>
      <c r="BM43" s="19">
        <v>29998100</v>
      </c>
      <c r="BN43" s="38">
        <v>4.0090053070107573E-2</v>
      </c>
      <c r="BO43" s="4">
        <v>13192700</v>
      </c>
      <c r="BP43" s="4">
        <v>25336900</v>
      </c>
      <c r="BQ43" s="19">
        <v>44525500</v>
      </c>
      <c r="BR43" s="38">
        <v>1.4805916445292E-3</v>
      </c>
      <c r="BS43" s="4">
        <v>342000</v>
      </c>
      <c r="BT43" s="4">
        <v>685600</v>
      </c>
      <c r="BU43" s="19">
        <v>1644400</v>
      </c>
      <c r="BV43" s="38">
        <v>1.4429105691682495E-2</v>
      </c>
      <c r="BW43" s="4">
        <v>7339900</v>
      </c>
      <c r="BX43" s="4">
        <v>3936000</v>
      </c>
      <c r="BY43" s="19">
        <v>16025500</v>
      </c>
      <c r="BZ43" s="8">
        <v>1.2242612898216969E-2</v>
      </c>
      <c r="CA43" s="4">
        <v>583800</v>
      </c>
      <c r="CB43" s="4">
        <v>457400</v>
      </c>
      <c r="CC43" s="19">
        <v>13597100</v>
      </c>
      <c r="CD43" s="38">
        <v>1.9495927280361418E-2</v>
      </c>
      <c r="CE43" s="4">
        <v>11275200</v>
      </c>
      <c r="CF43" s="4">
        <v>8793400</v>
      </c>
      <c r="CG43" s="19">
        <v>21652900</v>
      </c>
      <c r="CH43" s="8">
        <v>6.3978594311184234E-4</v>
      </c>
      <c r="CI43" s="4">
        <v>46400</v>
      </c>
      <c r="CJ43" s="4">
        <v>642100</v>
      </c>
      <c r="CK43" s="19">
        <v>710570</v>
      </c>
      <c r="CL43" s="8">
        <v>3.6123410835874181E-3</v>
      </c>
      <c r="CM43" s="4">
        <v>1309600</v>
      </c>
      <c r="CN43" s="4">
        <v>2680700</v>
      </c>
      <c r="CO43" s="19">
        <v>4012000</v>
      </c>
    </row>
    <row r="44" spans="1:93" x14ac:dyDescent="0.2">
      <c r="A44" s="33" t="s">
        <v>338</v>
      </c>
      <c r="B44" s="8">
        <v>0.42060000000000003</v>
      </c>
      <c r="C44" s="8">
        <v>0.35880000000000001</v>
      </c>
      <c r="D44" s="8">
        <v>0.37009999999999998</v>
      </c>
      <c r="E44" s="8">
        <v>7.3099999999999998E-2</v>
      </c>
      <c r="F44" s="8">
        <v>0.36015326775221118</v>
      </c>
      <c r="G44" s="4">
        <v>138245700</v>
      </c>
      <c r="H44" s="4">
        <v>78577500</v>
      </c>
      <c r="I44" s="19">
        <v>321015916</v>
      </c>
      <c r="J44" s="8">
        <v>9.387103393179129E-2</v>
      </c>
      <c r="K44" s="4">
        <v>32997600</v>
      </c>
      <c r="L44" s="4">
        <v>40791100</v>
      </c>
      <c r="M44" s="19">
        <v>83670200</v>
      </c>
      <c r="N44" s="8">
        <v>0.11151250826742165</v>
      </c>
      <c r="O44" s="4">
        <v>40960000</v>
      </c>
      <c r="P44" s="4">
        <v>36821600</v>
      </c>
      <c r="Q44" s="19">
        <v>99394600</v>
      </c>
      <c r="R44" s="8">
        <v>2.2747543756169192E-2</v>
      </c>
      <c r="S44" s="4">
        <v>6083300</v>
      </c>
      <c r="T44" s="4">
        <v>8540600</v>
      </c>
      <c r="U44" s="19">
        <v>20275600</v>
      </c>
      <c r="V44" s="8">
        <v>4.2098371090818043E-2</v>
      </c>
      <c r="W44" s="4">
        <v>13589300</v>
      </c>
      <c r="X44" s="4">
        <v>16611300</v>
      </c>
      <c r="Y44" s="19">
        <v>37523600</v>
      </c>
      <c r="Z44" s="8">
        <v>2.8115019877135508E-2</v>
      </c>
      <c r="AA44" s="4">
        <v>11673800</v>
      </c>
      <c r="AB44" s="4">
        <v>9529300</v>
      </c>
      <c r="AC44" s="19">
        <v>25059800</v>
      </c>
      <c r="AD44" s="38">
        <v>2.569863467807668E-2</v>
      </c>
      <c r="AE44" s="4">
        <v>6919900</v>
      </c>
      <c r="AF44" s="4">
        <v>11989700</v>
      </c>
      <c r="AG44" s="19">
        <v>22906000</v>
      </c>
      <c r="AH44" s="38">
        <v>4.3328441075147182E-2</v>
      </c>
      <c r="AI44" s="4">
        <v>12484800</v>
      </c>
      <c r="AJ44" s="4">
        <v>13572500</v>
      </c>
      <c r="AK44" s="19">
        <v>38620000</v>
      </c>
      <c r="AL44" s="38">
        <v>2.6931846030479625E-2</v>
      </c>
      <c r="AM44" s="4">
        <v>8787800</v>
      </c>
      <c r="AN44" s="4">
        <v>11319300</v>
      </c>
      <c r="AO44" s="19">
        <v>24005200</v>
      </c>
      <c r="AP44" s="38">
        <v>1.3268465593457681E-2</v>
      </c>
      <c r="AQ44" s="4">
        <v>5273300</v>
      </c>
      <c r="AR44" s="4">
        <v>5408600</v>
      </c>
      <c r="AS44" s="19">
        <v>11826600</v>
      </c>
      <c r="AT44" s="38">
        <v>8.4129202768049235E-3</v>
      </c>
      <c r="AU44" s="4">
        <v>2695600</v>
      </c>
      <c r="AV44" s="4">
        <v>3384300</v>
      </c>
      <c r="AW44" s="19">
        <v>7498700</v>
      </c>
      <c r="AX44" s="38">
        <v>2.0626447156048187E-3</v>
      </c>
      <c r="AY44" s="4">
        <v>563700</v>
      </c>
      <c r="AZ44" s="4">
        <v>971200</v>
      </c>
      <c r="BA44" s="19">
        <v>1838500</v>
      </c>
      <c r="BB44" s="38">
        <v>3.7706514140202528E-3</v>
      </c>
      <c r="BC44" s="4">
        <v>1302500</v>
      </c>
      <c r="BD44" s="4">
        <v>1856200</v>
      </c>
      <c r="BE44" s="19">
        <v>3360900</v>
      </c>
      <c r="BF44" s="38">
        <v>4.4092915434251409E-2</v>
      </c>
      <c r="BG44" s="4">
        <v>14438500</v>
      </c>
      <c r="BH44" s="4">
        <v>12327600</v>
      </c>
      <c r="BI44" s="19">
        <v>39301400</v>
      </c>
      <c r="BJ44" s="38">
        <v>1.5418395464827555E-2</v>
      </c>
      <c r="BK44" s="4">
        <v>4675900</v>
      </c>
      <c r="BL44" s="4">
        <v>8001700</v>
      </c>
      <c r="BM44" s="19">
        <v>13742900</v>
      </c>
      <c r="BN44" s="38">
        <v>2.1278841989947669E-2</v>
      </c>
      <c r="BO44" s="4">
        <v>6300000</v>
      </c>
      <c r="BP44" s="4">
        <v>11057400</v>
      </c>
      <c r="BQ44" s="19">
        <v>18966500</v>
      </c>
      <c r="BR44" s="38">
        <v>1.9546040922092545E-3</v>
      </c>
      <c r="BS44" s="4">
        <v>451800</v>
      </c>
      <c r="BT44" s="4">
        <v>1092200</v>
      </c>
      <c r="BU44" s="19">
        <v>1742200</v>
      </c>
      <c r="BV44" s="38">
        <v>6.4690865894201487E-3</v>
      </c>
      <c r="BW44" s="4">
        <v>1242000</v>
      </c>
      <c r="BX44" s="4">
        <v>1090300</v>
      </c>
      <c r="BY44" s="19">
        <v>5766100</v>
      </c>
      <c r="BZ44" s="8">
        <v>1.1658238464008154E-2</v>
      </c>
      <c r="CA44" s="4">
        <v>310200</v>
      </c>
      <c r="CB44" s="4">
        <v>279700</v>
      </c>
      <c r="CC44" s="19">
        <v>10391354</v>
      </c>
      <c r="CD44" s="38">
        <v>1.7894691040722555E-2</v>
      </c>
      <c r="CE44" s="4">
        <v>6598600</v>
      </c>
      <c r="CF44" s="4">
        <v>7553100</v>
      </c>
      <c r="CG44" s="19">
        <v>15950100</v>
      </c>
      <c r="CH44" s="8">
        <v>8.4682307932473051E-4</v>
      </c>
      <c r="CI44" s="4">
        <v>414600</v>
      </c>
      <c r="CJ44" s="4">
        <v>335100</v>
      </c>
      <c r="CK44" s="19">
        <v>754800</v>
      </c>
      <c r="CL44" s="8">
        <v>2.8272312664259685E-3</v>
      </c>
      <c r="CM44" s="4">
        <v>748800</v>
      </c>
      <c r="CN44" s="4">
        <v>1518800</v>
      </c>
      <c r="CO44" s="19">
        <v>2517500</v>
      </c>
    </row>
    <row r="45" spans="1:93" x14ac:dyDescent="0.2">
      <c r="A45" s="33" t="s">
        <v>334</v>
      </c>
      <c r="B45" s="8">
        <v>0.37780000000000002</v>
      </c>
      <c r="C45" s="8">
        <v>0.37450000000000006</v>
      </c>
      <c r="D45" s="8">
        <v>0.37560000000000004</v>
      </c>
      <c r="E45" s="8">
        <v>8.3800000000000013E-2</v>
      </c>
      <c r="F45" s="8">
        <v>0.32217306274036994</v>
      </c>
      <c r="G45" s="4">
        <v>108848000</v>
      </c>
      <c r="H45" s="4">
        <v>54332800</v>
      </c>
      <c r="I45" s="19">
        <v>288426938</v>
      </c>
      <c r="J45" s="8">
        <v>0.1574123042242683</v>
      </c>
      <c r="K45" s="4">
        <v>80810300</v>
      </c>
      <c r="L45" s="4">
        <v>48576600</v>
      </c>
      <c r="M45" s="19">
        <v>140924100</v>
      </c>
      <c r="N45" s="8">
        <v>7.3441670201312675E-2</v>
      </c>
      <c r="O45" s="4">
        <v>26134900</v>
      </c>
      <c r="P45" s="4">
        <v>20081100</v>
      </c>
      <c r="Q45" s="19">
        <v>65748998</v>
      </c>
      <c r="R45" s="8">
        <v>2.5685540492133507E-2</v>
      </c>
      <c r="S45" s="4">
        <v>6964000</v>
      </c>
      <c r="T45" s="4">
        <v>8381500</v>
      </c>
      <c r="U45" s="19">
        <v>22995100</v>
      </c>
      <c r="V45" s="8">
        <v>5.1449382726311998E-2</v>
      </c>
      <c r="W45" s="4">
        <v>15588200</v>
      </c>
      <c r="X45" s="4">
        <v>12992600</v>
      </c>
      <c r="Y45" s="19">
        <v>46060300</v>
      </c>
      <c r="Z45" s="8">
        <v>3.4906690969531688E-2</v>
      </c>
      <c r="AA45" s="4">
        <v>12419900</v>
      </c>
      <c r="AB45" s="4">
        <v>9347800</v>
      </c>
      <c r="AC45" s="19">
        <v>31250378</v>
      </c>
      <c r="AD45" s="38">
        <v>3.2478467939670623E-2</v>
      </c>
      <c r="AE45" s="4">
        <v>11928400</v>
      </c>
      <c r="AF45" s="4">
        <v>11235400</v>
      </c>
      <c r="AG45" s="19">
        <v>29076500</v>
      </c>
      <c r="AH45" s="38">
        <v>2.8538360023986336E-2</v>
      </c>
      <c r="AI45" s="4">
        <v>8000100</v>
      </c>
      <c r="AJ45" s="4">
        <v>8777000</v>
      </c>
      <c r="AK45" s="19">
        <v>25549100</v>
      </c>
      <c r="AL45" s="38">
        <v>2.9504008159501726E-2</v>
      </c>
      <c r="AM45" s="4">
        <v>10118900</v>
      </c>
      <c r="AN45" s="4">
        <v>14672500</v>
      </c>
      <c r="AO45" s="19">
        <v>26413601</v>
      </c>
      <c r="AP45" s="38">
        <v>1.348398444037377E-2</v>
      </c>
      <c r="AQ45" s="4">
        <v>6308500</v>
      </c>
      <c r="AR45" s="4">
        <v>5152700</v>
      </c>
      <c r="AS45" s="19">
        <v>12071600</v>
      </c>
      <c r="AT45" s="38">
        <v>7.0192317690537095E-3</v>
      </c>
      <c r="AU45" s="4">
        <v>2681000</v>
      </c>
      <c r="AV45" s="4">
        <v>2514700</v>
      </c>
      <c r="AW45" s="19">
        <v>6284000</v>
      </c>
      <c r="AX45" s="38">
        <v>3.3340233902405337E-3</v>
      </c>
      <c r="AY45" s="4">
        <v>1312100</v>
      </c>
      <c r="AZ45" s="4">
        <v>1585600</v>
      </c>
      <c r="BA45" s="19">
        <v>2984800</v>
      </c>
      <c r="BB45" s="38">
        <v>3.942006816703922E-3</v>
      </c>
      <c r="BC45" s="4">
        <v>1225600</v>
      </c>
      <c r="BD45" s="4">
        <v>2003800</v>
      </c>
      <c r="BE45" s="19">
        <v>3529100</v>
      </c>
      <c r="BF45" s="38">
        <v>4.0553488675641833E-2</v>
      </c>
      <c r="BG45" s="4">
        <v>11885900</v>
      </c>
      <c r="BH45" s="4">
        <v>12973100</v>
      </c>
      <c r="BI45" s="19">
        <v>36305700</v>
      </c>
      <c r="BJ45" s="38">
        <v>1.4270352862622944E-2</v>
      </c>
      <c r="BK45" s="4">
        <v>3940000</v>
      </c>
      <c r="BL45" s="4">
        <v>7879900</v>
      </c>
      <c r="BM45" s="19">
        <v>12775600</v>
      </c>
      <c r="BN45" s="38">
        <v>1.1533366292967898E-2</v>
      </c>
      <c r="BO45" s="4">
        <v>4302900</v>
      </c>
      <c r="BP45" s="4">
        <v>5076300</v>
      </c>
      <c r="BQ45" s="19">
        <v>10325300</v>
      </c>
      <c r="BR45" s="38">
        <v>1.7396167341063411E-3</v>
      </c>
      <c r="BS45" s="4">
        <v>670500</v>
      </c>
      <c r="BT45" s="4">
        <v>570200</v>
      </c>
      <c r="BU45" s="19">
        <v>1557400</v>
      </c>
      <c r="BV45" s="38">
        <v>6.5490862166038841E-3</v>
      </c>
      <c r="BW45" s="4">
        <v>987900</v>
      </c>
      <c r="BX45" s="4">
        <v>1008600</v>
      </c>
      <c r="BY45" s="19">
        <v>5863100</v>
      </c>
      <c r="BZ45" s="8">
        <v>1.1108012464569481E-2</v>
      </c>
      <c r="CA45" s="4">
        <v>377500</v>
      </c>
      <c r="CB45" s="4">
        <v>333300</v>
      </c>
      <c r="CC45" s="19">
        <v>9944500</v>
      </c>
      <c r="CD45" s="38">
        <v>1.8933271866428594E-2</v>
      </c>
      <c r="CE45" s="4">
        <v>7576300</v>
      </c>
      <c r="CF45" s="4">
        <v>7026100</v>
      </c>
      <c r="CG45" s="19">
        <v>16950100</v>
      </c>
      <c r="CH45" s="8">
        <v>5.7190430709030862E-4</v>
      </c>
      <c r="CI45" s="4">
        <v>406900</v>
      </c>
      <c r="CJ45" s="4">
        <v>104400</v>
      </c>
      <c r="CK45" s="19">
        <v>512000</v>
      </c>
      <c r="CL45" s="8">
        <v>3.4847067711516327E-3</v>
      </c>
      <c r="CM45" s="4">
        <v>1432400</v>
      </c>
      <c r="CN45" s="4">
        <v>1620900</v>
      </c>
      <c r="CO45" s="19">
        <v>3117900</v>
      </c>
    </row>
    <row r="46" spans="1:93" x14ac:dyDescent="0.2">
      <c r="A46" s="33" t="s">
        <v>332</v>
      </c>
      <c r="B46" s="8">
        <v>0.30130000000000001</v>
      </c>
      <c r="C46" s="8">
        <v>0.28960000000000002</v>
      </c>
      <c r="D46" s="8">
        <v>0.42299999999999999</v>
      </c>
      <c r="E46" s="8">
        <v>9.6300000000000011E-2</v>
      </c>
      <c r="F46" s="8">
        <v>0.23859880504891143</v>
      </c>
      <c r="G46" s="4">
        <v>62465500</v>
      </c>
      <c r="H46" s="4">
        <v>74897200</v>
      </c>
      <c r="I46" s="19">
        <v>237010433</v>
      </c>
      <c r="J46" s="8">
        <v>0.10371998253247725</v>
      </c>
      <c r="K46" s="4">
        <v>45623600</v>
      </c>
      <c r="L46" s="4">
        <v>44742400</v>
      </c>
      <c r="M46" s="19">
        <v>103029510</v>
      </c>
      <c r="N46" s="8">
        <v>9.7862500790348916E-2</v>
      </c>
      <c r="O46" s="4">
        <v>23931000</v>
      </c>
      <c r="P46" s="4">
        <v>38514400</v>
      </c>
      <c r="Q46" s="19">
        <v>97211022</v>
      </c>
      <c r="R46" s="8">
        <v>3.6206026523668264E-2</v>
      </c>
      <c r="S46" s="4">
        <v>7894700</v>
      </c>
      <c r="T46" s="4">
        <v>10958900</v>
      </c>
      <c r="U46" s="19">
        <v>35965000</v>
      </c>
      <c r="V46" s="8">
        <v>6.1044855670924367E-2</v>
      </c>
      <c r="W46" s="4">
        <v>20421200</v>
      </c>
      <c r="X46" s="4">
        <v>24330800</v>
      </c>
      <c r="Y46" s="19">
        <v>60638475</v>
      </c>
      <c r="Z46" s="8">
        <v>3.5608901412240102E-2</v>
      </c>
      <c r="AA46" s="4">
        <v>10261000</v>
      </c>
      <c r="AB46" s="4">
        <v>16705400</v>
      </c>
      <c r="AC46" s="19">
        <v>35371850</v>
      </c>
      <c r="AD46" s="38">
        <v>2.9479708868755138E-2</v>
      </c>
      <c r="AE46" s="4">
        <v>12158600</v>
      </c>
      <c r="AF46" s="4">
        <v>14383100</v>
      </c>
      <c r="AG46" s="19">
        <v>29283460</v>
      </c>
      <c r="AH46" s="38">
        <v>3.9336768130395799E-2</v>
      </c>
      <c r="AI46" s="4">
        <v>9647700</v>
      </c>
      <c r="AJ46" s="4">
        <v>16943900</v>
      </c>
      <c r="AK46" s="19">
        <v>39074900</v>
      </c>
      <c r="AL46" s="38">
        <v>4.7937895549518474E-2</v>
      </c>
      <c r="AM46" s="4">
        <v>13830600</v>
      </c>
      <c r="AN46" s="4">
        <v>19241200</v>
      </c>
      <c r="AO46" s="19">
        <v>47618769</v>
      </c>
      <c r="AP46" s="38">
        <v>1.2979102965708266E-2</v>
      </c>
      <c r="AQ46" s="4">
        <v>7235700</v>
      </c>
      <c r="AR46" s="4">
        <v>6085900</v>
      </c>
      <c r="AS46" s="19">
        <v>12892700</v>
      </c>
      <c r="AT46" s="38">
        <v>8.6624667602074427E-3</v>
      </c>
      <c r="AU46" s="4">
        <v>2075800</v>
      </c>
      <c r="AV46" s="4">
        <v>4085200</v>
      </c>
      <c r="AW46" s="19">
        <v>8604800</v>
      </c>
      <c r="AX46" s="38">
        <v>2.8909452625613275E-3</v>
      </c>
      <c r="AY46" s="4">
        <v>980100</v>
      </c>
      <c r="AZ46" s="4">
        <v>1721800</v>
      </c>
      <c r="BA46" s="19">
        <v>2871700</v>
      </c>
      <c r="BB46" s="38">
        <v>3.4924495263703582E-3</v>
      </c>
      <c r="BC46" s="4">
        <v>1103500</v>
      </c>
      <c r="BD46" s="4">
        <v>2169600</v>
      </c>
      <c r="BE46" s="19">
        <v>3469200</v>
      </c>
      <c r="BF46" s="38">
        <v>5.6788344724262023E-2</v>
      </c>
      <c r="BG46" s="4">
        <v>14995500</v>
      </c>
      <c r="BH46" s="4">
        <v>22896900</v>
      </c>
      <c r="BI46" s="19">
        <v>56410300</v>
      </c>
      <c r="BJ46" s="38">
        <v>2.5154354626560446E-2</v>
      </c>
      <c r="BK46" s="4">
        <v>11912600</v>
      </c>
      <c r="BL46" s="4">
        <v>11516900</v>
      </c>
      <c r="BM46" s="19">
        <v>24986900</v>
      </c>
      <c r="BN46" s="38">
        <v>2.3503464514057635E-2</v>
      </c>
      <c r="BO46" s="4">
        <v>9092600</v>
      </c>
      <c r="BP46" s="4">
        <v>13010700</v>
      </c>
      <c r="BQ46" s="19">
        <v>23347000</v>
      </c>
      <c r="BR46" s="38">
        <v>1.7845800978314118E-3</v>
      </c>
      <c r="BS46" s="4">
        <v>631400</v>
      </c>
      <c r="BT46" s="4">
        <v>1193000</v>
      </c>
      <c r="BU46" s="19">
        <v>1772700</v>
      </c>
      <c r="BV46" s="38">
        <v>7.7051941167664258E-3</v>
      </c>
      <c r="BW46" s="4">
        <v>807900</v>
      </c>
      <c r="BX46" s="4">
        <v>1018400</v>
      </c>
      <c r="BY46" s="19">
        <v>7653900</v>
      </c>
      <c r="BZ46" s="8">
        <v>1.9624542206304371E-2</v>
      </c>
      <c r="CA46" s="4">
        <v>138500</v>
      </c>
      <c r="CB46" s="4">
        <v>262700</v>
      </c>
      <c r="CC46" s="19">
        <v>19493900</v>
      </c>
      <c r="CD46" s="38">
        <v>1.5346563345958806E-2</v>
      </c>
      <c r="CE46" s="4">
        <v>4944200</v>
      </c>
      <c r="CF46" s="4">
        <v>6309800</v>
      </c>
      <c r="CG46" s="19">
        <v>15244400</v>
      </c>
      <c r="CH46" s="8">
        <v>4.5130437065370448E-4</v>
      </c>
      <c r="CI46" s="4">
        <v>189300</v>
      </c>
      <c r="CJ46" s="4">
        <v>258600</v>
      </c>
      <c r="CK46" s="19">
        <v>448300</v>
      </c>
      <c r="CL46" s="8">
        <v>5.4321623556711782E-3</v>
      </c>
      <c r="CM46" s="4">
        <v>1784800</v>
      </c>
      <c r="CN46" s="4">
        <v>3576200</v>
      </c>
      <c r="CO46" s="19">
        <v>5387600</v>
      </c>
    </row>
    <row r="47" spans="1:93" x14ac:dyDescent="0.2">
      <c r="A47" s="33" t="s">
        <v>331</v>
      </c>
      <c r="B47" s="8">
        <v>0.29649999999999999</v>
      </c>
      <c r="C47" s="8">
        <v>0.25059999999999999</v>
      </c>
      <c r="D47" s="8">
        <v>0.42520000000000002</v>
      </c>
      <c r="E47" s="8">
        <v>0.10150000000000001</v>
      </c>
      <c r="F47" s="8">
        <v>0.23948128230777893</v>
      </c>
      <c r="G47" s="4">
        <v>52771200</v>
      </c>
      <c r="H47" s="4">
        <v>58274500</v>
      </c>
      <c r="I47" s="19">
        <v>205631071</v>
      </c>
      <c r="J47" s="8">
        <v>9.9077046996389875E-2</v>
      </c>
      <c r="K47" s="4">
        <v>37261900</v>
      </c>
      <c r="L47" s="4">
        <v>37644600</v>
      </c>
      <c r="M47" s="19">
        <v>85072700</v>
      </c>
      <c r="N47" s="8">
        <v>8.9226718279849154E-2</v>
      </c>
      <c r="O47" s="4">
        <v>23604500</v>
      </c>
      <c r="P47" s="4">
        <v>28182900</v>
      </c>
      <c r="Q47" s="19">
        <v>76614696</v>
      </c>
      <c r="R47" s="8">
        <v>2.8926388491046281E-2</v>
      </c>
      <c r="S47" s="4">
        <v>9367200</v>
      </c>
      <c r="T47" s="4">
        <v>9160800</v>
      </c>
      <c r="U47" s="19">
        <v>24837700</v>
      </c>
      <c r="V47" s="8">
        <v>5.8036910960083836E-2</v>
      </c>
      <c r="W47" s="4">
        <v>18213900</v>
      </c>
      <c r="X47" s="4">
        <v>17345600</v>
      </c>
      <c r="Y47" s="19">
        <v>49833507</v>
      </c>
      <c r="Z47" s="8">
        <v>3.3243138697847764E-2</v>
      </c>
      <c r="AA47" s="4">
        <v>9536400</v>
      </c>
      <c r="AB47" s="4">
        <v>11448900</v>
      </c>
      <c r="AC47" s="19">
        <v>28544286</v>
      </c>
      <c r="AD47" s="38">
        <v>2.8056874368913392E-2</v>
      </c>
      <c r="AE47" s="4">
        <v>9529700</v>
      </c>
      <c r="AF47" s="4">
        <v>11425000</v>
      </c>
      <c r="AG47" s="19">
        <v>24091090</v>
      </c>
      <c r="AH47" s="38">
        <v>4.0146417695102569E-2</v>
      </c>
      <c r="AI47" s="4">
        <v>9438100</v>
      </c>
      <c r="AJ47" s="4">
        <v>15254300</v>
      </c>
      <c r="AK47" s="19">
        <v>34471800</v>
      </c>
      <c r="AL47" s="38">
        <v>6.7665386108234485E-2</v>
      </c>
      <c r="AM47" s="4">
        <v>33359900</v>
      </c>
      <c r="AN47" s="4">
        <v>20836400</v>
      </c>
      <c r="AO47" s="19">
        <v>58101016</v>
      </c>
      <c r="AP47" s="38">
        <v>2.0596703842125072E-2</v>
      </c>
      <c r="AQ47" s="4">
        <v>9643000</v>
      </c>
      <c r="AR47" s="4">
        <v>7475700</v>
      </c>
      <c r="AS47" s="19">
        <v>17685400</v>
      </c>
      <c r="AT47" s="38">
        <v>1.7962924242061411E-2</v>
      </c>
      <c r="AU47" s="4">
        <v>7772700</v>
      </c>
      <c r="AV47" s="4">
        <v>5397600</v>
      </c>
      <c r="AW47" s="19">
        <v>15423900</v>
      </c>
      <c r="AX47" s="38">
        <v>2.7496589147690915E-3</v>
      </c>
      <c r="AY47" s="4">
        <v>891700</v>
      </c>
      <c r="AZ47" s="4">
        <v>1319800</v>
      </c>
      <c r="BA47" s="19">
        <v>2361000</v>
      </c>
      <c r="BB47" s="38">
        <v>6.6825679173846027E-3</v>
      </c>
      <c r="BC47" s="4">
        <v>2050000</v>
      </c>
      <c r="BD47" s="4">
        <v>2634500</v>
      </c>
      <c r="BE47" s="19">
        <v>5738000</v>
      </c>
      <c r="BF47" s="38">
        <v>5.2253651541798042E-2</v>
      </c>
      <c r="BG47" s="4">
        <v>15080700</v>
      </c>
      <c r="BH47" s="4">
        <v>18363800</v>
      </c>
      <c r="BI47" s="19">
        <v>44867700</v>
      </c>
      <c r="BJ47" s="38">
        <v>1.4118060226297465E-2</v>
      </c>
      <c r="BK47" s="4">
        <v>4185200</v>
      </c>
      <c r="BL47" s="4">
        <v>6904200</v>
      </c>
      <c r="BM47" s="19">
        <v>12122500</v>
      </c>
      <c r="BN47" s="38">
        <v>3.4437585406112053E-2</v>
      </c>
      <c r="BO47" s="4">
        <v>10994300</v>
      </c>
      <c r="BP47" s="4">
        <v>16317500</v>
      </c>
      <c r="BQ47" s="19">
        <v>29569900</v>
      </c>
      <c r="BR47" s="38">
        <v>2.3624240188941559E-3</v>
      </c>
      <c r="BS47" s="4">
        <v>781600</v>
      </c>
      <c r="BT47" s="4">
        <v>816600</v>
      </c>
      <c r="BU47" s="19">
        <v>2028500</v>
      </c>
      <c r="BV47" s="38">
        <v>7.0262461663250344E-3</v>
      </c>
      <c r="BW47" s="4">
        <v>1009900</v>
      </c>
      <c r="BX47" s="4">
        <v>1273300</v>
      </c>
      <c r="BY47" s="19">
        <v>6033100</v>
      </c>
      <c r="BZ47" s="8">
        <v>1.3478918840263886E-2</v>
      </c>
      <c r="CA47" s="4">
        <v>122400</v>
      </c>
      <c r="CB47" s="4">
        <v>210500</v>
      </c>
      <c r="CC47" s="19">
        <v>11573700</v>
      </c>
      <c r="CD47" s="38">
        <v>1.0066010983537575E-2</v>
      </c>
      <c r="CE47" s="4">
        <v>3109700</v>
      </c>
      <c r="CF47" s="4">
        <v>4235800</v>
      </c>
      <c r="CG47" s="19">
        <v>8643200</v>
      </c>
      <c r="CH47" s="8">
        <v>7.5397254613363397E-4</v>
      </c>
      <c r="CI47" s="4">
        <v>440300</v>
      </c>
      <c r="CJ47" s="4">
        <v>194500</v>
      </c>
      <c r="CK47" s="19">
        <v>647400</v>
      </c>
      <c r="CL47" s="8">
        <v>7.124656237607537E-3</v>
      </c>
      <c r="CM47" s="4">
        <v>2199800</v>
      </c>
      <c r="CN47" s="4">
        <v>3635700</v>
      </c>
      <c r="CO47" s="19">
        <v>6115600</v>
      </c>
    </row>
    <row r="48" spans="1:93" x14ac:dyDescent="0.2">
      <c r="A48" s="33" t="s">
        <v>327</v>
      </c>
      <c r="B48" s="8">
        <v>0.27350000000000002</v>
      </c>
      <c r="C48" s="8">
        <v>0.25379999999999997</v>
      </c>
      <c r="D48" s="8">
        <v>0.40279999999999999</v>
      </c>
      <c r="E48" s="8">
        <v>9.3100000000000002E-2</v>
      </c>
      <c r="F48" s="8">
        <v>0.24268187744741987</v>
      </c>
      <c r="G48" s="4">
        <v>37147500</v>
      </c>
      <c r="H48" s="4">
        <v>41726000</v>
      </c>
      <c r="I48" s="19">
        <v>169460710</v>
      </c>
      <c r="J48" s="8">
        <v>7.8368846129066708E-2</v>
      </c>
      <c r="K48" s="4">
        <v>18444800</v>
      </c>
      <c r="L48" s="4">
        <v>29569800</v>
      </c>
      <c r="M48" s="19">
        <v>54723659</v>
      </c>
      <c r="N48" s="8">
        <v>9.8874140103347052E-2</v>
      </c>
      <c r="O48" s="4">
        <v>20701400</v>
      </c>
      <c r="P48" s="4">
        <v>25603800</v>
      </c>
      <c r="Q48" s="19">
        <v>69042164</v>
      </c>
      <c r="R48" s="8">
        <v>2.0104303449133453E-2</v>
      </c>
      <c r="S48" s="4">
        <v>4023100</v>
      </c>
      <c r="T48" s="4">
        <v>6159200</v>
      </c>
      <c r="U48" s="19">
        <v>14038500</v>
      </c>
      <c r="V48" s="8">
        <v>4.6556106254015524E-2</v>
      </c>
      <c r="W48" s="4">
        <v>12417400</v>
      </c>
      <c r="X48" s="4">
        <v>13360900</v>
      </c>
      <c r="Y48" s="19">
        <v>32509353</v>
      </c>
      <c r="Z48" s="8">
        <v>3.0557702041783808E-2</v>
      </c>
      <c r="AA48" s="4">
        <v>9467300</v>
      </c>
      <c r="AB48" s="4">
        <v>8832300</v>
      </c>
      <c r="AC48" s="19">
        <v>21337934</v>
      </c>
      <c r="AD48" s="38">
        <v>2.5975299951739361E-2</v>
      </c>
      <c r="AE48" s="4">
        <v>6778300</v>
      </c>
      <c r="AF48" s="4">
        <v>9517900</v>
      </c>
      <c r="AG48" s="19">
        <v>18138119</v>
      </c>
      <c r="AH48" s="38">
        <v>3.6176003124187416E-2</v>
      </c>
      <c r="AI48" s="4">
        <v>7392100</v>
      </c>
      <c r="AJ48" s="4">
        <v>10196200</v>
      </c>
      <c r="AK48" s="19">
        <v>25261100</v>
      </c>
      <c r="AL48" s="38">
        <v>6.7317436699176433E-2</v>
      </c>
      <c r="AM48" s="4">
        <v>23240700</v>
      </c>
      <c r="AN48" s="4">
        <v>16159800</v>
      </c>
      <c r="AO48" s="19">
        <v>47006644</v>
      </c>
      <c r="AP48" s="38">
        <v>1.7092918380013689E-2</v>
      </c>
      <c r="AQ48" s="4">
        <v>5475900</v>
      </c>
      <c r="AR48" s="4">
        <v>5706200</v>
      </c>
      <c r="AS48" s="19">
        <v>11935700</v>
      </c>
      <c r="AT48" s="38">
        <v>6.8685586211300262E-3</v>
      </c>
      <c r="AU48" s="4">
        <v>1354000</v>
      </c>
      <c r="AV48" s="4">
        <v>1827800</v>
      </c>
      <c r="AW48" s="19">
        <v>4796200</v>
      </c>
      <c r="AX48" s="38">
        <v>6.3590233312342615E-3</v>
      </c>
      <c r="AY48" s="4">
        <v>1897600</v>
      </c>
      <c r="AZ48" s="4">
        <v>1674200</v>
      </c>
      <c r="BA48" s="19">
        <v>4440400</v>
      </c>
      <c r="BB48" s="38">
        <v>3.6520992026199475E-3</v>
      </c>
      <c r="BC48" s="4">
        <v>760500</v>
      </c>
      <c r="BD48" s="4">
        <v>1590600</v>
      </c>
      <c r="BE48" s="19">
        <v>2550200</v>
      </c>
      <c r="BF48" s="38">
        <v>5.9510370784562845E-2</v>
      </c>
      <c r="BG48" s="4">
        <v>12106500</v>
      </c>
      <c r="BH48" s="4">
        <v>19606700</v>
      </c>
      <c r="BI48" s="19">
        <v>41555100</v>
      </c>
      <c r="BJ48" s="38">
        <v>3.1066759015808788E-2</v>
      </c>
      <c r="BK48" s="4">
        <v>11342600</v>
      </c>
      <c r="BL48" s="4">
        <v>8627700</v>
      </c>
      <c r="BM48" s="19">
        <v>21693400</v>
      </c>
      <c r="BN48" s="38">
        <v>1.9692579458562818E-2</v>
      </c>
      <c r="BO48" s="4">
        <v>7252600</v>
      </c>
      <c r="BP48" s="4">
        <v>5595700</v>
      </c>
      <c r="BQ48" s="19">
        <v>13751000</v>
      </c>
      <c r="BR48" s="38">
        <v>2.5323531566123648E-3</v>
      </c>
      <c r="BS48" s="4">
        <v>430800</v>
      </c>
      <c r="BT48" s="4">
        <v>1110600</v>
      </c>
      <c r="BU48" s="19">
        <v>1768300</v>
      </c>
      <c r="BV48" s="38">
        <v>1.1897749264907271E-2</v>
      </c>
      <c r="BW48" s="4">
        <v>3353900</v>
      </c>
      <c r="BX48" s="4">
        <v>1572400</v>
      </c>
      <c r="BY48" s="19">
        <v>8308000</v>
      </c>
      <c r="BZ48" s="8">
        <v>1.227095021079495E-2</v>
      </c>
      <c r="CA48" s="4">
        <v>158600</v>
      </c>
      <c r="CB48" s="4">
        <v>259600</v>
      </c>
      <c r="CC48" s="19">
        <v>8568600</v>
      </c>
      <c r="CD48" s="38">
        <v>1.4308232120310727E-2</v>
      </c>
      <c r="CE48" s="4">
        <v>3039100</v>
      </c>
      <c r="CF48" s="4">
        <v>4870900</v>
      </c>
      <c r="CG48" s="19">
        <v>9991200</v>
      </c>
      <c r="CH48" s="8">
        <v>1.0860920850392002E-3</v>
      </c>
      <c r="CI48" s="4">
        <v>324400</v>
      </c>
      <c r="CJ48" s="4">
        <v>433800</v>
      </c>
      <c r="CK48" s="19">
        <v>758400</v>
      </c>
      <c r="CL48" s="8">
        <v>5.0761629807884344E-3</v>
      </c>
      <c r="CM48" s="4">
        <v>936500</v>
      </c>
      <c r="CN48" s="4">
        <v>2512200</v>
      </c>
      <c r="CO48" s="19">
        <v>3542500</v>
      </c>
    </row>
    <row r="49" spans="1:93" x14ac:dyDescent="0.2">
      <c r="A49" s="33" t="s">
        <v>324</v>
      </c>
      <c r="B49" s="8">
        <v>0.3422</v>
      </c>
      <c r="C49" s="8">
        <v>0.26319999999999999</v>
      </c>
      <c r="D49" s="8">
        <v>0.38650000000000001</v>
      </c>
      <c r="E49" s="8">
        <v>8.4700000000000011E-2</v>
      </c>
      <c r="F49" s="8">
        <v>0.29320478325945187</v>
      </c>
      <c r="G49" s="4">
        <v>63355300</v>
      </c>
      <c r="H49" s="4">
        <v>59016600</v>
      </c>
      <c r="I49" s="19">
        <v>261851420</v>
      </c>
      <c r="J49" s="8">
        <v>7.3386087573089953E-2</v>
      </c>
      <c r="K49" s="4">
        <v>22498300</v>
      </c>
      <c r="L49" s="4">
        <v>35651300</v>
      </c>
      <c r="M49" s="19">
        <v>65538669</v>
      </c>
      <c r="N49" s="8">
        <v>9.1383854709561937E-2</v>
      </c>
      <c r="O49" s="4">
        <v>19071700</v>
      </c>
      <c r="P49" s="4">
        <v>40054200</v>
      </c>
      <c r="Q49" s="19">
        <v>81611875</v>
      </c>
      <c r="R49" s="8">
        <v>2.9414041329268191E-2</v>
      </c>
      <c r="S49" s="4">
        <v>4913800</v>
      </c>
      <c r="T49" s="4">
        <v>9735900</v>
      </c>
      <c r="U49" s="19">
        <v>26268700</v>
      </c>
      <c r="V49" s="8">
        <v>5.9563945971550042E-2</v>
      </c>
      <c r="W49" s="4">
        <v>17757700</v>
      </c>
      <c r="X49" s="4">
        <v>21262800</v>
      </c>
      <c r="Y49" s="19">
        <v>53194575</v>
      </c>
      <c r="Z49" s="8">
        <v>3.775916631675625E-2</v>
      </c>
      <c r="AA49" s="4">
        <v>9913100</v>
      </c>
      <c r="AB49" s="4">
        <v>13608100</v>
      </c>
      <c r="AC49" s="19">
        <v>33721453</v>
      </c>
      <c r="AD49" s="38">
        <v>3.0895632840276903E-2</v>
      </c>
      <c r="AE49" s="4">
        <v>11338800</v>
      </c>
      <c r="AF49" s="4">
        <v>14104000</v>
      </c>
      <c r="AG49" s="19">
        <v>27591860</v>
      </c>
      <c r="AH49" s="38">
        <v>4.9900753658400993E-2</v>
      </c>
      <c r="AI49" s="4">
        <v>15226900</v>
      </c>
      <c r="AJ49" s="4">
        <v>16325000</v>
      </c>
      <c r="AK49" s="19">
        <v>44564700</v>
      </c>
      <c r="AL49" s="38">
        <v>3.7132328458451311E-2</v>
      </c>
      <c r="AM49" s="4">
        <v>13553300</v>
      </c>
      <c r="AN49" s="4">
        <v>14273600</v>
      </c>
      <c r="AO49" s="19">
        <v>33161645</v>
      </c>
      <c r="AP49" s="38">
        <v>1.5363802535898462E-2</v>
      </c>
      <c r="AQ49" s="4">
        <v>6881900</v>
      </c>
      <c r="AR49" s="4">
        <v>6045500</v>
      </c>
      <c r="AS49" s="19">
        <v>13720900</v>
      </c>
      <c r="AT49" s="38">
        <v>8.3880635509820025E-3</v>
      </c>
      <c r="AU49" s="4">
        <v>2336500</v>
      </c>
      <c r="AV49" s="4">
        <v>3200100</v>
      </c>
      <c r="AW49" s="19">
        <v>7491100</v>
      </c>
      <c r="AX49" s="38">
        <v>3.6423932299648062E-3</v>
      </c>
      <c r="AY49" s="4">
        <v>1488900</v>
      </c>
      <c r="AZ49" s="4">
        <v>1609200</v>
      </c>
      <c r="BA49" s="19">
        <v>3252900</v>
      </c>
      <c r="BB49" s="38">
        <v>3.4194535478085783E-3</v>
      </c>
      <c r="BC49" s="4">
        <v>912700</v>
      </c>
      <c r="BD49" s="4">
        <v>1773700</v>
      </c>
      <c r="BE49" s="19">
        <v>3053800</v>
      </c>
      <c r="BF49" s="38">
        <v>4.7059868336459428E-2</v>
      </c>
      <c r="BG49" s="4">
        <v>13178700</v>
      </c>
      <c r="BH49" s="4">
        <v>18508500</v>
      </c>
      <c r="BI49" s="19">
        <v>42027600</v>
      </c>
      <c r="BJ49" s="38">
        <v>2.3002090038805077E-2</v>
      </c>
      <c r="BK49" s="4">
        <v>6417900</v>
      </c>
      <c r="BL49" s="4">
        <v>11572600</v>
      </c>
      <c r="BM49" s="19">
        <v>20542400</v>
      </c>
      <c r="BN49" s="38">
        <v>2.1715064068587257E-2</v>
      </c>
      <c r="BO49" s="4">
        <v>6193100</v>
      </c>
      <c r="BP49" s="4">
        <v>11888300</v>
      </c>
      <c r="BQ49" s="19">
        <v>19393000</v>
      </c>
      <c r="BR49" s="38">
        <v>1.7125261169750605E-3</v>
      </c>
      <c r="BS49" s="4">
        <v>502400</v>
      </c>
      <c r="BT49" s="4">
        <v>695800</v>
      </c>
      <c r="BU49" s="19">
        <v>1529400</v>
      </c>
      <c r="BV49" s="38">
        <v>1.1737197600852806E-2</v>
      </c>
      <c r="BW49" s="4">
        <v>2210900</v>
      </c>
      <c r="BX49" s="4">
        <v>4334200</v>
      </c>
      <c r="BY49" s="19">
        <v>10482100</v>
      </c>
      <c r="BZ49" s="8">
        <v>1.8610816550547526E-2</v>
      </c>
      <c r="CA49" s="4">
        <v>233300</v>
      </c>
      <c r="CB49" s="4">
        <v>356200</v>
      </c>
      <c r="CC49" s="19">
        <v>16620700</v>
      </c>
      <c r="CD49" s="38">
        <v>1.4893065005117558E-2</v>
      </c>
      <c r="CE49" s="4">
        <v>3654800</v>
      </c>
      <c r="CF49" s="4">
        <v>7034500</v>
      </c>
      <c r="CG49" s="19">
        <v>13300500</v>
      </c>
      <c r="CH49" s="8">
        <v>1.1448193422226376E-3</v>
      </c>
      <c r="CI49" s="4">
        <v>138500</v>
      </c>
      <c r="CJ49" s="4">
        <v>883400</v>
      </c>
      <c r="CK49" s="19">
        <v>1022400</v>
      </c>
      <c r="CL49" s="8">
        <v>5.407211075501875E-3</v>
      </c>
      <c r="CM49" s="4">
        <v>2012400</v>
      </c>
      <c r="CN49" s="4">
        <v>2775900</v>
      </c>
      <c r="CO49" s="19">
        <v>4827000</v>
      </c>
    </row>
    <row r="50" spans="1:93" x14ac:dyDescent="0.2">
      <c r="A50" s="33" t="s">
        <v>323</v>
      </c>
      <c r="B50" s="8">
        <v>0.29449999999999998</v>
      </c>
      <c r="C50" s="8">
        <v>0.29620000000000002</v>
      </c>
      <c r="D50" s="8">
        <v>0.3947</v>
      </c>
      <c r="E50" s="8">
        <v>0.1142</v>
      </c>
      <c r="F50" s="8">
        <v>0.24862741447932701</v>
      </c>
      <c r="G50" s="4">
        <v>45778800</v>
      </c>
      <c r="H50" s="4">
        <v>60811400</v>
      </c>
      <c r="I50" s="19">
        <v>229994015</v>
      </c>
      <c r="J50" s="8">
        <v>9.1327354130910587E-2</v>
      </c>
      <c r="K50" s="4">
        <v>34848500</v>
      </c>
      <c r="L50" s="4">
        <v>38310800</v>
      </c>
      <c r="M50" s="19">
        <v>84482819</v>
      </c>
      <c r="N50" s="8">
        <v>0.1025511849389337</v>
      </c>
      <c r="O50" s="4">
        <v>26644200</v>
      </c>
      <c r="P50" s="4">
        <v>39092700</v>
      </c>
      <c r="Q50" s="19">
        <v>94865479</v>
      </c>
      <c r="R50" s="8">
        <v>3.7767054628349596E-2</v>
      </c>
      <c r="S50" s="4">
        <v>10878900</v>
      </c>
      <c r="T50" s="4">
        <v>12128900</v>
      </c>
      <c r="U50" s="19">
        <v>34936600</v>
      </c>
      <c r="V50" s="8">
        <v>4.4335052718080324E-2</v>
      </c>
      <c r="W50" s="4">
        <v>17236100</v>
      </c>
      <c r="X50" s="4">
        <v>18901200</v>
      </c>
      <c r="Y50" s="19">
        <v>41012359</v>
      </c>
      <c r="Z50" s="8">
        <v>4.8188543891525541E-2</v>
      </c>
      <c r="AA50" s="4">
        <v>19976800</v>
      </c>
      <c r="AB50" s="4">
        <v>20081100</v>
      </c>
      <c r="AC50" s="19">
        <v>44577050</v>
      </c>
      <c r="AD50" s="38">
        <v>2.8652362360043555E-2</v>
      </c>
      <c r="AE50" s="4">
        <v>10246800</v>
      </c>
      <c r="AF50" s="4">
        <v>12598700</v>
      </c>
      <c r="AG50" s="19">
        <v>26505009</v>
      </c>
      <c r="AH50" s="38">
        <v>4.5442274537020787E-2</v>
      </c>
      <c r="AI50" s="4">
        <v>12676500</v>
      </c>
      <c r="AJ50" s="4">
        <v>15721900</v>
      </c>
      <c r="AK50" s="19">
        <v>42036600</v>
      </c>
      <c r="AL50" s="38">
        <v>2.4977948120287186E-2</v>
      </c>
      <c r="AM50" s="4">
        <v>7766300</v>
      </c>
      <c r="AN50" s="4">
        <v>12575800</v>
      </c>
      <c r="AO50" s="19">
        <v>23105974</v>
      </c>
      <c r="AP50" s="38">
        <v>1.874764349128466E-2</v>
      </c>
      <c r="AQ50" s="4">
        <v>8475300</v>
      </c>
      <c r="AR50" s="4">
        <v>7919200</v>
      </c>
      <c r="AS50" s="19">
        <v>17342600</v>
      </c>
      <c r="AT50" s="38">
        <v>6.9498575764573413E-3</v>
      </c>
      <c r="AU50" s="4">
        <v>1916800</v>
      </c>
      <c r="AV50" s="4">
        <v>2852700</v>
      </c>
      <c r="AW50" s="19">
        <v>6429000</v>
      </c>
      <c r="AX50" s="38">
        <v>3.9485222871003395E-3</v>
      </c>
      <c r="AY50" s="4">
        <v>1227100</v>
      </c>
      <c r="AZ50" s="4">
        <v>2237700</v>
      </c>
      <c r="BA50" s="19">
        <v>3652600</v>
      </c>
      <c r="BB50" s="38">
        <v>4.7994987817631517E-3</v>
      </c>
      <c r="BC50" s="4">
        <v>1459900</v>
      </c>
      <c r="BD50" s="4">
        <v>2426800</v>
      </c>
      <c r="BE50" s="19">
        <v>4439800</v>
      </c>
      <c r="BF50" s="38">
        <v>7.8818454767477328E-2</v>
      </c>
      <c r="BG50" s="4">
        <v>29446300</v>
      </c>
      <c r="BH50" s="4">
        <v>23910900</v>
      </c>
      <c r="BI50" s="19">
        <v>72911400</v>
      </c>
      <c r="BJ50" s="38">
        <v>2.2313918206595403E-2</v>
      </c>
      <c r="BK50" s="4">
        <v>7629800</v>
      </c>
      <c r="BL50" s="4">
        <v>10817900</v>
      </c>
      <c r="BM50" s="19">
        <v>20641600</v>
      </c>
      <c r="BN50" s="38">
        <v>2.1164581050694107E-2</v>
      </c>
      <c r="BO50" s="4">
        <v>5524600</v>
      </c>
      <c r="BP50" s="4">
        <v>11074000</v>
      </c>
      <c r="BQ50" s="19">
        <v>19578400</v>
      </c>
      <c r="BR50" s="38">
        <v>4.7149632610789137E-3</v>
      </c>
      <c r="BS50" s="4">
        <v>1935900</v>
      </c>
      <c r="BT50" s="4">
        <v>1671900</v>
      </c>
      <c r="BU50" s="19">
        <v>4361600</v>
      </c>
      <c r="BV50" s="38">
        <v>8.6094347037519916E-3</v>
      </c>
      <c r="BW50" s="4">
        <v>1735900</v>
      </c>
      <c r="BX50" s="4">
        <v>1882800</v>
      </c>
      <c r="BY50" s="19">
        <v>7964200</v>
      </c>
      <c r="BZ50" s="8">
        <v>1.4068678092594303E-2</v>
      </c>
      <c r="CA50" s="4">
        <v>594500</v>
      </c>
      <c r="CB50" s="4">
        <v>588800</v>
      </c>
      <c r="CC50" s="19">
        <v>13014300</v>
      </c>
      <c r="CD50" s="38">
        <v>1.6893484405068757E-2</v>
      </c>
      <c r="CE50" s="4">
        <v>5803700</v>
      </c>
      <c r="CF50" s="4">
        <v>6533900</v>
      </c>
      <c r="CG50" s="19">
        <v>15627401</v>
      </c>
      <c r="CH50" s="8">
        <v>9.6686150511486168E-4</v>
      </c>
      <c r="CI50" s="4">
        <v>238800</v>
      </c>
      <c r="CJ50" s="4">
        <v>655100</v>
      </c>
      <c r="CK50" s="19">
        <v>894400</v>
      </c>
      <c r="CL50" s="8">
        <v>1.2814806603570679E-2</v>
      </c>
      <c r="CM50" s="4">
        <v>7471300</v>
      </c>
      <c r="CN50" s="4">
        <v>4217500</v>
      </c>
      <c r="CO50" s="19">
        <v>11854000</v>
      </c>
    </row>
    <row r="51" spans="1:93" x14ac:dyDescent="0.2">
      <c r="A51" s="33" t="s">
        <v>321</v>
      </c>
      <c r="B51" s="8">
        <v>0.2923</v>
      </c>
      <c r="C51" s="8">
        <v>0.29920000000000002</v>
      </c>
      <c r="D51" s="8">
        <v>0.41299999999999998</v>
      </c>
      <c r="E51" s="8">
        <v>8.8499999999999995E-2</v>
      </c>
      <c r="F51" s="8">
        <v>0.25292177229664758</v>
      </c>
      <c r="G51" s="4">
        <v>44980400</v>
      </c>
      <c r="H51" s="4">
        <v>53566900</v>
      </c>
      <c r="I51" s="19">
        <v>236696507</v>
      </c>
      <c r="J51" s="8">
        <v>8.6087124591459466E-2</v>
      </c>
      <c r="K51" s="4">
        <v>34143100</v>
      </c>
      <c r="L51" s="4">
        <v>38474100</v>
      </c>
      <c r="M51" s="19">
        <v>80564522</v>
      </c>
      <c r="N51" s="8">
        <v>7.3032516247143159E-2</v>
      </c>
      <c r="O51" s="4">
        <v>18454500</v>
      </c>
      <c r="P51" s="4">
        <v>26829100</v>
      </c>
      <c r="Q51" s="19">
        <v>68347384</v>
      </c>
      <c r="R51" s="8">
        <v>1.9718786139957169E-2</v>
      </c>
      <c r="S51" s="4">
        <v>5700700</v>
      </c>
      <c r="T51" s="4">
        <v>7541700</v>
      </c>
      <c r="U51" s="19">
        <v>18453800</v>
      </c>
      <c r="V51" s="8">
        <v>0.10201088374456982</v>
      </c>
      <c r="W51" s="4">
        <v>42073100</v>
      </c>
      <c r="X51" s="4">
        <v>31320700</v>
      </c>
      <c r="Y51" s="19">
        <v>95466751</v>
      </c>
      <c r="Z51" s="8">
        <v>3.3524538354294052E-2</v>
      </c>
      <c r="AA51" s="4">
        <v>8788500</v>
      </c>
      <c r="AB51" s="4">
        <v>11360900</v>
      </c>
      <c r="AC51" s="19">
        <v>31373895</v>
      </c>
      <c r="AD51" s="38">
        <v>3.8465742091482416E-2</v>
      </c>
      <c r="AE51" s="4">
        <v>17913400</v>
      </c>
      <c r="AF51" s="4">
        <v>14347400</v>
      </c>
      <c r="AG51" s="19">
        <v>35998114</v>
      </c>
      <c r="AH51" s="38">
        <v>4.3186148381182579E-2</v>
      </c>
      <c r="AI51" s="4">
        <v>10871900</v>
      </c>
      <c r="AJ51" s="4">
        <v>14472700</v>
      </c>
      <c r="AK51" s="19">
        <v>40415700</v>
      </c>
      <c r="AL51" s="38">
        <v>3.320895955828141E-2</v>
      </c>
      <c r="AM51" s="4">
        <v>14119200</v>
      </c>
      <c r="AN51" s="4">
        <v>13940500</v>
      </c>
      <c r="AO51" s="19">
        <v>31078561</v>
      </c>
      <c r="AP51" s="38">
        <v>1.8424346104303588E-2</v>
      </c>
      <c r="AQ51" s="4">
        <v>8292600</v>
      </c>
      <c r="AR51" s="4">
        <v>6304300</v>
      </c>
      <c r="AS51" s="19">
        <v>17242400</v>
      </c>
      <c r="AT51" s="38">
        <v>7.081807277772933E-3</v>
      </c>
      <c r="AU51" s="4">
        <v>1861300</v>
      </c>
      <c r="AV51" s="4">
        <v>3615100</v>
      </c>
      <c r="AW51" s="19">
        <v>6627500</v>
      </c>
      <c r="AX51" s="38">
        <v>2.4145997594241415E-3</v>
      </c>
      <c r="AY51" s="4">
        <v>896300</v>
      </c>
      <c r="AZ51" s="4">
        <v>1291000</v>
      </c>
      <c r="BA51" s="19">
        <v>2259700</v>
      </c>
      <c r="BB51" s="38">
        <v>7.3040654314925511E-3</v>
      </c>
      <c r="BC51" s="4">
        <v>3319400</v>
      </c>
      <c r="BD51" s="4">
        <v>2899700</v>
      </c>
      <c r="BE51" s="19">
        <v>6835500</v>
      </c>
      <c r="BF51" s="38">
        <v>8.5763865066557698E-2</v>
      </c>
      <c r="BG51" s="4">
        <v>19464900</v>
      </c>
      <c r="BH51" s="4">
        <v>21847900</v>
      </c>
      <c r="BI51" s="19">
        <v>80262000</v>
      </c>
      <c r="BJ51" s="38">
        <v>1.7185577461961504E-2</v>
      </c>
      <c r="BK51" s="4">
        <v>6003200</v>
      </c>
      <c r="BL51" s="4">
        <v>8636000</v>
      </c>
      <c r="BM51" s="19">
        <v>16083100</v>
      </c>
      <c r="BN51" s="38">
        <v>3.6278193995766289E-2</v>
      </c>
      <c r="BO51" s="4">
        <v>11716500</v>
      </c>
      <c r="BP51" s="4">
        <v>20070700</v>
      </c>
      <c r="BQ51" s="19">
        <v>33950900</v>
      </c>
      <c r="BR51" s="38">
        <v>2.1983254790738974E-3</v>
      </c>
      <c r="BS51" s="4">
        <v>676200</v>
      </c>
      <c r="BT51" s="4">
        <v>755300</v>
      </c>
      <c r="BU51" s="19">
        <v>2057300</v>
      </c>
      <c r="BV51" s="38">
        <v>9.2682718649896769E-3</v>
      </c>
      <c r="BW51" s="4">
        <v>1928900</v>
      </c>
      <c r="BX51" s="4">
        <v>1780900</v>
      </c>
      <c r="BY51" s="19">
        <v>8673700</v>
      </c>
      <c r="BZ51" s="8">
        <v>1.1226067005591046E-2</v>
      </c>
      <c r="CA51" s="4">
        <v>170800</v>
      </c>
      <c r="CB51" s="4">
        <v>170300</v>
      </c>
      <c r="CC51" s="19">
        <v>10505900</v>
      </c>
      <c r="CD51" s="38">
        <v>1.6793206336741098E-2</v>
      </c>
      <c r="CE51" s="4">
        <v>6952300</v>
      </c>
      <c r="CF51" s="4">
        <v>6607800</v>
      </c>
      <c r="CG51" s="19">
        <v>15715900</v>
      </c>
      <c r="CH51" s="8">
        <v>1.7398111821455887E-3</v>
      </c>
      <c r="CI51" s="4">
        <v>620200</v>
      </c>
      <c r="CJ51" s="4">
        <v>1008000</v>
      </c>
      <c r="CK51" s="19">
        <v>1628200</v>
      </c>
      <c r="CL51" s="8">
        <v>3.1041343103629378E-3</v>
      </c>
      <c r="CM51" s="4">
        <v>972600</v>
      </c>
      <c r="CN51" s="4">
        <v>1915700</v>
      </c>
      <c r="CO51" s="19">
        <v>2904400</v>
      </c>
    </row>
    <row r="52" spans="1:93" x14ac:dyDescent="0.2">
      <c r="A52" s="33" t="s">
        <v>317</v>
      </c>
      <c r="B52" s="8">
        <v>0.30380000000000001</v>
      </c>
      <c r="C52" s="8">
        <v>0.26400000000000001</v>
      </c>
      <c r="D52" s="8">
        <v>0.42840000000000006</v>
      </c>
      <c r="E52" s="8">
        <v>9.6199999999999994E-2</v>
      </c>
      <c r="F52" s="8">
        <v>0.24631261246534988</v>
      </c>
      <c r="G52" s="4">
        <v>85724600</v>
      </c>
      <c r="H52" s="4">
        <v>70840700</v>
      </c>
      <c r="I52" s="19">
        <v>257870752</v>
      </c>
      <c r="J52" s="8">
        <v>8.5410214363884185E-2</v>
      </c>
      <c r="K52" s="4">
        <v>40071200</v>
      </c>
      <c r="L52" s="4">
        <v>38014700</v>
      </c>
      <c r="M52" s="19">
        <v>89418061</v>
      </c>
      <c r="N52" s="8">
        <v>0.12594850329041246</v>
      </c>
      <c r="O52" s="4">
        <v>55826400</v>
      </c>
      <c r="P52" s="4">
        <v>45115900</v>
      </c>
      <c r="Q52" s="19">
        <v>131858596</v>
      </c>
      <c r="R52" s="8">
        <v>3.3371837345058435E-2</v>
      </c>
      <c r="S52" s="4">
        <v>8951800</v>
      </c>
      <c r="T52" s="4">
        <v>9345400</v>
      </c>
      <c r="U52" s="19">
        <v>34937800</v>
      </c>
      <c r="V52" s="8">
        <v>3.8154816593510117E-2</v>
      </c>
      <c r="W52" s="4">
        <v>19469900</v>
      </c>
      <c r="X52" s="4">
        <v>17192400</v>
      </c>
      <c r="Y52" s="19">
        <v>39945219</v>
      </c>
      <c r="Z52" s="8">
        <v>3.2250419513466508E-2</v>
      </c>
      <c r="AA52" s="4">
        <v>12163400</v>
      </c>
      <c r="AB52" s="4">
        <v>10733000</v>
      </c>
      <c r="AC52" s="19">
        <v>33763760</v>
      </c>
      <c r="AD52" s="38">
        <v>2.5039295186122825E-2</v>
      </c>
      <c r="AE52" s="4">
        <v>11461200</v>
      </c>
      <c r="AF52" s="4">
        <v>11307800</v>
      </c>
      <c r="AG52" s="19">
        <v>26214256</v>
      </c>
      <c r="AH52" s="38">
        <v>4.8106994853180825E-2</v>
      </c>
      <c r="AI52" s="4">
        <v>14070300</v>
      </c>
      <c r="AJ52" s="4">
        <v>14541900</v>
      </c>
      <c r="AK52" s="19">
        <v>50364400</v>
      </c>
      <c r="AL52" s="38">
        <v>4.1908658765819368E-2</v>
      </c>
      <c r="AM52" s="4">
        <v>11467400</v>
      </c>
      <c r="AN52" s="4">
        <v>17108500</v>
      </c>
      <c r="AO52" s="19">
        <v>43875209</v>
      </c>
      <c r="AP52" s="38">
        <v>1.2491538598522823E-2</v>
      </c>
      <c r="AQ52" s="4">
        <v>6557300</v>
      </c>
      <c r="AR52" s="4">
        <v>5812500</v>
      </c>
      <c r="AS52" s="19">
        <v>13077700</v>
      </c>
      <c r="AT52" s="38">
        <v>6.4676095188341901E-3</v>
      </c>
      <c r="AU52" s="4">
        <v>2513300</v>
      </c>
      <c r="AV52" s="4">
        <v>2781600</v>
      </c>
      <c r="AW52" s="19">
        <v>6771100</v>
      </c>
      <c r="AX52" s="38">
        <v>2.7358224193771894E-3</v>
      </c>
      <c r="AY52" s="4">
        <v>989500</v>
      </c>
      <c r="AZ52" s="4">
        <v>1728400</v>
      </c>
      <c r="BA52" s="19">
        <v>2864200</v>
      </c>
      <c r="BB52" s="38">
        <v>3.2285035184326863E-3</v>
      </c>
      <c r="BC52" s="4">
        <v>1738500</v>
      </c>
      <c r="BD52" s="4">
        <v>1424300</v>
      </c>
      <c r="BE52" s="19">
        <v>3380000</v>
      </c>
      <c r="BF52" s="38">
        <v>7.9748239690932643E-2</v>
      </c>
      <c r="BG52" s="4">
        <v>18886500</v>
      </c>
      <c r="BH52" s="4">
        <v>25376400</v>
      </c>
      <c r="BI52" s="19">
        <v>83490400</v>
      </c>
      <c r="BJ52" s="38">
        <v>3.7466783331411325E-2</v>
      </c>
      <c r="BK52" s="4">
        <v>19692900</v>
      </c>
      <c r="BL52" s="4">
        <v>18218600</v>
      </c>
      <c r="BM52" s="19">
        <v>39224900</v>
      </c>
      <c r="BN52" s="38">
        <v>3.2537488876611405E-2</v>
      </c>
      <c r="BO52" s="4">
        <v>17167200</v>
      </c>
      <c r="BP52" s="4">
        <v>14710300</v>
      </c>
      <c r="BQ52" s="19">
        <v>34064300</v>
      </c>
      <c r="BR52" s="38">
        <v>1.5179697607968121E-3</v>
      </c>
      <c r="BS52" s="4">
        <v>442900</v>
      </c>
      <c r="BT52" s="4">
        <v>707700</v>
      </c>
      <c r="BU52" s="19">
        <v>1589200</v>
      </c>
      <c r="BV52" s="38">
        <v>8.9850781203670849E-3</v>
      </c>
      <c r="BW52" s="4">
        <v>3513900</v>
      </c>
      <c r="BX52" s="4">
        <v>1797200</v>
      </c>
      <c r="BY52" s="19">
        <v>9406700</v>
      </c>
      <c r="BZ52" s="8">
        <v>9.7799777144616656E-3</v>
      </c>
      <c r="CA52" s="4">
        <v>161100</v>
      </c>
      <c r="CB52" s="4">
        <v>198400</v>
      </c>
      <c r="CC52" s="19">
        <v>10238900</v>
      </c>
      <c r="CD52" s="38">
        <v>1.7592287604079743E-2</v>
      </c>
      <c r="CE52" s="4">
        <v>10080300</v>
      </c>
      <c r="CF52" s="4">
        <v>7210600</v>
      </c>
      <c r="CG52" s="19">
        <v>18417800</v>
      </c>
      <c r="CH52" s="8">
        <v>9.029302887498279E-4</v>
      </c>
      <c r="CI52" s="4">
        <v>249100</v>
      </c>
      <c r="CJ52" s="4">
        <v>692200</v>
      </c>
      <c r="CK52" s="19">
        <v>945300</v>
      </c>
      <c r="CL52" s="8">
        <v>3.3089295528267787E-3</v>
      </c>
      <c r="CM52" s="4">
        <v>1691700</v>
      </c>
      <c r="CN52" s="4">
        <v>1613900</v>
      </c>
      <c r="CO52" s="19">
        <v>3463100</v>
      </c>
    </row>
    <row r="53" spans="1:93" x14ac:dyDescent="0.2">
      <c r="A53" s="33" t="s">
        <v>309</v>
      </c>
      <c r="B53" s="8">
        <v>0.24</v>
      </c>
      <c r="C53" s="8">
        <v>0.32429999999999998</v>
      </c>
      <c r="D53" s="8">
        <v>0.34710000000000002</v>
      </c>
      <c r="E53" s="8">
        <v>0.12279999999999999</v>
      </c>
      <c r="F53" s="8">
        <v>0.29234165699493031</v>
      </c>
      <c r="G53" s="4">
        <v>37888900</v>
      </c>
      <c r="H53" s="4">
        <v>48568500</v>
      </c>
      <c r="I53" s="19">
        <v>225439738</v>
      </c>
      <c r="J53" s="8">
        <v>7.9647856013993518E-2</v>
      </c>
      <c r="K53" s="4">
        <v>24876200</v>
      </c>
      <c r="L53" s="4">
        <v>29099800</v>
      </c>
      <c r="M53" s="19">
        <v>61420572</v>
      </c>
      <c r="N53" s="8">
        <v>9.4656802276901181E-2</v>
      </c>
      <c r="O53" s="4">
        <v>20076800</v>
      </c>
      <c r="P53" s="4">
        <v>20245700</v>
      </c>
      <c r="Q53" s="19">
        <v>72994745</v>
      </c>
      <c r="R53" s="8">
        <v>1.9773803103217299E-2</v>
      </c>
      <c r="S53" s="4">
        <v>4210700</v>
      </c>
      <c r="T53" s="4">
        <v>7108200</v>
      </c>
      <c r="U53" s="19">
        <v>15248600</v>
      </c>
      <c r="V53" s="8">
        <v>4.1280724559991031E-2</v>
      </c>
      <c r="W53" s="4">
        <v>12857800</v>
      </c>
      <c r="X53" s="4">
        <v>12189200</v>
      </c>
      <c r="Y53" s="19">
        <v>31833697</v>
      </c>
      <c r="Z53" s="8">
        <v>4.62010177622596E-2</v>
      </c>
      <c r="AA53" s="4">
        <v>13447500</v>
      </c>
      <c r="AB53" s="4">
        <v>14902300</v>
      </c>
      <c r="AC53" s="19">
        <v>35627989</v>
      </c>
      <c r="AD53" s="38">
        <v>2.6773106437352225E-2</v>
      </c>
      <c r="AE53" s="4">
        <v>5402900</v>
      </c>
      <c r="AF53" s="4">
        <v>8420500</v>
      </c>
      <c r="AG53" s="19">
        <v>20646124</v>
      </c>
      <c r="AH53" s="38">
        <v>3.2652593649208576E-2</v>
      </c>
      <c r="AI53" s="4">
        <v>6466900</v>
      </c>
      <c r="AJ53" s="4">
        <v>10046800</v>
      </c>
      <c r="AK53" s="19">
        <v>25180100</v>
      </c>
      <c r="AL53" s="38">
        <v>4.0041222503842157E-2</v>
      </c>
      <c r="AM53" s="4">
        <v>11146500</v>
      </c>
      <c r="AN53" s="4">
        <v>16006300</v>
      </c>
      <c r="AO53" s="19">
        <v>30877853</v>
      </c>
      <c r="AP53" s="38">
        <v>3.4703681904416188E-2</v>
      </c>
      <c r="AQ53" s="4">
        <v>11807100</v>
      </c>
      <c r="AR53" s="4">
        <v>9364900</v>
      </c>
      <c r="AS53" s="19">
        <v>26761800</v>
      </c>
      <c r="AT53" s="38">
        <v>1.3121544368697774E-2</v>
      </c>
      <c r="AU53" s="4">
        <v>4903400</v>
      </c>
      <c r="AV53" s="4">
        <v>2959600</v>
      </c>
      <c r="AW53" s="19">
        <v>10118700</v>
      </c>
      <c r="AX53" s="38">
        <v>2.3232785724410184E-3</v>
      </c>
      <c r="AY53" s="4">
        <v>157800</v>
      </c>
      <c r="AZ53" s="4">
        <v>218100</v>
      </c>
      <c r="BA53" s="19">
        <v>1791600</v>
      </c>
      <c r="BB53" s="38">
        <v>3.5852872276651748E-3</v>
      </c>
      <c r="BC53" s="4">
        <v>857300</v>
      </c>
      <c r="BD53" s="4">
        <v>1699400</v>
      </c>
      <c r="BE53" s="19">
        <v>2764800</v>
      </c>
      <c r="BF53" s="38">
        <v>5.3057012051475921E-2</v>
      </c>
      <c r="BG53" s="4">
        <v>15117400</v>
      </c>
      <c r="BH53" s="4">
        <v>18245100</v>
      </c>
      <c r="BI53" s="19">
        <v>40915000</v>
      </c>
      <c r="BJ53" s="38">
        <v>1.5129061424958066E-2</v>
      </c>
      <c r="BK53" s="4">
        <v>5089400</v>
      </c>
      <c r="BL53" s="4">
        <v>4508200</v>
      </c>
      <c r="BM53" s="19">
        <v>11666800</v>
      </c>
      <c r="BN53" s="38">
        <v>2.155775841249789E-2</v>
      </c>
      <c r="BO53" s="4">
        <v>6121700</v>
      </c>
      <c r="BP53" s="4">
        <v>8456800</v>
      </c>
      <c r="BQ53" s="19">
        <v>16624300</v>
      </c>
      <c r="BR53" s="8"/>
      <c r="BS53" s="4"/>
      <c r="BT53" s="4"/>
      <c r="BU53" s="19">
        <v>1382100</v>
      </c>
      <c r="BV53" s="8"/>
      <c r="BW53" s="4"/>
      <c r="BX53" s="4"/>
      <c r="BY53" s="19">
        <v>6481300</v>
      </c>
      <c r="BZ53" s="8">
        <v>1.4886048249876884E-2</v>
      </c>
      <c r="CA53" s="4">
        <v>151500</v>
      </c>
      <c r="CB53" s="4">
        <v>116600</v>
      </c>
      <c r="CC53" s="19">
        <v>11479400</v>
      </c>
      <c r="CD53" s="38">
        <v>7.6694387480396933E-3</v>
      </c>
      <c r="CE53" s="4">
        <v>1645100</v>
      </c>
      <c r="CF53" s="4">
        <v>2197200</v>
      </c>
      <c r="CG53" s="19">
        <v>5914300</v>
      </c>
      <c r="CH53" s="8">
        <v>1.94527248633555E-3</v>
      </c>
      <c r="CI53" s="4">
        <v>1137900</v>
      </c>
      <c r="CJ53" s="4">
        <v>362500</v>
      </c>
      <c r="CK53" s="19">
        <v>1500100</v>
      </c>
      <c r="CL53" s="8">
        <v>5.3098508431425754E-3</v>
      </c>
      <c r="CM53" s="4">
        <v>1573700</v>
      </c>
      <c r="CN53" s="4">
        <v>2408600</v>
      </c>
      <c r="CO53" s="19">
        <v>4084700</v>
      </c>
    </row>
    <row r="54" spans="1:93" x14ac:dyDescent="0.2">
      <c r="A54" s="33" t="s">
        <v>305</v>
      </c>
      <c r="B54" s="8">
        <v>0.27779999999999999</v>
      </c>
      <c r="C54" s="8">
        <v>0.24329999999999999</v>
      </c>
      <c r="D54" s="8">
        <v>0.47539999999999999</v>
      </c>
      <c r="E54" s="8">
        <v>0.1084</v>
      </c>
      <c r="F54" s="8">
        <v>0.20171569690657229</v>
      </c>
      <c r="G54" s="4">
        <v>50810400</v>
      </c>
      <c r="H54" s="4">
        <v>80765100</v>
      </c>
      <c r="I54" s="19">
        <v>211918870</v>
      </c>
      <c r="J54" s="8">
        <v>0.12401835013824324</v>
      </c>
      <c r="K54" s="4">
        <v>53789000</v>
      </c>
      <c r="L54" s="4">
        <v>64038900</v>
      </c>
      <c r="M54" s="19">
        <v>130291440</v>
      </c>
      <c r="N54" s="8">
        <v>0.10860185453272052</v>
      </c>
      <c r="O54" s="4">
        <v>28726800</v>
      </c>
      <c r="P54" s="4">
        <v>35447700</v>
      </c>
      <c r="Q54" s="19">
        <v>114095148</v>
      </c>
      <c r="R54" s="8">
        <v>3.0352264314413801E-2</v>
      </c>
      <c r="S54" s="4">
        <v>11802200</v>
      </c>
      <c r="T54" s="4">
        <v>15203400</v>
      </c>
      <c r="U54" s="19">
        <v>31887541</v>
      </c>
      <c r="V54" s="8">
        <v>4.4065748553995004E-2</v>
      </c>
      <c r="W54" s="4">
        <v>13087400</v>
      </c>
      <c r="X54" s="4">
        <v>21716900</v>
      </c>
      <c r="Y54" s="19">
        <v>46294680</v>
      </c>
      <c r="Z54" s="8">
        <v>3.8686685068867487E-2</v>
      </c>
      <c r="AA54" s="4">
        <v>18265100</v>
      </c>
      <c r="AB54" s="4">
        <v>16899700</v>
      </c>
      <c r="AC54" s="19">
        <v>40643533</v>
      </c>
      <c r="AD54" s="38">
        <v>3.9724887753615878E-2</v>
      </c>
      <c r="AE54" s="4">
        <v>14460400</v>
      </c>
      <c r="AF54" s="4">
        <v>20296700</v>
      </c>
      <c r="AG54" s="19">
        <v>41734250</v>
      </c>
      <c r="AH54" s="38">
        <v>5.992421634497358E-2</v>
      </c>
      <c r="AI54" s="4">
        <v>22082000</v>
      </c>
      <c r="AJ54" s="4">
        <v>20979200</v>
      </c>
      <c r="AK54" s="19">
        <v>62955300</v>
      </c>
      <c r="AL54" s="38">
        <v>7.0569375450024979E-2</v>
      </c>
      <c r="AM54" s="4">
        <v>22907100</v>
      </c>
      <c r="AN54" s="4">
        <v>19877300</v>
      </c>
      <c r="AO54" s="19">
        <v>74138912</v>
      </c>
      <c r="AP54" s="38">
        <v>1.5392230958653184E-2</v>
      </c>
      <c r="AQ54" s="4">
        <v>5010500</v>
      </c>
      <c r="AR54" s="4">
        <v>7435900</v>
      </c>
      <c r="AS54" s="19">
        <v>16170800</v>
      </c>
      <c r="AT54" s="38">
        <v>5.9068214582468524E-3</v>
      </c>
      <c r="AU54" s="4">
        <v>1908400</v>
      </c>
      <c r="AV54" s="4">
        <v>2896400</v>
      </c>
      <c r="AW54" s="19">
        <v>6205600</v>
      </c>
      <c r="AX54" s="38">
        <v>3.5058664424092441E-3</v>
      </c>
      <c r="AY54" s="4">
        <v>533100</v>
      </c>
      <c r="AZ54" s="4">
        <v>528200</v>
      </c>
      <c r="BA54" s="19">
        <v>3683200</v>
      </c>
      <c r="BB54" s="38">
        <v>4.2068112860751241E-3</v>
      </c>
      <c r="BC54" s="4">
        <v>1892700</v>
      </c>
      <c r="BD54" s="4">
        <v>2176800</v>
      </c>
      <c r="BE54" s="19">
        <v>4419600</v>
      </c>
      <c r="BF54" s="38">
        <v>5.9314744613035417E-2</v>
      </c>
      <c r="BG54" s="4">
        <v>22719000</v>
      </c>
      <c r="BH54" s="4">
        <v>28299700</v>
      </c>
      <c r="BI54" s="19">
        <v>62315000</v>
      </c>
      <c r="BJ54" s="38">
        <v>2.0823887199683838E-2</v>
      </c>
      <c r="BK54" s="4">
        <v>7059000</v>
      </c>
      <c r="BL54" s="4">
        <v>13368400</v>
      </c>
      <c r="BM54" s="19">
        <v>21877200</v>
      </c>
      <c r="BN54" s="38">
        <v>3.6888221843986775E-2</v>
      </c>
      <c r="BO54" s="4">
        <v>17323500</v>
      </c>
      <c r="BP54" s="4">
        <v>18524800</v>
      </c>
      <c r="BQ54" s="19">
        <v>38754100</v>
      </c>
      <c r="BR54" s="8"/>
      <c r="BS54" s="4"/>
      <c r="BT54" s="4"/>
      <c r="BU54" s="19">
        <v>2896000</v>
      </c>
      <c r="BW54" s="4"/>
      <c r="BX54" s="4"/>
      <c r="BY54" s="19">
        <v>10403100</v>
      </c>
      <c r="BZ54" s="8">
        <v>1.1189036715497574E-2</v>
      </c>
      <c r="CA54" s="4">
        <v>330700</v>
      </c>
      <c r="CB54" s="4">
        <v>455000</v>
      </c>
      <c r="CC54" s="19">
        <v>11755000</v>
      </c>
      <c r="CD54" s="38">
        <v>1.1547695076569414E-2</v>
      </c>
      <c r="CE54" s="4">
        <v>3280300</v>
      </c>
      <c r="CF54" s="4">
        <v>5673300</v>
      </c>
      <c r="CG54" s="19">
        <v>12131800</v>
      </c>
      <c r="CH54" s="8">
        <v>3.1618666236954353E-3</v>
      </c>
      <c r="CI54" s="4">
        <v>2285600</v>
      </c>
      <c r="CJ54" s="4">
        <v>1035400</v>
      </c>
      <c r="CK54" s="19">
        <v>3321800</v>
      </c>
      <c r="CL54" s="8">
        <v>6.4878327735288363E-3</v>
      </c>
      <c r="CM54" s="4">
        <v>2101600</v>
      </c>
      <c r="CN54" s="4">
        <v>4366900</v>
      </c>
      <c r="CO54" s="19">
        <v>6815900</v>
      </c>
    </row>
    <row r="55" spans="1:93" x14ac:dyDescent="0.2">
      <c r="A55" s="33" t="s">
        <v>260</v>
      </c>
      <c r="B55" s="8">
        <v>0.27260000000000001</v>
      </c>
      <c r="C55" s="8">
        <v>0.24030000000000001</v>
      </c>
      <c r="D55" s="8">
        <v>0.39299999999999996</v>
      </c>
      <c r="E55" s="8">
        <v>0.14319999999999999</v>
      </c>
      <c r="F55" s="8">
        <v>0.23390365664209453</v>
      </c>
      <c r="G55" s="4">
        <v>56011300</v>
      </c>
      <c r="H55" s="4">
        <v>77776300</v>
      </c>
      <c r="I55" s="19">
        <v>250853545</v>
      </c>
      <c r="J55" s="8">
        <v>9.2086544013878988E-2</v>
      </c>
      <c r="K55" s="4">
        <v>35127800</v>
      </c>
      <c r="L55" s="4">
        <v>51545100</v>
      </c>
      <c r="M55" s="19">
        <v>98759619</v>
      </c>
      <c r="N55" s="8">
        <v>0.11311820809232817</v>
      </c>
      <c r="O55" s="4">
        <v>20713300</v>
      </c>
      <c r="P55" s="4">
        <v>35048200</v>
      </c>
      <c r="Q55" s="19">
        <v>121315348</v>
      </c>
      <c r="R55" s="8">
        <v>2.4258967695639736E-2</v>
      </c>
      <c r="S55" s="4">
        <v>8027800</v>
      </c>
      <c r="T55" s="4">
        <v>13387800</v>
      </c>
      <c r="U55" s="19">
        <v>26016900</v>
      </c>
      <c r="V55" s="8">
        <v>4.2141076130115675E-2</v>
      </c>
      <c r="W55" s="4">
        <v>12113500</v>
      </c>
      <c r="X55" s="4">
        <v>19840000</v>
      </c>
      <c r="Y55" s="19">
        <v>45194840</v>
      </c>
      <c r="Z55" s="8">
        <v>2.7553244111807384E-2</v>
      </c>
      <c r="AA55" s="4">
        <v>9231700</v>
      </c>
      <c r="AB55" s="4">
        <v>14677900</v>
      </c>
      <c r="AC55" s="19">
        <v>29549897</v>
      </c>
      <c r="AD55" s="38">
        <v>3.9340942528398329E-2</v>
      </c>
      <c r="AE55" s="4">
        <v>14433700</v>
      </c>
      <c r="AF55" s="4">
        <v>19629800</v>
      </c>
      <c r="AG55" s="19">
        <v>42191794</v>
      </c>
      <c r="AH55" s="38">
        <v>4.1841728437307997E-2</v>
      </c>
      <c r="AI55" s="4">
        <v>12695400</v>
      </c>
      <c r="AJ55" s="4">
        <v>16098700</v>
      </c>
      <c r="AK55" s="19">
        <v>44873800</v>
      </c>
      <c r="AL55" s="38">
        <v>2.7380560662190814E-2</v>
      </c>
      <c r="AM55" s="4">
        <v>14326100</v>
      </c>
      <c r="AN55" s="4">
        <v>13433300</v>
      </c>
      <c r="AO55" s="19">
        <v>29364700</v>
      </c>
      <c r="AP55" s="38">
        <v>1.1908078073906387E-2</v>
      </c>
      <c r="AQ55" s="4">
        <v>3368700</v>
      </c>
      <c r="AR55" s="4">
        <v>5247500</v>
      </c>
      <c r="AS55" s="19">
        <v>12771000</v>
      </c>
      <c r="AT55" s="38">
        <v>1.3036972453679189E-2</v>
      </c>
      <c r="AU55" s="4">
        <v>5041800</v>
      </c>
      <c r="AV55" s="4">
        <v>5170900</v>
      </c>
      <c r="AW55" s="19">
        <v>13981700</v>
      </c>
      <c r="AX55" s="38">
        <v>6.2497129510739134E-3</v>
      </c>
      <c r="AY55" s="4">
        <v>496000</v>
      </c>
      <c r="AZ55" s="4">
        <v>554900</v>
      </c>
      <c r="BA55" s="19">
        <v>6702600</v>
      </c>
      <c r="BB55" s="38">
        <v>5.4277749022015867E-3</v>
      </c>
      <c r="BC55" s="4">
        <v>2882600</v>
      </c>
      <c r="BD55" s="4">
        <v>2652400</v>
      </c>
      <c r="BE55" s="19">
        <v>5821100</v>
      </c>
      <c r="BF55" s="38">
        <v>7.881775146289681E-2</v>
      </c>
      <c r="BG55" s="4">
        <v>30300300</v>
      </c>
      <c r="BH55" s="4">
        <v>33140000</v>
      </c>
      <c r="BI55" s="19">
        <v>84529300</v>
      </c>
      <c r="BJ55" s="38">
        <v>2.1692544229143775E-2</v>
      </c>
      <c r="BK55" s="4">
        <v>8652200</v>
      </c>
      <c r="BL55" s="4">
        <v>12626400</v>
      </c>
      <c r="BM55" s="19">
        <v>23264500</v>
      </c>
      <c r="BN55" s="38">
        <v>3.4819962503288775E-2</v>
      </c>
      <c r="BO55" s="4">
        <v>17021400</v>
      </c>
      <c r="BP55" s="4">
        <v>17608100</v>
      </c>
      <c r="BQ55" s="19">
        <v>37343200</v>
      </c>
      <c r="BS55" s="4"/>
      <c r="BT55" s="4"/>
      <c r="BU55" s="19">
        <v>2253900</v>
      </c>
      <c r="BW55" s="4"/>
      <c r="BX55" s="4"/>
      <c r="BY55" s="19">
        <v>9948600</v>
      </c>
      <c r="BZ55" s="8">
        <v>2.4661218488927907E-2</v>
      </c>
      <c r="CA55" s="4">
        <v>225800</v>
      </c>
      <c r="CB55" s="4">
        <v>318900</v>
      </c>
      <c r="CC55" s="19">
        <v>26448300</v>
      </c>
      <c r="CD55" s="38">
        <v>1.1053318448947497E-2</v>
      </c>
      <c r="CE55" s="4">
        <v>2550600</v>
      </c>
      <c r="CF55" s="4">
        <v>4674800</v>
      </c>
      <c r="CG55" s="19">
        <v>11854300</v>
      </c>
      <c r="CH55" s="8">
        <v>5.5078707370264681E-4</v>
      </c>
      <c r="CI55" s="4">
        <v>109000</v>
      </c>
      <c r="CJ55" s="4">
        <v>476700</v>
      </c>
      <c r="CK55" s="19">
        <v>590700</v>
      </c>
      <c r="CL55" s="8">
        <v>4.8671973015413008E-3</v>
      </c>
      <c r="CM55" s="4">
        <v>1535200</v>
      </c>
      <c r="CN55" s="4">
        <v>3512000</v>
      </c>
      <c r="CO55" s="19">
        <v>5219800</v>
      </c>
    </row>
    <row r="56" spans="1:93" x14ac:dyDescent="0.2">
      <c r="A56" s="33" t="s">
        <v>259</v>
      </c>
      <c r="B56" s="8">
        <v>0.31309999999999999</v>
      </c>
      <c r="C56" s="8">
        <v>0.28350000000000003</v>
      </c>
      <c r="D56" s="8">
        <v>0.40720000000000001</v>
      </c>
      <c r="E56" s="8">
        <v>8.2799999999999999E-2</v>
      </c>
      <c r="F56" s="8">
        <v>0.2726107018507139</v>
      </c>
      <c r="G56" s="4">
        <v>53394300</v>
      </c>
      <c r="H56" s="4">
        <v>64187900</v>
      </c>
      <c r="I56" s="19">
        <v>236785383</v>
      </c>
      <c r="J56" s="8">
        <v>0.12193691931537697</v>
      </c>
      <c r="K56" s="4">
        <v>50803100</v>
      </c>
      <c r="L56" s="4">
        <v>43013800</v>
      </c>
      <c r="M56" s="19">
        <v>105912497</v>
      </c>
      <c r="N56" s="8">
        <v>9.203584213418578E-2</v>
      </c>
      <c r="O56" s="4">
        <v>20968700</v>
      </c>
      <c r="P56" s="4">
        <v>23523000</v>
      </c>
      <c r="Q56" s="19">
        <v>79940890</v>
      </c>
      <c r="R56" s="8">
        <v>3.5235035964447006E-2</v>
      </c>
      <c r="S56" s="4">
        <v>14231500</v>
      </c>
      <c r="T56" s="4">
        <v>9513100</v>
      </c>
      <c r="U56" s="19">
        <v>30604600</v>
      </c>
      <c r="V56" s="8">
        <v>3.7731134423290139E-2</v>
      </c>
      <c r="W56" s="4">
        <v>11526400</v>
      </c>
      <c r="X56" s="4">
        <v>14388800</v>
      </c>
      <c r="Y56" s="19">
        <v>32772672</v>
      </c>
      <c r="Z56" s="8">
        <v>3.6922862873624014E-2</v>
      </c>
      <c r="AA56" s="4">
        <v>12746900</v>
      </c>
      <c r="AB56" s="4">
        <v>11795700</v>
      </c>
      <c r="AC56" s="19">
        <v>32070620</v>
      </c>
      <c r="AD56" s="38">
        <v>3.5089714438285048E-2</v>
      </c>
      <c r="AE56" s="4">
        <v>13062100</v>
      </c>
      <c r="AF56" s="4">
        <v>12058700</v>
      </c>
      <c r="AG56" s="19">
        <v>30478376</v>
      </c>
      <c r="AH56" s="38">
        <v>4.6405166138808303E-2</v>
      </c>
      <c r="AI56" s="4">
        <v>15619700</v>
      </c>
      <c r="AJ56" s="4">
        <v>14834700</v>
      </c>
      <c r="AK56" s="19">
        <v>40306800</v>
      </c>
      <c r="AL56" s="38">
        <v>2.1220932069615849E-2</v>
      </c>
      <c r="AM56" s="4">
        <v>7365400</v>
      </c>
      <c r="AN56" s="4">
        <v>10250100</v>
      </c>
      <c r="AO56" s="19">
        <v>18432169</v>
      </c>
      <c r="AP56" s="38">
        <v>1.6305497992251936E-2</v>
      </c>
      <c r="AQ56" s="4">
        <v>5613500</v>
      </c>
      <c r="AR56" s="4">
        <v>4171500</v>
      </c>
      <c r="AS56" s="19">
        <v>14162700</v>
      </c>
      <c r="AT56" s="38">
        <v>4.3463828239212517E-3</v>
      </c>
      <c r="AU56" s="4">
        <v>1080100</v>
      </c>
      <c r="AV56" s="4">
        <v>1708000</v>
      </c>
      <c r="AW56" s="19">
        <v>3775200</v>
      </c>
      <c r="AX56" s="38">
        <v>2.2442265412877982E-3</v>
      </c>
      <c r="AY56" s="4">
        <v>224000</v>
      </c>
      <c r="AZ56" s="4">
        <v>323400</v>
      </c>
      <c r="BA56" s="19">
        <v>1949300</v>
      </c>
      <c r="BB56" s="38">
        <v>3.7085633482769487E-3</v>
      </c>
      <c r="BC56" s="4">
        <v>1512300</v>
      </c>
      <c r="BD56" s="4">
        <v>1268300</v>
      </c>
      <c r="BE56" s="19">
        <v>3221200</v>
      </c>
      <c r="BF56" s="38">
        <v>5.4108045170840391E-2</v>
      </c>
      <c r="BG56" s="4">
        <v>14451500</v>
      </c>
      <c r="BH56" s="4">
        <v>17390500</v>
      </c>
      <c r="BI56" s="19">
        <v>46997400</v>
      </c>
      <c r="BJ56" s="38">
        <v>1.4333668721609341E-2</v>
      </c>
      <c r="BK56" s="4">
        <v>5431000</v>
      </c>
      <c r="BL56" s="4">
        <v>6146800</v>
      </c>
      <c r="BM56" s="19">
        <v>12450000</v>
      </c>
      <c r="BN56" s="38">
        <v>3.4617939865267684E-2</v>
      </c>
      <c r="BO56" s="4">
        <v>16707800</v>
      </c>
      <c r="BP56" s="4">
        <v>11861600</v>
      </c>
      <c r="BQ56" s="19">
        <v>30068600</v>
      </c>
      <c r="BS56" s="4"/>
      <c r="BT56" s="4"/>
      <c r="BU56" s="19">
        <v>2782400</v>
      </c>
      <c r="BW56" s="4"/>
      <c r="BX56" s="4"/>
      <c r="BY56" s="19">
        <v>12544200</v>
      </c>
      <c r="BZ56" s="8">
        <v>2.4721721694156241E-2</v>
      </c>
      <c r="CA56" s="4">
        <v>172100</v>
      </c>
      <c r="CB56" s="4">
        <v>267400</v>
      </c>
      <c r="CC56" s="19">
        <v>21472900</v>
      </c>
      <c r="CD56" s="38">
        <v>1.21742928939587E-2</v>
      </c>
      <c r="CE56" s="4">
        <v>4137100</v>
      </c>
      <c r="CF56" s="4">
        <v>3150900</v>
      </c>
      <c r="CG56" s="19">
        <v>10574400</v>
      </c>
      <c r="CH56" s="8">
        <v>5.6574817749388193E-4</v>
      </c>
      <c r="CI56" s="4">
        <v>36600</v>
      </c>
      <c r="CJ56" s="4">
        <v>427900</v>
      </c>
      <c r="CK56" s="19">
        <v>491400</v>
      </c>
      <c r="CL56" s="8">
        <v>7.3766009825779414E-3</v>
      </c>
      <c r="CM56" s="4">
        <v>3233800</v>
      </c>
      <c r="CN56" s="4">
        <v>2894800</v>
      </c>
      <c r="CO56" s="19">
        <v>6406700</v>
      </c>
    </row>
    <row r="57" spans="1:93" x14ac:dyDescent="0.2">
      <c r="A57" s="33" t="s">
        <v>258</v>
      </c>
      <c r="B57" s="8">
        <v>0.35409999999999997</v>
      </c>
      <c r="C57" s="8">
        <v>0.30769999999999997</v>
      </c>
      <c r="D57" s="8">
        <v>0.38100000000000001</v>
      </c>
      <c r="E57" s="8">
        <v>6.4100000000000004E-2</v>
      </c>
      <c r="F57" s="8">
        <v>0.28916725233627166</v>
      </c>
      <c r="G57" s="4">
        <v>35366200</v>
      </c>
      <c r="H57" s="4">
        <v>47010000</v>
      </c>
      <c r="I57" s="19">
        <v>210138944</v>
      </c>
      <c r="J57" s="8">
        <v>9.8999119049616655E-2</v>
      </c>
      <c r="K57" s="4">
        <v>28135100</v>
      </c>
      <c r="L57" s="4">
        <v>35462600</v>
      </c>
      <c r="M57" s="19">
        <v>71943037</v>
      </c>
      <c r="N57" s="8">
        <v>0.10175848534494404</v>
      </c>
      <c r="O57" s="4">
        <v>17595000</v>
      </c>
      <c r="P57" s="4">
        <v>25295500</v>
      </c>
      <c r="Q57" s="19">
        <v>73948279</v>
      </c>
      <c r="R57" s="8">
        <v>2.8239290502687746E-2</v>
      </c>
      <c r="S57" s="4">
        <v>8918400</v>
      </c>
      <c r="T57" s="4">
        <v>8146300</v>
      </c>
      <c r="U57" s="19">
        <v>20521600</v>
      </c>
      <c r="V57" s="8">
        <v>4.1556314394443593E-2</v>
      </c>
      <c r="W57" s="4">
        <v>9496400</v>
      </c>
      <c r="X57" s="4">
        <v>13780400</v>
      </c>
      <c r="Y57" s="19">
        <v>30199132</v>
      </c>
      <c r="Z57" s="8">
        <v>2.5093182048956095E-2</v>
      </c>
      <c r="AA57" s="4">
        <v>6182300</v>
      </c>
      <c r="AB57" s="4">
        <v>8495200</v>
      </c>
      <c r="AC57" s="19">
        <v>18235311</v>
      </c>
      <c r="AD57" s="38">
        <v>3.566125379196787E-2</v>
      </c>
      <c r="AE57" s="4">
        <v>9698700</v>
      </c>
      <c r="AF57" s="4">
        <v>10904700</v>
      </c>
      <c r="AG57" s="19">
        <v>25915169</v>
      </c>
      <c r="AH57" s="38">
        <v>3.8165067553450699E-2</v>
      </c>
      <c r="AI57" s="4">
        <v>9100900</v>
      </c>
      <c r="AJ57" s="4">
        <v>10353900</v>
      </c>
      <c r="AK57" s="19">
        <v>27734700</v>
      </c>
      <c r="AL57" s="38">
        <v>2.7472094855261597E-2</v>
      </c>
      <c r="AM57" s="4">
        <v>8020400</v>
      </c>
      <c r="AN57" s="4">
        <v>9752500</v>
      </c>
      <c r="AO57" s="19">
        <v>19964076</v>
      </c>
      <c r="AP57" s="38">
        <v>9.9417395375978549E-3</v>
      </c>
      <c r="AQ57" s="4">
        <v>2452700</v>
      </c>
      <c r="AR57" s="4">
        <v>2175200</v>
      </c>
      <c r="AS57" s="19">
        <v>7224700</v>
      </c>
      <c r="AT57" s="38">
        <v>3.6189434592340999E-3</v>
      </c>
      <c r="AU57" s="4">
        <v>883800</v>
      </c>
      <c r="AV57" s="4">
        <v>1307700</v>
      </c>
      <c r="AW57" s="19">
        <v>2629900</v>
      </c>
      <c r="AX57" s="38">
        <v>1.9413686574727054E-3</v>
      </c>
      <c r="AY57" s="4">
        <v>142900</v>
      </c>
      <c r="AZ57" s="4">
        <v>249400</v>
      </c>
      <c r="BA57" s="19">
        <v>1410800</v>
      </c>
      <c r="BB57" s="38">
        <v>3.1130977557417786E-3</v>
      </c>
      <c r="BC57" s="4">
        <v>802300</v>
      </c>
      <c r="BD57" s="4">
        <v>1217000</v>
      </c>
      <c r="BE57" s="19">
        <v>2262300</v>
      </c>
      <c r="BF57" s="38">
        <v>9.4363341785699453E-2</v>
      </c>
      <c r="BG57" s="4">
        <v>15906500</v>
      </c>
      <c r="BH57" s="4">
        <v>13631100</v>
      </c>
      <c r="BI57" s="19">
        <v>68574200</v>
      </c>
      <c r="BJ57" s="38">
        <v>1.6888311071329046E-2</v>
      </c>
      <c r="BK57" s="4">
        <v>5771400</v>
      </c>
      <c r="BL57" s="4">
        <v>5387900</v>
      </c>
      <c r="BM57" s="19">
        <v>12272800</v>
      </c>
      <c r="BN57" s="38">
        <v>2.2237945883344136E-2</v>
      </c>
      <c r="BO57" s="4">
        <v>6897300</v>
      </c>
      <c r="BP57" s="4">
        <v>7206300</v>
      </c>
      <c r="BQ57" s="19">
        <v>16160400</v>
      </c>
      <c r="BS57" s="4"/>
      <c r="BT57" s="4"/>
      <c r="BU57" s="19">
        <v>3562200</v>
      </c>
      <c r="BW57" s="4"/>
      <c r="BX57" s="4"/>
      <c r="BY57" s="19">
        <v>9708000</v>
      </c>
      <c r="BZ57" s="8">
        <v>6.3847195186715758E-3</v>
      </c>
      <c r="CA57" s="4">
        <v>145500</v>
      </c>
      <c r="CB57" s="4">
        <v>215600</v>
      </c>
      <c r="CC57" s="19">
        <v>4639800</v>
      </c>
      <c r="CD57" s="38">
        <v>1.6171375240209625E-2</v>
      </c>
      <c r="CE57" s="4">
        <v>3841300</v>
      </c>
      <c r="CF57" s="4">
        <v>3740900</v>
      </c>
      <c r="CG57" s="19">
        <v>11751800</v>
      </c>
      <c r="CH57" s="8">
        <v>9.4756624435476673E-4</v>
      </c>
      <c r="CI57" s="4">
        <v>43100</v>
      </c>
      <c r="CJ57" s="4">
        <v>622900</v>
      </c>
      <c r="CK57" s="19">
        <v>688600</v>
      </c>
      <c r="CL57" s="8">
        <v>7.3926955192377486E-3</v>
      </c>
      <c r="CM57" s="4">
        <v>2070500</v>
      </c>
      <c r="CN57" s="4">
        <v>2049800</v>
      </c>
      <c r="CO57" s="19">
        <v>5371000</v>
      </c>
    </row>
    <row r="58" spans="1:93" x14ac:dyDescent="0.2">
      <c r="A58" s="33" t="s">
        <v>257</v>
      </c>
      <c r="B58" s="8">
        <v>0.31290000000000001</v>
      </c>
      <c r="C58" s="8">
        <v>0.2989</v>
      </c>
      <c r="D58" s="8">
        <v>0.47340000000000004</v>
      </c>
      <c r="E58" s="8">
        <v>8.5199999999999998E-2</v>
      </c>
      <c r="F58" s="8">
        <v>0.26066338911945286</v>
      </c>
      <c r="G58" s="4">
        <v>90196800</v>
      </c>
      <c r="H58" s="4">
        <v>118900900</v>
      </c>
      <c r="I58" s="19">
        <v>356530473</v>
      </c>
      <c r="J58" s="8">
        <v>0.12987280499617876</v>
      </c>
      <c r="K58" s="4">
        <v>54529700</v>
      </c>
      <c r="L58" s="4">
        <v>108925300</v>
      </c>
      <c r="M58" s="19">
        <v>177637576</v>
      </c>
      <c r="N58" s="8">
        <v>0.13536102797660918</v>
      </c>
      <c r="O58" s="4">
        <v>44012000</v>
      </c>
      <c r="P58" s="4">
        <v>75498500</v>
      </c>
      <c r="Q58" s="19">
        <v>185144264</v>
      </c>
      <c r="R58" s="8">
        <v>3.1554024306378055E-2</v>
      </c>
      <c r="S58" s="4">
        <v>16144400</v>
      </c>
      <c r="T58" s="4">
        <v>18428000</v>
      </c>
      <c r="U58" s="19">
        <v>43159000</v>
      </c>
      <c r="V58" s="8">
        <v>4.5474213107691723E-2</v>
      </c>
      <c r="W58" s="4">
        <v>16162600</v>
      </c>
      <c r="X58" s="4">
        <v>32433700</v>
      </c>
      <c r="Y58" s="19">
        <v>62198772</v>
      </c>
      <c r="Z58" s="8">
        <v>2.9598917688266068E-2</v>
      </c>
      <c r="AA58" s="4">
        <v>13950700</v>
      </c>
      <c r="AB58" s="4">
        <v>23078200</v>
      </c>
      <c r="AC58" s="19">
        <v>40484842</v>
      </c>
      <c r="AD58" s="38">
        <v>4.4644418084655871E-2</v>
      </c>
      <c r="AE58" s="4">
        <v>21912400</v>
      </c>
      <c r="AF58" s="4">
        <v>30501800</v>
      </c>
      <c r="AG58" s="19">
        <v>61063794</v>
      </c>
      <c r="AH58" s="38">
        <v>4.1560084040373764E-2</v>
      </c>
      <c r="AI58" s="4">
        <v>12621200</v>
      </c>
      <c r="AJ58" s="4">
        <v>25009400</v>
      </c>
      <c r="AK58" s="19">
        <v>56845100</v>
      </c>
      <c r="AL58" s="38">
        <v>2.9599104852709696E-2</v>
      </c>
      <c r="AM58" s="4">
        <v>14602500</v>
      </c>
      <c r="AN58" s="4">
        <v>22686500</v>
      </c>
      <c r="AO58" s="19">
        <v>40485098</v>
      </c>
      <c r="AP58" s="38">
        <v>1.4451653936765986E-2</v>
      </c>
      <c r="AQ58" s="4">
        <v>6269700</v>
      </c>
      <c r="AR58" s="4">
        <v>8389700</v>
      </c>
      <c r="AS58" s="19">
        <v>19766700</v>
      </c>
      <c r="AT58" s="38">
        <v>6.2438350837908637E-3</v>
      </c>
      <c r="AU58" s="4">
        <v>1993600</v>
      </c>
      <c r="AV58" s="4">
        <v>4852200</v>
      </c>
      <c r="AW58" s="19">
        <v>8540200</v>
      </c>
      <c r="AX58" s="38">
        <v>2.7477348768660224E-3</v>
      </c>
      <c r="AY58" s="4">
        <v>268800</v>
      </c>
      <c r="AZ58" s="4">
        <v>491000</v>
      </c>
      <c r="BA58" s="19">
        <v>3758300</v>
      </c>
      <c r="BB58" s="38">
        <v>3.9235808717210429E-3</v>
      </c>
      <c r="BC58" s="4">
        <v>1739800</v>
      </c>
      <c r="BD58" s="4">
        <v>3256600</v>
      </c>
      <c r="BE58" s="19">
        <v>5366600</v>
      </c>
      <c r="BF58" s="38">
        <v>3.3990744517938279E-2</v>
      </c>
      <c r="BG58" s="4">
        <v>13954000</v>
      </c>
      <c r="BH58" s="4">
        <v>30024600</v>
      </c>
      <c r="BI58" s="19">
        <v>46491900</v>
      </c>
      <c r="BJ58" s="38">
        <v>2.3926634561974348E-2</v>
      </c>
      <c r="BK58" s="4">
        <v>13342500</v>
      </c>
      <c r="BL58" s="4">
        <v>18015000</v>
      </c>
      <c r="BM58" s="19">
        <v>32726400</v>
      </c>
      <c r="BN58" s="38">
        <v>3.0272825200872905E-2</v>
      </c>
      <c r="BO58" s="4">
        <v>12596400</v>
      </c>
      <c r="BP58" s="4">
        <v>24015500</v>
      </c>
      <c r="BQ58" s="19">
        <v>41406600</v>
      </c>
      <c r="BS58" s="4"/>
      <c r="BT58" s="4"/>
      <c r="BU58" s="19">
        <v>3373900</v>
      </c>
      <c r="BW58" s="4"/>
      <c r="BX58" s="4"/>
      <c r="BY58" s="19">
        <v>9826000</v>
      </c>
      <c r="BZ58" s="8">
        <v>1.3127538609226393E-2</v>
      </c>
      <c r="CA58" s="4">
        <v>483500</v>
      </c>
      <c r="CB58" s="4">
        <v>472800</v>
      </c>
      <c r="CC58" s="19">
        <v>17955600</v>
      </c>
      <c r="CD58" s="38">
        <v>1.6475808881242518E-2</v>
      </c>
      <c r="CE58" s="4">
        <v>6360700</v>
      </c>
      <c r="CF58" s="4">
        <v>11380600</v>
      </c>
      <c r="CG58" s="19">
        <v>22535301</v>
      </c>
      <c r="CH58" s="8">
        <v>1.7473555479099042E-3</v>
      </c>
      <c r="CI58" s="4">
        <v>935500</v>
      </c>
      <c r="CJ58" s="4">
        <v>1427800</v>
      </c>
      <c r="CK58" s="19">
        <v>2390000</v>
      </c>
      <c r="CL58" s="8">
        <v>9.4368897364861433E-3</v>
      </c>
      <c r="CM58" s="4">
        <v>5937500</v>
      </c>
      <c r="CN58" s="4">
        <v>6296200</v>
      </c>
      <c r="CO58" s="19">
        <v>12904200</v>
      </c>
    </row>
    <row r="59" spans="1:93" x14ac:dyDescent="0.2">
      <c r="A59" s="33" t="s">
        <v>256</v>
      </c>
      <c r="B59" s="8">
        <v>0.27429999999999999</v>
      </c>
      <c r="C59" s="8">
        <v>0.22690000000000002</v>
      </c>
      <c r="D59" s="8">
        <v>0.47499999999999998</v>
      </c>
      <c r="E59" s="8">
        <v>9.3299999999999994E-2</v>
      </c>
      <c r="F59" s="8">
        <v>0.1905958125458358</v>
      </c>
      <c r="G59" s="4">
        <v>37404600</v>
      </c>
      <c r="H59" s="4">
        <v>43716600</v>
      </c>
      <c r="I59" s="19">
        <v>184521524</v>
      </c>
      <c r="J59" s="8">
        <v>0.14659832047349014</v>
      </c>
      <c r="K59" s="4">
        <v>58098300</v>
      </c>
      <c r="L59" s="4">
        <v>73666000</v>
      </c>
      <c r="M59" s="19">
        <v>141926232</v>
      </c>
      <c r="N59" s="8">
        <v>0.1012596118289899</v>
      </c>
      <c r="O59" s="4">
        <v>20780900</v>
      </c>
      <c r="P59" s="4">
        <v>31030600</v>
      </c>
      <c r="Q59" s="19">
        <v>98032468</v>
      </c>
      <c r="R59" s="8">
        <v>2.4367491969053742E-2</v>
      </c>
      <c r="S59" s="4">
        <v>10076400</v>
      </c>
      <c r="T59" s="4">
        <v>9034900</v>
      </c>
      <c r="U59" s="19">
        <v>23590900</v>
      </c>
      <c r="V59" s="8">
        <v>6.7164321940235305E-2</v>
      </c>
      <c r="W59" s="4">
        <v>29988300</v>
      </c>
      <c r="X59" s="4">
        <v>21844500</v>
      </c>
      <c r="Y59" s="19">
        <v>65023795</v>
      </c>
      <c r="Z59" s="8">
        <v>2.8467388677140465E-2</v>
      </c>
      <c r="AA59" s="4">
        <v>11482600</v>
      </c>
      <c r="AB59" s="4">
        <v>10731400</v>
      </c>
      <c r="AC59" s="19">
        <v>27560133</v>
      </c>
      <c r="AD59" s="38">
        <v>5.1292674537510456E-2</v>
      </c>
      <c r="AE59" s="4">
        <v>25053300</v>
      </c>
      <c r="AF59" s="4">
        <v>15787200</v>
      </c>
      <c r="AG59" s="19">
        <v>49657977</v>
      </c>
      <c r="AH59" s="38">
        <v>5.4469854255110368E-2</v>
      </c>
      <c r="AI59" s="4">
        <v>23999000</v>
      </c>
      <c r="AJ59" s="4">
        <v>16783400</v>
      </c>
      <c r="AK59" s="19">
        <v>52733900</v>
      </c>
      <c r="AL59" s="38">
        <v>3.0728995072975735E-2</v>
      </c>
      <c r="AM59" s="4">
        <v>10599200</v>
      </c>
      <c r="AN59" s="4">
        <v>17445400</v>
      </c>
      <c r="AO59" s="19">
        <v>29749662</v>
      </c>
      <c r="AP59" s="38">
        <v>1.2582607707642569E-2</v>
      </c>
      <c r="AQ59" s="4">
        <v>3700500</v>
      </c>
      <c r="AR59" s="4">
        <v>5092900</v>
      </c>
      <c r="AS59" s="19">
        <v>12181600</v>
      </c>
      <c r="AT59" s="38">
        <v>5.2980488157582141E-3</v>
      </c>
      <c r="AU59" s="4">
        <v>2004300</v>
      </c>
      <c r="AV59" s="4">
        <v>1957600</v>
      </c>
      <c r="AW59" s="19">
        <v>5129200</v>
      </c>
      <c r="AX59" s="38">
        <v>3.4081166785452366E-3</v>
      </c>
      <c r="AY59" s="4">
        <v>591900</v>
      </c>
      <c r="AZ59" s="4">
        <v>483100</v>
      </c>
      <c r="BA59" s="19">
        <v>3299500</v>
      </c>
      <c r="BB59" s="38">
        <v>4.1568797578837554E-3</v>
      </c>
      <c r="BC59" s="4">
        <v>2012300</v>
      </c>
      <c r="BD59" s="4">
        <v>1649000</v>
      </c>
      <c r="BE59" s="19">
        <v>4024400</v>
      </c>
      <c r="BF59" s="38">
        <v>4.9549543966202883E-2</v>
      </c>
      <c r="BG59" s="4">
        <v>20345300</v>
      </c>
      <c r="BH59" s="4">
        <v>20388500</v>
      </c>
      <c r="BI59" s="19">
        <v>47970400</v>
      </c>
      <c r="BJ59" s="38">
        <v>1.8470969807773751E-2</v>
      </c>
      <c r="BK59" s="4">
        <v>8766700</v>
      </c>
      <c r="BL59" s="4">
        <v>7515500</v>
      </c>
      <c r="BM59" s="19">
        <v>17882300</v>
      </c>
      <c r="BN59" s="38">
        <v>3.8511460237777982E-2</v>
      </c>
      <c r="BO59" s="4">
        <v>17810200</v>
      </c>
      <c r="BP59" s="4">
        <v>16372200</v>
      </c>
      <c r="BQ59" s="19">
        <v>37284100</v>
      </c>
      <c r="BS59" s="4"/>
      <c r="BT59" s="4"/>
      <c r="BU59" s="19">
        <v>4239900</v>
      </c>
      <c r="BW59" s="4"/>
      <c r="BX59" s="4"/>
      <c r="BY59" s="19">
        <v>10231200</v>
      </c>
      <c r="BZ59" s="8">
        <v>9.2669372914794493E-3</v>
      </c>
      <c r="CA59" s="4">
        <v>483100</v>
      </c>
      <c r="CB59" s="4">
        <v>400100</v>
      </c>
      <c r="CC59" s="19">
        <v>8971600</v>
      </c>
      <c r="CD59" s="38">
        <v>1.211872372511956E-2</v>
      </c>
      <c r="CE59" s="4">
        <v>3674800</v>
      </c>
      <c r="CF59" s="4">
        <v>3923600</v>
      </c>
      <c r="CG59" s="19">
        <v>11732500</v>
      </c>
      <c r="CH59" s="8">
        <v>1.6140394368524889E-3</v>
      </c>
      <c r="CI59" s="4">
        <v>1141700</v>
      </c>
      <c r="CJ59" s="4">
        <v>420900</v>
      </c>
      <c r="CK59" s="19">
        <v>1562600</v>
      </c>
      <c r="CL59" s="8">
        <v>9.9011496389947631E-3</v>
      </c>
      <c r="CM59" s="4">
        <v>5675100</v>
      </c>
      <c r="CN59" s="4">
        <v>3842300</v>
      </c>
      <c r="CO59" s="19">
        <v>9585100</v>
      </c>
    </row>
    <row r="60" spans="1:93" x14ac:dyDescent="0.2">
      <c r="A60" s="33" t="s">
        <v>255</v>
      </c>
      <c r="B60" s="8">
        <v>0.32100000000000001</v>
      </c>
      <c r="C60" s="8">
        <v>0.27399999999999997</v>
      </c>
      <c r="D60" s="8">
        <v>0.47820000000000001</v>
      </c>
      <c r="E60" s="8">
        <v>7.6700000000000004E-2</v>
      </c>
      <c r="F60" s="8">
        <v>0.24955243684434572</v>
      </c>
      <c r="G60" s="4">
        <v>47599600</v>
      </c>
      <c r="H60" s="4">
        <v>77026000</v>
      </c>
      <c r="I60" s="19">
        <v>284263123</v>
      </c>
      <c r="J60" s="8">
        <v>0.12890812130310619</v>
      </c>
      <c r="K60" s="4">
        <v>61253900</v>
      </c>
      <c r="L60" s="4">
        <v>73932900</v>
      </c>
      <c r="M60" s="19">
        <v>146838178</v>
      </c>
      <c r="N60" s="8">
        <v>0.13383801916276536</v>
      </c>
      <c r="O60" s="4">
        <v>54931400</v>
      </c>
      <c r="P60" s="4">
        <v>49262800</v>
      </c>
      <c r="Q60" s="19">
        <v>152453784</v>
      </c>
      <c r="R60" s="8">
        <v>2.513160147062218E-2</v>
      </c>
      <c r="S60" s="4">
        <v>8232000</v>
      </c>
      <c r="T60" s="4">
        <v>12696200</v>
      </c>
      <c r="U60" s="19">
        <v>28627200</v>
      </c>
      <c r="V60" s="8">
        <v>5.9640782019040058E-2</v>
      </c>
      <c r="W60" s="4">
        <v>24527300</v>
      </c>
      <c r="X60" s="4">
        <v>32203700</v>
      </c>
      <c r="Y60" s="19">
        <v>67936323</v>
      </c>
      <c r="Z60" s="8">
        <v>2.8587740088231735E-2</v>
      </c>
      <c r="AA60" s="4">
        <v>8558000</v>
      </c>
      <c r="AB60" s="4">
        <v>15313500</v>
      </c>
      <c r="AC60" s="19">
        <v>32564059</v>
      </c>
      <c r="AD60" s="38">
        <v>4.6021610476867696E-2</v>
      </c>
      <c r="AE60" s="4">
        <v>23753600</v>
      </c>
      <c r="AF60" s="4">
        <v>19526400</v>
      </c>
      <c r="AG60" s="19">
        <v>52422837</v>
      </c>
      <c r="AH60" s="38">
        <v>4.312365516430558E-2</v>
      </c>
      <c r="AI60" s="4">
        <v>12730900</v>
      </c>
      <c r="AJ60" s="4">
        <v>18964300</v>
      </c>
      <c r="AK60" s="19">
        <v>49121800</v>
      </c>
      <c r="AL60" s="38">
        <v>2.6611515616326725E-2</v>
      </c>
      <c r="AM60" s="4">
        <v>9347300</v>
      </c>
      <c r="AN60" s="4">
        <v>17739100</v>
      </c>
      <c r="AO60" s="19">
        <v>30312958</v>
      </c>
      <c r="AP60" s="38">
        <v>1.1924412543855532E-2</v>
      </c>
      <c r="AQ60" s="4">
        <v>3478600</v>
      </c>
      <c r="AR60" s="4">
        <v>6139100</v>
      </c>
      <c r="AS60" s="19">
        <v>13583000</v>
      </c>
      <c r="AT60" s="38">
        <v>7.215924416216957E-3</v>
      </c>
      <c r="AU60" s="4">
        <v>1899000</v>
      </c>
      <c r="AV60" s="4">
        <v>5494100</v>
      </c>
      <c r="AW60" s="19">
        <v>8219600</v>
      </c>
      <c r="AX60" s="38">
        <v>2.5025200911076035E-3</v>
      </c>
      <c r="AY60" s="4">
        <v>151500</v>
      </c>
      <c r="AZ60" s="4">
        <v>321700</v>
      </c>
      <c r="BA60" s="19">
        <v>2850600</v>
      </c>
      <c r="BB60" s="38">
        <v>3.385153115593531E-3</v>
      </c>
      <c r="BC60" s="4">
        <v>1271500</v>
      </c>
      <c r="BD60" s="4">
        <v>2115600</v>
      </c>
      <c r="BE60" s="19">
        <v>3856000</v>
      </c>
      <c r="BF60" s="38">
        <v>4.3606320408847418E-2</v>
      </c>
      <c r="BG60" s="4">
        <v>18166400</v>
      </c>
      <c r="BH60" s="4">
        <v>22018900</v>
      </c>
      <c r="BI60" s="19">
        <v>49671600</v>
      </c>
      <c r="BJ60" s="38">
        <v>1.3857180463796071E-2</v>
      </c>
      <c r="BK60" s="4">
        <v>5316200</v>
      </c>
      <c r="BL60" s="4">
        <v>8531900</v>
      </c>
      <c r="BM60" s="19">
        <v>15784600</v>
      </c>
      <c r="BN60" s="38">
        <v>4.8369589022588956E-2</v>
      </c>
      <c r="BO60" s="4">
        <v>16476900</v>
      </c>
      <c r="BP60" s="4">
        <v>34110700</v>
      </c>
      <c r="BQ60" s="19">
        <v>55097400</v>
      </c>
      <c r="BS60" s="4"/>
      <c r="BT60" s="4"/>
      <c r="BU60" s="19">
        <v>1639600</v>
      </c>
      <c r="BW60" s="4"/>
      <c r="BX60" s="4"/>
      <c r="BY60" s="19">
        <v>8760600</v>
      </c>
      <c r="BZ60" s="8">
        <v>8.7625952562202462E-3</v>
      </c>
      <c r="CA60" s="4">
        <v>226600</v>
      </c>
      <c r="CB60" s="4">
        <v>460700</v>
      </c>
      <c r="CC60" s="19">
        <v>9981400</v>
      </c>
      <c r="CD60" s="38">
        <v>1.1298826415698906E-2</v>
      </c>
      <c r="CE60" s="4">
        <v>3345800</v>
      </c>
      <c r="CF60" s="4">
        <v>3907000</v>
      </c>
      <c r="CG60" s="19">
        <v>12870400</v>
      </c>
      <c r="CH60" s="8">
        <v>8.4988763776091734E-4</v>
      </c>
      <c r="CI60" s="4">
        <v>209600</v>
      </c>
      <c r="CJ60" s="4">
        <v>758300</v>
      </c>
      <c r="CK60" s="19">
        <v>968100</v>
      </c>
      <c r="CL60" s="8">
        <v>7.199771195955826E-3</v>
      </c>
      <c r="CM60" s="4">
        <v>4131200</v>
      </c>
      <c r="CN60" s="4">
        <v>4018100</v>
      </c>
      <c r="CO60" s="19">
        <v>8200400</v>
      </c>
    </row>
    <row r="61" spans="1:93" x14ac:dyDescent="0.2">
      <c r="A61" s="33" t="s">
        <v>254</v>
      </c>
      <c r="B61" s="8">
        <v>0.28289999999999998</v>
      </c>
      <c r="C61" s="8">
        <v>0.26400000000000001</v>
      </c>
      <c r="D61" s="8">
        <v>0.44439999999999996</v>
      </c>
      <c r="E61" s="8">
        <v>0.1014</v>
      </c>
      <c r="F61" s="8">
        <v>0.26466823355584135</v>
      </c>
      <c r="G61" s="4">
        <v>48404900</v>
      </c>
      <c r="H61" s="4">
        <v>69203400</v>
      </c>
      <c r="I61" s="19">
        <v>257299817</v>
      </c>
      <c r="J61" s="8">
        <v>0.10972446608057647</v>
      </c>
      <c r="K61" s="4">
        <v>34236600</v>
      </c>
      <c r="L61" s="4">
        <v>57233300</v>
      </c>
      <c r="M61" s="19">
        <v>106669715</v>
      </c>
      <c r="N61" s="8">
        <v>0.12748224108834783</v>
      </c>
      <c r="O61" s="4">
        <v>23800400</v>
      </c>
      <c r="P61" s="4">
        <v>41559800</v>
      </c>
      <c r="Q61" s="19">
        <v>123933110</v>
      </c>
      <c r="R61" s="8">
        <v>3.2011506750227688E-2</v>
      </c>
      <c r="S61" s="4">
        <v>10940800</v>
      </c>
      <c r="T61" s="4">
        <v>14474500</v>
      </c>
      <c r="U61" s="19">
        <v>31120300</v>
      </c>
      <c r="V61" s="8">
        <v>4.0221618914915019E-2</v>
      </c>
      <c r="W61" s="4">
        <v>11281000</v>
      </c>
      <c r="X61" s="4">
        <v>18573400</v>
      </c>
      <c r="Y61" s="19">
        <v>39101841</v>
      </c>
      <c r="Z61" s="8">
        <v>2.675543362315537E-2</v>
      </c>
      <c r="AA61" s="4">
        <v>8095900</v>
      </c>
      <c r="AB61" s="4">
        <v>11957300</v>
      </c>
      <c r="AC61" s="19">
        <v>26010557</v>
      </c>
      <c r="AD61" s="38">
        <v>2.7926934440202115E-2</v>
      </c>
      <c r="AE61" s="4">
        <v>10008800</v>
      </c>
      <c r="AF61" s="4">
        <v>12218200</v>
      </c>
      <c r="AG61" s="19">
        <v>27149443</v>
      </c>
      <c r="AH61" s="38">
        <v>4.4957115075114192E-2</v>
      </c>
      <c r="AI61" s="4">
        <v>11627400</v>
      </c>
      <c r="AJ61" s="4">
        <v>16603700</v>
      </c>
      <c r="AK61" s="19">
        <v>43705500</v>
      </c>
      <c r="AL61" s="38">
        <v>2.7817046127601656E-2</v>
      </c>
      <c r="AM61" s="4">
        <v>11182100</v>
      </c>
      <c r="AN61" s="4">
        <v>11789400</v>
      </c>
      <c r="AO61" s="19">
        <v>27042614</v>
      </c>
      <c r="AP61" s="38">
        <v>2.2748729169834014E-2</v>
      </c>
      <c r="AQ61" s="4">
        <v>7441000</v>
      </c>
      <c r="AR61" s="4">
        <v>7094500</v>
      </c>
      <c r="AS61" s="19">
        <v>22115400</v>
      </c>
      <c r="AT61" s="38">
        <v>7.8364688603663711E-3</v>
      </c>
      <c r="AU61" s="4">
        <v>2742900</v>
      </c>
      <c r="AV61" s="4">
        <v>3057900</v>
      </c>
      <c r="AW61" s="19">
        <v>7618300</v>
      </c>
      <c r="AX61" s="38">
        <v>2.9204046495236689E-3</v>
      </c>
      <c r="AY61" s="4">
        <v>239200</v>
      </c>
      <c r="AZ61" s="4">
        <v>346500</v>
      </c>
      <c r="BA61" s="19">
        <v>2839100</v>
      </c>
      <c r="BB61" s="38">
        <v>2.8059172987815379E-3</v>
      </c>
      <c r="BC61" s="4">
        <v>819900</v>
      </c>
      <c r="BD61" s="4">
        <v>1547200</v>
      </c>
      <c r="BE61" s="19">
        <v>2727800</v>
      </c>
      <c r="BF61" s="38">
        <v>3.4914115971468887E-2</v>
      </c>
      <c r="BG61" s="4">
        <v>14805400</v>
      </c>
      <c r="BH61" s="4">
        <v>18404000</v>
      </c>
      <c r="BI61" s="19">
        <v>33942100</v>
      </c>
      <c r="BJ61" s="38">
        <v>2.6597273411223133E-2</v>
      </c>
      <c r="BK61" s="4">
        <v>14210300</v>
      </c>
      <c r="BL61" s="4">
        <v>9713700</v>
      </c>
      <c r="BM61" s="19">
        <v>25856800</v>
      </c>
      <c r="BN61" s="38">
        <v>4.9351145768422019E-2</v>
      </c>
      <c r="BO61" s="4">
        <v>19487600</v>
      </c>
      <c r="BP61" s="4">
        <v>16779100</v>
      </c>
      <c r="BQ61" s="19">
        <v>47977200</v>
      </c>
      <c r="BS61" s="4"/>
      <c r="BT61" s="4"/>
      <c r="BU61" s="19">
        <v>2055000</v>
      </c>
      <c r="BW61" s="4"/>
      <c r="BX61" s="4"/>
      <c r="BY61" s="19">
        <v>6373200</v>
      </c>
      <c r="BZ61" s="8">
        <v>1.5310764752872933E-2</v>
      </c>
      <c r="CA61" s="4">
        <v>241600</v>
      </c>
      <c r="CB61" s="4">
        <v>362300</v>
      </c>
      <c r="CC61" s="19">
        <v>14884510</v>
      </c>
      <c r="CD61" s="38">
        <v>1.290940028583778E-2</v>
      </c>
      <c r="CE61" s="4">
        <v>4033000</v>
      </c>
      <c r="CF61" s="4">
        <v>3977000</v>
      </c>
      <c r="CG61" s="19">
        <v>12550000</v>
      </c>
      <c r="CH61" s="8">
        <v>1.5920222169235963E-3</v>
      </c>
      <c r="CI61" s="4">
        <v>604200</v>
      </c>
      <c r="CJ61" s="4">
        <v>943400</v>
      </c>
      <c r="CK61" s="19">
        <v>1547700</v>
      </c>
      <c r="CL61" s="8">
        <v>9.4075068728412762E-3</v>
      </c>
      <c r="CM61" s="4">
        <v>4304800</v>
      </c>
      <c r="CN61" s="4">
        <v>4804000</v>
      </c>
      <c r="CO61" s="19">
        <v>9140900</v>
      </c>
    </row>
    <row r="62" spans="1:93" x14ac:dyDescent="0.2">
      <c r="A62" s="33" t="s">
        <v>253</v>
      </c>
      <c r="B62" s="8">
        <v>0.35810000000000003</v>
      </c>
      <c r="C62" s="8">
        <v>0.2858</v>
      </c>
      <c r="D62" s="8">
        <v>0.40560000000000002</v>
      </c>
      <c r="E62" s="8">
        <v>7.5199999999999989E-2</v>
      </c>
      <c r="F62" s="8">
        <v>0.31466631845088877</v>
      </c>
      <c r="G62" s="4">
        <v>79188100</v>
      </c>
      <c r="H62" s="4">
        <v>72110000</v>
      </c>
      <c r="I62" s="19">
        <v>365504846</v>
      </c>
      <c r="J62" s="8">
        <v>9.4532362875212619E-2</v>
      </c>
      <c r="K62" s="4">
        <v>48479500</v>
      </c>
      <c r="L62" s="4">
        <v>54033200</v>
      </c>
      <c r="M62" s="19">
        <v>109805323</v>
      </c>
      <c r="N62" s="8">
        <v>9.621084996817944E-2</v>
      </c>
      <c r="O62" s="4">
        <v>23721500</v>
      </c>
      <c r="P62" s="4">
        <v>34891300</v>
      </c>
      <c r="Q62" s="19">
        <v>111754992</v>
      </c>
      <c r="R62" s="8">
        <v>2.6886073369866537E-2</v>
      </c>
      <c r="S62" s="4">
        <v>9460900</v>
      </c>
      <c r="T62" s="4">
        <v>9872700</v>
      </c>
      <c r="U62" s="19">
        <v>31229876</v>
      </c>
      <c r="V62" s="8">
        <v>6.3592493198063316E-2</v>
      </c>
      <c r="W62" s="4">
        <v>30954200</v>
      </c>
      <c r="X62" s="4">
        <v>28973300</v>
      </c>
      <c r="Y62" s="19">
        <v>73866706</v>
      </c>
      <c r="Z62" s="8">
        <v>2.488714054546021E-2</v>
      </c>
      <c r="AA62" s="4">
        <v>10882700</v>
      </c>
      <c r="AB62" s="4">
        <v>15117100</v>
      </c>
      <c r="AC62" s="19">
        <v>28907989</v>
      </c>
      <c r="AD62" s="38">
        <v>2.3435487410580165E-2</v>
      </c>
      <c r="AE62" s="4">
        <v>9307000</v>
      </c>
      <c r="AF62" s="4">
        <v>13020000</v>
      </c>
      <c r="AG62" s="19">
        <v>27221802</v>
      </c>
      <c r="AH62" s="38">
        <v>4.1517410343516914E-2</v>
      </c>
      <c r="AI62" s="4">
        <v>16696900</v>
      </c>
      <c r="AJ62" s="4">
        <v>16408000</v>
      </c>
      <c r="AK62" s="19">
        <v>48225100</v>
      </c>
      <c r="AL62" s="38">
        <v>2.4340491902044396E-2</v>
      </c>
      <c r="AM62" s="4">
        <v>11347900</v>
      </c>
      <c r="AN62" s="4">
        <v>12731500</v>
      </c>
      <c r="AO62" s="19">
        <v>28273022</v>
      </c>
      <c r="AP62" s="38">
        <v>1.2121422955155085E-2</v>
      </c>
      <c r="AQ62" s="4">
        <v>5001500</v>
      </c>
      <c r="AR62" s="4">
        <v>5252000</v>
      </c>
      <c r="AS62" s="19">
        <v>14079800</v>
      </c>
      <c r="AT62" s="38">
        <v>7.1701645779275727E-3</v>
      </c>
      <c r="AU62" s="4">
        <v>4126200</v>
      </c>
      <c r="AV62" s="4">
        <v>3320900</v>
      </c>
      <c r="AW62" s="19">
        <v>8328600</v>
      </c>
      <c r="AX62" s="38">
        <v>3.3033929474300468E-3</v>
      </c>
      <c r="AY62" s="4">
        <v>284900</v>
      </c>
      <c r="AZ62" s="4">
        <v>540500</v>
      </c>
      <c r="BA62" s="19">
        <v>3837100</v>
      </c>
      <c r="BB62" s="38">
        <v>4.0293112016514679E-3</v>
      </c>
      <c r="BC62" s="4">
        <v>1979500</v>
      </c>
      <c r="BD62" s="4">
        <v>1885100</v>
      </c>
      <c r="BE62" s="19">
        <v>4680300</v>
      </c>
      <c r="BF62" s="38">
        <v>6.4546461013520184E-2</v>
      </c>
      <c r="BG62" s="4">
        <v>39891300</v>
      </c>
      <c r="BH62" s="4">
        <v>24733300</v>
      </c>
      <c r="BI62" s="19">
        <v>74974800</v>
      </c>
      <c r="BJ62" s="38">
        <v>1.3924424140895031E-2</v>
      </c>
      <c r="BK62" s="4">
        <v>5273600</v>
      </c>
      <c r="BL62" s="4">
        <v>9077700</v>
      </c>
      <c r="BM62" s="19">
        <v>16174100</v>
      </c>
      <c r="BN62" s="38">
        <v>4.0417771602865797E-2</v>
      </c>
      <c r="BO62" s="4">
        <v>22648300</v>
      </c>
      <c r="BP62" s="4">
        <v>20848000</v>
      </c>
      <c r="BQ62" s="19">
        <v>46947800</v>
      </c>
      <c r="BS62" s="4"/>
      <c r="BT62" s="4"/>
      <c r="BU62" s="19">
        <v>2959900</v>
      </c>
      <c r="BW62" s="4"/>
      <c r="BX62" s="4"/>
      <c r="BY62" s="19">
        <v>7917300</v>
      </c>
      <c r="BZ62" s="8">
        <v>1.3233735994357728E-2</v>
      </c>
      <c r="CA62" s="4">
        <v>110600</v>
      </c>
      <c r="CB62" s="4">
        <v>369700</v>
      </c>
      <c r="CC62" s="19">
        <v>15371822</v>
      </c>
      <c r="CD62" s="38">
        <v>9.8472464129927186E-3</v>
      </c>
      <c r="CE62" s="4">
        <v>1937400</v>
      </c>
      <c r="CF62" s="4">
        <v>2579200</v>
      </c>
      <c r="CG62" s="19">
        <v>11438200</v>
      </c>
      <c r="CH62" s="8">
        <v>1.4474458738406967E-3</v>
      </c>
      <c r="CI62" s="4">
        <v>988900</v>
      </c>
      <c r="CJ62" s="4">
        <v>690900</v>
      </c>
      <c r="CK62" s="19">
        <v>1681300</v>
      </c>
      <c r="CL62" s="8">
        <v>4.6087027873855961E-3</v>
      </c>
      <c r="CM62" s="4">
        <v>2695300</v>
      </c>
      <c r="CN62" s="4">
        <v>2392700</v>
      </c>
      <c r="CO62" s="19">
        <v>5346600</v>
      </c>
    </row>
    <row r="63" spans="1:93" x14ac:dyDescent="0.2">
      <c r="A63" s="33" t="s">
        <v>252</v>
      </c>
      <c r="B63" s="8">
        <v>0.32990000000000003</v>
      </c>
      <c r="C63" s="8">
        <v>0.22760000000000002</v>
      </c>
      <c r="D63" s="8">
        <v>0.44229999999999997</v>
      </c>
      <c r="E63" s="8">
        <v>8.14E-2</v>
      </c>
      <c r="F63" s="8">
        <v>0.25789107657079624</v>
      </c>
      <c r="G63" s="4">
        <v>42745000</v>
      </c>
      <c r="H63" s="4">
        <v>54968000</v>
      </c>
      <c r="I63" s="19">
        <v>241655026</v>
      </c>
      <c r="J63" s="8">
        <v>0.1193176001043077</v>
      </c>
      <c r="K63" s="4">
        <v>57759900</v>
      </c>
      <c r="L63" s="4">
        <v>43223100</v>
      </c>
      <c r="M63" s="19">
        <v>111805721</v>
      </c>
      <c r="N63" s="8">
        <v>0.11147724906094811</v>
      </c>
      <c r="O63" s="4">
        <v>34160100</v>
      </c>
      <c r="P63" s="4">
        <v>30678400</v>
      </c>
      <c r="Q63" s="19">
        <v>104458975</v>
      </c>
      <c r="R63" s="8">
        <v>2.6736553406719252E-2</v>
      </c>
      <c r="S63" s="4">
        <v>9226800</v>
      </c>
      <c r="T63" s="4">
        <v>9985200</v>
      </c>
      <c r="U63" s="19">
        <v>25053300</v>
      </c>
      <c r="V63" s="8">
        <v>5.1064983579750201E-2</v>
      </c>
      <c r="W63" s="4">
        <v>18153200</v>
      </c>
      <c r="X63" s="4">
        <v>20023900</v>
      </c>
      <c r="Y63" s="19">
        <v>47850085</v>
      </c>
      <c r="Z63" s="8">
        <v>4.1584296913454749E-2</v>
      </c>
      <c r="AA63" s="4">
        <v>16756700</v>
      </c>
      <c r="AB63" s="4">
        <v>15158800</v>
      </c>
      <c r="AC63" s="19">
        <v>38966274</v>
      </c>
      <c r="AD63" s="38">
        <v>2.4934056600895E-2</v>
      </c>
      <c r="AE63" s="4">
        <v>9114600</v>
      </c>
      <c r="AF63" s="4">
        <v>10584900</v>
      </c>
      <c r="AG63" s="19">
        <v>23364283</v>
      </c>
      <c r="AH63" s="38">
        <v>3.3398574310024826E-2</v>
      </c>
      <c r="AI63" s="4">
        <v>8474900</v>
      </c>
      <c r="AJ63" s="4">
        <v>9678500</v>
      </c>
      <c r="AK63" s="19">
        <v>31295900</v>
      </c>
      <c r="AL63" s="38">
        <v>3.3835213827627664E-2</v>
      </c>
      <c r="AM63" s="4">
        <v>12082700</v>
      </c>
      <c r="AN63" s="4">
        <v>12235600</v>
      </c>
      <c r="AO63" s="19">
        <v>31705050</v>
      </c>
      <c r="AP63" s="38">
        <v>1.4919592931548225E-2</v>
      </c>
      <c r="AQ63" s="4">
        <v>4913000</v>
      </c>
      <c r="AR63" s="4">
        <v>6502500</v>
      </c>
      <c r="AS63" s="19">
        <v>13980300</v>
      </c>
      <c r="AT63" s="38">
        <v>8.0019807671748745E-3</v>
      </c>
      <c r="AU63" s="4">
        <v>2387900</v>
      </c>
      <c r="AV63" s="4">
        <v>2399800</v>
      </c>
      <c r="AW63" s="19">
        <v>7498200</v>
      </c>
      <c r="AX63" s="38">
        <v>3.0725377859717241E-3</v>
      </c>
      <c r="AY63" s="4">
        <v>571700</v>
      </c>
      <c r="AZ63" s="4">
        <v>542000</v>
      </c>
      <c r="BA63" s="19">
        <v>2879100</v>
      </c>
      <c r="BB63" s="38">
        <v>3.9343979214136208E-3</v>
      </c>
      <c r="BC63" s="4">
        <v>1419800</v>
      </c>
      <c r="BD63" s="4">
        <v>2134600</v>
      </c>
      <c r="BE63" s="19">
        <v>3686700</v>
      </c>
      <c r="BF63" s="38">
        <v>4.502487330912134E-2</v>
      </c>
      <c r="BG63" s="4">
        <v>22742500</v>
      </c>
      <c r="BH63" s="4">
        <v>15211500</v>
      </c>
      <c r="BI63" s="19">
        <v>42190242</v>
      </c>
      <c r="BJ63" s="38">
        <v>1.518489559334968E-2</v>
      </c>
      <c r="BK63" s="4">
        <v>5721100</v>
      </c>
      <c r="BL63" s="4">
        <v>7287300</v>
      </c>
      <c r="BM63" s="19">
        <v>14228900</v>
      </c>
      <c r="BN63" s="38">
        <v>6.7300754115239142E-2</v>
      </c>
      <c r="BO63" s="4">
        <v>40598300</v>
      </c>
      <c r="BP63" s="4">
        <v>19202200</v>
      </c>
      <c r="BQ63" s="19">
        <v>63063700</v>
      </c>
      <c r="BS63" s="4"/>
      <c r="BT63" s="4"/>
      <c r="BU63" s="19">
        <v>564100</v>
      </c>
      <c r="BW63" s="4"/>
      <c r="BX63" s="4"/>
      <c r="BY63" s="19">
        <v>8046000</v>
      </c>
      <c r="BZ63" s="8">
        <v>1.6545985757716441E-2</v>
      </c>
      <c r="CA63" s="4">
        <v>82900</v>
      </c>
      <c r="CB63" s="4">
        <v>211200</v>
      </c>
      <c r="CC63" s="19">
        <v>15504300</v>
      </c>
      <c r="CD63" s="38">
        <v>1.0745292463592748E-2</v>
      </c>
      <c r="CE63" s="4">
        <v>2354800</v>
      </c>
      <c r="CF63" s="4">
        <v>3084400</v>
      </c>
      <c r="CG63" s="19">
        <v>10068801</v>
      </c>
      <c r="CH63" s="8">
        <v>1.0067841156214527E-3</v>
      </c>
      <c r="CI63" s="4">
        <v>206300</v>
      </c>
      <c r="CJ63" s="4">
        <v>728800</v>
      </c>
      <c r="CK63" s="19">
        <v>943400</v>
      </c>
      <c r="CL63" s="8">
        <v>2.8490688504076663E-3</v>
      </c>
      <c r="CM63" s="4">
        <v>837400</v>
      </c>
      <c r="CN63" s="4">
        <v>1643600</v>
      </c>
      <c r="CO63" s="19">
        <v>2666800</v>
      </c>
    </row>
    <row r="64" spans="1:93" x14ac:dyDescent="0.2">
      <c r="A64" s="33" t="s">
        <v>251</v>
      </c>
      <c r="B64" s="8">
        <v>0.35920000000000002</v>
      </c>
      <c r="C64" s="8">
        <v>0.30890000000000001</v>
      </c>
      <c r="D64" s="8">
        <v>0.43369999999999997</v>
      </c>
      <c r="E64" s="8">
        <v>6.4699999999999994E-2</v>
      </c>
      <c r="F64" s="8">
        <v>0.31547943993451733</v>
      </c>
      <c r="G64" s="4">
        <v>110914500</v>
      </c>
      <c r="H64" s="4">
        <v>74211800</v>
      </c>
      <c r="I64" s="19">
        <v>279216951</v>
      </c>
      <c r="J64" s="8">
        <v>0.10798835769855794</v>
      </c>
      <c r="K64" s="4">
        <v>43612400</v>
      </c>
      <c r="L64" s="4">
        <v>46508700</v>
      </c>
      <c r="M64" s="19">
        <v>95575737</v>
      </c>
      <c r="N64" s="8">
        <v>0.11526780720896719</v>
      </c>
      <c r="O64" s="4">
        <v>33560100</v>
      </c>
      <c r="P64" s="4">
        <v>32827600</v>
      </c>
      <c r="Q64" s="19">
        <v>102018457</v>
      </c>
      <c r="R64" s="8">
        <v>2.5230947662950875E-2</v>
      </c>
      <c r="S64" s="4">
        <v>7846200</v>
      </c>
      <c r="T64" s="4">
        <v>9559700</v>
      </c>
      <c r="U64" s="19">
        <v>22330800</v>
      </c>
      <c r="V64" s="8">
        <v>5.3909730514479032E-2</v>
      </c>
      <c r="W64" s="4">
        <v>23655400</v>
      </c>
      <c r="X64" s="4">
        <v>18874400</v>
      </c>
      <c r="Y64" s="19">
        <v>47713127</v>
      </c>
      <c r="Z64" s="8">
        <v>3.4315078589563855E-2</v>
      </c>
      <c r="AA64" s="4">
        <v>10319400</v>
      </c>
      <c r="AB64" s="4">
        <v>12808400</v>
      </c>
      <c r="AC64" s="19">
        <v>30370764</v>
      </c>
      <c r="AD64" s="38">
        <v>4.2766970380502596E-2</v>
      </c>
      <c r="AE64" s="4">
        <v>19666800</v>
      </c>
      <c r="AF64" s="4">
        <v>14747100</v>
      </c>
      <c r="AG64" s="19">
        <v>37851161</v>
      </c>
      <c r="AH64" s="38">
        <v>4.5090370423773986E-2</v>
      </c>
      <c r="AI64" s="4">
        <v>14880600</v>
      </c>
      <c r="AJ64" s="4">
        <v>13471300</v>
      </c>
      <c r="AK64" s="19">
        <v>39907500</v>
      </c>
      <c r="AL64" s="38">
        <v>2.2137618881525697E-2</v>
      </c>
      <c r="AM64" s="4">
        <v>8142700</v>
      </c>
      <c r="AN64" s="4">
        <v>9619600</v>
      </c>
      <c r="AO64" s="19">
        <v>19593031</v>
      </c>
      <c r="AP64" s="38">
        <v>1.3392260893214325E-2</v>
      </c>
      <c r="AQ64" s="4">
        <v>4445000</v>
      </c>
      <c r="AR64" s="4">
        <v>5773200</v>
      </c>
      <c r="AS64" s="19">
        <v>11852900</v>
      </c>
      <c r="AT64" s="38">
        <v>5.051319151877876E-3</v>
      </c>
      <c r="AU64" s="4">
        <v>1254200</v>
      </c>
      <c r="AV64" s="4">
        <v>2560200</v>
      </c>
      <c r="AW64" s="19">
        <v>4470700</v>
      </c>
      <c r="AX64" s="38">
        <v>2.3803015315859086E-3</v>
      </c>
      <c r="AY64" s="4">
        <v>330900</v>
      </c>
      <c r="AZ64" s="4">
        <v>306100</v>
      </c>
      <c r="BA64" s="19">
        <v>2106700</v>
      </c>
      <c r="BB64" s="38">
        <v>2.8032126547988035E-3</v>
      </c>
      <c r="BC64" s="4">
        <v>904000</v>
      </c>
      <c r="BD64" s="4">
        <v>1326700</v>
      </c>
      <c r="BE64" s="19">
        <v>2481000</v>
      </c>
      <c r="BF64" s="38">
        <v>2.9423677013788199E-2</v>
      </c>
      <c r="BG64" s="4">
        <v>9420300</v>
      </c>
      <c r="BH64" s="4">
        <v>8884400</v>
      </c>
      <c r="BI64" s="19">
        <v>26041600</v>
      </c>
      <c r="BJ64" s="38">
        <v>2.3185427231573304E-2</v>
      </c>
      <c r="BK64" s="4">
        <v>9832100</v>
      </c>
      <c r="BL64" s="4">
        <v>8878500</v>
      </c>
      <c r="BM64" s="19">
        <v>20520400</v>
      </c>
      <c r="BN64" s="38">
        <v>4.3981852916469229E-2</v>
      </c>
      <c r="BO64" s="4">
        <v>18262400</v>
      </c>
      <c r="BP64" s="4">
        <v>18364000</v>
      </c>
      <c r="BQ64" s="19">
        <v>38926400</v>
      </c>
      <c r="BS64" s="4"/>
      <c r="BT64" s="4"/>
      <c r="BU64" s="19">
        <v>746300</v>
      </c>
      <c r="BW64" s="4"/>
      <c r="BX64" s="4"/>
      <c r="BY64" s="19">
        <v>6962100</v>
      </c>
      <c r="BZ64" s="8">
        <v>8.4677382469982108E-3</v>
      </c>
      <c r="CA64" s="4">
        <v>91400</v>
      </c>
      <c r="CB64" s="4">
        <v>192800</v>
      </c>
      <c r="CC64" s="19">
        <v>7494422</v>
      </c>
      <c r="CD64" s="38">
        <v>1.4029169790235722E-2</v>
      </c>
      <c r="CE64" s="4">
        <v>3466500</v>
      </c>
      <c r="CF64" s="4">
        <v>3548500</v>
      </c>
      <c r="CG64" s="19">
        <v>12416600</v>
      </c>
      <c r="CH64" s="8">
        <v>8.0785854420844193E-4</v>
      </c>
      <c r="CI64" s="4">
        <v>221900</v>
      </c>
      <c r="CJ64" s="4">
        <v>493000</v>
      </c>
      <c r="CK64" s="19">
        <v>715000</v>
      </c>
      <c r="CL64" s="8">
        <v>3.2826173825017992E-3</v>
      </c>
      <c r="CM64" s="4">
        <v>1397100</v>
      </c>
      <c r="CN64" s="4">
        <v>1498500</v>
      </c>
      <c r="CO64" s="19">
        <v>2897900</v>
      </c>
    </row>
    <row r="65" spans="1:93" x14ac:dyDescent="0.2">
      <c r="A65" s="33" t="s">
        <v>250</v>
      </c>
      <c r="B65" s="8">
        <v>0.28309999999999996</v>
      </c>
      <c r="C65" s="8">
        <v>0.26769999999999999</v>
      </c>
      <c r="D65" s="8">
        <v>0.4536</v>
      </c>
      <c r="E65" s="8">
        <v>0.10060000000000001</v>
      </c>
      <c r="F65" s="8">
        <v>0.21625428602011806</v>
      </c>
      <c r="G65" s="4">
        <v>51416300</v>
      </c>
      <c r="H65" s="4">
        <v>47578900</v>
      </c>
      <c r="I65" s="19">
        <v>190341414</v>
      </c>
      <c r="J65" s="8">
        <v>0.15520514570035643</v>
      </c>
      <c r="K65" s="4">
        <v>76626700</v>
      </c>
      <c r="L65" s="4">
        <v>48161200</v>
      </c>
      <c r="M65" s="19">
        <v>136607544</v>
      </c>
      <c r="N65" s="8">
        <v>0.13517797187082534</v>
      </c>
      <c r="O65" s="4">
        <v>42362000</v>
      </c>
      <c r="P65" s="4">
        <v>33644900</v>
      </c>
      <c r="Q65" s="19">
        <v>118980145</v>
      </c>
      <c r="R65" s="8">
        <v>2.088405092917615E-2</v>
      </c>
      <c r="S65" s="4">
        <v>6813900</v>
      </c>
      <c r="T65" s="4">
        <v>6861000</v>
      </c>
      <c r="U65" s="19">
        <v>18381600</v>
      </c>
      <c r="V65" s="8">
        <v>7.6835524573199046E-2</v>
      </c>
      <c r="W65" s="4">
        <v>36255300</v>
      </c>
      <c r="X65" s="4">
        <v>21797400</v>
      </c>
      <c r="Y65" s="19">
        <v>67628636</v>
      </c>
      <c r="Z65" s="8">
        <v>3.7947278076183713E-2</v>
      </c>
      <c r="AA65" s="4">
        <v>14476800</v>
      </c>
      <c r="AB65" s="4">
        <v>11081100</v>
      </c>
      <c r="AC65" s="19">
        <v>33400210</v>
      </c>
      <c r="AD65" s="38">
        <v>1.8082148330512329E-2</v>
      </c>
      <c r="AE65" s="4">
        <v>5409200</v>
      </c>
      <c r="AF65" s="4">
        <v>7635800</v>
      </c>
      <c r="AG65" s="19">
        <v>15915438</v>
      </c>
      <c r="AH65" s="38">
        <v>3.3883070617401118E-2</v>
      </c>
      <c r="AI65" s="4">
        <v>8932000</v>
      </c>
      <c r="AJ65" s="4">
        <v>8942500</v>
      </c>
      <c r="AK65" s="19">
        <v>29823000</v>
      </c>
      <c r="AL65" s="38">
        <v>3.3901466978579972E-2</v>
      </c>
      <c r="AM65" s="4">
        <v>11761200</v>
      </c>
      <c r="AN65" s="4">
        <v>11487700</v>
      </c>
      <c r="AO65" s="19">
        <v>29839192</v>
      </c>
      <c r="AP65" s="38">
        <v>2.2534974374642587E-2</v>
      </c>
      <c r="AQ65" s="4">
        <v>9737900</v>
      </c>
      <c r="AR65" s="4">
        <v>7350900</v>
      </c>
      <c r="AS65" s="19">
        <v>19834700</v>
      </c>
      <c r="AT65" s="38">
        <v>4.6942987351030387E-3</v>
      </c>
      <c r="AU65" s="4">
        <v>1437800</v>
      </c>
      <c r="AV65" s="4">
        <v>1976100</v>
      </c>
      <c r="AW65" s="19">
        <v>4131800</v>
      </c>
      <c r="AX65" s="38">
        <v>2.4302011216383659E-3</v>
      </c>
      <c r="AY65" s="4">
        <v>507500</v>
      </c>
      <c r="AZ65" s="4">
        <v>360000</v>
      </c>
      <c r="BA65" s="19">
        <v>2139000</v>
      </c>
      <c r="BB65" s="38">
        <v>3.391033795116424E-3</v>
      </c>
      <c r="BC65" s="4">
        <v>1616400</v>
      </c>
      <c r="BD65" s="4">
        <v>1166800</v>
      </c>
      <c r="BE65" s="19">
        <v>2984700</v>
      </c>
      <c r="BF65" s="38">
        <v>3.8084853136407741E-2</v>
      </c>
      <c r="BG65" s="4">
        <v>8039100</v>
      </c>
      <c r="BH65" s="4">
        <v>8287800</v>
      </c>
      <c r="BI65" s="19">
        <v>33521300</v>
      </c>
      <c r="BJ65" s="38">
        <v>2.7597041273875755E-2</v>
      </c>
      <c r="BK65" s="4">
        <v>14845400</v>
      </c>
      <c r="BL65" s="4">
        <v>8417500</v>
      </c>
      <c r="BM65" s="19">
        <v>24290200</v>
      </c>
      <c r="BN65" s="38">
        <v>3.7586428997995983E-2</v>
      </c>
      <c r="BO65" s="4">
        <v>14428300</v>
      </c>
      <c r="BP65" s="4">
        <v>16358900</v>
      </c>
      <c r="BQ65" s="19">
        <v>33082600</v>
      </c>
      <c r="BS65" s="4"/>
      <c r="BT65" s="4"/>
      <c r="BU65" s="19">
        <v>375800</v>
      </c>
      <c r="BW65" s="4"/>
      <c r="BX65" s="4"/>
      <c r="BY65" s="19">
        <v>9829000</v>
      </c>
      <c r="BZ65" s="8">
        <v>8.8527943617607054E-3</v>
      </c>
      <c r="CA65" s="4">
        <v>98500</v>
      </c>
      <c r="CB65" s="4">
        <v>207000</v>
      </c>
      <c r="CC65" s="19">
        <v>7792000</v>
      </c>
      <c r="CD65" s="38">
        <v>1.4144588547948183E-2</v>
      </c>
      <c r="CE65" s="4">
        <v>4237500</v>
      </c>
      <c r="CF65" s="4">
        <v>3804500</v>
      </c>
      <c r="CG65" s="19">
        <v>12449700</v>
      </c>
      <c r="CH65" s="8">
        <v>1.6360400257873992E-3</v>
      </c>
      <c r="CI65" s="4">
        <v>616400</v>
      </c>
      <c r="CJ65" s="4">
        <v>823500</v>
      </c>
      <c r="CK65" s="19">
        <v>1440000</v>
      </c>
      <c r="CL65" s="8">
        <v>5.3895021321720043E-3</v>
      </c>
      <c r="CM65" s="4">
        <v>1504300</v>
      </c>
      <c r="CN65" s="4">
        <v>1740600</v>
      </c>
      <c r="CO65" s="19">
        <v>4741800</v>
      </c>
    </row>
    <row r="66" spans="1:93" x14ac:dyDescent="0.2">
      <c r="A66" s="33" t="s">
        <v>249</v>
      </c>
      <c r="B66" s="8">
        <v>0.32780000000000004</v>
      </c>
      <c r="C66" s="8">
        <v>0.27979999999999999</v>
      </c>
      <c r="D66" s="8">
        <v>0.35509999999999997</v>
      </c>
      <c r="E66" s="8">
        <v>6.6500000000000004E-2</v>
      </c>
      <c r="F66" s="8">
        <v>0.27656350478180941</v>
      </c>
      <c r="G66" s="4">
        <v>41765500</v>
      </c>
      <c r="H66" s="4">
        <v>49605500</v>
      </c>
      <c r="I66" s="19">
        <v>177137136</v>
      </c>
      <c r="J66" s="8">
        <v>9.293927733215579E-2</v>
      </c>
      <c r="K66" s="4">
        <v>25068700</v>
      </c>
      <c r="L66" s="4">
        <v>30548600</v>
      </c>
      <c r="M66" s="19">
        <v>59527006</v>
      </c>
      <c r="N66" s="8">
        <v>0.1063908651617734</v>
      </c>
      <c r="O66" s="4">
        <v>18799500</v>
      </c>
      <c r="P66" s="4">
        <v>20614300</v>
      </c>
      <c r="Q66" s="19">
        <v>68142661</v>
      </c>
      <c r="R66" s="8">
        <v>3.3135541484281529E-2</v>
      </c>
      <c r="S66" s="4">
        <v>10548600</v>
      </c>
      <c r="T66" s="4">
        <v>8925900</v>
      </c>
      <c r="U66" s="19">
        <v>21223100</v>
      </c>
      <c r="V66" s="8">
        <v>4.2247708443681829E-2</v>
      </c>
      <c r="W66" s="4">
        <v>9809200</v>
      </c>
      <c r="X66" s="4">
        <v>12466100</v>
      </c>
      <c r="Y66" s="19">
        <v>27059384</v>
      </c>
      <c r="Z66" s="8">
        <v>4.3149884611168879E-2</v>
      </c>
      <c r="AA66" s="4">
        <v>13971300</v>
      </c>
      <c r="AB66" s="4">
        <v>10924000</v>
      </c>
      <c r="AC66" s="19">
        <v>27637222</v>
      </c>
      <c r="AD66" s="38">
        <v>2.2452289182523705E-2</v>
      </c>
      <c r="AE66" s="4">
        <v>4558500</v>
      </c>
      <c r="AF66" s="4">
        <v>7647100</v>
      </c>
      <c r="AG66" s="19">
        <v>14380546</v>
      </c>
      <c r="AH66" s="38">
        <v>3.1581739688824835E-2</v>
      </c>
      <c r="AI66" s="4">
        <v>5155100</v>
      </c>
      <c r="AJ66" s="4">
        <v>7894400</v>
      </c>
      <c r="AK66" s="19">
        <v>20227900</v>
      </c>
      <c r="AL66" s="38">
        <v>2.2921769333339653E-2</v>
      </c>
      <c r="AM66" s="4">
        <v>4762800</v>
      </c>
      <c r="AN66" s="4">
        <v>6919600</v>
      </c>
      <c r="AO66" s="19">
        <v>14681245</v>
      </c>
      <c r="AP66" s="38">
        <v>1.1006668526357578E-2</v>
      </c>
      <c r="AQ66" s="4">
        <v>1624400</v>
      </c>
      <c r="AR66" s="4">
        <v>3409900</v>
      </c>
      <c r="AS66" s="19">
        <v>7049700</v>
      </c>
      <c r="AT66" s="38">
        <v>5.9508797662612464E-3</v>
      </c>
      <c r="AU66" s="4">
        <v>1417500</v>
      </c>
      <c r="AV66" s="4">
        <v>1883200</v>
      </c>
      <c r="AW66" s="19">
        <v>3811500</v>
      </c>
      <c r="AX66" s="38">
        <v>1.9511563155020276E-3</v>
      </c>
      <c r="AY66" s="4">
        <v>164800</v>
      </c>
      <c r="AZ66" s="4">
        <v>191200</v>
      </c>
      <c r="BA66" s="19">
        <v>1249703</v>
      </c>
      <c r="BB66" s="38">
        <v>2.7272718813341583E-3</v>
      </c>
      <c r="BC66" s="4">
        <v>636000</v>
      </c>
      <c r="BD66" s="4">
        <v>990000</v>
      </c>
      <c r="BE66" s="19">
        <v>1746800</v>
      </c>
      <c r="BF66" s="38">
        <v>2.0958837723282428E-2</v>
      </c>
      <c r="BG66" s="4">
        <v>3106200</v>
      </c>
      <c r="BH66" s="4">
        <v>6448200</v>
      </c>
      <c r="BI66" s="19">
        <v>13424000</v>
      </c>
      <c r="BJ66" s="38">
        <v>1.8968809820861705E-2</v>
      </c>
      <c r="BK66" s="4">
        <v>4554400</v>
      </c>
      <c r="BL66" s="4">
        <v>5230100</v>
      </c>
      <c r="BM66" s="19">
        <v>12149400</v>
      </c>
      <c r="BN66" s="38">
        <v>3.0897735904068427E-2</v>
      </c>
      <c r="BO66" s="4">
        <v>8359500</v>
      </c>
      <c r="BP66" s="4">
        <v>9675200</v>
      </c>
      <c r="BQ66" s="19">
        <v>19789800</v>
      </c>
      <c r="BS66" s="4"/>
      <c r="BT66" s="4"/>
      <c r="BU66" s="19">
        <v>457000</v>
      </c>
      <c r="BW66" s="4"/>
      <c r="BX66" s="4"/>
      <c r="BY66" s="19">
        <v>10825000</v>
      </c>
      <c r="BZ66" s="8">
        <v>1.0071920601377751E-2</v>
      </c>
      <c r="CA66" s="4">
        <v>69500</v>
      </c>
      <c r="CB66" s="4">
        <v>150600</v>
      </c>
      <c r="CC66" s="19">
        <v>6451000</v>
      </c>
      <c r="CD66" s="38">
        <v>1.5364245707948851E-2</v>
      </c>
      <c r="CE66" s="4">
        <v>3508700</v>
      </c>
      <c r="CF66" s="4">
        <v>2546900</v>
      </c>
      <c r="CG66" s="19">
        <v>9840700</v>
      </c>
      <c r="CH66" s="8">
        <v>2.326955582745838E-3</v>
      </c>
      <c r="CI66" s="4">
        <v>813900</v>
      </c>
      <c r="CJ66" s="4">
        <v>670200</v>
      </c>
      <c r="CK66" s="19">
        <v>1490400</v>
      </c>
      <c r="CL66" s="8">
        <v>4.5724115134389834E-3</v>
      </c>
      <c r="CM66" s="4">
        <v>1395800</v>
      </c>
      <c r="CN66" s="4">
        <v>1289900</v>
      </c>
      <c r="CO66" s="19">
        <v>2925200</v>
      </c>
    </row>
    <row r="67" spans="1:93" x14ac:dyDescent="0.2">
      <c r="A67" s="33" t="s">
        <v>248</v>
      </c>
      <c r="B67" s="8">
        <v>0.26789999999999997</v>
      </c>
      <c r="C67" s="8">
        <v>0.215</v>
      </c>
      <c r="D67" s="8">
        <v>0.42210000000000003</v>
      </c>
      <c r="E67" s="8">
        <v>0.1119</v>
      </c>
      <c r="F67" s="8">
        <v>0.23766058158246675</v>
      </c>
      <c r="G67" s="4">
        <v>32151100</v>
      </c>
      <c r="H67" s="4">
        <v>47827100</v>
      </c>
      <c r="I67" s="19">
        <v>176244201</v>
      </c>
      <c r="J67" s="8">
        <v>0.10461604760779236</v>
      </c>
      <c r="K67" s="4">
        <v>27508800</v>
      </c>
      <c r="L67" s="4">
        <v>39754100</v>
      </c>
      <c r="M67" s="19">
        <v>77581110</v>
      </c>
      <c r="N67" s="8">
        <v>0.12420629811419799</v>
      </c>
      <c r="O67" s="4">
        <v>19474400</v>
      </c>
      <c r="P67" s="4">
        <v>27770100</v>
      </c>
      <c r="Q67" s="19">
        <v>92108837</v>
      </c>
      <c r="R67" s="8">
        <v>2.0960802257408862E-2</v>
      </c>
      <c r="S67" s="4">
        <v>5843800</v>
      </c>
      <c r="T67" s="4">
        <v>7086600</v>
      </c>
      <c r="U67" s="19">
        <v>15544100</v>
      </c>
      <c r="V67" s="8">
        <v>4.7322907172291616E-2</v>
      </c>
      <c r="W67" s="4">
        <v>10580300</v>
      </c>
      <c r="X67" s="4">
        <v>15162400</v>
      </c>
      <c r="Y67" s="19">
        <v>35093695</v>
      </c>
      <c r="Z67" s="8">
        <v>2.656355872002061E-2</v>
      </c>
      <c r="AA67" s="4">
        <v>6538300</v>
      </c>
      <c r="AB67" s="4">
        <v>8516800</v>
      </c>
      <c r="AC67" s="19">
        <v>19698989</v>
      </c>
      <c r="AD67" s="38">
        <v>3.1657071021278585E-2</v>
      </c>
      <c r="AE67" s="4">
        <v>6230500</v>
      </c>
      <c r="AF67" s="4">
        <v>10449900</v>
      </c>
      <c r="AG67" s="19">
        <v>23476233</v>
      </c>
      <c r="AH67" s="38">
        <v>3.1794435940672786E-2</v>
      </c>
      <c r="AI67" s="4">
        <v>4720100</v>
      </c>
      <c r="AJ67" s="4">
        <v>8758400</v>
      </c>
      <c r="AK67" s="19">
        <v>23578100</v>
      </c>
      <c r="AL67" s="38">
        <v>3.7863162711199223E-2</v>
      </c>
      <c r="AM67" s="4">
        <v>11154400</v>
      </c>
      <c r="AN67" s="4">
        <v>12543700</v>
      </c>
      <c r="AO67" s="19">
        <v>28078543</v>
      </c>
      <c r="AP67" s="38">
        <v>1.1560865279652305E-2</v>
      </c>
      <c r="AQ67" s="4">
        <v>3450300</v>
      </c>
      <c r="AR67" s="4">
        <v>3720100</v>
      </c>
      <c r="AS67" s="19">
        <v>8573300</v>
      </c>
      <c r="AT67" s="38">
        <v>5.9880300888600687E-3</v>
      </c>
      <c r="AU67" s="4">
        <v>1246100</v>
      </c>
      <c r="AV67" s="4">
        <v>2579500</v>
      </c>
      <c r="AW67" s="19">
        <v>4440600</v>
      </c>
      <c r="AX67" s="38">
        <v>2.6922267424242508E-3</v>
      </c>
      <c r="AY67" s="4">
        <v>118200</v>
      </c>
      <c r="AZ67" s="4">
        <v>352700</v>
      </c>
      <c r="BA67" s="19">
        <v>1996500</v>
      </c>
      <c r="BB67" s="38">
        <v>2.8785857385690197E-3</v>
      </c>
      <c r="BC67" s="4">
        <v>645900</v>
      </c>
      <c r="BD67" s="4">
        <v>1296100</v>
      </c>
      <c r="BE67" s="19">
        <v>2134700</v>
      </c>
      <c r="BF67" s="38">
        <v>2.6206700121028166E-2</v>
      </c>
      <c r="BG67" s="4">
        <v>5171600</v>
      </c>
      <c r="BH67" s="4">
        <v>9608000</v>
      </c>
      <c r="BI67" s="19">
        <v>19434350</v>
      </c>
      <c r="BJ67" s="38">
        <v>1.6214783408774115E-2</v>
      </c>
      <c r="BK67" s="4">
        <v>4209200</v>
      </c>
      <c r="BL67" s="4">
        <v>6560900</v>
      </c>
      <c r="BM67" s="19">
        <v>12024550</v>
      </c>
      <c r="BN67" s="38">
        <v>6.8063915040578793E-2</v>
      </c>
      <c r="BO67" s="4">
        <v>31277900</v>
      </c>
      <c r="BP67" s="4">
        <v>16842300</v>
      </c>
      <c r="BQ67" s="19">
        <v>50474800</v>
      </c>
      <c r="BS67" s="4"/>
      <c r="BT67" s="4"/>
      <c r="BU67" s="19">
        <v>767800</v>
      </c>
      <c r="BW67" s="4"/>
      <c r="BX67" s="4"/>
      <c r="BY67" s="19">
        <v>7337900</v>
      </c>
      <c r="BZ67" s="8">
        <v>1.7424431292215978E-2</v>
      </c>
      <c r="CA67" s="4">
        <v>89000</v>
      </c>
      <c r="CB67" s="4">
        <v>166400</v>
      </c>
      <c r="CC67" s="19">
        <v>12921600</v>
      </c>
      <c r="CD67" s="38">
        <v>1.4244057251641172E-2</v>
      </c>
      <c r="CE67" s="4">
        <v>2329900</v>
      </c>
      <c r="CF67" s="4">
        <v>2508700</v>
      </c>
      <c r="CG67" s="19">
        <v>10563100</v>
      </c>
      <c r="CH67" s="8">
        <v>1.6745340189042997E-3</v>
      </c>
      <c r="CI67" s="4">
        <v>554100</v>
      </c>
      <c r="CJ67" s="4">
        <v>684100</v>
      </c>
      <c r="CK67" s="19">
        <v>1241800</v>
      </c>
      <c r="CL67" s="8">
        <v>3.2403810979441394E-3</v>
      </c>
      <c r="CM67" s="4">
        <v>843800</v>
      </c>
      <c r="CN67" s="4">
        <v>1487300</v>
      </c>
      <c r="CO67" s="19">
        <v>2401400</v>
      </c>
    </row>
    <row r="68" spans="1:93" x14ac:dyDescent="0.2">
      <c r="A68" s="33" t="s">
        <v>247</v>
      </c>
      <c r="B68" s="8">
        <v>0.27310000000000001</v>
      </c>
      <c r="C68" s="8">
        <v>0.25579999999999997</v>
      </c>
      <c r="D68" s="8">
        <v>0.46630000000000005</v>
      </c>
      <c r="E68" s="8">
        <v>8.2299999999999998E-2</v>
      </c>
      <c r="F68" s="8">
        <v>0.23439024529380059</v>
      </c>
      <c r="G68" s="4">
        <v>30857200</v>
      </c>
      <c r="H68" s="4">
        <v>39316200</v>
      </c>
      <c r="I68" s="19">
        <v>156833139</v>
      </c>
      <c r="J68" s="8">
        <v>0.11947075858480283</v>
      </c>
      <c r="K68" s="4">
        <v>36556800</v>
      </c>
      <c r="L68" s="4">
        <v>36492700</v>
      </c>
      <c r="M68" s="19">
        <v>79939223</v>
      </c>
      <c r="N68" s="8">
        <v>0.15178841206758273</v>
      </c>
      <c r="O68" s="4">
        <v>31881600</v>
      </c>
      <c r="P68" s="4">
        <v>36219800</v>
      </c>
      <c r="Q68" s="19">
        <v>101563327</v>
      </c>
      <c r="R68" s="8">
        <v>2.1041494951624655E-2</v>
      </c>
      <c r="S68" s="4">
        <v>4779500</v>
      </c>
      <c r="T68" s="4">
        <v>6923000</v>
      </c>
      <c r="U68" s="19">
        <v>14079100</v>
      </c>
      <c r="V68" s="8">
        <v>5.0294683229209061E-2</v>
      </c>
      <c r="W68" s="4">
        <v>13958000</v>
      </c>
      <c r="X68" s="4">
        <v>14686000</v>
      </c>
      <c r="Y68" s="19">
        <v>33652736</v>
      </c>
      <c r="Z68" s="8">
        <v>3.38312374662183E-2</v>
      </c>
      <c r="AA68" s="4">
        <v>8494900</v>
      </c>
      <c r="AB68" s="4">
        <v>11055400</v>
      </c>
      <c r="AC68" s="19">
        <v>22636860</v>
      </c>
      <c r="AD68" s="38">
        <v>4.1823375359028324E-2</v>
      </c>
      <c r="AE68" s="4">
        <v>12302900</v>
      </c>
      <c r="AF68" s="4">
        <v>13009700</v>
      </c>
      <c r="AG68" s="19">
        <v>27984489</v>
      </c>
      <c r="AH68" s="38">
        <v>3.4130051772575089E-2</v>
      </c>
      <c r="AI68" s="4">
        <v>5426900</v>
      </c>
      <c r="AJ68" s="4">
        <v>9038600</v>
      </c>
      <c r="AK68" s="19">
        <v>22836800</v>
      </c>
      <c r="AL68" s="38">
        <v>2.893815245236598E-2</v>
      </c>
      <c r="AM68" s="4">
        <v>8975200</v>
      </c>
      <c r="AN68" s="4">
        <v>8515500</v>
      </c>
      <c r="AO68" s="19">
        <v>19362842</v>
      </c>
      <c r="AP68" s="38">
        <v>1.5353950066802274E-2</v>
      </c>
      <c r="AQ68" s="4">
        <v>4068100</v>
      </c>
      <c r="AR68" s="4">
        <v>4191900</v>
      </c>
      <c r="AS68" s="19">
        <v>10273500</v>
      </c>
      <c r="AT68" s="38">
        <v>5.5493017952054826E-3</v>
      </c>
      <c r="AU68" s="4">
        <v>1104600</v>
      </c>
      <c r="AV68" s="4">
        <v>1988400</v>
      </c>
      <c r="AW68" s="19">
        <v>3713100</v>
      </c>
      <c r="AX68" s="38">
        <v>2.7394549542462225E-3</v>
      </c>
      <c r="AY68" s="4">
        <v>135500</v>
      </c>
      <c r="AZ68" s="4">
        <v>342100</v>
      </c>
      <c r="BA68" s="19">
        <v>1833000</v>
      </c>
      <c r="BB68" s="38">
        <v>5.0447518811009952E-3</v>
      </c>
      <c r="BC68" s="4">
        <v>1295300</v>
      </c>
      <c r="BD68" s="4">
        <v>1775500</v>
      </c>
      <c r="BE68" s="19">
        <v>3375500</v>
      </c>
      <c r="BF68" s="38">
        <v>3.4221068033739081E-2</v>
      </c>
      <c r="BG68" s="4">
        <v>5252700</v>
      </c>
      <c r="BH68" s="4">
        <v>10672100</v>
      </c>
      <c r="BI68" s="19">
        <v>22897700</v>
      </c>
      <c r="BJ68" s="38">
        <v>2.1274191698147371E-2</v>
      </c>
      <c r="BK68" s="4">
        <v>5921900</v>
      </c>
      <c r="BL68" s="4">
        <v>6733900</v>
      </c>
      <c r="BM68" s="19">
        <v>14234800</v>
      </c>
      <c r="BN68" s="38">
        <v>4.4554626893610685E-2</v>
      </c>
      <c r="BO68" s="4">
        <v>14952000</v>
      </c>
      <c r="BP68" s="4">
        <v>11546300</v>
      </c>
      <c r="BQ68" s="19">
        <v>29812000</v>
      </c>
      <c r="BS68" s="4"/>
      <c r="BT68" s="4"/>
      <c r="BU68" s="19">
        <v>650700</v>
      </c>
      <c r="BW68" s="4"/>
      <c r="BX68" s="4"/>
      <c r="BY68" s="19">
        <v>5613800</v>
      </c>
      <c r="BZ68" s="8">
        <v>1.8433258843522905E-2</v>
      </c>
      <c r="CA68" s="4">
        <v>47800</v>
      </c>
      <c r="CB68" s="4">
        <v>98100</v>
      </c>
      <c r="CC68" s="19">
        <v>12333900</v>
      </c>
      <c r="CD68" s="38">
        <v>2.1858100618291396E-2</v>
      </c>
      <c r="CE68" s="4">
        <v>3515800</v>
      </c>
      <c r="CF68" s="4">
        <v>5733900</v>
      </c>
      <c r="CG68" s="19">
        <v>14625500</v>
      </c>
      <c r="CH68" s="8">
        <v>2.4115572908738163E-3</v>
      </c>
      <c r="CI68" s="4">
        <v>901300</v>
      </c>
      <c r="CJ68" s="4">
        <v>698300</v>
      </c>
      <c r="CK68" s="19">
        <v>1613600</v>
      </c>
      <c r="CL68" s="8">
        <v>4.0208563060032936E-3</v>
      </c>
      <c r="CM68" s="4">
        <v>809700</v>
      </c>
      <c r="CN68" s="4">
        <v>1745100</v>
      </c>
      <c r="CO68" s="19">
        <v>2689100</v>
      </c>
    </row>
    <row r="69" spans="1:93" x14ac:dyDescent="0.2">
      <c r="A69" s="33" t="s">
        <v>243</v>
      </c>
      <c r="B69" s="8">
        <v>0.32159999999999994</v>
      </c>
      <c r="C69" s="8">
        <v>0.2676</v>
      </c>
      <c r="D69" s="8">
        <v>0.42560000000000003</v>
      </c>
      <c r="E69" s="8">
        <v>7.2499999999999995E-2</v>
      </c>
      <c r="F69" s="8">
        <v>0.23496297043687681</v>
      </c>
      <c r="G69" s="4">
        <v>43526300</v>
      </c>
      <c r="H69" s="4">
        <v>41821000</v>
      </c>
      <c r="I69" s="19">
        <v>181286318</v>
      </c>
      <c r="J69" s="8">
        <v>0.10581910257963502</v>
      </c>
      <c r="K69" s="4">
        <v>28790300</v>
      </c>
      <c r="L69" s="4">
        <v>46137000</v>
      </c>
      <c r="M69" s="19">
        <v>81645016</v>
      </c>
      <c r="N69" s="8">
        <v>0.132044658630947</v>
      </c>
      <c r="O69" s="4">
        <v>26455000</v>
      </c>
      <c r="P69" s="4">
        <v>39137600</v>
      </c>
      <c r="Q69" s="19">
        <v>101879415</v>
      </c>
      <c r="R69" s="8">
        <v>2.6862714070207485E-2</v>
      </c>
      <c r="S69" s="4">
        <v>9233300</v>
      </c>
      <c r="T69" s="4">
        <v>9033200</v>
      </c>
      <c r="U69" s="19">
        <v>20726000</v>
      </c>
      <c r="V69" s="8">
        <v>4.5450445929089311E-2</v>
      </c>
      <c r="W69" s="4">
        <v>14771100</v>
      </c>
      <c r="X69" s="4">
        <v>14233900</v>
      </c>
      <c r="Y69" s="19">
        <v>35067415</v>
      </c>
      <c r="Z69" s="8">
        <v>3.749440757590438E-2</v>
      </c>
      <c r="AA69" s="4">
        <v>10398600</v>
      </c>
      <c r="AB69" s="4">
        <v>11632600</v>
      </c>
      <c r="AC69" s="19">
        <v>28928912</v>
      </c>
      <c r="AD69" s="38">
        <v>2.1859562736605026E-2</v>
      </c>
      <c r="AE69" s="4">
        <v>5247300</v>
      </c>
      <c r="AF69" s="4">
        <v>8648100</v>
      </c>
      <c r="AG69" s="19">
        <v>16865805</v>
      </c>
      <c r="AH69" s="38">
        <v>4.7112788596547432E-2</v>
      </c>
      <c r="AI69" s="4">
        <v>10861900</v>
      </c>
      <c r="AJ69" s="4">
        <v>11597900</v>
      </c>
      <c r="AK69" s="19">
        <v>36350000</v>
      </c>
      <c r="AL69" s="38">
        <v>3.3650979980478744E-2</v>
      </c>
      <c r="AM69" s="4">
        <v>13143300</v>
      </c>
      <c r="AN69" s="4">
        <v>9907500</v>
      </c>
      <c r="AO69" s="19">
        <v>25963505</v>
      </c>
      <c r="AP69" s="38">
        <v>1.0982658507030646E-2</v>
      </c>
      <c r="AQ69" s="4">
        <v>2364100</v>
      </c>
      <c r="AR69" s="4">
        <v>3709100</v>
      </c>
      <c r="AS69" s="19">
        <v>8473700</v>
      </c>
      <c r="AT69" s="38">
        <v>1.6074598329843738E-2</v>
      </c>
      <c r="AU69" s="4">
        <v>4668500</v>
      </c>
      <c r="AV69" s="4">
        <v>5913900</v>
      </c>
      <c r="AW69" s="19">
        <v>12402400</v>
      </c>
      <c r="AX69" s="38">
        <v>3.8870966789520058E-3</v>
      </c>
      <c r="AY69" s="4">
        <v>608200</v>
      </c>
      <c r="AZ69" s="4">
        <v>596700</v>
      </c>
      <c r="BA69" s="19">
        <v>2999100</v>
      </c>
      <c r="BB69" s="38">
        <v>3.0850775982492946E-3</v>
      </c>
      <c r="BC69" s="4">
        <v>689100</v>
      </c>
      <c r="BD69" s="4">
        <v>1430600</v>
      </c>
      <c r="BE69" s="19">
        <v>2380300</v>
      </c>
      <c r="BF69" s="38">
        <v>3.5011087952673346E-2</v>
      </c>
      <c r="BG69" s="4">
        <v>5688200</v>
      </c>
      <c r="BH69" s="4">
        <v>11983000</v>
      </c>
      <c r="BI69" s="19">
        <v>27012900</v>
      </c>
      <c r="BJ69" s="38">
        <v>2.7529162375471438E-2</v>
      </c>
      <c r="BK69" s="4">
        <v>9385500</v>
      </c>
      <c r="BL69" s="4">
        <v>9780800</v>
      </c>
      <c r="BM69" s="19">
        <v>21240200</v>
      </c>
      <c r="BN69" s="38">
        <v>2.7624684040383832E-2</v>
      </c>
      <c r="BO69" s="4">
        <v>7413900</v>
      </c>
      <c r="BP69" s="4">
        <v>11112200</v>
      </c>
      <c r="BQ69" s="19">
        <v>21313900</v>
      </c>
      <c r="BS69" s="4"/>
      <c r="BT69" s="4"/>
      <c r="BU69" s="19">
        <v>435400</v>
      </c>
      <c r="BW69" s="4"/>
      <c r="BX69" s="4"/>
      <c r="BY69" s="19">
        <v>17880800</v>
      </c>
      <c r="BZ69" s="8">
        <v>4.2697017736893043E-3</v>
      </c>
      <c r="CA69" s="4">
        <v>180800</v>
      </c>
      <c r="CB69" s="4">
        <v>196700</v>
      </c>
      <c r="CC69" s="19">
        <v>3294300</v>
      </c>
      <c r="CD69" s="38">
        <v>1.1545419794750615E-2</v>
      </c>
      <c r="CE69" s="4">
        <v>1972700</v>
      </c>
      <c r="CF69" s="4">
        <v>2775400</v>
      </c>
      <c r="CG69" s="19">
        <v>8907900</v>
      </c>
      <c r="CH69" s="8">
        <v>1.513312021054437E-3</v>
      </c>
      <c r="CI69" s="4">
        <v>815600</v>
      </c>
      <c r="CJ69" s="4">
        <v>352000</v>
      </c>
      <c r="CK69" s="19">
        <v>1167600</v>
      </c>
      <c r="CL69" s="8">
        <v>5.4242567140415591E-3</v>
      </c>
      <c r="CM69" s="4">
        <v>1287200</v>
      </c>
      <c r="CN69" s="4">
        <v>2808400</v>
      </c>
      <c r="CO69" s="19">
        <v>4176700</v>
      </c>
    </row>
    <row r="70" spans="1:93" x14ac:dyDescent="0.2">
      <c r="A70" s="33" t="s">
        <v>242</v>
      </c>
      <c r="B70" s="8">
        <v>0.33340000000000003</v>
      </c>
      <c r="C70" s="8">
        <v>0.25879999999999997</v>
      </c>
      <c r="D70" s="8">
        <v>0.46189999999999998</v>
      </c>
      <c r="E70" s="8">
        <v>6.8199999999999997E-2</v>
      </c>
      <c r="F70" s="8">
        <v>0.27070749995651877</v>
      </c>
      <c r="G70" s="4">
        <v>37498400</v>
      </c>
      <c r="H70" s="4">
        <v>58601300</v>
      </c>
      <c r="I70" s="19">
        <v>265781428</v>
      </c>
      <c r="J70" s="8">
        <v>0.1032993410005689</v>
      </c>
      <c r="K70" s="4">
        <v>45767800</v>
      </c>
      <c r="L70" s="4">
        <v>47238600</v>
      </c>
      <c r="M70" s="19">
        <v>101419600</v>
      </c>
      <c r="N70" s="8">
        <v>0.18099975460249473</v>
      </c>
      <c r="O70" s="4">
        <v>58025600</v>
      </c>
      <c r="P70" s="4">
        <v>63547400</v>
      </c>
      <c r="Q70" s="19">
        <v>177706097</v>
      </c>
      <c r="R70" s="8">
        <v>2.0317212891875418E-2</v>
      </c>
      <c r="S70" s="4">
        <v>6570500</v>
      </c>
      <c r="T70" s="4">
        <v>8669700</v>
      </c>
      <c r="U70" s="19">
        <v>19947500</v>
      </c>
      <c r="V70" s="8">
        <v>5.6468967380555048E-2</v>
      </c>
      <c r="W70" s="4">
        <v>25727000</v>
      </c>
      <c r="X70" s="4">
        <v>18564400</v>
      </c>
      <c r="Y70" s="19">
        <v>55441400</v>
      </c>
      <c r="Z70" s="8">
        <v>2.6871990361015122E-2</v>
      </c>
      <c r="AA70" s="4">
        <v>9696500</v>
      </c>
      <c r="AB70" s="4">
        <v>10228000</v>
      </c>
      <c r="AC70" s="19">
        <v>26383000</v>
      </c>
      <c r="AD70" s="38">
        <v>4.2411055158223743E-2</v>
      </c>
      <c r="AE70" s="4">
        <v>20066800</v>
      </c>
      <c r="AF70" s="4">
        <v>16459400</v>
      </c>
      <c r="AG70" s="19">
        <v>41639300</v>
      </c>
      <c r="AH70" s="38">
        <v>3.1660425652082873E-2</v>
      </c>
      <c r="AI70" s="4">
        <v>7596600</v>
      </c>
      <c r="AJ70" s="4">
        <v>11184900</v>
      </c>
      <c r="AK70" s="19">
        <v>31084300</v>
      </c>
      <c r="AL70" s="38">
        <v>2.9899277998926246E-2</v>
      </c>
      <c r="AM70" s="4">
        <v>11067300</v>
      </c>
      <c r="AN70" s="4">
        <v>11440200</v>
      </c>
      <c r="AO70" s="19">
        <v>29355200</v>
      </c>
      <c r="AP70" s="38">
        <v>1.6405328216912343E-2</v>
      </c>
      <c r="AQ70" s="4">
        <v>7851800</v>
      </c>
      <c r="AR70" s="4">
        <v>5829100</v>
      </c>
      <c r="AS70" s="19">
        <v>16106800</v>
      </c>
      <c r="AT70" s="38">
        <v>5.8028954510029734E-3</v>
      </c>
      <c r="AU70" s="4">
        <v>2308600</v>
      </c>
      <c r="AV70" s="4">
        <v>2620800</v>
      </c>
      <c r="AW70" s="19">
        <v>5697300</v>
      </c>
      <c r="AX70" s="38">
        <v>1.7447492509729335E-3</v>
      </c>
      <c r="AY70" s="4">
        <v>176300</v>
      </c>
      <c r="AZ70" s="4">
        <v>293600</v>
      </c>
      <c r="BA70" s="19">
        <v>1713000</v>
      </c>
      <c r="BB70" s="38">
        <v>5.6306103746444963E-3</v>
      </c>
      <c r="BC70" s="4">
        <v>2749900</v>
      </c>
      <c r="BD70" s="4">
        <v>2247700</v>
      </c>
      <c r="BE70" s="19">
        <v>5528150</v>
      </c>
      <c r="BF70" s="38">
        <v>3.2436141372772294E-2</v>
      </c>
      <c r="BG70" s="4">
        <v>11027600</v>
      </c>
      <c r="BH70" s="4">
        <v>11551900</v>
      </c>
      <c r="BI70" s="19">
        <v>31845900</v>
      </c>
      <c r="BJ70" s="38">
        <v>1.9811205053064353E-2</v>
      </c>
      <c r="BK70" s="4">
        <v>10009800</v>
      </c>
      <c r="BL70" s="4">
        <v>7071900</v>
      </c>
      <c r="BM70" s="19">
        <v>19450700</v>
      </c>
      <c r="BN70" s="38">
        <v>3.2646672411987772E-2</v>
      </c>
      <c r="BO70" s="4">
        <v>13735700</v>
      </c>
      <c r="BP70" s="4">
        <v>13692800</v>
      </c>
      <c r="BQ70" s="19">
        <v>32052600</v>
      </c>
      <c r="BS70" s="4"/>
      <c r="BT70" s="4"/>
      <c r="BU70" s="19">
        <v>541000</v>
      </c>
      <c r="BW70" s="4"/>
      <c r="BX70" s="4"/>
      <c r="BY70" s="19">
        <v>8813400</v>
      </c>
      <c r="BZ70" s="8">
        <v>3.33977396026868E-3</v>
      </c>
      <c r="CA70" s="4">
        <v>124300</v>
      </c>
      <c r="CB70" s="4">
        <v>134600</v>
      </c>
      <c r="CC70" s="19">
        <v>3279000</v>
      </c>
      <c r="CD70" s="38">
        <v>1.100903165732116E-2</v>
      </c>
      <c r="CE70" s="4">
        <v>2983200</v>
      </c>
      <c r="CF70" s="4">
        <v>3237200</v>
      </c>
      <c r="CG70" s="19">
        <v>10808700</v>
      </c>
      <c r="CH70" s="8">
        <v>4.6964616440374761E-4</v>
      </c>
      <c r="CI70" s="4">
        <v>273600</v>
      </c>
      <c r="CJ70" s="4">
        <v>164600</v>
      </c>
      <c r="CK70" s="19">
        <v>461100</v>
      </c>
      <c r="CL70" s="8">
        <v>4.2262043590554545E-3</v>
      </c>
      <c r="CM70" s="4">
        <v>1323100</v>
      </c>
      <c r="CN70" s="4">
        <v>2321400</v>
      </c>
      <c r="CO70" s="19">
        <v>4148600</v>
      </c>
    </row>
    <row r="71" spans="1:93" x14ac:dyDescent="0.2">
      <c r="A71" s="33" t="s">
        <v>241</v>
      </c>
      <c r="B71" s="8">
        <v>0.30199999999999999</v>
      </c>
      <c r="C71" s="8">
        <v>0.25940000000000002</v>
      </c>
      <c r="D71" s="8">
        <v>0.42950000000000005</v>
      </c>
      <c r="E71" s="8">
        <v>7.2000000000000008E-2</v>
      </c>
      <c r="F71" s="8">
        <v>0.22494688684978739</v>
      </c>
      <c r="G71" s="4">
        <v>31133400</v>
      </c>
      <c r="H71" s="4">
        <v>41039300</v>
      </c>
      <c r="I71" s="19">
        <v>159239270</v>
      </c>
      <c r="J71" s="8">
        <v>8.9570636156526426E-2</v>
      </c>
      <c r="K71" s="4">
        <v>27378900</v>
      </c>
      <c r="L71" s="4">
        <v>31035400</v>
      </c>
      <c r="M71" s="19">
        <v>63406802</v>
      </c>
      <c r="N71" s="8">
        <v>0.14400042953129716</v>
      </c>
      <c r="O71" s="4">
        <v>27493600</v>
      </c>
      <c r="P71" s="4">
        <v>36987800</v>
      </c>
      <c r="Q71" s="19">
        <v>101937500</v>
      </c>
      <c r="R71" s="8">
        <v>2.0209007919870355E-2</v>
      </c>
      <c r="S71" s="4">
        <v>6631200</v>
      </c>
      <c r="T71" s="4">
        <v>6272200</v>
      </c>
      <c r="U71" s="19">
        <v>14305900</v>
      </c>
      <c r="V71" s="8">
        <v>6.510097849038797E-2</v>
      </c>
      <c r="W71" s="4">
        <v>23570100</v>
      </c>
      <c r="X71" s="4">
        <v>14096000</v>
      </c>
      <c r="Y71" s="19">
        <v>46084800</v>
      </c>
      <c r="Z71" s="8">
        <v>4.7460846412113337E-2</v>
      </c>
      <c r="AA71" s="4">
        <v>14528300</v>
      </c>
      <c r="AB71" s="4">
        <v>10800300</v>
      </c>
      <c r="AC71" s="19">
        <v>33597400</v>
      </c>
      <c r="AD71" s="38">
        <v>2.7911962594952735E-2</v>
      </c>
      <c r="AE71" s="4">
        <v>8571900</v>
      </c>
      <c r="AF71" s="4">
        <v>8841700</v>
      </c>
      <c r="AG71" s="19">
        <v>19758800</v>
      </c>
      <c r="AH71" s="38">
        <v>3.3417140512072716E-2</v>
      </c>
      <c r="AI71" s="4">
        <v>7119400</v>
      </c>
      <c r="AJ71" s="4">
        <v>7959800</v>
      </c>
      <c r="AK71" s="19">
        <v>23655900</v>
      </c>
      <c r="AL71" s="38">
        <v>2.2877474493845782E-2</v>
      </c>
      <c r="AM71" s="4">
        <v>5693500</v>
      </c>
      <c r="AN71" s="4">
        <v>5889600</v>
      </c>
      <c r="AO71" s="19">
        <v>16194900</v>
      </c>
      <c r="AP71" s="38">
        <v>1.3084244546391012E-2</v>
      </c>
      <c r="AQ71" s="4">
        <v>4575500</v>
      </c>
      <c r="AR71" s="4">
        <v>3204800</v>
      </c>
      <c r="AS71" s="19">
        <v>9262300</v>
      </c>
      <c r="AT71" s="38">
        <v>5.0278487189483051E-3</v>
      </c>
      <c r="AU71" s="4">
        <v>1189900</v>
      </c>
      <c r="AV71" s="4">
        <v>1680800</v>
      </c>
      <c r="AW71" s="19">
        <v>3559200</v>
      </c>
      <c r="AX71" s="38">
        <v>2.628351992026684E-3</v>
      </c>
      <c r="AY71" s="4">
        <v>332600</v>
      </c>
      <c r="AZ71" s="4">
        <v>301700</v>
      </c>
      <c r="BA71" s="19">
        <v>1860603</v>
      </c>
      <c r="BB71" s="38">
        <v>3.3376315374969547E-3</v>
      </c>
      <c r="BC71" s="4">
        <v>1118800</v>
      </c>
      <c r="BD71" s="4">
        <v>903200</v>
      </c>
      <c r="BE71" s="19">
        <v>2362700</v>
      </c>
      <c r="BF71" s="38">
        <v>3.1224307974866757E-2</v>
      </c>
      <c r="BG71" s="4">
        <v>7894300</v>
      </c>
      <c r="BH71" s="4">
        <v>8385500</v>
      </c>
      <c r="BI71" s="19">
        <v>22103600</v>
      </c>
      <c r="BJ71" s="38">
        <v>2.1788757083277831E-2</v>
      </c>
      <c r="BK71" s="4">
        <v>7186700</v>
      </c>
      <c r="BL71" s="4">
        <v>7246700</v>
      </c>
      <c r="BM71" s="19">
        <v>15424200</v>
      </c>
      <c r="BN71" s="38">
        <v>3.2053665690896918E-2</v>
      </c>
      <c r="BO71" s="4">
        <v>12205400</v>
      </c>
      <c r="BP71" s="4">
        <v>8238400</v>
      </c>
      <c r="BQ71" s="19">
        <v>22690700</v>
      </c>
      <c r="BS71" s="4"/>
      <c r="BT71" s="4"/>
      <c r="BU71" s="19">
        <v>940400</v>
      </c>
      <c r="BW71" s="4"/>
      <c r="BX71" s="4"/>
      <c r="BY71" s="19">
        <v>20651200</v>
      </c>
      <c r="BZ71" s="8">
        <v>9.7392673094844895E-3</v>
      </c>
      <c r="CA71" s="4">
        <v>66600</v>
      </c>
      <c r="CB71" s="4">
        <v>159400</v>
      </c>
      <c r="CC71" s="19">
        <v>6894400</v>
      </c>
      <c r="CD71" s="38">
        <v>1.3592229325887115E-2</v>
      </c>
      <c r="CE71" s="4">
        <v>3282400</v>
      </c>
      <c r="CF71" s="4">
        <v>2285500</v>
      </c>
      <c r="CG71" s="19">
        <v>9621901</v>
      </c>
      <c r="CH71" s="8">
        <v>1.3708205205853663E-3</v>
      </c>
      <c r="CI71" s="4">
        <v>565000</v>
      </c>
      <c r="CJ71" s="4">
        <v>395700</v>
      </c>
      <c r="CK71" s="19">
        <v>970400</v>
      </c>
      <c r="CL71" s="8">
        <v>7.7341738975730424E-3</v>
      </c>
      <c r="CM71" s="4">
        <v>2380200</v>
      </c>
      <c r="CN71" s="4">
        <v>2956400</v>
      </c>
      <c r="CO71" s="19">
        <v>5474300</v>
      </c>
    </row>
    <row r="72" spans="1:93" x14ac:dyDescent="0.2">
      <c r="A72" s="33" t="s">
        <v>240</v>
      </c>
      <c r="B72" s="8">
        <v>0.33860000000000001</v>
      </c>
      <c r="C72" s="8">
        <v>0.30210000000000004</v>
      </c>
      <c r="D72" s="8">
        <v>0.43130000000000002</v>
      </c>
      <c r="E72" s="8">
        <v>6.4199999999999993E-2</v>
      </c>
      <c r="F72" s="8">
        <v>0.27931966976579431</v>
      </c>
      <c r="G72" s="4">
        <v>51058500</v>
      </c>
      <c r="H72" s="4">
        <v>36516800</v>
      </c>
      <c r="I72" s="19">
        <v>241509180</v>
      </c>
      <c r="J72" s="8">
        <v>0.13906815537582085</v>
      </c>
      <c r="K72" s="4">
        <v>72075000</v>
      </c>
      <c r="L72" s="4">
        <v>39965200</v>
      </c>
      <c r="M72" s="19">
        <v>120243004</v>
      </c>
      <c r="N72" s="8">
        <v>0.12034432433538353</v>
      </c>
      <c r="O72" s="4">
        <v>44318700</v>
      </c>
      <c r="P72" s="4">
        <v>26897000</v>
      </c>
      <c r="Q72" s="19">
        <v>104053750</v>
      </c>
      <c r="R72" s="8">
        <v>2.6776196526151777E-2</v>
      </c>
      <c r="S72" s="4">
        <v>11668500</v>
      </c>
      <c r="T72" s="4">
        <v>7954700</v>
      </c>
      <c r="U72" s="19">
        <v>23151600</v>
      </c>
      <c r="V72" s="8">
        <v>5.4234994306201115E-2</v>
      </c>
      <c r="W72" s="4">
        <v>21023600</v>
      </c>
      <c r="X72" s="4">
        <v>14498800</v>
      </c>
      <c r="Y72" s="19">
        <v>46893400</v>
      </c>
      <c r="Z72" s="8">
        <v>3.2863052065185111E-2</v>
      </c>
      <c r="AA72" s="4">
        <v>12460000</v>
      </c>
      <c r="AB72" s="4">
        <v>8197800</v>
      </c>
      <c r="AC72" s="19">
        <v>28414500</v>
      </c>
      <c r="AD72" s="38">
        <v>2.648636278466291E-2</v>
      </c>
      <c r="AE72" s="4">
        <v>11536400</v>
      </c>
      <c r="AF72" s="4">
        <v>7967800</v>
      </c>
      <c r="AG72" s="19">
        <v>22901000</v>
      </c>
      <c r="AH72" s="38">
        <v>3.8802099335414467E-2</v>
      </c>
      <c r="AI72" s="4">
        <v>11646900</v>
      </c>
      <c r="AJ72" s="4">
        <v>7306800</v>
      </c>
      <c r="AK72" s="19">
        <v>33549600</v>
      </c>
      <c r="AL72" s="38">
        <v>2.3080295870518013E-2</v>
      </c>
      <c r="AM72" s="4">
        <v>7142200</v>
      </c>
      <c r="AN72" s="4">
        <v>4839100</v>
      </c>
      <c r="AO72" s="19">
        <v>19956000</v>
      </c>
      <c r="AP72" s="38">
        <v>6.2427597224040433E-3</v>
      </c>
      <c r="AQ72" s="4">
        <v>2245200</v>
      </c>
      <c r="AR72" s="4">
        <v>1489600</v>
      </c>
      <c r="AS72" s="19">
        <v>5397700</v>
      </c>
      <c r="AT72" s="38">
        <v>4.4518277643214041E-3</v>
      </c>
      <c r="AU72" s="4">
        <v>2038700</v>
      </c>
      <c r="AV72" s="4">
        <v>1472900</v>
      </c>
      <c r="AW72" s="19">
        <v>3849200</v>
      </c>
      <c r="AX72" s="38">
        <v>2.44635407022047E-3</v>
      </c>
      <c r="AY72" s="4">
        <v>245400</v>
      </c>
      <c r="AZ72" s="4">
        <v>256600</v>
      </c>
      <c r="BA72" s="19">
        <v>2115200</v>
      </c>
      <c r="BB72" s="38">
        <v>2.3631974620279342E-3</v>
      </c>
      <c r="BC72" s="4">
        <v>1119800</v>
      </c>
      <c r="BD72" s="4">
        <v>730000</v>
      </c>
      <c r="BE72" s="19">
        <v>2043300</v>
      </c>
      <c r="BF72" s="38">
        <v>4.1354105090730744E-2</v>
      </c>
      <c r="BG72" s="4">
        <v>13229500</v>
      </c>
      <c r="BH72" s="4">
        <v>9628100</v>
      </c>
      <c r="BI72" s="19">
        <v>35756150</v>
      </c>
      <c r="BJ72" s="38">
        <v>2.1319434452254649E-2</v>
      </c>
      <c r="BK72" s="4">
        <v>10987000</v>
      </c>
      <c r="BL72" s="4">
        <v>5881900</v>
      </c>
      <c r="BM72" s="19">
        <v>18433500</v>
      </c>
      <c r="BN72" s="38">
        <v>3.4876043394240865E-2</v>
      </c>
      <c r="BO72" s="4">
        <v>17917000</v>
      </c>
      <c r="BP72" s="4">
        <v>10956200</v>
      </c>
      <c r="BQ72" s="19">
        <v>30155000</v>
      </c>
      <c r="BS72" s="4"/>
      <c r="BT72" s="4"/>
      <c r="BU72" s="19">
        <v>911500</v>
      </c>
      <c r="BW72" s="4"/>
      <c r="BX72" s="4"/>
      <c r="BY72" s="19">
        <v>10595300</v>
      </c>
      <c r="BZ72" s="8">
        <v>4.4522903880109309E-3</v>
      </c>
      <c r="CA72" s="4">
        <v>71300</v>
      </c>
      <c r="CB72" s="4">
        <v>118300</v>
      </c>
      <c r="CC72" s="19">
        <v>3849600</v>
      </c>
      <c r="CD72" s="38">
        <v>8.4442702049421781E-3</v>
      </c>
      <c r="CE72" s="4">
        <v>2018300</v>
      </c>
      <c r="CF72" s="4">
        <v>2360500</v>
      </c>
      <c r="CG72" s="19">
        <v>7301200</v>
      </c>
      <c r="CH72" s="8">
        <v>3.8189585570480296E-4</v>
      </c>
      <c r="CI72" s="4">
        <v>63100</v>
      </c>
      <c r="CJ72" s="4">
        <v>266700</v>
      </c>
      <c r="CK72" s="19">
        <v>330200</v>
      </c>
      <c r="CL72" s="8">
        <v>4.2296203537676418E-3</v>
      </c>
      <c r="CM72" s="4">
        <v>2079900</v>
      </c>
      <c r="CN72" s="4">
        <v>1505700</v>
      </c>
      <c r="CO72" s="19">
        <v>3653572</v>
      </c>
    </row>
    <row r="73" spans="1:93" x14ac:dyDescent="0.2">
      <c r="A73" s="33" t="s">
        <v>239</v>
      </c>
      <c r="B73" s="8">
        <v>0.34420000000000001</v>
      </c>
      <c r="C73" s="8">
        <v>0.29699999999999999</v>
      </c>
      <c r="D73" s="8">
        <v>0.42149999999999999</v>
      </c>
      <c r="E73" s="8">
        <v>5.0199999999999995E-2</v>
      </c>
      <c r="F73" s="8">
        <v>0.26790526697842942</v>
      </c>
      <c r="G73" s="4">
        <v>35343500</v>
      </c>
      <c r="H73" s="4">
        <v>48958500</v>
      </c>
      <c r="I73" s="19">
        <v>172377969</v>
      </c>
      <c r="J73" s="8">
        <v>9.7012756268888098E-2</v>
      </c>
      <c r="K73" s="4">
        <v>24195200</v>
      </c>
      <c r="L73" s="4">
        <v>32116500</v>
      </c>
      <c r="M73" s="19">
        <v>62420803</v>
      </c>
      <c r="N73" s="8">
        <v>0.14250822713773481</v>
      </c>
      <c r="O73" s="4">
        <v>30911700</v>
      </c>
      <c r="P73" s="4">
        <v>32363300</v>
      </c>
      <c r="Q73" s="19">
        <v>91693900</v>
      </c>
      <c r="R73" s="8">
        <v>2.4912312872054657E-2</v>
      </c>
      <c r="S73" s="4">
        <v>5614500</v>
      </c>
      <c r="T73" s="4">
        <v>8018100</v>
      </c>
      <c r="U73" s="19">
        <v>16029300</v>
      </c>
      <c r="V73" s="8">
        <v>4.9738213698936648E-2</v>
      </c>
      <c r="W73" s="4">
        <v>15017200</v>
      </c>
      <c r="X73" s="4">
        <v>12482600</v>
      </c>
      <c r="Y73" s="19">
        <v>32003000</v>
      </c>
      <c r="Z73" s="8">
        <v>7.2497063804961667E-2</v>
      </c>
      <c r="AA73" s="4">
        <v>13427600</v>
      </c>
      <c r="AB73" s="4">
        <v>11099900</v>
      </c>
      <c r="AC73" s="19">
        <v>46646700</v>
      </c>
      <c r="AD73" s="38">
        <v>2.7551299431464539E-2</v>
      </c>
      <c r="AE73" s="4">
        <v>6795800</v>
      </c>
      <c r="AF73" s="4">
        <v>8013400</v>
      </c>
      <c r="AG73" s="19">
        <v>17727300</v>
      </c>
      <c r="AH73" s="38">
        <v>4.1712928129546301E-2</v>
      </c>
      <c r="AI73" s="4">
        <v>5209200</v>
      </c>
      <c r="AJ73" s="4">
        <v>7740800</v>
      </c>
      <c r="AK73" s="19">
        <v>26839300</v>
      </c>
      <c r="AL73" s="38">
        <v>1.9824881421187573E-2</v>
      </c>
      <c r="AM73" s="4">
        <v>3109400</v>
      </c>
      <c r="AN73" s="4">
        <v>4853600</v>
      </c>
      <c r="AO73" s="19">
        <v>12755900</v>
      </c>
      <c r="AP73" s="38">
        <v>5.7108104314202634E-3</v>
      </c>
      <c r="AQ73" s="4">
        <v>1539000</v>
      </c>
      <c r="AR73" s="4">
        <v>1010100</v>
      </c>
      <c r="AS73" s="19">
        <v>3674500</v>
      </c>
      <c r="AT73" s="38">
        <v>4.3045942718477901E-3</v>
      </c>
      <c r="AU73" s="4">
        <v>1033600</v>
      </c>
      <c r="AV73" s="4">
        <v>1315100</v>
      </c>
      <c r="AW73" s="19">
        <v>2769700</v>
      </c>
      <c r="AX73" s="38">
        <v>4.0371210169158466E-3</v>
      </c>
      <c r="AY73" s="4">
        <v>744700</v>
      </c>
      <c r="AZ73" s="4">
        <v>678800</v>
      </c>
      <c r="BA73" s="19">
        <v>2597600</v>
      </c>
      <c r="BB73" s="38">
        <v>2.296757560362734E-3</v>
      </c>
      <c r="BC73" s="4">
        <v>422600</v>
      </c>
      <c r="BD73" s="4">
        <v>895700</v>
      </c>
      <c r="BE73" s="19">
        <v>1477800</v>
      </c>
      <c r="BF73" s="38">
        <v>4.2680245699968394E-2</v>
      </c>
      <c r="BG73" s="4">
        <v>7456700</v>
      </c>
      <c r="BH73" s="4">
        <v>10114600</v>
      </c>
      <c r="BI73" s="19">
        <v>27461700</v>
      </c>
      <c r="BJ73" s="38">
        <v>1.2510941050997411E-2</v>
      </c>
      <c r="BK73" s="4">
        <v>2872900</v>
      </c>
      <c r="BL73" s="4">
        <v>4389600</v>
      </c>
      <c r="BM73" s="19">
        <v>8049900</v>
      </c>
      <c r="BN73" s="38">
        <v>2.5257339383355594E-2</v>
      </c>
      <c r="BO73" s="4">
        <v>6371600</v>
      </c>
      <c r="BP73" s="4">
        <v>7869400</v>
      </c>
      <c r="BQ73" s="19">
        <v>16251300</v>
      </c>
      <c r="BS73" s="4"/>
      <c r="BT73" s="4"/>
      <c r="BU73" s="19">
        <v>852100</v>
      </c>
      <c r="BW73" s="4"/>
      <c r="BX73" s="4"/>
      <c r="BY73" s="19">
        <v>9876700</v>
      </c>
      <c r="BZ73" s="8">
        <v>5.9223334412763801E-3</v>
      </c>
      <c r="CA73" s="4">
        <v>350800</v>
      </c>
      <c r="CB73" s="4">
        <v>133000</v>
      </c>
      <c r="CC73" s="19">
        <v>3810600</v>
      </c>
      <c r="CD73" s="38">
        <v>1.4617156943407462E-2</v>
      </c>
      <c r="CE73" s="4">
        <v>2063700</v>
      </c>
      <c r="CF73" s="4">
        <v>3892700</v>
      </c>
      <c r="CG73" s="19">
        <v>9405100</v>
      </c>
      <c r="CH73" s="8">
        <v>3.8310376142198805E-4</v>
      </c>
      <c r="CI73" s="4">
        <v>23100</v>
      </c>
      <c r="CJ73" s="4">
        <v>222900</v>
      </c>
      <c r="CK73" s="19">
        <v>246500</v>
      </c>
      <c r="CL73" s="8">
        <v>3.647237950798837E-3</v>
      </c>
      <c r="CM73" s="4">
        <v>791700</v>
      </c>
      <c r="CN73" s="4">
        <v>1278300</v>
      </c>
      <c r="CO73" s="19">
        <v>2335238</v>
      </c>
    </row>
    <row r="74" spans="1:93" x14ac:dyDescent="0.2">
      <c r="A74" s="33" t="s">
        <v>238</v>
      </c>
      <c r="B74" s="8">
        <v>0.31579999999999997</v>
      </c>
      <c r="C74" s="8">
        <v>0.2437</v>
      </c>
      <c r="D74" s="8">
        <v>0.46159999999999995</v>
      </c>
      <c r="E74" s="8">
        <v>5.5E-2</v>
      </c>
      <c r="F74" s="8">
        <v>0.19119135180557079</v>
      </c>
      <c r="G74" s="4">
        <v>27470700</v>
      </c>
      <c r="H74" s="4">
        <v>31205200</v>
      </c>
      <c r="I74" s="19">
        <v>109048603</v>
      </c>
      <c r="J74" s="8">
        <v>0.10734063571509322</v>
      </c>
      <c r="K74" s="4">
        <v>21106200</v>
      </c>
      <c r="L74" s="4">
        <v>35151800</v>
      </c>
      <c r="M74" s="19">
        <v>61223200</v>
      </c>
      <c r="N74" s="8">
        <v>0.16712070446000349</v>
      </c>
      <c r="O74" s="4">
        <v>27695100</v>
      </c>
      <c r="P74" s="4">
        <v>40303600</v>
      </c>
      <c r="Q74" s="19">
        <v>95319580</v>
      </c>
      <c r="R74" s="8">
        <v>2.9628815074620458E-2</v>
      </c>
      <c r="S74" s="4">
        <v>7876800</v>
      </c>
      <c r="T74" s="4">
        <v>7344200</v>
      </c>
      <c r="U74" s="19">
        <v>16899200</v>
      </c>
      <c r="V74" s="8">
        <v>3.0200906200759488E-2</v>
      </c>
      <c r="W74" s="4">
        <v>7033000</v>
      </c>
      <c r="X74" s="4">
        <v>6806200</v>
      </c>
      <c r="Y74" s="19">
        <v>17225500</v>
      </c>
      <c r="Z74" s="8">
        <v>5.7400509794031766E-2</v>
      </c>
      <c r="AA74" s="4">
        <v>14691600</v>
      </c>
      <c r="AB74" s="4">
        <v>19245900</v>
      </c>
      <c r="AC74" s="19">
        <v>32739166</v>
      </c>
      <c r="AD74" s="38">
        <v>2.0908764737614428E-2</v>
      </c>
      <c r="AE74" s="4">
        <v>4963300</v>
      </c>
      <c r="AF74" s="4">
        <v>4818700</v>
      </c>
      <c r="AG74" s="19">
        <v>11925600</v>
      </c>
      <c r="AH74" s="38">
        <v>5.008593815090049E-2</v>
      </c>
      <c r="AI74" s="4">
        <v>7822600</v>
      </c>
      <c r="AJ74" s="4">
        <v>8802300</v>
      </c>
      <c r="AK74" s="19">
        <v>28567200</v>
      </c>
      <c r="AL74" s="38">
        <v>2.0130489374779265E-2</v>
      </c>
      <c r="AM74" s="4">
        <v>3272900</v>
      </c>
      <c r="AN74" s="4">
        <v>3925700</v>
      </c>
      <c r="AO74" s="19">
        <v>11481700</v>
      </c>
      <c r="AP74" s="38">
        <v>5.1572358183817031E-3</v>
      </c>
      <c r="AQ74" s="4">
        <v>641200</v>
      </c>
      <c r="AR74" s="4">
        <v>807200</v>
      </c>
      <c r="AS74" s="19">
        <v>2941500</v>
      </c>
      <c r="AT74" s="38">
        <v>4.2876152282347287E-3</v>
      </c>
      <c r="AU74" s="4">
        <v>944700</v>
      </c>
      <c r="AV74" s="4">
        <v>1035000</v>
      </c>
      <c r="AW74" s="19">
        <v>2445500</v>
      </c>
      <c r="AX74" s="38">
        <v>1.9145679121784192E-3</v>
      </c>
      <c r="AY74" s="4">
        <v>65000</v>
      </c>
      <c r="AZ74" s="4">
        <v>180700</v>
      </c>
      <c r="BA74" s="19">
        <v>1092000</v>
      </c>
      <c r="BB74" s="38">
        <v>3.4350013310805484E-3</v>
      </c>
      <c r="BC74" s="4">
        <v>484100</v>
      </c>
      <c r="BD74" s="4">
        <v>1216600</v>
      </c>
      <c r="BE74" s="19">
        <v>1959200</v>
      </c>
      <c r="BF74" s="38">
        <v>4.1008571934313912E-2</v>
      </c>
      <c r="BG74" s="4">
        <v>8213000</v>
      </c>
      <c r="BH74" s="4">
        <v>5884700</v>
      </c>
      <c r="BI74" s="19">
        <v>23389800</v>
      </c>
      <c r="BJ74" s="38">
        <v>1.9826648148423477E-2</v>
      </c>
      <c r="BK74" s="4">
        <v>5769700</v>
      </c>
      <c r="BL74" s="4">
        <v>4620500</v>
      </c>
      <c r="BM74" s="19">
        <v>11308400</v>
      </c>
      <c r="BN74" s="38">
        <v>2.3964359020896983E-2</v>
      </c>
      <c r="BO74" s="4">
        <v>6258100</v>
      </c>
      <c r="BP74" s="4">
        <v>6574000</v>
      </c>
      <c r="BQ74" s="19">
        <v>13668400</v>
      </c>
      <c r="BS74" s="4"/>
      <c r="BT74" s="4"/>
      <c r="BU74" s="19">
        <v>1133500</v>
      </c>
      <c r="BW74" s="4"/>
      <c r="BX74" s="4"/>
      <c r="BY74" s="19">
        <v>6760400</v>
      </c>
      <c r="BZ74" s="8">
        <v>5.321166312693683E-3</v>
      </c>
      <c r="CA74" s="4">
        <v>120500</v>
      </c>
      <c r="CB74" s="4">
        <v>125300</v>
      </c>
      <c r="CC74" s="19">
        <v>3035000</v>
      </c>
      <c r="CD74" s="38">
        <v>1.9914662167829479E-2</v>
      </c>
      <c r="CE74" s="4">
        <v>2968400</v>
      </c>
      <c r="CF74" s="4">
        <v>2705600</v>
      </c>
      <c r="CG74" s="19">
        <v>11358600</v>
      </c>
      <c r="CH74" s="8">
        <v>8.6628938224116939E-4</v>
      </c>
      <c r="CI74" s="4">
        <v>370500</v>
      </c>
      <c r="CJ74" s="4">
        <v>103600</v>
      </c>
      <c r="CK74" s="19">
        <v>494100</v>
      </c>
      <c r="CL74" s="8">
        <v>2.7805066409558195E-3</v>
      </c>
      <c r="CM74" s="4">
        <v>772900</v>
      </c>
      <c r="CN74" s="4">
        <v>713300</v>
      </c>
      <c r="CO74" s="19">
        <v>1583600</v>
      </c>
    </row>
    <row r="75" spans="1:93" x14ac:dyDescent="0.2">
      <c r="A75" s="33" t="s">
        <v>237</v>
      </c>
      <c r="B75" s="8">
        <v>0.3306</v>
      </c>
      <c r="C75" s="8">
        <v>0.27960000000000002</v>
      </c>
      <c r="D75" s="8">
        <v>0.43680000000000002</v>
      </c>
      <c r="E75" s="8">
        <v>5.28E-2</v>
      </c>
      <c r="F75" s="8">
        <v>0.23889421591387017</v>
      </c>
      <c r="G75" s="4">
        <v>39489900</v>
      </c>
      <c r="H75" s="4">
        <v>40391200</v>
      </c>
      <c r="I75" s="19">
        <v>148325690</v>
      </c>
      <c r="J75" s="8">
        <v>0.12619788967090029</v>
      </c>
      <c r="K75" s="4">
        <v>29510200</v>
      </c>
      <c r="L75" s="4">
        <v>39085400</v>
      </c>
      <c r="M75" s="19">
        <v>78354300</v>
      </c>
      <c r="N75" s="8">
        <v>0.14832253828020209</v>
      </c>
      <c r="O75" s="4">
        <v>30527900</v>
      </c>
      <c r="P75" s="4">
        <v>35117500</v>
      </c>
      <c r="Q75" s="19">
        <v>92091149</v>
      </c>
      <c r="R75" s="8">
        <v>2.1497721914066088E-2</v>
      </c>
      <c r="S75" s="4">
        <v>5716600</v>
      </c>
      <c r="T75" s="4">
        <v>6568800</v>
      </c>
      <c r="U75" s="19">
        <v>13347600</v>
      </c>
      <c r="V75" s="8">
        <v>4.7237779493094427E-2</v>
      </c>
      <c r="W75" s="4">
        <v>10908600</v>
      </c>
      <c r="X75" s="4">
        <v>12381300</v>
      </c>
      <c r="Y75" s="19">
        <v>29329200</v>
      </c>
      <c r="Z75" s="8">
        <v>4.3543049798552516E-2</v>
      </c>
      <c r="AA75" s="4">
        <v>13575800</v>
      </c>
      <c r="AB75" s="4">
        <v>8706000</v>
      </c>
      <c r="AC75" s="19">
        <v>27035200</v>
      </c>
      <c r="AD75" s="38">
        <v>2.8657831037891511E-2</v>
      </c>
      <c r="AE75" s="4">
        <v>6943500</v>
      </c>
      <c r="AF75" s="4">
        <v>7182600</v>
      </c>
      <c r="AG75" s="19">
        <v>17793200</v>
      </c>
      <c r="AH75" s="38">
        <v>4.6233083597952647E-2</v>
      </c>
      <c r="AI75" s="4">
        <v>5843500</v>
      </c>
      <c r="AJ75" s="4">
        <v>6141500</v>
      </c>
      <c r="AK75" s="19">
        <v>28705400</v>
      </c>
      <c r="AL75" s="38">
        <v>2.3309492373259723E-2</v>
      </c>
      <c r="AM75" s="4">
        <v>7681600</v>
      </c>
      <c r="AN75" s="4">
        <v>4838700</v>
      </c>
      <c r="AO75" s="19">
        <v>14472500</v>
      </c>
      <c r="AP75" s="38">
        <v>5.6941357288942769E-3</v>
      </c>
      <c r="AQ75" s="4">
        <v>1079200</v>
      </c>
      <c r="AR75" s="4">
        <v>1455600</v>
      </c>
      <c r="AS75" s="19">
        <v>3535400</v>
      </c>
      <c r="AT75" s="38">
        <v>4.0986696280166761E-3</v>
      </c>
      <c r="AU75" s="4">
        <v>1061200</v>
      </c>
      <c r="AV75" s="4">
        <v>1253400</v>
      </c>
      <c r="AW75" s="19">
        <v>2544800</v>
      </c>
      <c r="AX75" s="38">
        <v>2.0361278464864356E-3</v>
      </c>
      <c r="AY75" s="4">
        <v>113900</v>
      </c>
      <c r="AZ75" s="4">
        <v>133600</v>
      </c>
      <c r="BA75" s="19">
        <v>1264200</v>
      </c>
      <c r="BB75" s="38">
        <v>2.4002858168159589E-3</v>
      </c>
      <c r="BC75" s="4">
        <v>597200</v>
      </c>
      <c r="BD75" s="4">
        <v>689600</v>
      </c>
      <c r="BE75" s="19">
        <v>1490300</v>
      </c>
      <c r="BF75" s="38">
        <v>2.6210193410692147E-2</v>
      </c>
      <c r="BG75" s="4">
        <v>3635200</v>
      </c>
      <c r="BH75" s="4">
        <v>7023000</v>
      </c>
      <c r="BI75" s="19">
        <v>16273500</v>
      </c>
      <c r="BJ75" s="38">
        <v>1.641932078073562E-2</v>
      </c>
      <c r="BK75" s="4">
        <v>4626100</v>
      </c>
      <c r="BL75" s="4">
        <v>3833100</v>
      </c>
      <c r="BM75" s="19">
        <v>10194500</v>
      </c>
      <c r="BN75" s="38">
        <v>2.7561491672994091E-2</v>
      </c>
      <c r="BO75" s="4">
        <v>9558200</v>
      </c>
      <c r="BP75" s="4">
        <v>5684700</v>
      </c>
      <c r="BQ75" s="19">
        <v>17112500</v>
      </c>
      <c r="BS75" s="4"/>
      <c r="BT75" s="4"/>
      <c r="BU75" s="19">
        <v>670500</v>
      </c>
      <c r="BW75" s="4"/>
      <c r="BX75" s="4"/>
      <c r="BY75" s="19">
        <v>3946100</v>
      </c>
      <c r="BZ75" s="8">
        <v>5.8999711495405088E-3</v>
      </c>
      <c r="CA75" s="4">
        <v>220600</v>
      </c>
      <c r="CB75" s="4">
        <v>184900</v>
      </c>
      <c r="CC75" s="19">
        <v>3663200</v>
      </c>
      <c r="CD75" s="38">
        <v>1.5724988622358542E-2</v>
      </c>
      <c r="CE75" s="4">
        <v>2751400</v>
      </c>
      <c r="CF75" s="4">
        <v>2765000</v>
      </c>
      <c r="CG75" s="19">
        <v>9763400</v>
      </c>
      <c r="CH75" s="8">
        <v>1.3793228031411039E-3</v>
      </c>
      <c r="CI75" s="4">
        <v>224800</v>
      </c>
      <c r="CJ75" s="4">
        <v>586300</v>
      </c>
      <c r="CK75" s="19">
        <v>856400</v>
      </c>
      <c r="CL75" s="8">
        <v>4.3785929152491887E-3</v>
      </c>
      <c r="CM75" s="4">
        <v>1375400</v>
      </c>
      <c r="CN75" s="4">
        <v>1183500</v>
      </c>
      <c r="CO75" s="19">
        <v>2706100</v>
      </c>
    </row>
    <row r="76" spans="1:93" x14ac:dyDescent="0.2">
      <c r="A76" s="33" t="s">
        <v>236</v>
      </c>
      <c r="B76" s="8">
        <v>0.30990000000000001</v>
      </c>
      <c r="C76" s="8">
        <v>0.33390000000000003</v>
      </c>
      <c r="D76" s="8">
        <v>0.40850000000000003</v>
      </c>
      <c r="E76" s="8">
        <v>5.0199999999999995E-2</v>
      </c>
      <c r="F76" s="8">
        <v>0.2682535091040964</v>
      </c>
      <c r="G76" s="4">
        <v>28270100</v>
      </c>
      <c r="H76" s="4">
        <v>52026400</v>
      </c>
      <c r="I76" s="19">
        <v>152811097</v>
      </c>
      <c r="J76" s="8">
        <v>0.12499407313390262</v>
      </c>
      <c r="K76" s="4">
        <v>31627600</v>
      </c>
      <c r="L76" s="4">
        <v>33140100</v>
      </c>
      <c r="M76" s="19">
        <v>71203100</v>
      </c>
      <c r="N76" s="8">
        <v>0.13290068542045008</v>
      </c>
      <c r="O76" s="4">
        <v>22509300</v>
      </c>
      <c r="P76" s="4">
        <v>26112900</v>
      </c>
      <c r="Q76" s="19">
        <v>75707116</v>
      </c>
      <c r="R76" s="8">
        <v>2.1326536292406408E-2</v>
      </c>
      <c r="S76" s="4">
        <v>4600100</v>
      </c>
      <c r="T76" s="4">
        <v>5742300</v>
      </c>
      <c r="U76" s="19">
        <v>12148700</v>
      </c>
      <c r="V76" s="8">
        <v>3.7669677552679068E-2</v>
      </c>
      <c r="W76" s="4">
        <v>7736100</v>
      </c>
      <c r="X76" s="4">
        <v>9249100</v>
      </c>
      <c r="Y76" s="19">
        <v>21458600</v>
      </c>
      <c r="Z76" s="8">
        <v>5.6857187902202927E-2</v>
      </c>
      <c r="AA76" s="4">
        <v>15961300</v>
      </c>
      <c r="AB76" s="4">
        <v>13604000</v>
      </c>
      <c r="AC76" s="19">
        <v>32388800</v>
      </c>
      <c r="AD76" s="38">
        <v>2.7935485713632684E-2</v>
      </c>
      <c r="AE76" s="4">
        <v>4927100</v>
      </c>
      <c r="AF76" s="4">
        <v>7394000</v>
      </c>
      <c r="AG76" s="19">
        <v>15913500</v>
      </c>
      <c r="AH76" s="38">
        <v>4.6834925355543067E-2</v>
      </c>
      <c r="AI76" s="4">
        <v>6588300</v>
      </c>
      <c r="AJ76" s="4">
        <v>6100000</v>
      </c>
      <c r="AK76" s="19">
        <v>26679600</v>
      </c>
      <c r="AL76" s="38">
        <v>1.2776752170769018E-2</v>
      </c>
      <c r="AM76" s="4">
        <v>2200200</v>
      </c>
      <c r="AN76" s="4">
        <v>2957500</v>
      </c>
      <c r="AO76" s="19">
        <v>7278300</v>
      </c>
      <c r="AP76" s="38">
        <v>5.0838072470971345E-3</v>
      </c>
      <c r="AQ76" s="4">
        <v>554100</v>
      </c>
      <c r="AR76" s="4">
        <v>1144700</v>
      </c>
      <c r="AS76" s="19">
        <v>2896000</v>
      </c>
      <c r="AT76" s="38">
        <v>3.1945830208105546E-3</v>
      </c>
      <c r="AU76" s="4">
        <v>622400</v>
      </c>
      <c r="AV76" s="4">
        <v>1000600</v>
      </c>
      <c r="AW76" s="19">
        <v>1819800</v>
      </c>
      <c r="AX76" s="38">
        <v>1.1694863218287676E-3</v>
      </c>
      <c r="AY76" s="4">
        <v>65300</v>
      </c>
      <c r="AZ76" s="4">
        <v>102700</v>
      </c>
      <c r="BA76" s="19">
        <v>666200</v>
      </c>
      <c r="BB76" s="38">
        <v>4.3421261138448762E-3</v>
      </c>
      <c r="BC76" s="4">
        <v>1249500</v>
      </c>
      <c r="BD76" s="4">
        <v>973000</v>
      </c>
      <c r="BE76" s="19">
        <v>2473500</v>
      </c>
      <c r="BF76" s="38">
        <v>2.2499709076672644E-2</v>
      </c>
      <c r="BG76" s="4">
        <v>3593200</v>
      </c>
      <c r="BH76" s="4">
        <v>5933700</v>
      </c>
      <c r="BI76" s="19">
        <v>12817000</v>
      </c>
      <c r="BJ76" s="38">
        <v>1.4259412253952112E-2</v>
      </c>
      <c r="BK76" s="4">
        <v>3230400</v>
      </c>
      <c r="BL76" s="4">
        <v>4279600</v>
      </c>
      <c r="BM76" s="19">
        <v>8122900</v>
      </c>
      <c r="BN76" s="38">
        <v>2.5110602211550946E-2</v>
      </c>
      <c r="BO76" s="4">
        <v>7031100</v>
      </c>
      <c r="BP76" s="4">
        <v>6210500</v>
      </c>
      <c r="BQ76" s="19">
        <v>14304300</v>
      </c>
      <c r="BS76" s="4"/>
      <c r="BT76" s="4"/>
      <c r="BU76" s="19">
        <v>447400</v>
      </c>
      <c r="BW76" s="4"/>
      <c r="BX76" s="4"/>
      <c r="BY76" s="19">
        <v>7737300</v>
      </c>
      <c r="BZ76" s="8">
        <v>4.9751443781070404E-3</v>
      </c>
      <c r="CA76" s="4">
        <v>217700</v>
      </c>
      <c r="CB76" s="4">
        <v>162600</v>
      </c>
      <c r="CC76" s="19">
        <v>2834100</v>
      </c>
      <c r="CD76" s="38">
        <v>2.5028622308774898E-2</v>
      </c>
      <c r="CE76" s="4">
        <v>3636200</v>
      </c>
      <c r="CF76" s="4">
        <v>4448700</v>
      </c>
      <c r="CG76" s="19">
        <v>14257600</v>
      </c>
      <c r="CH76" s="8">
        <v>6.869108341813221E-4</v>
      </c>
      <c r="CI76" s="4">
        <v>17600</v>
      </c>
      <c r="CJ76" s="4">
        <v>373100</v>
      </c>
      <c r="CK76" s="19">
        <v>391300</v>
      </c>
      <c r="CL76" s="8">
        <v>2.7091987998774198E-3</v>
      </c>
      <c r="CM76" s="4">
        <v>444000</v>
      </c>
      <c r="CN76" s="4">
        <v>946200</v>
      </c>
      <c r="CO76" s="19">
        <v>1543300</v>
      </c>
    </row>
    <row r="77" spans="1:93" x14ac:dyDescent="0.2">
      <c r="A77" s="33" t="s">
        <v>235</v>
      </c>
      <c r="B77" s="8">
        <v>0.3422</v>
      </c>
      <c r="C77" s="8">
        <v>0.28550000000000003</v>
      </c>
      <c r="D77" s="8">
        <v>0.42499999999999999</v>
      </c>
      <c r="E77" s="8">
        <v>5.6500000000000002E-2</v>
      </c>
      <c r="F77" s="8">
        <v>0.23391209321339443</v>
      </c>
      <c r="G77" s="4">
        <v>67186200</v>
      </c>
      <c r="H77" s="4">
        <v>44831300</v>
      </c>
      <c r="I77" s="19">
        <v>191826588</v>
      </c>
      <c r="J77" s="8">
        <v>0.14592177205657211</v>
      </c>
      <c r="K77" s="4">
        <v>68256000</v>
      </c>
      <c r="L77" s="4">
        <v>42568300</v>
      </c>
      <c r="M77" s="19">
        <v>119667501</v>
      </c>
      <c r="N77" s="8">
        <v>0.16080241008441443</v>
      </c>
      <c r="O77" s="4">
        <v>56244700</v>
      </c>
      <c r="P77" s="4">
        <v>36858200</v>
      </c>
      <c r="Q77" s="19">
        <v>131870812</v>
      </c>
      <c r="R77" s="8">
        <v>2.4106311904713209E-2</v>
      </c>
      <c r="S77" s="4">
        <v>10376500</v>
      </c>
      <c r="T77" s="4">
        <v>6646600</v>
      </c>
      <c r="U77" s="19">
        <v>19769100</v>
      </c>
      <c r="V77" s="8">
        <v>4.8283959548167055E-2</v>
      </c>
      <c r="W77" s="4">
        <v>18962500</v>
      </c>
      <c r="X77" s="4">
        <v>12800100</v>
      </c>
      <c r="Y77" s="19">
        <v>39596701</v>
      </c>
      <c r="Z77" s="8">
        <v>3.0765541709956202E-2</v>
      </c>
      <c r="AA77" s="4">
        <v>13482400</v>
      </c>
      <c r="AB77" s="4">
        <v>8471100</v>
      </c>
      <c r="AC77" s="19">
        <v>25230200</v>
      </c>
      <c r="AD77" s="38">
        <v>2.3614530508940468E-2</v>
      </c>
      <c r="AE77" s="4">
        <v>9291700</v>
      </c>
      <c r="AF77" s="4">
        <v>5849900</v>
      </c>
      <c r="AG77" s="19">
        <v>19365800</v>
      </c>
      <c r="AH77" s="38">
        <v>3.2828511621605889E-2</v>
      </c>
      <c r="AI77" s="4">
        <v>10512400</v>
      </c>
      <c r="AJ77" s="4">
        <v>6166000</v>
      </c>
      <c r="AK77" s="19">
        <v>26922000</v>
      </c>
      <c r="AL77" s="38">
        <v>1.3816825731121543E-2</v>
      </c>
      <c r="AM77" s="4">
        <v>4321400</v>
      </c>
      <c r="AN77" s="4">
        <v>3126900</v>
      </c>
      <c r="AO77" s="19">
        <v>11330900</v>
      </c>
      <c r="AP77" s="38">
        <v>5.6661557444512324E-3</v>
      </c>
      <c r="AQ77" s="4">
        <v>1728100</v>
      </c>
      <c r="AR77" s="4">
        <v>1015400</v>
      </c>
      <c r="AS77" s="19">
        <v>4646700</v>
      </c>
      <c r="AT77" s="38">
        <v>3.4642969139359013E-3</v>
      </c>
      <c r="AU77" s="4">
        <v>1621400</v>
      </c>
      <c r="AV77" s="4">
        <v>823300</v>
      </c>
      <c r="AW77" s="19">
        <v>2841000</v>
      </c>
      <c r="AX77" s="38">
        <v>2.213443068699911E-3</v>
      </c>
      <c r="AY77" s="4">
        <v>218200</v>
      </c>
      <c r="AZ77" s="4">
        <v>189900</v>
      </c>
      <c r="BA77" s="19">
        <v>1815200</v>
      </c>
      <c r="BB77" s="38">
        <v>3.1653016294244324E-3</v>
      </c>
      <c r="BC77" s="4">
        <v>1408100</v>
      </c>
      <c r="BD77" s="4">
        <v>1026100</v>
      </c>
      <c r="BE77" s="19">
        <v>2595800</v>
      </c>
      <c r="BF77" s="38">
        <v>2.4576510035657834E-2</v>
      </c>
      <c r="BG77" s="4">
        <v>8100300</v>
      </c>
      <c r="BH77" s="4">
        <v>6162800</v>
      </c>
      <c r="BI77" s="19">
        <v>20154700</v>
      </c>
      <c r="BJ77" s="38">
        <v>1.2648524825369347E-2</v>
      </c>
      <c r="BK77" s="4">
        <v>5614100</v>
      </c>
      <c r="BL77" s="4">
        <v>3784400</v>
      </c>
      <c r="BM77" s="19">
        <v>10372800</v>
      </c>
      <c r="BN77" s="38">
        <v>2.5717618466513593E-2</v>
      </c>
      <c r="BO77" s="4">
        <v>11007600</v>
      </c>
      <c r="BP77" s="4">
        <v>8012300</v>
      </c>
      <c r="BQ77" s="19">
        <v>21090500</v>
      </c>
      <c r="BS77" s="4"/>
      <c r="BT77" s="4"/>
      <c r="BU77" s="19">
        <v>361200</v>
      </c>
      <c r="BW77" s="4"/>
      <c r="BX77" s="4"/>
      <c r="BY77" s="19">
        <v>4764800</v>
      </c>
      <c r="BZ77" s="8">
        <v>5.0197552537516827E-3</v>
      </c>
      <c r="CA77" s="4">
        <v>210200</v>
      </c>
      <c r="CB77" s="4">
        <v>103600</v>
      </c>
      <c r="CC77" s="19">
        <v>4116600</v>
      </c>
      <c r="CD77" s="38">
        <v>1.7385380788718662E-2</v>
      </c>
      <c r="CE77" s="4">
        <v>7634200</v>
      </c>
      <c r="CF77" s="4">
        <v>4148300</v>
      </c>
      <c r="CG77" s="19">
        <v>14257400</v>
      </c>
      <c r="CH77" s="8">
        <v>9.5539480185455068E-4</v>
      </c>
      <c r="CI77" s="4">
        <v>505700</v>
      </c>
      <c r="CJ77" s="4">
        <v>274900</v>
      </c>
      <c r="CK77" s="19">
        <v>783500</v>
      </c>
      <c r="CL77" s="8">
        <v>2.93386074443146E-3</v>
      </c>
      <c r="CM77" s="4">
        <v>1377400</v>
      </c>
      <c r="CN77" s="4">
        <v>922300</v>
      </c>
      <c r="CO77" s="19">
        <v>2396800</v>
      </c>
    </row>
    <row r="78" spans="1:93" x14ac:dyDescent="0.2">
      <c r="A78" s="39" t="s">
        <v>234</v>
      </c>
      <c r="B78" s="8">
        <v>0.35149999999999998</v>
      </c>
      <c r="C78" s="8">
        <v>0.38009999999999999</v>
      </c>
      <c r="D78" s="8">
        <v>0.37240000000000001</v>
      </c>
      <c r="E78" s="8">
        <v>4.7699999999999992E-2</v>
      </c>
      <c r="F78" s="8">
        <v>0.35374965063786623</v>
      </c>
      <c r="G78" s="4">
        <v>57252600</v>
      </c>
      <c r="H78" s="4">
        <v>89615300</v>
      </c>
      <c r="I78" s="19">
        <v>275327354</v>
      </c>
      <c r="J78" s="8">
        <v>0.12631770698539638</v>
      </c>
      <c r="K78" s="4">
        <v>35065800</v>
      </c>
      <c r="L78" s="4">
        <v>55978300</v>
      </c>
      <c r="M78" s="19">
        <v>98314500</v>
      </c>
      <c r="N78" s="8">
        <v>0.12792847633166221</v>
      </c>
      <c r="O78" s="4">
        <v>23670900</v>
      </c>
      <c r="P78" s="4">
        <v>47511700</v>
      </c>
      <c r="Q78" s="19">
        <v>99568180</v>
      </c>
      <c r="R78" s="8">
        <v>1.9244741541787437E-2</v>
      </c>
      <c r="S78" s="4">
        <v>4593600</v>
      </c>
      <c r="T78" s="4">
        <v>8328800</v>
      </c>
      <c r="U78" s="19">
        <v>14978400</v>
      </c>
      <c r="V78" s="8">
        <v>4.4566485870544528E-2</v>
      </c>
      <c r="W78" s="4">
        <v>8006200</v>
      </c>
      <c r="X78" s="4">
        <v>17501400</v>
      </c>
      <c r="Y78" s="19">
        <v>34686600</v>
      </c>
      <c r="Z78" s="8">
        <v>3.8681180156562286E-2</v>
      </c>
      <c r="AA78" s="4">
        <v>11629600</v>
      </c>
      <c r="AB78" s="4">
        <v>16380700</v>
      </c>
      <c r="AC78" s="19">
        <v>30106000</v>
      </c>
      <c r="AD78" s="38">
        <v>2.5725053385129402E-2</v>
      </c>
      <c r="AE78" s="4">
        <v>5486400</v>
      </c>
      <c r="AF78" s="4">
        <v>9063200</v>
      </c>
      <c r="AG78" s="19">
        <v>20022100</v>
      </c>
      <c r="AH78" s="38">
        <v>3.3575511063818411E-2</v>
      </c>
      <c r="AI78" s="4">
        <v>5673800</v>
      </c>
      <c r="AJ78" s="4">
        <v>9668600</v>
      </c>
      <c r="AK78" s="19">
        <v>26132200</v>
      </c>
      <c r="AL78" s="38">
        <v>1.1891642689864035E-2</v>
      </c>
      <c r="AM78" s="4">
        <v>3421600</v>
      </c>
      <c r="AN78" s="4">
        <v>4510500</v>
      </c>
      <c r="AO78" s="19">
        <v>9255400</v>
      </c>
      <c r="AP78" s="38">
        <v>4.6843723753673839E-3</v>
      </c>
      <c r="AQ78" s="4">
        <v>1199700</v>
      </c>
      <c r="AR78" s="4">
        <v>1217500</v>
      </c>
      <c r="AS78" s="19">
        <v>3645900</v>
      </c>
      <c r="AT78" s="38">
        <v>3.7688004302545725E-3</v>
      </c>
      <c r="AU78" s="4">
        <v>775600</v>
      </c>
      <c r="AV78" s="4">
        <v>1612200</v>
      </c>
      <c r="AW78" s="19">
        <v>2933300</v>
      </c>
      <c r="AX78" s="38">
        <v>1.7654889275603614E-3</v>
      </c>
      <c r="AY78" s="4">
        <v>138600</v>
      </c>
      <c r="AZ78" s="4">
        <v>204800</v>
      </c>
      <c r="BA78" s="19">
        <v>1374100</v>
      </c>
      <c r="BB78" s="38">
        <v>2.6121938276857369E-3</v>
      </c>
      <c r="BC78" s="4">
        <v>427700</v>
      </c>
      <c r="BD78" s="4">
        <v>1394800</v>
      </c>
      <c r="BE78" s="19">
        <v>2033100</v>
      </c>
      <c r="BF78" s="38">
        <v>1.9562095275218343E-2</v>
      </c>
      <c r="BG78" s="4">
        <v>3145800</v>
      </c>
      <c r="BH78" s="4">
        <v>7385800</v>
      </c>
      <c r="BI78" s="19">
        <v>15225400</v>
      </c>
      <c r="BJ78" s="38">
        <v>8.7129660238394833E-3</v>
      </c>
      <c r="BK78" s="4">
        <v>1886600</v>
      </c>
      <c r="BL78" s="4">
        <v>4234100</v>
      </c>
      <c r="BM78" s="19">
        <v>6781400</v>
      </c>
      <c r="BN78" s="38">
        <v>2.4778902416309485E-2</v>
      </c>
      <c r="BO78" s="4">
        <v>6802200</v>
      </c>
      <c r="BP78" s="4">
        <v>11047400</v>
      </c>
      <c r="BQ78" s="19">
        <v>19285700</v>
      </c>
      <c r="BS78" s="4"/>
      <c r="BT78" s="4"/>
      <c r="BU78" s="19">
        <v>408300</v>
      </c>
      <c r="BW78" s="4"/>
      <c r="BX78" s="4"/>
      <c r="BY78" s="19">
        <v>7740100</v>
      </c>
      <c r="BZ78" s="8">
        <v>5.0572308913254772E-3</v>
      </c>
      <c r="CA78" s="4">
        <v>114900</v>
      </c>
      <c r="CB78" s="4">
        <v>149800</v>
      </c>
      <c r="CC78" s="19">
        <v>3936100</v>
      </c>
      <c r="CD78" s="38">
        <v>1.3291982099039522E-2</v>
      </c>
      <c r="CE78" s="4">
        <v>3295500</v>
      </c>
      <c r="CF78" s="4">
        <v>3209300</v>
      </c>
      <c r="CG78" s="19">
        <v>10345300</v>
      </c>
      <c r="CH78" s="8">
        <v>6.1492103975721493E-4</v>
      </c>
      <c r="CI78" s="4">
        <v>114500</v>
      </c>
      <c r="CJ78" s="4">
        <v>363600</v>
      </c>
      <c r="CK78" s="19">
        <v>478600</v>
      </c>
      <c r="CL78" s="8">
        <v>3.0811578467233119E-3</v>
      </c>
      <c r="CM78" s="4">
        <v>489700</v>
      </c>
      <c r="CN78" s="4">
        <v>1540100</v>
      </c>
      <c r="CO78" s="19">
        <v>2381700</v>
      </c>
    </row>
    <row r="79" spans="1:93" x14ac:dyDescent="0.2">
      <c r="A79" s="39" t="s">
        <v>233</v>
      </c>
      <c r="B79" s="8">
        <v>0.34460000000000002</v>
      </c>
      <c r="C79" s="8">
        <v>0.31290000000000001</v>
      </c>
      <c r="D79" s="8">
        <v>0.4456</v>
      </c>
      <c r="E79" s="8">
        <v>6.2100000000000002E-2</v>
      </c>
      <c r="F79" s="8">
        <v>0.27101459272716338</v>
      </c>
      <c r="G79" s="4">
        <v>58001600</v>
      </c>
      <c r="H79" s="4">
        <v>46792700</v>
      </c>
      <c r="I79" s="19">
        <v>192035193</v>
      </c>
      <c r="J79" s="8">
        <v>0.17585637932011888</v>
      </c>
      <c r="K79" s="4">
        <v>69571900</v>
      </c>
      <c r="L79" s="4">
        <v>47119600</v>
      </c>
      <c r="M79" s="19">
        <v>124608101</v>
      </c>
      <c r="N79" s="8">
        <v>0.14667472555871425</v>
      </c>
      <c r="O79" s="4">
        <v>40654700</v>
      </c>
      <c r="P79" s="4">
        <v>33677900</v>
      </c>
      <c r="Q79" s="19">
        <v>103930600</v>
      </c>
      <c r="R79" s="8">
        <v>1.7893281770853111E-2</v>
      </c>
      <c r="S79" s="4">
        <v>5647200</v>
      </c>
      <c r="T79" s="4">
        <v>5243500</v>
      </c>
      <c r="U79" s="19">
        <v>12678800</v>
      </c>
      <c r="V79" s="8">
        <v>3.7867912877262752E-2</v>
      </c>
      <c r="W79" s="4">
        <v>12448600</v>
      </c>
      <c r="X79" s="4">
        <v>9401800</v>
      </c>
      <c r="Y79" s="19">
        <v>26832400</v>
      </c>
      <c r="Z79" s="8">
        <v>3.261429812506398E-2</v>
      </c>
      <c r="AA79" s="4">
        <v>9864200</v>
      </c>
      <c r="AB79" s="4">
        <v>11141800</v>
      </c>
      <c r="AC79" s="19">
        <v>23109800</v>
      </c>
      <c r="AD79" s="38">
        <v>3.2067287681300953E-2</v>
      </c>
      <c r="AE79" s="4">
        <v>6410200</v>
      </c>
      <c r="AF79" s="4">
        <v>7362800</v>
      </c>
      <c r="AG79" s="19">
        <v>22722200</v>
      </c>
      <c r="AH79" s="38">
        <v>3.6525366346943436E-2</v>
      </c>
      <c r="AI79" s="4">
        <v>7515700</v>
      </c>
      <c r="AJ79" s="4">
        <v>7983100</v>
      </c>
      <c r="AK79" s="19">
        <v>25881100</v>
      </c>
      <c r="AL79" s="38">
        <v>1.155566618827668E-2</v>
      </c>
      <c r="AM79" s="4">
        <v>2977000</v>
      </c>
      <c r="AN79" s="4">
        <v>2760100</v>
      </c>
      <c r="AO79" s="19">
        <v>8188100</v>
      </c>
      <c r="AP79" s="38">
        <v>5.0146857838574916E-3</v>
      </c>
      <c r="AQ79" s="4">
        <v>1158700</v>
      </c>
      <c r="AR79" s="4">
        <v>890800</v>
      </c>
      <c r="AS79" s="19">
        <v>3553300</v>
      </c>
      <c r="AT79" s="38">
        <v>3.7357877855652955E-3</v>
      </c>
      <c r="AU79" s="4">
        <v>1031300</v>
      </c>
      <c r="AV79" s="4">
        <v>1294100</v>
      </c>
      <c r="AW79" s="19">
        <v>2647100</v>
      </c>
      <c r="AX79" s="38">
        <v>2.1047765114246089E-3</v>
      </c>
      <c r="AY79" s="4">
        <v>289700</v>
      </c>
      <c r="AZ79" s="4">
        <v>138200</v>
      </c>
      <c r="BA79" s="19">
        <v>1491400</v>
      </c>
      <c r="BB79" s="38">
        <v>4.4038856805018716E-3</v>
      </c>
      <c r="BC79" s="4">
        <v>863100</v>
      </c>
      <c r="BD79" s="4">
        <v>1047200</v>
      </c>
      <c r="BE79" s="19">
        <v>3120500</v>
      </c>
      <c r="BF79" s="38">
        <v>2.1701891380201101E-2</v>
      </c>
      <c r="BG79" s="4">
        <v>5496100</v>
      </c>
      <c r="BH79" s="4">
        <v>6370000</v>
      </c>
      <c r="BI79" s="19">
        <v>15377500</v>
      </c>
      <c r="BJ79" s="38">
        <v>1.2000500274639182E-2</v>
      </c>
      <c r="BK79" s="4">
        <v>3793500</v>
      </c>
      <c r="BL79" s="4">
        <v>4317900</v>
      </c>
      <c r="BM79" s="19">
        <v>8503300</v>
      </c>
      <c r="BN79" s="38">
        <v>3.460504356358856E-2</v>
      </c>
      <c r="BO79" s="4">
        <v>14706100</v>
      </c>
      <c r="BP79" s="4">
        <v>8837000</v>
      </c>
      <c r="BQ79" s="19">
        <v>24520400</v>
      </c>
      <c r="BS79" s="4"/>
      <c r="BT79" s="4"/>
      <c r="BU79" s="19">
        <v>574500</v>
      </c>
      <c r="BW79" s="4"/>
      <c r="BX79" s="4"/>
      <c r="BY79" s="19">
        <v>4592700</v>
      </c>
      <c r="BZ79" s="8">
        <v>6.3099545797442461E-3</v>
      </c>
      <c r="CA79" s="4">
        <v>118900</v>
      </c>
      <c r="CB79" s="4">
        <v>185400</v>
      </c>
      <c r="CC79" s="19">
        <v>4471100</v>
      </c>
      <c r="CD79" s="38">
        <v>7.030153949301161E-3</v>
      </c>
      <c r="CE79" s="4">
        <v>1855600</v>
      </c>
      <c r="CF79" s="4">
        <v>1762400</v>
      </c>
      <c r="CG79" s="19">
        <v>4981418</v>
      </c>
      <c r="CH79" s="8">
        <v>1.4513558832969476E-3</v>
      </c>
      <c r="CI79" s="4">
        <v>418200</v>
      </c>
      <c r="CJ79" s="4">
        <v>598400</v>
      </c>
      <c r="CK79" s="19">
        <v>1028400</v>
      </c>
      <c r="CL79" s="8">
        <v>2.868700023315544E-3</v>
      </c>
      <c r="CM79" s="4">
        <v>800400</v>
      </c>
      <c r="CN79" s="4">
        <v>1028400</v>
      </c>
      <c r="CO79" s="19">
        <v>2019100</v>
      </c>
    </row>
    <row r="80" spans="1:93" x14ac:dyDescent="0.2">
      <c r="A80" s="39" t="s">
        <v>232</v>
      </c>
      <c r="B80" s="8">
        <v>0.2959</v>
      </c>
      <c r="C80" s="8">
        <v>0.24850000000000003</v>
      </c>
      <c r="D80" s="8">
        <v>0.52429999999999999</v>
      </c>
      <c r="E80" s="8">
        <v>6.1799999999999994E-2</v>
      </c>
      <c r="F80" s="8">
        <v>0.21061325857320884</v>
      </c>
      <c r="G80" s="4">
        <v>72191500</v>
      </c>
      <c r="H80" s="4">
        <v>94592500</v>
      </c>
      <c r="I80" s="19">
        <v>225469175</v>
      </c>
      <c r="J80" s="8">
        <v>0.1886128171179087</v>
      </c>
      <c r="K80" s="4">
        <v>82406700</v>
      </c>
      <c r="L80" s="4">
        <v>103491100</v>
      </c>
      <c r="M80" s="19">
        <v>201916900</v>
      </c>
      <c r="N80" s="8">
        <v>0.17211501396459195</v>
      </c>
      <c r="O80" s="4">
        <v>54183000</v>
      </c>
      <c r="P80" s="4">
        <v>77343600</v>
      </c>
      <c r="Q80" s="19">
        <v>184255400</v>
      </c>
      <c r="R80" s="8">
        <v>2.5081536852971847E-2</v>
      </c>
      <c r="S80" s="4">
        <v>9584700</v>
      </c>
      <c r="T80" s="4">
        <v>13858400</v>
      </c>
      <c r="U80" s="19">
        <v>26850700</v>
      </c>
      <c r="V80" s="8">
        <v>5.3096275964060496E-2</v>
      </c>
      <c r="W80" s="4">
        <v>20559800</v>
      </c>
      <c r="X80" s="4">
        <v>23922100</v>
      </c>
      <c r="Y80" s="19">
        <v>56841500</v>
      </c>
      <c r="Z80" s="8">
        <v>2.4801210112530187E-2</v>
      </c>
      <c r="AA80" s="4">
        <v>9602400</v>
      </c>
      <c r="AB80" s="4">
        <v>14642800</v>
      </c>
      <c r="AC80" s="19">
        <v>26550600</v>
      </c>
      <c r="AD80" s="38">
        <v>2.91569701614454E-2</v>
      </c>
      <c r="AE80" s="4">
        <v>12234300</v>
      </c>
      <c r="AF80" s="4">
        <v>14688200</v>
      </c>
      <c r="AG80" s="19">
        <v>31213600</v>
      </c>
      <c r="AH80" s="38">
        <v>5.1953110802605978E-2</v>
      </c>
      <c r="AI80" s="4">
        <v>12880100</v>
      </c>
      <c r="AJ80" s="4">
        <v>17777800</v>
      </c>
      <c r="AK80" s="19">
        <v>55617700</v>
      </c>
      <c r="AL80" s="38">
        <v>1.3102589546241458E-2</v>
      </c>
      <c r="AM80" s="4">
        <v>5279300</v>
      </c>
      <c r="AN80" s="4">
        <v>6712600</v>
      </c>
      <c r="AO80" s="19">
        <v>14026800</v>
      </c>
      <c r="AP80" s="38">
        <v>6.5825874948961223E-3</v>
      </c>
      <c r="AQ80" s="4">
        <v>2658300</v>
      </c>
      <c r="AR80" s="4">
        <v>2668600</v>
      </c>
      <c r="AS80" s="19">
        <v>7046900</v>
      </c>
      <c r="AT80" s="38">
        <v>4.4822386915536689E-3</v>
      </c>
      <c r="AU80" s="4">
        <v>1788600</v>
      </c>
      <c r="AV80" s="4">
        <v>2440000</v>
      </c>
      <c r="AW80" s="19">
        <v>4798400</v>
      </c>
      <c r="AX80" s="38">
        <v>2.1983370574988341E-3</v>
      </c>
      <c r="AY80" s="4">
        <v>145900</v>
      </c>
      <c r="AZ80" s="4">
        <v>277000</v>
      </c>
      <c r="BA80" s="19">
        <v>2353400</v>
      </c>
      <c r="BB80" s="38">
        <v>4.8942750967813121E-3</v>
      </c>
      <c r="BC80" s="4">
        <v>1074400</v>
      </c>
      <c r="BD80" s="4">
        <v>2144800</v>
      </c>
      <c r="BE80" s="19">
        <v>5239500</v>
      </c>
      <c r="BF80" s="38">
        <v>2.5708885866236153E-2</v>
      </c>
      <c r="BG80" s="4">
        <v>7495300</v>
      </c>
      <c r="BH80" s="4">
        <v>12819200</v>
      </c>
      <c r="BI80" s="19">
        <v>27522300</v>
      </c>
      <c r="BJ80" s="38">
        <v>1.4990801719279676E-2</v>
      </c>
      <c r="BK80" s="4">
        <v>6711300</v>
      </c>
      <c r="BL80" s="4">
        <v>7740200</v>
      </c>
      <c r="BM80" s="19">
        <v>16048200</v>
      </c>
      <c r="BN80" s="38">
        <v>3.4600876228156309E-2</v>
      </c>
      <c r="BO80" s="4">
        <v>15062700</v>
      </c>
      <c r="BP80" s="4">
        <v>17125400</v>
      </c>
      <c r="BQ80" s="19">
        <v>37041500</v>
      </c>
      <c r="BS80" s="4"/>
      <c r="BT80" s="4"/>
      <c r="BU80" s="19">
        <v>862400</v>
      </c>
      <c r="BW80" s="4"/>
      <c r="BX80" s="4"/>
      <c r="BY80" s="19">
        <v>10022100</v>
      </c>
      <c r="BZ80" s="8">
        <v>4.8943685078910899E-3</v>
      </c>
      <c r="CA80" s="4">
        <v>234100</v>
      </c>
      <c r="CB80" s="4">
        <v>542200</v>
      </c>
      <c r="CC80" s="19">
        <v>5239600</v>
      </c>
      <c r="CD80" s="38">
        <v>1.1977079084534843E-2</v>
      </c>
      <c r="CE80" s="4">
        <v>3007600</v>
      </c>
      <c r="CF80" s="4">
        <v>3939100</v>
      </c>
      <c r="CG80" s="19">
        <v>12821900</v>
      </c>
      <c r="CH80" s="8">
        <v>7.4093692275349502E-4</v>
      </c>
      <c r="CI80" s="4">
        <v>238700</v>
      </c>
      <c r="CJ80" s="4">
        <v>522300</v>
      </c>
      <c r="CK80" s="19">
        <v>793200</v>
      </c>
      <c r="CL80" s="8">
        <v>5.2315826141871207E-3</v>
      </c>
      <c r="CM80" s="4">
        <v>1978900</v>
      </c>
      <c r="CN80" s="4">
        <v>3604900</v>
      </c>
      <c r="CO80" s="19">
        <v>5599800</v>
      </c>
    </row>
    <row r="81" spans="1:93" x14ac:dyDescent="0.2">
      <c r="A81" s="33" t="s">
        <v>231</v>
      </c>
      <c r="B81" s="8">
        <v>0.30099999999999999</v>
      </c>
      <c r="C81" s="8">
        <v>0.2747</v>
      </c>
      <c r="D81" s="8">
        <v>0.46860000000000002</v>
      </c>
      <c r="E81" s="8">
        <v>7.4299999999999991E-2</v>
      </c>
      <c r="F81" s="8">
        <v>0.25819890638424153</v>
      </c>
      <c r="G81" s="4">
        <v>41688200</v>
      </c>
      <c r="H81" s="4">
        <v>100677200</v>
      </c>
      <c r="I81" s="19">
        <v>221857991</v>
      </c>
      <c r="J81" s="8">
        <v>0.12735852845000817</v>
      </c>
      <c r="K81" s="4">
        <v>33051300</v>
      </c>
      <c r="L81" s="4">
        <v>67956500</v>
      </c>
      <c r="M81" s="19">
        <v>109433102</v>
      </c>
      <c r="N81" s="8">
        <v>0.15544853115653584</v>
      </c>
      <c r="O81" s="4">
        <v>32413000</v>
      </c>
      <c r="P81" s="4">
        <v>61625700</v>
      </c>
      <c r="Q81" s="19">
        <v>133569500</v>
      </c>
      <c r="R81" s="8">
        <v>2.1789294147078805E-2</v>
      </c>
      <c r="S81" s="4">
        <v>6112800</v>
      </c>
      <c r="T81" s="4">
        <v>9878800</v>
      </c>
      <c r="U81" s="19">
        <v>18722500</v>
      </c>
      <c r="V81" s="8">
        <v>4.343718627846152E-2</v>
      </c>
      <c r="W81" s="4">
        <v>7826500</v>
      </c>
      <c r="X81" s="4">
        <v>17276400</v>
      </c>
      <c r="Y81" s="19">
        <v>37323500</v>
      </c>
      <c r="Z81" s="8">
        <v>3.4561562142620586E-2</v>
      </c>
      <c r="AA81" s="4">
        <v>10967500</v>
      </c>
      <c r="AB81" s="4">
        <v>11910200</v>
      </c>
      <c r="AC81" s="19">
        <v>29697100</v>
      </c>
      <c r="AD81" s="38">
        <v>4.9066499446543781E-2</v>
      </c>
      <c r="AE81" s="4">
        <v>5272600</v>
      </c>
      <c r="AF81" s="4">
        <v>14481700</v>
      </c>
      <c r="AG81" s="19">
        <v>42160500</v>
      </c>
      <c r="AH81" s="38">
        <v>4.2768814446245342E-2</v>
      </c>
      <c r="AI81" s="4">
        <v>6287200</v>
      </c>
      <c r="AJ81" s="4">
        <v>13753800</v>
      </c>
      <c r="AK81" s="19">
        <v>36749200</v>
      </c>
      <c r="AL81" s="38">
        <v>1.4293590752067965E-2</v>
      </c>
      <c r="AM81" s="4">
        <v>4718100</v>
      </c>
      <c r="AN81" s="4">
        <v>5563500</v>
      </c>
      <c r="AO81" s="19">
        <v>12281800</v>
      </c>
      <c r="AP81" s="38">
        <v>4.0909988936205857E-3</v>
      </c>
      <c r="AQ81" s="4">
        <v>1081400</v>
      </c>
      <c r="AR81" s="4">
        <v>1422800</v>
      </c>
      <c r="AS81" s="19">
        <v>3515200</v>
      </c>
      <c r="AT81" s="38">
        <v>3.9572779750734173E-3</v>
      </c>
      <c r="AU81" s="4">
        <v>1206500</v>
      </c>
      <c r="AV81" s="4">
        <v>1665100</v>
      </c>
      <c r="AW81" s="19">
        <v>3400300</v>
      </c>
      <c r="AX81" s="38">
        <v>1.8047086892175246E-3</v>
      </c>
      <c r="AY81" s="4">
        <v>127900</v>
      </c>
      <c r="AZ81" s="4">
        <v>286100</v>
      </c>
      <c r="BA81" s="19">
        <v>1550700</v>
      </c>
      <c r="BB81" s="38">
        <v>3.9078163646447438E-3</v>
      </c>
      <c r="BC81" s="4">
        <v>455000</v>
      </c>
      <c r="BD81" s="4">
        <v>1373900</v>
      </c>
      <c r="BE81" s="19">
        <v>3357800</v>
      </c>
      <c r="BF81" s="38">
        <v>4.4330637533193121E-2</v>
      </c>
      <c r="BG81" s="4">
        <v>4651300</v>
      </c>
      <c r="BH81" s="4">
        <v>8906200</v>
      </c>
      <c r="BI81" s="19">
        <v>38091200</v>
      </c>
      <c r="BJ81" s="38">
        <v>8.3778657645387205E-3</v>
      </c>
      <c r="BK81" s="4">
        <v>1932800</v>
      </c>
      <c r="BL81" s="4">
        <v>4611200</v>
      </c>
      <c r="BM81" s="19">
        <v>7198700</v>
      </c>
      <c r="BN81" s="38">
        <v>3.9376851255701513E-2</v>
      </c>
      <c r="BO81" s="4">
        <v>10969000</v>
      </c>
      <c r="BP81" s="4">
        <v>17832800</v>
      </c>
      <c r="BQ81" s="19">
        <v>33834648</v>
      </c>
      <c r="BS81" s="4"/>
      <c r="BT81" s="4"/>
      <c r="BU81" s="19">
        <v>885000</v>
      </c>
      <c r="BW81" s="4"/>
      <c r="BX81" s="4"/>
      <c r="BY81" s="19">
        <v>6193200</v>
      </c>
      <c r="BZ81" s="8">
        <v>4.4474716294865355E-3</v>
      </c>
      <c r="CA81" s="4">
        <v>116700</v>
      </c>
      <c r="CB81" s="4">
        <v>240300</v>
      </c>
      <c r="CC81" s="19">
        <v>3821500</v>
      </c>
      <c r="CD81" s="38">
        <v>6.8321031534477831E-3</v>
      </c>
      <c r="CE81" s="4">
        <v>1395300</v>
      </c>
      <c r="CF81" s="4">
        <v>2139200</v>
      </c>
      <c r="CG81" s="19">
        <v>5870500</v>
      </c>
      <c r="CH81" s="8">
        <v>2.9987701550956312E-3</v>
      </c>
      <c r="CI81" s="4">
        <v>1712700</v>
      </c>
      <c r="CJ81" s="4">
        <v>864000</v>
      </c>
      <c r="CK81" s="19">
        <v>2576700</v>
      </c>
      <c r="CL81" s="8">
        <v>4.7333015476343551E-3</v>
      </c>
      <c r="CM81" s="4">
        <v>988300</v>
      </c>
      <c r="CN81" s="4">
        <v>2501400</v>
      </c>
      <c r="CO81" s="19">
        <v>4065200</v>
      </c>
    </row>
    <row r="82" spans="1:93" x14ac:dyDescent="0.2">
      <c r="A82" s="33" t="s">
        <v>230</v>
      </c>
      <c r="B82" s="8">
        <v>0.30790000000000001</v>
      </c>
      <c r="C82" s="8">
        <v>0.313</v>
      </c>
      <c r="D82" s="8">
        <v>0.4728</v>
      </c>
      <c r="E82" s="8">
        <v>6.5199999999999994E-2</v>
      </c>
      <c r="F82" s="8">
        <v>0.25888894713527205</v>
      </c>
      <c r="G82" s="4">
        <v>85808500</v>
      </c>
      <c r="H82" s="4">
        <v>104824800</v>
      </c>
      <c r="I82" s="19">
        <v>350856432</v>
      </c>
      <c r="J82" s="8">
        <v>0.1519797193990706</v>
      </c>
      <c r="K82" s="4">
        <v>77898600</v>
      </c>
      <c r="L82" s="4">
        <v>114849500</v>
      </c>
      <c r="M82" s="19">
        <v>205968863</v>
      </c>
      <c r="N82" s="8">
        <v>0.17244949210926416</v>
      </c>
      <c r="O82" s="4">
        <v>65334400</v>
      </c>
      <c r="P82" s="4">
        <v>98929700</v>
      </c>
      <c r="Q82" s="19">
        <v>233710300</v>
      </c>
      <c r="R82" s="8">
        <v>2.206031341190641E-2</v>
      </c>
      <c r="S82" s="4">
        <v>10886300</v>
      </c>
      <c r="T82" s="4">
        <v>14226600</v>
      </c>
      <c r="U82" s="19">
        <v>29897000</v>
      </c>
      <c r="V82" s="8">
        <v>4.6731363125957909E-2</v>
      </c>
      <c r="W82" s="4">
        <v>20671600</v>
      </c>
      <c r="X82" s="4">
        <v>30977700</v>
      </c>
      <c r="Y82" s="19">
        <v>63332172</v>
      </c>
      <c r="Z82" s="8">
        <v>2.8012030573509147E-2</v>
      </c>
      <c r="AA82" s="4">
        <v>13445300</v>
      </c>
      <c r="AB82" s="4">
        <v>18442900</v>
      </c>
      <c r="AC82" s="19">
        <v>37963000</v>
      </c>
      <c r="AD82" s="38">
        <v>2.2886145527858032E-2</v>
      </c>
      <c r="AE82" s="4">
        <v>12655000</v>
      </c>
      <c r="AF82" s="4">
        <v>15274800</v>
      </c>
      <c r="AG82" s="19">
        <v>31016200</v>
      </c>
      <c r="AH82" s="38">
        <v>4.8467239802222596E-2</v>
      </c>
      <c r="AI82" s="4">
        <v>15847800</v>
      </c>
      <c r="AJ82" s="4">
        <v>24313800</v>
      </c>
      <c r="AK82" s="19">
        <v>65684700</v>
      </c>
      <c r="AL82" s="38">
        <v>1.4555733769942528E-2</v>
      </c>
      <c r="AM82" s="4">
        <v>6814100</v>
      </c>
      <c r="AN82" s="4">
        <v>10007600</v>
      </c>
      <c r="AO82" s="19">
        <v>19726500</v>
      </c>
      <c r="AP82" s="38">
        <v>5.4146163778275554E-3</v>
      </c>
      <c r="AQ82" s="4">
        <v>2485300</v>
      </c>
      <c r="AR82" s="4">
        <v>3099900</v>
      </c>
      <c r="AS82" s="19">
        <v>7338100</v>
      </c>
      <c r="AT82" s="38">
        <v>5.6850483564696835E-3</v>
      </c>
      <c r="AU82" s="4">
        <v>2281700</v>
      </c>
      <c r="AV82" s="4">
        <v>4216000</v>
      </c>
      <c r="AW82" s="19">
        <v>7704600</v>
      </c>
      <c r="AX82" s="38">
        <v>2.6248504164355846E-3</v>
      </c>
      <c r="AY82" s="4">
        <v>321400</v>
      </c>
      <c r="AZ82" s="4">
        <v>366600</v>
      </c>
      <c r="BA82" s="19">
        <v>3557300</v>
      </c>
      <c r="BB82" s="38">
        <v>2.9774081228345168E-3</v>
      </c>
      <c r="BC82" s="4">
        <v>1355900</v>
      </c>
      <c r="BD82" s="4">
        <v>2044600</v>
      </c>
      <c r="BE82" s="19">
        <v>4035100</v>
      </c>
      <c r="BF82" s="38">
        <v>3.1869504783455439E-2</v>
      </c>
      <c r="BG82" s="4">
        <v>10489900</v>
      </c>
      <c r="BH82" s="4">
        <v>22165700</v>
      </c>
      <c r="BI82" s="19">
        <v>43190800</v>
      </c>
      <c r="BJ82" s="38">
        <v>1.1041003500185236E-2</v>
      </c>
      <c r="BK82" s="4">
        <v>6430700</v>
      </c>
      <c r="BL82" s="4">
        <v>7314000</v>
      </c>
      <c r="BM82" s="19">
        <v>14963200</v>
      </c>
      <c r="BN82" s="38">
        <v>2.4308329963423754E-2</v>
      </c>
      <c r="BO82" s="4">
        <v>12105100</v>
      </c>
      <c r="BP82" s="4">
        <v>18147600</v>
      </c>
      <c r="BQ82" s="19">
        <v>32943600</v>
      </c>
      <c r="BS82" s="4"/>
      <c r="BT82" s="4"/>
      <c r="BU82" s="19">
        <v>1176000</v>
      </c>
      <c r="BW82" s="4"/>
      <c r="BX82" s="4"/>
      <c r="BY82" s="19">
        <v>8140000</v>
      </c>
      <c r="BZ82" s="8">
        <v>5.0067916722463706E-3</v>
      </c>
      <c r="CA82" s="4">
        <v>129100</v>
      </c>
      <c r="CB82" s="4">
        <v>267100</v>
      </c>
      <c r="CC82" s="19">
        <v>6785400</v>
      </c>
      <c r="CD82" s="38">
        <v>7.1044288588325679E-3</v>
      </c>
      <c r="CE82" s="4">
        <v>3342900</v>
      </c>
      <c r="CF82" s="4">
        <v>3349000</v>
      </c>
      <c r="CG82" s="19">
        <v>9628200</v>
      </c>
      <c r="CH82" s="8">
        <v>1.0052100532173831E-3</v>
      </c>
      <c r="CI82" s="4">
        <v>567300</v>
      </c>
      <c r="CJ82" s="4">
        <v>793700</v>
      </c>
      <c r="CK82" s="19">
        <v>1362300</v>
      </c>
      <c r="CL82" s="8">
        <v>5.6017420252590525E-3</v>
      </c>
      <c r="CM82" s="4">
        <v>2266400</v>
      </c>
      <c r="CN82" s="4">
        <v>4756700</v>
      </c>
      <c r="CO82" s="19">
        <v>7588200</v>
      </c>
    </row>
    <row r="83" spans="1:93" x14ac:dyDescent="0.2">
      <c r="A83" s="33" t="s">
        <v>229</v>
      </c>
      <c r="B83" s="8">
        <v>0.36979999999999996</v>
      </c>
      <c r="C83" s="8">
        <v>0.2898</v>
      </c>
      <c r="D83" s="8">
        <v>0.47090000000000004</v>
      </c>
      <c r="E83" s="8">
        <v>6.3299999999999995E-2</v>
      </c>
      <c r="F83" s="8">
        <v>0.28061208919745312</v>
      </c>
      <c r="G83" s="4">
        <v>71482700</v>
      </c>
      <c r="H83" s="4">
        <v>148676300</v>
      </c>
      <c r="I83" s="19">
        <v>408532696</v>
      </c>
      <c r="J83" s="8">
        <v>0.13559025125677726</v>
      </c>
      <c r="K83" s="4">
        <v>57764000</v>
      </c>
      <c r="L83" s="4">
        <v>117901400</v>
      </c>
      <c r="M83" s="19">
        <v>197400800</v>
      </c>
      <c r="N83" s="8">
        <v>0.16178269229589254</v>
      </c>
      <c r="O83" s="4">
        <v>62602800</v>
      </c>
      <c r="P83" s="4">
        <v>114887400</v>
      </c>
      <c r="Q83" s="19">
        <v>235533400</v>
      </c>
      <c r="R83" s="8">
        <v>2.4959014355019786E-2</v>
      </c>
      <c r="S83" s="4">
        <v>10002900</v>
      </c>
      <c r="T83" s="4">
        <v>18447800</v>
      </c>
      <c r="U83" s="19">
        <v>36336900</v>
      </c>
      <c r="V83" s="8">
        <v>5.156591753212203E-2</v>
      </c>
      <c r="W83" s="4">
        <v>14567500</v>
      </c>
      <c r="X83" s="4">
        <v>42914100</v>
      </c>
      <c r="Y83" s="19">
        <v>75072900</v>
      </c>
      <c r="Z83" s="8">
        <v>2.8509280269194932E-2</v>
      </c>
      <c r="AA83" s="4">
        <v>12968700</v>
      </c>
      <c r="AB83" s="4">
        <v>24456900</v>
      </c>
      <c r="AC83" s="19">
        <v>41505600</v>
      </c>
      <c r="AD83" s="38">
        <v>3.6543828695547689E-2</v>
      </c>
      <c r="AE83" s="4">
        <v>20074400</v>
      </c>
      <c r="AF83" s="4">
        <v>27441900</v>
      </c>
      <c r="AG83" s="19">
        <v>53202800</v>
      </c>
      <c r="AH83" s="38">
        <v>5.1012637366148368E-2</v>
      </c>
      <c r="AI83" s="4">
        <v>10621800</v>
      </c>
      <c r="AJ83" s="4">
        <v>25416700</v>
      </c>
      <c r="AK83" s="19">
        <v>74267400</v>
      </c>
      <c r="AL83" s="38">
        <v>1.2966537967930286E-2</v>
      </c>
      <c r="AM83" s="4">
        <v>5268100</v>
      </c>
      <c r="AN83" s="4">
        <v>11304100</v>
      </c>
      <c r="AO83" s="19">
        <v>18877500</v>
      </c>
      <c r="AP83" s="38">
        <v>4.9674324423400898E-3</v>
      </c>
      <c r="AQ83" s="4">
        <v>1652600</v>
      </c>
      <c r="AR83" s="4">
        <v>3356900</v>
      </c>
      <c r="AS83" s="19">
        <v>7231900</v>
      </c>
      <c r="AT83" s="38">
        <v>5.4599926000306106E-3</v>
      </c>
      <c r="AU83" s="4">
        <v>1676400</v>
      </c>
      <c r="AV83" s="4">
        <v>4828400</v>
      </c>
      <c r="AW83" s="19">
        <v>7949000</v>
      </c>
      <c r="AX83" s="38">
        <v>3.0564693762254636E-3</v>
      </c>
      <c r="AY83" s="4">
        <v>216900</v>
      </c>
      <c r="AZ83" s="4">
        <v>595300</v>
      </c>
      <c r="BA83" s="19">
        <v>4449800</v>
      </c>
      <c r="BB83" s="38">
        <v>2.5017467666161139E-3</v>
      </c>
      <c r="BC83" s="4">
        <v>859200</v>
      </c>
      <c r="BD83" s="4">
        <v>2296700</v>
      </c>
      <c r="BE83" s="19">
        <v>3642200</v>
      </c>
      <c r="BF83" s="38">
        <v>2.5265361908122525E-2</v>
      </c>
      <c r="BG83" s="4">
        <v>8944500</v>
      </c>
      <c r="BH83" s="4">
        <v>16092700</v>
      </c>
      <c r="BI83" s="19">
        <v>36782900</v>
      </c>
      <c r="BJ83" s="38">
        <v>1.0610065881765359E-2</v>
      </c>
      <c r="BK83" s="4">
        <v>4575100</v>
      </c>
      <c r="BL83" s="4">
        <v>8545900</v>
      </c>
      <c r="BM83" s="19">
        <v>15446800</v>
      </c>
      <c r="BN83" s="38">
        <v>3.3800438276058158E-2</v>
      </c>
      <c r="BO83" s="4">
        <v>11242200</v>
      </c>
      <c r="BP83" s="4">
        <v>33655300</v>
      </c>
      <c r="BQ83" s="19">
        <v>49208800</v>
      </c>
      <c r="BS83" s="4"/>
      <c r="BT83" s="4"/>
      <c r="BU83" s="19">
        <v>861200</v>
      </c>
      <c r="BW83" s="4"/>
      <c r="BX83" s="4"/>
      <c r="BY83" s="19">
        <v>9778400</v>
      </c>
      <c r="BZ83" s="8">
        <v>6.4944307501936622E-3</v>
      </c>
      <c r="CA83" s="4">
        <v>104300</v>
      </c>
      <c r="CB83" s="4">
        <v>191200</v>
      </c>
      <c r="CC83" s="19">
        <v>9455000</v>
      </c>
      <c r="CD83" s="38">
        <v>7.2045938334961718E-3</v>
      </c>
      <c r="CE83" s="4">
        <v>2028100</v>
      </c>
      <c r="CF83" s="4">
        <v>5397900</v>
      </c>
      <c r="CG83" s="19">
        <v>10488900</v>
      </c>
      <c r="CH83" s="8">
        <v>9.1883659593168293E-4</v>
      </c>
      <c r="CI83" s="4">
        <v>235100</v>
      </c>
      <c r="CJ83" s="4">
        <v>1087300</v>
      </c>
      <c r="CK83" s="19">
        <v>1337700</v>
      </c>
      <c r="CL83" s="8">
        <v>5.539300898632288E-3</v>
      </c>
      <c r="CM83" s="4">
        <v>1820900</v>
      </c>
      <c r="CN83" s="4">
        <v>4851200</v>
      </c>
      <c r="CO83" s="19">
        <v>8061562</v>
      </c>
    </row>
    <row r="84" spans="1:93" x14ac:dyDescent="0.2">
      <c r="A84" s="33" t="s">
        <v>228</v>
      </c>
      <c r="B84" s="8">
        <v>0.49909999999999999</v>
      </c>
      <c r="C84" s="8">
        <v>0.4597</v>
      </c>
      <c r="D84" s="8">
        <v>0.33979999999999999</v>
      </c>
      <c r="E84" s="8">
        <v>4.3499999999999997E-2</v>
      </c>
      <c r="F84" s="8">
        <v>0.43841893340498178</v>
      </c>
      <c r="G84" s="4">
        <v>87866500</v>
      </c>
      <c r="H84" s="4">
        <v>59185700</v>
      </c>
      <c r="I84" s="19">
        <v>414062392</v>
      </c>
      <c r="J84" s="8">
        <v>0.11799993413059874</v>
      </c>
      <c r="K84" s="4">
        <v>60702000</v>
      </c>
      <c r="L84" s="4">
        <v>40556900</v>
      </c>
      <c r="M84" s="19">
        <v>111444400</v>
      </c>
      <c r="N84" s="8">
        <v>0.11071417058615281</v>
      </c>
      <c r="O84" s="4">
        <v>41043200</v>
      </c>
      <c r="P84" s="4">
        <v>38196900</v>
      </c>
      <c r="Q84" s="19">
        <v>104563400</v>
      </c>
      <c r="R84" s="8">
        <v>1.4630185903070365E-2</v>
      </c>
      <c r="S84" s="4">
        <v>4727400</v>
      </c>
      <c r="T84" s="4">
        <v>6438000</v>
      </c>
      <c r="U84" s="19">
        <v>13817400</v>
      </c>
      <c r="V84" s="8">
        <v>3.2757030072261675E-2</v>
      </c>
      <c r="W84" s="4">
        <v>10369500</v>
      </c>
      <c r="X84" s="4">
        <v>13278100</v>
      </c>
      <c r="Y84" s="19">
        <v>30937200</v>
      </c>
      <c r="Z84" s="8">
        <v>1.8592091153848998E-2</v>
      </c>
      <c r="AA84" s="4">
        <v>7071500</v>
      </c>
      <c r="AB84" s="4">
        <v>7668200</v>
      </c>
      <c r="AC84" s="19">
        <v>17559200</v>
      </c>
      <c r="AD84" s="38">
        <v>1.66211973503856E-2</v>
      </c>
      <c r="AE84" s="4">
        <v>5894900</v>
      </c>
      <c r="AF84" s="4">
        <v>6456600</v>
      </c>
      <c r="AG84" s="19">
        <v>15697800</v>
      </c>
      <c r="AH84" s="38">
        <v>2.9729324672560595E-2</v>
      </c>
      <c r="AI84" s="4">
        <v>7289700</v>
      </c>
      <c r="AJ84" s="4">
        <v>8348200</v>
      </c>
      <c r="AK84" s="19">
        <v>28077700</v>
      </c>
      <c r="AL84" s="38">
        <v>9.879669013299822E-3</v>
      </c>
      <c r="AM84" s="4">
        <v>4711500</v>
      </c>
      <c r="AN84" s="4">
        <v>3241000</v>
      </c>
      <c r="AO84" s="19">
        <v>9330800</v>
      </c>
      <c r="AP84" s="38">
        <v>4.4628345826893106E-3</v>
      </c>
      <c r="AQ84" s="4">
        <v>1164700</v>
      </c>
      <c r="AR84" s="4">
        <v>1507600</v>
      </c>
      <c r="AS84" s="19">
        <v>4214900</v>
      </c>
      <c r="AT84" s="38">
        <v>3.2188230162935073E-3</v>
      </c>
      <c r="AU84" s="4">
        <v>1314100</v>
      </c>
      <c r="AV84" s="4">
        <v>1258400</v>
      </c>
      <c r="AW84" s="19">
        <v>3040000</v>
      </c>
      <c r="AX84" s="38">
        <v>2.7067760390962902E-3</v>
      </c>
      <c r="AY84" s="4">
        <v>220700</v>
      </c>
      <c r="AZ84" s="4">
        <v>155700</v>
      </c>
      <c r="BA84" s="19">
        <v>2556400</v>
      </c>
      <c r="BB84" s="38">
        <v>1.6474232667931146E-3</v>
      </c>
      <c r="BC84" s="4">
        <v>594900</v>
      </c>
      <c r="BD84" s="4">
        <v>705600</v>
      </c>
      <c r="BE84" s="19">
        <v>1555900</v>
      </c>
      <c r="BF84" s="38">
        <v>1.7855573624199733E-2</v>
      </c>
      <c r="BG84" s="4">
        <v>4944200</v>
      </c>
      <c r="BH84" s="4">
        <v>7004200</v>
      </c>
      <c r="BI84" s="19">
        <v>16863600</v>
      </c>
      <c r="BJ84" s="38">
        <v>7.8841046255339105E-3</v>
      </c>
      <c r="BK84" s="4">
        <v>3928100</v>
      </c>
      <c r="BL84" s="4">
        <v>2855500</v>
      </c>
      <c r="BM84" s="19">
        <v>7446100</v>
      </c>
      <c r="BN84" s="38">
        <v>2.2644525801960885E-2</v>
      </c>
      <c r="BO84" s="4">
        <v>9759600</v>
      </c>
      <c r="BP84" s="4">
        <v>9144800</v>
      </c>
      <c r="BQ84" s="19">
        <v>21386500</v>
      </c>
      <c r="BS84" s="4"/>
      <c r="BT84" s="4"/>
      <c r="BU84" s="19">
        <v>377700</v>
      </c>
      <c r="BW84" s="4"/>
      <c r="BX84" s="4"/>
      <c r="BY84" s="19">
        <v>10413700</v>
      </c>
      <c r="BZ84" s="8">
        <v>5.64416380613624E-3</v>
      </c>
      <c r="CA84" s="4">
        <v>578900</v>
      </c>
      <c r="CB84" s="4">
        <v>239700</v>
      </c>
      <c r="CC84" s="19">
        <v>5330600</v>
      </c>
      <c r="CD84" s="38">
        <v>5.2026556412237187E-3</v>
      </c>
      <c r="CE84" s="4">
        <v>1598700</v>
      </c>
      <c r="CF84" s="4">
        <v>1195300</v>
      </c>
      <c r="CG84" s="19">
        <v>4913620</v>
      </c>
      <c r="CH84" s="8">
        <v>9.7337631542059912E-4</v>
      </c>
      <c r="CI84" s="4">
        <v>182100</v>
      </c>
      <c r="CJ84" s="4">
        <v>729000</v>
      </c>
      <c r="CK84" s="19">
        <v>919300</v>
      </c>
      <c r="CL84" s="8">
        <v>1.6005809213191589E-2</v>
      </c>
      <c r="CM84" s="4">
        <v>4987600</v>
      </c>
      <c r="CN84" s="4">
        <v>4378700</v>
      </c>
      <c r="CO84" s="19">
        <v>15116100</v>
      </c>
    </row>
    <row r="85" spans="1:93" x14ac:dyDescent="0.2">
      <c r="A85" s="33" t="s">
        <v>227</v>
      </c>
      <c r="B85" s="8">
        <v>0.26150000000000001</v>
      </c>
      <c r="C85" s="8">
        <v>0.24079999999999999</v>
      </c>
      <c r="D85" s="8">
        <v>0.51159999999999994</v>
      </c>
      <c r="E85" s="8">
        <v>7.9600000000000004E-2</v>
      </c>
      <c r="F85" s="8">
        <v>0.17215175822227202</v>
      </c>
      <c r="G85" s="4">
        <v>42870100</v>
      </c>
      <c r="H85" s="4">
        <v>49075600</v>
      </c>
      <c r="I85" s="19">
        <v>118237200</v>
      </c>
      <c r="J85" s="8">
        <v>0.1305415589558242</v>
      </c>
      <c r="K85" s="4">
        <v>45132200</v>
      </c>
      <c r="L85" s="4">
        <v>39206300</v>
      </c>
      <c r="M85" s="19">
        <v>89658500</v>
      </c>
      <c r="N85" s="8">
        <v>0.19665615536679726</v>
      </c>
      <c r="O85" s="4">
        <v>97488600</v>
      </c>
      <c r="P85" s="4">
        <v>45779900</v>
      </c>
      <c r="Q85" s="19">
        <v>135067300</v>
      </c>
      <c r="R85" s="8">
        <v>2.4565985370335754E-2</v>
      </c>
      <c r="S85" s="4">
        <v>7004600</v>
      </c>
      <c r="T85" s="4">
        <v>6631600</v>
      </c>
      <c r="U85" s="19">
        <v>16872400</v>
      </c>
      <c r="V85" s="8">
        <v>6.4796783096999322E-2</v>
      </c>
      <c r="W85" s="4">
        <v>18543600</v>
      </c>
      <c r="X85" s="4">
        <v>15060700</v>
      </c>
      <c r="Y85" s="19">
        <v>44503700</v>
      </c>
      <c r="Z85" s="8">
        <v>2.6375922096223262E-2</v>
      </c>
      <c r="AA85" s="4">
        <v>8403900</v>
      </c>
      <c r="AB85" s="4">
        <v>7527000</v>
      </c>
      <c r="AC85" s="19">
        <v>18115500</v>
      </c>
      <c r="AD85" s="38">
        <v>3.3903080720222321E-2</v>
      </c>
      <c r="AE85" s="4">
        <v>9997700</v>
      </c>
      <c r="AF85" s="4">
        <v>9872100</v>
      </c>
      <c r="AG85" s="19">
        <v>23285300</v>
      </c>
      <c r="AH85" s="38">
        <v>4.6256251951112812E-2</v>
      </c>
      <c r="AI85" s="4">
        <v>8585000</v>
      </c>
      <c r="AJ85" s="4">
        <v>10038500</v>
      </c>
      <c r="AK85" s="19">
        <v>31769700</v>
      </c>
      <c r="AL85" s="38">
        <v>1.8185707253923843E-2</v>
      </c>
      <c r="AM85" s="4">
        <v>3220300</v>
      </c>
      <c r="AN85" s="4">
        <v>4436300</v>
      </c>
      <c r="AO85" s="19">
        <v>12490300</v>
      </c>
      <c r="AP85" s="38">
        <v>5.945520569673908E-3</v>
      </c>
      <c r="AQ85" s="4">
        <v>1334200</v>
      </c>
      <c r="AR85" s="4">
        <v>1258900</v>
      </c>
      <c r="AS85" s="19">
        <v>4083500</v>
      </c>
      <c r="AT85" s="38">
        <v>6.5881929780133384E-3</v>
      </c>
      <c r="AU85" s="4">
        <v>1450500</v>
      </c>
      <c r="AV85" s="4">
        <v>2192800</v>
      </c>
      <c r="AW85" s="19">
        <v>4524900</v>
      </c>
      <c r="AX85" s="38">
        <v>2.5316691971468083E-3</v>
      </c>
      <c r="AY85" s="4">
        <v>115300</v>
      </c>
      <c r="AZ85" s="4">
        <v>201800</v>
      </c>
      <c r="BA85" s="19">
        <v>1738800</v>
      </c>
      <c r="BB85" s="38">
        <v>3.2296690896658903E-3</v>
      </c>
      <c r="BC85" s="4">
        <v>734700</v>
      </c>
      <c r="BD85" s="4">
        <v>1377200</v>
      </c>
      <c r="BE85" s="19">
        <v>2218200</v>
      </c>
      <c r="BF85" s="38">
        <v>2.3236960960883485E-2</v>
      </c>
      <c r="BG85" s="4">
        <v>4191200</v>
      </c>
      <c r="BH85" s="4">
        <v>6714900</v>
      </c>
      <c r="BI85" s="19">
        <v>15959600</v>
      </c>
      <c r="BJ85" s="38">
        <v>1.1846051158791204E-2</v>
      </c>
      <c r="BK85" s="4">
        <v>3482700</v>
      </c>
      <c r="BL85" s="4">
        <v>3941600</v>
      </c>
      <c r="BM85" s="19">
        <v>8136100</v>
      </c>
      <c r="BN85" s="38">
        <v>2.7991484634269096E-2</v>
      </c>
      <c r="BO85" s="4">
        <v>10315800</v>
      </c>
      <c r="BP85" s="4">
        <v>7533200</v>
      </c>
      <c r="BQ85" s="19">
        <v>19225100</v>
      </c>
      <c r="BS85" s="4"/>
      <c r="BT85" s="4"/>
      <c r="BU85" s="19">
        <v>341900</v>
      </c>
      <c r="BW85" s="4"/>
      <c r="BX85" s="4"/>
      <c r="BY85" s="19">
        <v>6225800</v>
      </c>
      <c r="BZ85" s="8">
        <v>9.3151099548572872E-3</v>
      </c>
      <c r="CA85" s="4">
        <v>108800</v>
      </c>
      <c r="CB85" s="4">
        <v>116300</v>
      </c>
      <c r="CC85" s="19">
        <v>6397800</v>
      </c>
      <c r="CD85" s="38">
        <v>6.6062472096930138E-3</v>
      </c>
      <c r="CE85" s="4">
        <v>1771400</v>
      </c>
      <c r="CF85" s="4">
        <v>1738800</v>
      </c>
      <c r="CG85" s="19">
        <v>4537300</v>
      </c>
      <c r="CH85" s="8">
        <v>8.9528605321231446E-4</v>
      </c>
      <c r="CI85" s="4">
        <v>295400</v>
      </c>
      <c r="CJ85" s="4">
        <v>300500</v>
      </c>
      <c r="CK85" s="19">
        <v>614900</v>
      </c>
      <c r="CL85" s="8">
        <v>1.07651268362919E-2</v>
      </c>
      <c r="CM85" s="4">
        <v>979700</v>
      </c>
      <c r="CN85" s="4">
        <v>1077700</v>
      </c>
      <c r="CO85" s="19">
        <v>7388600</v>
      </c>
    </row>
    <row r="86" spans="1:93" x14ac:dyDescent="0.2">
      <c r="A86" s="33" t="s">
        <v>226</v>
      </c>
      <c r="B86" s="8">
        <v>0.33770000000000006</v>
      </c>
      <c r="C86" s="8">
        <v>0.31480000000000002</v>
      </c>
      <c r="D86" s="8">
        <v>0.44069999999999998</v>
      </c>
      <c r="E86" s="8">
        <v>5.7300000000000004E-2</v>
      </c>
      <c r="F86" s="8">
        <v>0.26926275205775346</v>
      </c>
      <c r="G86" s="4">
        <v>55655700</v>
      </c>
      <c r="H86" s="4">
        <v>81908000</v>
      </c>
      <c r="I86" s="19">
        <v>189096423</v>
      </c>
      <c r="J86" s="8">
        <v>9.663511779251481E-2</v>
      </c>
      <c r="K86" s="4">
        <v>21651500</v>
      </c>
      <c r="L86" s="4">
        <v>36669500</v>
      </c>
      <c r="M86" s="19">
        <v>67864400</v>
      </c>
      <c r="N86" s="8">
        <v>0.16174211779291495</v>
      </c>
      <c r="O86" s="4">
        <v>32161800</v>
      </c>
      <c r="P86" s="4">
        <v>50678900</v>
      </c>
      <c r="Q86" s="19">
        <v>113587400</v>
      </c>
      <c r="R86" s="8">
        <v>1.7914072221967801E-2</v>
      </c>
      <c r="S86" s="4">
        <v>3860500</v>
      </c>
      <c r="T86" s="4">
        <v>6955200</v>
      </c>
      <c r="U86" s="19">
        <v>12580600</v>
      </c>
      <c r="V86" s="8">
        <v>2.9542570019646601E-2</v>
      </c>
      <c r="W86" s="4">
        <v>7236900</v>
      </c>
      <c r="X86" s="4">
        <v>11078300</v>
      </c>
      <c r="Y86" s="19">
        <v>20747000</v>
      </c>
      <c r="Z86" s="8">
        <v>3.6568595420472756E-2</v>
      </c>
      <c r="AA86" s="4">
        <v>8177500</v>
      </c>
      <c r="AB86" s="4">
        <v>12634600</v>
      </c>
      <c r="AC86" s="19">
        <v>25681200</v>
      </c>
      <c r="AD86" s="38">
        <v>4.0160779417607879E-2</v>
      </c>
      <c r="AE86" s="4">
        <v>7010400</v>
      </c>
      <c r="AF86" s="4">
        <v>17695900</v>
      </c>
      <c r="AG86" s="19">
        <v>28203900</v>
      </c>
      <c r="AH86" s="38">
        <v>3.9034560602015808E-2</v>
      </c>
      <c r="AI86" s="4">
        <v>6046200</v>
      </c>
      <c r="AJ86" s="4">
        <v>10554800</v>
      </c>
      <c r="AK86" s="19">
        <v>27412985</v>
      </c>
      <c r="AL86" s="38">
        <v>1.3965617389583455E-2</v>
      </c>
      <c r="AM86" s="4">
        <v>2524500</v>
      </c>
      <c r="AN86" s="4">
        <v>6427200</v>
      </c>
      <c r="AO86" s="19">
        <v>9807700</v>
      </c>
      <c r="AP86" s="38">
        <v>4.9678564748900107E-3</v>
      </c>
      <c r="AQ86" s="4">
        <v>702900</v>
      </c>
      <c r="AR86" s="4">
        <v>1185700</v>
      </c>
      <c r="AS86" s="19">
        <v>3488800</v>
      </c>
      <c r="AT86" s="38">
        <v>6.3581955777570727E-3</v>
      </c>
      <c r="AU86" s="4">
        <v>1374300</v>
      </c>
      <c r="AV86" s="4">
        <v>2683000</v>
      </c>
      <c r="AW86" s="19">
        <v>4465200</v>
      </c>
      <c r="AX86" s="38">
        <v>1.5969534042046397E-3</v>
      </c>
      <c r="AY86" s="4">
        <v>184100</v>
      </c>
      <c r="AZ86" s="4">
        <v>246300</v>
      </c>
      <c r="BA86" s="19">
        <v>1121500</v>
      </c>
      <c r="BB86" s="38">
        <v>2.8494547099009405E-3</v>
      </c>
      <c r="BC86" s="4">
        <v>596300</v>
      </c>
      <c r="BD86" s="4">
        <v>1224300</v>
      </c>
      <c r="BE86" s="19">
        <v>2001100</v>
      </c>
      <c r="BF86" s="38">
        <v>2.5446309780791952E-2</v>
      </c>
      <c r="BG86" s="4">
        <v>5448100</v>
      </c>
      <c r="BH86" s="4">
        <v>8056400</v>
      </c>
      <c r="BI86" s="19">
        <v>17870300</v>
      </c>
      <c r="BJ86" s="38">
        <v>1.0974599844522098E-2</v>
      </c>
      <c r="BK86" s="4">
        <v>2634900</v>
      </c>
      <c r="BL86" s="4">
        <v>4132000</v>
      </c>
      <c r="BM86" s="19">
        <v>7707184</v>
      </c>
      <c r="BN86" s="38">
        <v>5.065482088258063E-2</v>
      </c>
      <c r="BO86" s="4">
        <v>19820700</v>
      </c>
      <c r="BP86" s="4">
        <v>13876600</v>
      </c>
      <c r="BQ86" s="19">
        <v>35573600</v>
      </c>
      <c r="BS86" s="4"/>
      <c r="BT86" s="4"/>
      <c r="BU86" s="19">
        <v>1038700</v>
      </c>
      <c r="BW86" s="4"/>
      <c r="BX86" s="4"/>
      <c r="BY86" s="19">
        <v>7419500</v>
      </c>
      <c r="BZ86" s="8">
        <v>4.4699031931687777E-3</v>
      </c>
      <c r="CA86" s="4">
        <v>54000</v>
      </c>
      <c r="CB86" s="4">
        <v>106400</v>
      </c>
      <c r="CC86" s="19">
        <v>3139100</v>
      </c>
      <c r="CD86" s="38">
        <v>8.3161473119072859E-3</v>
      </c>
      <c r="CE86" s="4">
        <v>1880000</v>
      </c>
      <c r="CF86" s="4">
        <v>2183700</v>
      </c>
      <c r="CG86" s="19">
        <v>5840220</v>
      </c>
      <c r="CH86" s="8">
        <v>5.0194032544104812E-4</v>
      </c>
      <c r="CI86" s="4">
        <v>69500</v>
      </c>
      <c r="CJ86" s="4">
        <v>282700</v>
      </c>
      <c r="CK86" s="19">
        <v>352500</v>
      </c>
      <c r="CL86" s="8">
        <v>4.463637838751925E-3</v>
      </c>
      <c r="CM86" s="4">
        <v>1054400</v>
      </c>
      <c r="CN86" s="4">
        <v>1641500</v>
      </c>
      <c r="CO86" s="19">
        <v>3131400</v>
      </c>
    </row>
    <row r="87" spans="1:93" x14ac:dyDescent="0.2">
      <c r="A87" s="33" t="s">
        <v>225</v>
      </c>
      <c r="B87" s="8">
        <v>0.29260000000000003</v>
      </c>
      <c r="C87" s="8">
        <v>0.26369999999999999</v>
      </c>
      <c r="D87" s="8">
        <v>0.4894</v>
      </c>
      <c r="E87" s="8">
        <v>6.5299999999999997E-2</v>
      </c>
      <c r="F87" s="8">
        <v>0.20320413430180642</v>
      </c>
      <c r="G87" s="4">
        <v>49924900</v>
      </c>
      <c r="H87" s="4">
        <v>39648700</v>
      </c>
      <c r="I87" s="19">
        <v>145785600</v>
      </c>
      <c r="J87" s="8">
        <v>0.1427081352692986</v>
      </c>
      <c r="K87" s="4">
        <v>51111900</v>
      </c>
      <c r="L87" s="4">
        <v>39876100</v>
      </c>
      <c r="M87" s="19">
        <v>102383700</v>
      </c>
      <c r="N87" s="8">
        <v>0.16913815410383365</v>
      </c>
      <c r="O87" s="4">
        <v>41513600</v>
      </c>
      <c r="P87" s="4">
        <v>45186400</v>
      </c>
      <c r="Q87" s="19">
        <v>121345500</v>
      </c>
      <c r="R87" s="8">
        <v>2.6436430572167494E-2</v>
      </c>
      <c r="S87" s="4">
        <v>6052300</v>
      </c>
      <c r="T87" s="4">
        <v>5658800</v>
      </c>
      <c r="U87" s="19">
        <v>18966400</v>
      </c>
      <c r="V87" s="8">
        <v>2.7291840003695837E-2</v>
      </c>
      <c r="W87" s="4">
        <v>7674000</v>
      </c>
      <c r="X87" s="4">
        <v>8784000</v>
      </c>
      <c r="Y87" s="19">
        <v>19580100</v>
      </c>
      <c r="Z87" s="8">
        <v>4.8801056496019783E-2</v>
      </c>
      <c r="AA87" s="4">
        <v>18411200</v>
      </c>
      <c r="AB87" s="4">
        <v>10897300</v>
      </c>
      <c r="AC87" s="19">
        <v>35011548</v>
      </c>
      <c r="AD87" s="38">
        <v>3.1440373637487286E-2</v>
      </c>
      <c r="AE87" s="4">
        <v>9467300</v>
      </c>
      <c r="AF87" s="4">
        <v>9081600</v>
      </c>
      <c r="AG87" s="19">
        <v>22556400</v>
      </c>
      <c r="AH87" s="38">
        <v>4.3830812687382509E-2</v>
      </c>
      <c r="AI87" s="4">
        <v>7385200</v>
      </c>
      <c r="AJ87" s="4">
        <v>9578200</v>
      </c>
      <c r="AK87" s="19">
        <v>31445725</v>
      </c>
      <c r="AL87" s="38">
        <v>1.7152095094789051E-2</v>
      </c>
      <c r="AM87" s="4">
        <v>3186100</v>
      </c>
      <c r="AN87" s="4">
        <v>5087000</v>
      </c>
      <c r="AO87" s="19">
        <v>12305500</v>
      </c>
      <c r="AP87" s="38">
        <v>7.2447059822579804E-3</v>
      </c>
      <c r="AQ87" s="4">
        <v>1586200</v>
      </c>
      <c r="AR87" s="4">
        <v>1621700</v>
      </c>
      <c r="AS87" s="19">
        <v>5197600</v>
      </c>
      <c r="AT87" s="38">
        <v>8.4627967468214813E-3</v>
      </c>
      <c r="AU87" s="4">
        <v>1972900</v>
      </c>
      <c r="AV87" s="4">
        <v>2993800</v>
      </c>
      <c r="AW87" s="19">
        <v>6071500</v>
      </c>
      <c r="AX87" s="38">
        <v>2.9276551572138413E-3</v>
      </c>
      <c r="AY87" s="4">
        <v>281200</v>
      </c>
      <c r="AZ87" s="4">
        <v>170200</v>
      </c>
      <c r="BA87" s="19">
        <v>2100400</v>
      </c>
      <c r="BB87" s="38">
        <v>2.9237523603940934E-3</v>
      </c>
      <c r="BC87" s="4">
        <v>696600</v>
      </c>
      <c r="BD87" s="4">
        <v>1087200</v>
      </c>
      <c r="BE87" s="19">
        <v>2097600</v>
      </c>
      <c r="BF87" s="38">
        <v>3.1975893115396996E-2</v>
      </c>
      <c r="BG87" s="4">
        <v>7399600</v>
      </c>
      <c r="BH87" s="4">
        <v>9571300</v>
      </c>
      <c r="BI87" s="19">
        <v>22940600</v>
      </c>
      <c r="BJ87" s="38">
        <v>1.2403088293159229E-2</v>
      </c>
      <c r="BK87" s="4">
        <v>3713200</v>
      </c>
      <c r="BL87" s="4">
        <v>4594100</v>
      </c>
      <c r="BM87" s="19">
        <v>8898400</v>
      </c>
      <c r="BN87" s="38">
        <v>2.9723839964801678E-2</v>
      </c>
      <c r="BO87" s="4">
        <v>9496800</v>
      </c>
      <c r="BP87" s="4">
        <v>10427400</v>
      </c>
      <c r="BQ87" s="19">
        <v>21324900</v>
      </c>
      <c r="BS87" s="4"/>
      <c r="BT87" s="4"/>
      <c r="BU87" s="19">
        <v>590400</v>
      </c>
      <c r="BW87" s="4"/>
      <c r="BX87" s="4"/>
      <c r="BY87" s="19">
        <v>4295900</v>
      </c>
      <c r="BZ87" s="8">
        <v>5.2792296267127328E-3</v>
      </c>
      <c r="CA87" s="4">
        <v>103800</v>
      </c>
      <c r="CB87" s="4">
        <v>94900</v>
      </c>
      <c r="CC87" s="19">
        <v>3787500</v>
      </c>
      <c r="CD87" s="38">
        <v>8.5018247150189605E-3</v>
      </c>
      <c r="CE87" s="4">
        <v>1687700</v>
      </c>
      <c r="CF87" s="4">
        <v>2160700</v>
      </c>
      <c r="CG87" s="19">
        <v>6099500</v>
      </c>
      <c r="CH87" s="8">
        <v>3.0894818396326792E-3</v>
      </c>
      <c r="CI87" s="4">
        <v>938300</v>
      </c>
      <c r="CJ87" s="4">
        <v>1278100</v>
      </c>
      <c r="CK87" s="19">
        <v>2216500</v>
      </c>
      <c r="CL87" s="8">
        <v>1.1324522514901722E-2</v>
      </c>
      <c r="CM87" s="4">
        <v>1559100</v>
      </c>
      <c r="CN87" s="4">
        <v>1575900</v>
      </c>
      <c r="CO87" s="19">
        <v>8117800</v>
      </c>
    </row>
    <row r="88" spans="1:93" x14ac:dyDescent="0.2">
      <c r="A88" s="33" t="s">
        <v>224</v>
      </c>
      <c r="B88" s="8">
        <v>0.29359999999999997</v>
      </c>
      <c r="C88" s="8">
        <v>0.24789999999999998</v>
      </c>
      <c r="D88" s="8">
        <v>0.51259999999999994</v>
      </c>
      <c r="E88" s="8">
        <v>6.3700000000000007E-2</v>
      </c>
      <c r="F88" s="8">
        <v>0.19108958903111634</v>
      </c>
      <c r="G88" s="4">
        <v>64758500</v>
      </c>
      <c r="H88" s="4">
        <v>66123000</v>
      </c>
      <c r="I88" s="19">
        <v>167401900</v>
      </c>
      <c r="J88" s="8">
        <v>0.13120868169736266</v>
      </c>
      <c r="K88" s="4">
        <v>37143000</v>
      </c>
      <c r="L88" s="4">
        <v>61207500</v>
      </c>
      <c r="M88" s="19">
        <v>114943900</v>
      </c>
      <c r="N88" s="8">
        <v>0.15377023870049231</v>
      </c>
      <c r="O88" s="4">
        <v>48647400</v>
      </c>
      <c r="P88" s="4">
        <v>53103900</v>
      </c>
      <c r="Q88" s="19">
        <v>134708700</v>
      </c>
      <c r="R88" s="8">
        <v>2.5806618640408896E-2</v>
      </c>
      <c r="S88" s="4">
        <v>6139500</v>
      </c>
      <c r="T88" s="4">
        <v>9671400</v>
      </c>
      <c r="U88" s="19">
        <v>22607600</v>
      </c>
      <c r="V88" s="8">
        <v>3.3418495844527801E-2</v>
      </c>
      <c r="W88" s="4">
        <v>11440500</v>
      </c>
      <c r="X88" s="4">
        <v>13240100</v>
      </c>
      <c r="Y88" s="19">
        <v>29275900</v>
      </c>
      <c r="Z88" s="8">
        <v>2.5509371542355035E-2</v>
      </c>
      <c r="AA88" s="4">
        <v>6008300</v>
      </c>
      <c r="AB88" s="4">
        <v>9440100</v>
      </c>
      <c r="AC88" s="19">
        <v>22347200</v>
      </c>
      <c r="AD88" s="38">
        <v>2.7169914374685879E-2</v>
      </c>
      <c r="AE88" s="4">
        <v>7841600</v>
      </c>
      <c r="AF88" s="4">
        <v>12208100</v>
      </c>
      <c r="AG88" s="19">
        <v>23801900</v>
      </c>
      <c r="AH88" s="38">
        <v>5.3149927155626192E-2</v>
      </c>
      <c r="AI88" s="4">
        <v>8834500</v>
      </c>
      <c r="AJ88" s="4">
        <v>13798500</v>
      </c>
      <c r="AK88" s="19">
        <v>46561400</v>
      </c>
      <c r="AL88" s="38">
        <v>1.7451966141729128E-2</v>
      </c>
      <c r="AM88" s="4">
        <v>3735600</v>
      </c>
      <c r="AN88" s="4">
        <v>7430400</v>
      </c>
      <c r="AO88" s="19">
        <v>15288600</v>
      </c>
      <c r="AP88" s="38">
        <v>6.9784577927898472E-3</v>
      </c>
      <c r="AQ88" s="4">
        <v>1994600</v>
      </c>
      <c r="AR88" s="4">
        <v>2620700</v>
      </c>
      <c r="AS88" s="19">
        <v>6113400</v>
      </c>
      <c r="AT88" s="38">
        <v>7.1532217356164449E-3</v>
      </c>
      <c r="AU88" s="4">
        <v>1656300</v>
      </c>
      <c r="AV88" s="4">
        <v>3606300</v>
      </c>
      <c r="AW88" s="19">
        <v>6266500</v>
      </c>
      <c r="AX88" s="38">
        <v>1.8566528609239843E-3</v>
      </c>
      <c r="AY88" s="4">
        <v>225000</v>
      </c>
      <c r="AZ88" s="4">
        <v>300100</v>
      </c>
      <c r="BA88" s="19">
        <v>1626500</v>
      </c>
      <c r="BB88" s="38">
        <v>3.1200671778441602E-3</v>
      </c>
      <c r="BC88" s="4">
        <v>564000</v>
      </c>
      <c r="BD88" s="4">
        <v>1390800</v>
      </c>
      <c r="BE88" s="19">
        <v>2733300</v>
      </c>
      <c r="BF88" s="38">
        <v>5.3726271471322792E-2</v>
      </c>
      <c r="BG88" s="4">
        <v>8143500</v>
      </c>
      <c r="BH88" s="4">
        <v>17850200</v>
      </c>
      <c r="BI88" s="19">
        <v>47066300</v>
      </c>
      <c r="BJ88" s="38">
        <v>1.7428222901946025E-2</v>
      </c>
      <c r="BK88" s="4">
        <v>4212000</v>
      </c>
      <c r="BL88" s="4">
        <v>8811900</v>
      </c>
      <c r="BM88" s="19">
        <v>15267800</v>
      </c>
      <c r="BN88" s="38">
        <v>4.4227948206359759E-2</v>
      </c>
      <c r="BO88" s="4">
        <v>21928400</v>
      </c>
      <c r="BP88" s="4">
        <v>15533000</v>
      </c>
      <c r="BQ88" s="19">
        <v>38745400</v>
      </c>
      <c r="BS88" s="4"/>
      <c r="BT88" s="4"/>
      <c r="BU88" s="19">
        <v>763600</v>
      </c>
      <c r="BW88" s="4"/>
      <c r="BX88" s="4"/>
      <c r="BY88" s="19">
        <v>6977700</v>
      </c>
      <c r="BZ88" s="8">
        <v>5.8680047321646688E-3</v>
      </c>
      <c r="CA88" s="4">
        <v>68900</v>
      </c>
      <c r="CB88" s="4">
        <v>156200</v>
      </c>
      <c r="CC88" s="19">
        <v>5140600</v>
      </c>
      <c r="CD88" s="38">
        <v>9.8085777773115369E-3</v>
      </c>
      <c r="CE88" s="4">
        <v>2129200</v>
      </c>
      <c r="CF88" s="4">
        <v>4121200</v>
      </c>
      <c r="CG88" s="19">
        <v>8592695</v>
      </c>
      <c r="CH88" s="8">
        <v>8.4825007128964817E-4</v>
      </c>
      <c r="CI88" s="4">
        <v>109500</v>
      </c>
      <c r="CJ88" s="4">
        <v>597500</v>
      </c>
      <c r="CK88" s="19">
        <v>743100</v>
      </c>
      <c r="CL88" s="8">
        <v>8.8243805357349284E-3</v>
      </c>
      <c r="CM88" s="4">
        <v>1179800</v>
      </c>
      <c r="CN88" s="4">
        <v>1585100</v>
      </c>
      <c r="CO88" s="19">
        <v>7726700</v>
      </c>
    </row>
    <row r="89" spans="1:93" x14ac:dyDescent="0.2">
      <c r="A89" s="33" t="s">
        <v>223</v>
      </c>
      <c r="B89" s="8">
        <v>0.2495</v>
      </c>
      <c r="C89" s="8">
        <v>0.23699999999999999</v>
      </c>
      <c r="D89" s="8">
        <v>0.58050000000000002</v>
      </c>
      <c r="E89" s="8">
        <v>8.0299999999999996E-2</v>
      </c>
      <c r="F89" s="8">
        <v>0.15587066416809917</v>
      </c>
      <c r="G89" s="4">
        <v>58536500</v>
      </c>
      <c r="H89" s="4">
        <v>82576000</v>
      </c>
      <c r="I89" s="19">
        <v>167629500</v>
      </c>
      <c r="J89" s="8">
        <v>0.16168586795091508</v>
      </c>
      <c r="K89" s="4">
        <v>72869100</v>
      </c>
      <c r="L89" s="4">
        <v>100376300</v>
      </c>
      <c r="M89" s="19">
        <v>173883401</v>
      </c>
      <c r="N89" s="8">
        <v>0.21983110762943028</v>
      </c>
      <c r="O89" s="4">
        <v>109570600</v>
      </c>
      <c r="P89" s="4">
        <v>78397900</v>
      </c>
      <c r="Q89" s="19">
        <v>236415100</v>
      </c>
      <c r="R89" s="8">
        <v>2.9475478782260835E-2</v>
      </c>
      <c r="S89" s="4">
        <v>10301400</v>
      </c>
      <c r="T89" s="4">
        <v>15727500</v>
      </c>
      <c r="U89" s="19">
        <v>31699100</v>
      </c>
      <c r="V89" s="8">
        <v>4.9762622766785759E-2</v>
      </c>
      <c r="W89" s="4">
        <v>17846000</v>
      </c>
      <c r="X89" s="4">
        <v>22986700</v>
      </c>
      <c r="Y89" s="19">
        <v>53516700</v>
      </c>
      <c r="Z89" s="8">
        <v>2.3138361031563855E-2</v>
      </c>
      <c r="AA89" s="4">
        <v>9961500</v>
      </c>
      <c r="AB89" s="4">
        <v>11185600</v>
      </c>
      <c r="AC89" s="19">
        <v>24883912</v>
      </c>
      <c r="AD89" s="38">
        <v>5.2681521897846105E-2</v>
      </c>
      <c r="AE89" s="4">
        <v>24533700</v>
      </c>
      <c r="AF89" s="4">
        <v>23204300</v>
      </c>
      <c r="AG89" s="19">
        <v>56655800</v>
      </c>
      <c r="AH89" s="38">
        <v>5.7396523593831482E-2</v>
      </c>
      <c r="AI89" s="4">
        <v>12469900</v>
      </c>
      <c r="AJ89" s="4">
        <v>24151400</v>
      </c>
      <c r="AK89" s="19">
        <v>61726500</v>
      </c>
      <c r="AL89" s="38">
        <v>1.7353739158697114E-2</v>
      </c>
      <c r="AM89" s="4">
        <v>6079400</v>
      </c>
      <c r="AN89" s="4">
        <v>8491200</v>
      </c>
      <c r="AO89" s="19">
        <v>18662900</v>
      </c>
      <c r="AP89" s="38">
        <v>5.6708897870720041E-3</v>
      </c>
      <c r="AQ89" s="4">
        <v>1387500</v>
      </c>
      <c r="AR89" s="4">
        <v>2752200</v>
      </c>
      <c r="AS89" s="19">
        <v>6098700</v>
      </c>
      <c r="AT89" s="38">
        <v>6.5456017785945637E-3</v>
      </c>
      <c r="AU89" s="4">
        <v>2700100</v>
      </c>
      <c r="AV89" s="4">
        <v>3339600</v>
      </c>
      <c r="AW89" s="19">
        <v>7039400</v>
      </c>
      <c r="AX89" s="38">
        <v>3.2051076470491235E-3</v>
      </c>
      <c r="AY89" s="4">
        <v>333700</v>
      </c>
      <c r="AZ89" s="4">
        <v>389500</v>
      </c>
      <c r="BA89" s="19">
        <v>3446900</v>
      </c>
      <c r="BB89" s="38">
        <v>2.6555649798971808E-3</v>
      </c>
      <c r="BC89" s="4">
        <v>1080100</v>
      </c>
      <c r="BD89" s="4">
        <v>1540300</v>
      </c>
      <c r="BE89" s="19">
        <v>2855900</v>
      </c>
      <c r="BF89" s="38">
        <v>2.3201114898773245E-2</v>
      </c>
      <c r="BG89" s="4">
        <v>7486300</v>
      </c>
      <c r="BH89" s="4">
        <v>11543800</v>
      </c>
      <c r="BI89" s="19">
        <v>24951400</v>
      </c>
      <c r="BJ89" s="38">
        <v>1.3414048250988034E-2</v>
      </c>
      <c r="BK89" s="4">
        <v>4109300</v>
      </c>
      <c r="BL89" s="4">
        <v>7301400</v>
      </c>
      <c r="BM89" s="19">
        <v>14426000</v>
      </c>
      <c r="BN89" s="38">
        <v>2.8959224824895761E-2</v>
      </c>
      <c r="BO89" s="4">
        <v>13786300</v>
      </c>
      <c r="BP89" s="4">
        <v>13807100</v>
      </c>
      <c r="BQ89" s="19">
        <v>31143900</v>
      </c>
      <c r="BS89" s="4"/>
      <c r="BT89" s="4"/>
      <c r="BU89" s="19">
        <v>835800</v>
      </c>
      <c r="BW89" s="4"/>
      <c r="BX89" s="4"/>
      <c r="BY89" s="19">
        <v>8577400</v>
      </c>
      <c r="BZ89" s="8">
        <v>8.2413732880446452E-3</v>
      </c>
      <c r="CA89" s="4">
        <v>138700</v>
      </c>
      <c r="CB89" s="4">
        <v>233500</v>
      </c>
      <c r="CC89" s="19">
        <v>8863100</v>
      </c>
      <c r="CD89" s="38">
        <v>7.8143330729083804E-3</v>
      </c>
      <c r="CE89" s="4">
        <v>2813300</v>
      </c>
      <c r="CF89" s="4">
        <v>3694200</v>
      </c>
      <c r="CG89" s="19">
        <v>8403844</v>
      </c>
      <c r="CH89" s="8">
        <v>3.1804665629890112E-3</v>
      </c>
      <c r="CI89" s="4">
        <v>1835500</v>
      </c>
      <c r="CJ89" s="4">
        <v>1584600</v>
      </c>
      <c r="CK89" s="19">
        <v>3420400</v>
      </c>
      <c r="CL89" s="8">
        <v>9.5300554917770938E-3</v>
      </c>
      <c r="CM89" s="4">
        <v>2853300</v>
      </c>
      <c r="CN89" s="4">
        <v>2760800</v>
      </c>
      <c r="CO89" s="19">
        <v>10249000</v>
      </c>
    </row>
    <row r="90" spans="1:93" x14ac:dyDescent="0.2">
      <c r="A90" s="33" t="s">
        <v>222</v>
      </c>
      <c r="B90" s="8">
        <v>0.27510000000000001</v>
      </c>
      <c r="C90" s="8">
        <v>0.25650000000000001</v>
      </c>
      <c r="D90" s="8">
        <v>0.52689999999999992</v>
      </c>
      <c r="E90" s="8">
        <v>7.1199999999999999E-2</v>
      </c>
      <c r="F90" s="8">
        <v>0.17502249349012536</v>
      </c>
      <c r="G90" s="4">
        <v>52921500</v>
      </c>
      <c r="H90" s="4">
        <v>81449000</v>
      </c>
      <c r="I90" s="19">
        <v>171680813</v>
      </c>
      <c r="J90" s="8">
        <v>0.12776459286787717</v>
      </c>
      <c r="K90" s="4">
        <v>46230500</v>
      </c>
      <c r="L90" s="4">
        <v>67600400</v>
      </c>
      <c r="M90" s="19">
        <v>125325201</v>
      </c>
      <c r="N90" s="8">
        <v>0.197905991991982</v>
      </c>
      <c r="O90" s="4">
        <v>76512000</v>
      </c>
      <c r="P90" s="4">
        <v>70565100</v>
      </c>
      <c r="Q90" s="19">
        <v>194127400</v>
      </c>
      <c r="R90" s="8">
        <v>2.8482104927329121E-2</v>
      </c>
      <c r="S90" s="4">
        <v>8302900</v>
      </c>
      <c r="T90" s="4">
        <v>15729700</v>
      </c>
      <c r="U90" s="19">
        <v>27938300</v>
      </c>
      <c r="V90" s="8">
        <v>4.8948160522967014E-2</v>
      </c>
      <c r="W90" s="4">
        <v>15396200</v>
      </c>
      <c r="X90" s="4">
        <v>24320800</v>
      </c>
      <c r="Y90" s="19">
        <v>48013600</v>
      </c>
      <c r="Z90" s="8">
        <v>3.2824717840747038E-2</v>
      </c>
      <c r="AA90" s="4">
        <v>13326900</v>
      </c>
      <c r="AB90" s="4">
        <v>14327100</v>
      </c>
      <c r="AC90" s="19">
        <v>32198000</v>
      </c>
      <c r="AD90" s="38">
        <v>3.0199392870764688E-2</v>
      </c>
      <c r="AE90" s="4">
        <v>13284900</v>
      </c>
      <c r="AF90" s="4">
        <v>13419700</v>
      </c>
      <c r="AG90" s="19">
        <v>29622800</v>
      </c>
      <c r="AH90" s="38">
        <v>5.8777837192961521E-2</v>
      </c>
      <c r="AI90" s="4">
        <v>9308300</v>
      </c>
      <c r="AJ90" s="4">
        <v>15960700</v>
      </c>
      <c r="AK90" s="19">
        <v>57655600</v>
      </c>
      <c r="AL90" s="38">
        <v>1.6256992531190034E-2</v>
      </c>
      <c r="AM90" s="4">
        <v>4254600</v>
      </c>
      <c r="AN90" s="4">
        <v>7570800</v>
      </c>
      <c r="AO90" s="19">
        <v>15946600</v>
      </c>
      <c r="AP90" s="38">
        <v>6.0727461095025142E-3</v>
      </c>
      <c r="AQ90" s="4">
        <v>1926000</v>
      </c>
      <c r="AR90" s="4">
        <v>2439300</v>
      </c>
      <c r="AS90" s="19">
        <v>5956800</v>
      </c>
      <c r="AT90" s="38">
        <v>5.57361629228313E-3</v>
      </c>
      <c r="AU90" s="4">
        <v>1564100</v>
      </c>
      <c r="AV90" s="4">
        <v>2830000</v>
      </c>
      <c r="AW90" s="19">
        <v>5467200</v>
      </c>
      <c r="AX90" s="38">
        <v>2.568846636906466E-3</v>
      </c>
      <c r="AY90" s="4">
        <v>260900</v>
      </c>
      <c r="AZ90" s="4">
        <v>335800</v>
      </c>
      <c r="BA90" s="19">
        <v>2519800</v>
      </c>
      <c r="BB90" s="38">
        <v>3.2299693625330405E-3</v>
      </c>
      <c r="BC90" s="4">
        <v>868600</v>
      </c>
      <c r="BD90" s="4">
        <v>1961100</v>
      </c>
      <c r="BE90" s="19">
        <v>3168300</v>
      </c>
      <c r="BF90" s="38">
        <v>4.672834896500503E-2</v>
      </c>
      <c r="BG90" s="4">
        <v>8078800</v>
      </c>
      <c r="BH90" s="4">
        <v>15354100</v>
      </c>
      <c r="BI90" s="19">
        <v>45836171</v>
      </c>
      <c r="BJ90" s="38">
        <v>1.3233260836188615E-2</v>
      </c>
      <c r="BK90" s="4">
        <v>5649100</v>
      </c>
      <c r="BL90" s="4">
        <v>6399400</v>
      </c>
      <c r="BM90" s="19">
        <v>12980600</v>
      </c>
      <c r="BN90" s="38">
        <v>3.2578517164973994E-2</v>
      </c>
      <c r="BO90" s="4">
        <v>16829200</v>
      </c>
      <c r="BP90" s="4">
        <v>12246000</v>
      </c>
      <c r="BQ90" s="19">
        <v>31956500</v>
      </c>
      <c r="BS90" s="4"/>
      <c r="BT90" s="4"/>
      <c r="BU90" s="19">
        <v>624100</v>
      </c>
      <c r="BW90" s="4"/>
      <c r="BX90" s="4"/>
      <c r="BY90" s="19">
        <v>7454000</v>
      </c>
      <c r="BZ90" s="8">
        <v>5.8303174523645042E-3</v>
      </c>
      <c r="CA90" s="4">
        <v>191400</v>
      </c>
      <c r="CB90" s="4">
        <v>107900</v>
      </c>
      <c r="CC90" s="19">
        <v>5719000</v>
      </c>
      <c r="CD90" s="38">
        <v>9.7116226813629553E-3</v>
      </c>
      <c r="CE90" s="4">
        <v>2806100</v>
      </c>
      <c r="CF90" s="4">
        <v>3338400</v>
      </c>
      <c r="CG90" s="19">
        <v>9526200</v>
      </c>
      <c r="CH90" s="8">
        <v>9.1415381352251293E-4</v>
      </c>
      <c r="CI90" s="4">
        <v>404600</v>
      </c>
      <c r="CJ90" s="4">
        <v>414700</v>
      </c>
      <c r="CK90" s="19">
        <v>896700</v>
      </c>
      <c r="CL90" s="8">
        <v>4.2265978537782828E-3</v>
      </c>
      <c r="CM90" s="4">
        <v>1167400</v>
      </c>
      <c r="CN90" s="4">
        <v>2616700</v>
      </c>
      <c r="CO90" s="19">
        <v>4145500</v>
      </c>
    </row>
    <row r="91" spans="1:93" x14ac:dyDescent="0.2">
      <c r="A91" s="33" t="s">
        <v>221</v>
      </c>
      <c r="B91" s="8">
        <v>0.27629999999999999</v>
      </c>
      <c r="C91" s="8">
        <v>0.25109999999999999</v>
      </c>
      <c r="D91" s="8">
        <v>0.53749999999999998</v>
      </c>
      <c r="E91" s="8">
        <v>9.5000000000000001E-2</v>
      </c>
      <c r="F91" s="8">
        <v>0.19388072000552584</v>
      </c>
      <c r="G91" s="4">
        <v>46549800</v>
      </c>
      <c r="H91" s="4">
        <v>94900800</v>
      </c>
      <c r="I91" s="19">
        <v>208872150</v>
      </c>
      <c r="J91" s="8">
        <v>0.14406961294542323</v>
      </c>
      <c r="K91" s="4">
        <v>57006600</v>
      </c>
      <c r="L91" s="4">
        <v>86622000</v>
      </c>
      <c r="M91" s="19">
        <v>155209501</v>
      </c>
      <c r="N91" s="8">
        <v>0.1613135590908425</v>
      </c>
      <c r="O91" s="4">
        <v>47281300</v>
      </c>
      <c r="P91" s="4">
        <v>74914400</v>
      </c>
      <c r="Q91" s="19">
        <v>173786800</v>
      </c>
      <c r="R91" s="8">
        <v>3.0591105366905604E-2</v>
      </c>
      <c r="S91" s="4">
        <v>9895600</v>
      </c>
      <c r="T91" s="4">
        <v>17251600</v>
      </c>
      <c r="U91" s="19">
        <v>32956500</v>
      </c>
      <c r="V91" s="8">
        <v>3.9419377302156694E-2</v>
      </c>
      <c r="W91" s="4">
        <v>11274300</v>
      </c>
      <c r="X91" s="4">
        <v>24230400</v>
      </c>
      <c r="Y91" s="19">
        <v>42467400</v>
      </c>
      <c r="Z91" s="8">
        <v>3.2665506540390674E-2</v>
      </c>
      <c r="AA91" s="4">
        <v>10002300</v>
      </c>
      <c r="AB91" s="4">
        <v>18989800</v>
      </c>
      <c r="AC91" s="19">
        <v>35191300</v>
      </c>
      <c r="AD91" s="38">
        <v>3.3541381315449072E-2</v>
      </c>
      <c r="AE91" s="4">
        <v>14114400</v>
      </c>
      <c r="AF91" s="4">
        <v>17784700</v>
      </c>
      <c r="AG91" s="19">
        <v>36134900</v>
      </c>
      <c r="AH91" s="38">
        <v>8.9332451000575269E-2</v>
      </c>
      <c r="AI91" s="4">
        <v>28326900</v>
      </c>
      <c r="AJ91" s="4">
        <v>32535900</v>
      </c>
      <c r="AK91" s="19">
        <v>96239900</v>
      </c>
      <c r="AL91" s="38">
        <v>2.3003686970546066E-2</v>
      </c>
      <c r="AM91" s="4">
        <v>10552700</v>
      </c>
      <c r="AN91" s="4">
        <v>12335000</v>
      </c>
      <c r="AO91" s="19">
        <v>24782400</v>
      </c>
      <c r="AP91" s="38">
        <v>7.1407556772432792E-3</v>
      </c>
      <c r="AQ91" s="4">
        <v>2005200</v>
      </c>
      <c r="AR91" s="4">
        <v>2951000</v>
      </c>
      <c r="AS91" s="19">
        <v>7692900</v>
      </c>
      <c r="AT91" s="38">
        <v>1.343691782139453E-2</v>
      </c>
      <c r="AU91" s="4">
        <v>6209200</v>
      </c>
      <c r="AV91" s="4">
        <v>7176700</v>
      </c>
      <c r="AW91" s="19">
        <v>14475900</v>
      </c>
      <c r="AX91" s="38">
        <v>3.0204498919457722E-3</v>
      </c>
      <c r="AY91" s="4">
        <v>549300</v>
      </c>
      <c r="AZ91" s="4">
        <v>718400</v>
      </c>
      <c r="BA91" s="19">
        <v>3254000</v>
      </c>
      <c r="BB91" s="38">
        <v>3.2756194295290213E-3</v>
      </c>
      <c r="BC91" s="4">
        <v>1315000</v>
      </c>
      <c r="BD91" s="4">
        <v>1869800</v>
      </c>
      <c r="BE91" s="19">
        <v>3528900</v>
      </c>
      <c r="BF91" s="38">
        <v>3.2508551748540948E-2</v>
      </c>
      <c r="BG91" s="4">
        <v>9445000</v>
      </c>
      <c r="BH91" s="4">
        <v>15222800</v>
      </c>
      <c r="BI91" s="19">
        <v>35022209</v>
      </c>
      <c r="BJ91" s="38">
        <v>3.1234180869407151E-2</v>
      </c>
      <c r="BK91" s="4">
        <v>16522600</v>
      </c>
      <c r="BL91" s="4">
        <v>14332400</v>
      </c>
      <c r="BM91" s="19">
        <v>33649300</v>
      </c>
      <c r="BN91" s="38">
        <v>2.2433477269064112E-2</v>
      </c>
      <c r="BO91" s="4">
        <v>9519100</v>
      </c>
      <c r="BP91" s="4">
        <v>12796000</v>
      </c>
      <c r="BQ91" s="19">
        <v>24168100</v>
      </c>
      <c r="BS91" s="4"/>
      <c r="BT91" s="4"/>
      <c r="BU91" s="19">
        <v>665500</v>
      </c>
      <c r="BW91" s="4"/>
      <c r="BX91" s="4"/>
      <c r="BY91" s="19">
        <v>6208600</v>
      </c>
      <c r="BZ91" s="8">
        <v>1.142145904746034E-2</v>
      </c>
      <c r="CA91" s="4">
        <v>127700</v>
      </c>
      <c r="CB91" s="4">
        <v>159100</v>
      </c>
      <c r="CC91" s="19">
        <v>12304600</v>
      </c>
      <c r="CD91" s="38">
        <v>8.2187982416273668E-3</v>
      </c>
      <c r="CE91" s="4">
        <v>2822700</v>
      </c>
      <c r="CF91" s="4">
        <v>3738100</v>
      </c>
      <c r="CG91" s="19">
        <v>8854300</v>
      </c>
      <c r="CH91" s="8">
        <v>8.7271880405882449E-4</v>
      </c>
      <c r="CI91" s="4">
        <v>98700</v>
      </c>
      <c r="CJ91" s="4">
        <v>839000</v>
      </c>
      <c r="CK91" s="19">
        <v>940200</v>
      </c>
      <c r="CL91" s="8">
        <v>7.8691352194097969E-3</v>
      </c>
      <c r="CM91" s="4">
        <v>1212900</v>
      </c>
      <c r="CN91" s="4">
        <v>2358400</v>
      </c>
      <c r="CO91" s="19">
        <v>8476300</v>
      </c>
    </row>
    <row r="92" spans="1:93" x14ac:dyDescent="0.2">
      <c r="A92" s="33" t="s">
        <v>220</v>
      </c>
      <c r="B92" s="8">
        <v>0.37459999999999999</v>
      </c>
      <c r="C92" s="8">
        <v>0.3453</v>
      </c>
      <c r="D92" s="8">
        <v>0.45779999999999998</v>
      </c>
      <c r="E92" s="8">
        <v>7.6999999999999999E-2</v>
      </c>
      <c r="F92" s="8">
        <v>0.27619801673199906</v>
      </c>
      <c r="G92" s="4">
        <v>158737600</v>
      </c>
      <c r="H92" s="4">
        <v>138105600</v>
      </c>
      <c r="I92" s="19">
        <v>300416070</v>
      </c>
      <c r="J92" s="8">
        <v>0.13265042509450733</v>
      </c>
      <c r="K92" s="4">
        <v>64385500</v>
      </c>
      <c r="L92" s="4">
        <v>67696500</v>
      </c>
      <c r="M92" s="19">
        <v>144281700</v>
      </c>
      <c r="N92" s="8">
        <v>0.1333490657261974</v>
      </c>
      <c r="O92" s="4">
        <v>57412500</v>
      </c>
      <c r="P92" s="4">
        <v>50195700</v>
      </c>
      <c r="Q92" s="19">
        <v>145041600</v>
      </c>
      <c r="R92" s="8">
        <v>2.8779139673037711E-2</v>
      </c>
      <c r="S92" s="4">
        <v>15796100</v>
      </c>
      <c r="T92" s="4">
        <v>10409200</v>
      </c>
      <c r="U92" s="19">
        <v>31302600</v>
      </c>
      <c r="V92" s="8">
        <v>5.4169242503680486E-2</v>
      </c>
      <c r="W92" s="4">
        <v>23409100</v>
      </c>
      <c r="X92" s="4">
        <v>21658500</v>
      </c>
      <c r="Y92" s="19">
        <v>58919000</v>
      </c>
      <c r="Z92" s="8">
        <v>2.7057039703017108E-2</v>
      </c>
      <c r="AA92" s="4">
        <v>12469300</v>
      </c>
      <c r="AB92" s="4">
        <v>11760600</v>
      </c>
      <c r="AC92" s="19">
        <v>29429500</v>
      </c>
      <c r="AD92" s="38">
        <v>4.4299461072809111E-2</v>
      </c>
      <c r="AE92" s="4">
        <v>26434400</v>
      </c>
      <c r="AF92" s="4">
        <v>17148500</v>
      </c>
      <c r="AG92" s="19">
        <v>48183800</v>
      </c>
      <c r="AH92" s="38">
        <v>4.7989596489856623E-2</v>
      </c>
      <c r="AI92" s="4">
        <v>16038900</v>
      </c>
      <c r="AJ92" s="4">
        <v>16571700</v>
      </c>
      <c r="AK92" s="19">
        <v>52197500</v>
      </c>
      <c r="AL92" s="38">
        <v>1.6516107250782727E-2</v>
      </c>
      <c r="AM92" s="4">
        <v>8864800</v>
      </c>
      <c r="AN92" s="4">
        <v>6592000</v>
      </c>
      <c r="AO92" s="19">
        <v>17964300</v>
      </c>
      <c r="AP92" s="38">
        <v>7.5398760632849112E-3</v>
      </c>
      <c r="AQ92" s="4">
        <v>3573400</v>
      </c>
      <c r="AR92" s="4">
        <v>2889500</v>
      </c>
      <c r="AS92" s="19">
        <v>8201000</v>
      </c>
      <c r="AT92" s="38">
        <v>6.1218166997913563E-3</v>
      </c>
      <c r="AU92" s="4">
        <v>2106400</v>
      </c>
      <c r="AV92" s="4">
        <v>3164300</v>
      </c>
      <c r="AW92" s="19">
        <v>6658600</v>
      </c>
      <c r="AX92" s="38">
        <v>7.1853612224115227E-3</v>
      </c>
      <c r="AY92" s="4">
        <v>255300</v>
      </c>
      <c r="AZ92" s="4">
        <v>303100</v>
      </c>
      <c r="BA92" s="19">
        <v>7815400</v>
      </c>
      <c r="BB92" s="38">
        <v>4.4679350938599781E-3</v>
      </c>
      <c r="BC92" s="4">
        <v>1382800</v>
      </c>
      <c r="BD92" s="4">
        <v>1528500</v>
      </c>
      <c r="BE92" s="19">
        <v>4859700</v>
      </c>
      <c r="BF92" s="38">
        <v>3.8544754787853706E-2</v>
      </c>
      <c r="BG92" s="4">
        <v>17980200</v>
      </c>
      <c r="BH92" s="4">
        <v>17354500</v>
      </c>
      <c r="BI92" s="19">
        <v>41924500</v>
      </c>
      <c r="BJ92" s="38">
        <v>1.0561342798363503E-2</v>
      </c>
      <c r="BK92" s="4">
        <v>4866200</v>
      </c>
      <c r="BL92" s="4">
        <v>5483000</v>
      </c>
      <c r="BM92" s="19">
        <v>11487400</v>
      </c>
      <c r="BN92" s="38">
        <v>2.2539182005787251E-2</v>
      </c>
      <c r="BO92" s="4">
        <v>10394300</v>
      </c>
      <c r="BP92" s="4">
        <v>12995000</v>
      </c>
      <c r="BQ92" s="19">
        <v>24515500</v>
      </c>
      <c r="BS92" s="4"/>
      <c r="BT92" s="4"/>
      <c r="BU92" s="19">
        <v>844800</v>
      </c>
      <c r="BW92" s="4"/>
      <c r="BX92" s="4"/>
      <c r="BY92" s="19">
        <v>6018100</v>
      </c>
      <c r="BZ92" s="8">
        <v>4.2725657896960905E-3</v>
      </c>
      <c r="CA92" s="4">
        <v>268300</v>
      </c>
      <c r="CB92" s="4">
        <v>161000</v>
      </c>
      <c r="CC92" s="19">
        <v>4647200</v>
      </c>
      <c r="CD92" s="38">
        <v>7.2476955227518125E-3</v>
      </c>
      <c r="CE92" s="4">
        <v>3165200</v>
      </c>
      <c r="CF92" s="4">
        <v>3257700</v>
      </c>
      <c r="CG92" s="19">
        <v>7883200</v>
      </c>
      <c r="CH92" s="8">
        <v>8.1356375178646728E-4</v>
      </c>
      <c r="CI92" s="4">
        <v>82600</v>
      </c>
      <c r="CJ92" s="4">
        <v>801200</v>
      </c>
      <c r="CK92" s="19">
        <v>884900</v>
      </c>
      <c r="CL92" s="8">
        <v>3.4086197420593596E-3</v>
      </c>
      <c r="CM92" s="4">
        <v>1457900</v>
      </c>
      <c r="CN92" s="4">
        <v>2079900</v>
      </c>
      <c r="CO92" s="19">
        <v>3696000</v>
      </c>
    </row>
    <row r="93" spans="1:93" x14ac:dyDescent="0.2">
      <c r="A93" s="33" t="s">
        <v>219</v>
      </c>
      <c r="B93" s="8">
        <v>0.2646</v>
      </c>
      <c r="C93" s="8">
        <v>0.26489999999999997</v>
      </c>
      <c r="D93" s="8">
        <v>0.48180000000000001</v>
      </c>
      <c r="E93" s="8">
        <v>8.1199999999999994E-2</v>
      </c>
      <c r="F93" s="8">
        <v>0.18289197997742984</v>
      </c>
      <c r="G93" s="4">
        <v>45849700</v>
      </c>
      <c r="H93" s="4">
        <v>68646200</v>
      </c>
      <c r="I93" s="19">
        <v>177626882</v>
      </c>
      <c r="J93" s="8">
        <v>0.15680330981913959</v>
      </c>
      <c r="K93" s="4">
        <v>65899600</v>
      </c>
      <c r="L93" s="4">
        <v>75145800</v>
      </c>
      <c r="M93" s="19">
        <v>152289253</v>
      </c>
      <c r="N93" s="8">
        <v>0.17123954751876105</v>
      </c>
      <c r="O93" s="4">
        <v>69609000</v>
      </c>
      <c r="P93" s="4">
        <v>57305200</v>
      </c>
      <c r="Q93" s="19">
        <v>166309900</v>
      </c>
      <c r="R93" s="8">
        <v>2.7717635855356727E-2</v>
      </c>
      <c r="S93" s="4">
        <v>9199900</v>
      </c>
      <c r="T93" s="4">
        <v>13268200</v>
      </c>
      <c r="U93" s="19">
        <v>26919700</v>
      </c>
      <c r="V93" s="8">
        <v>4.5271270232889835E-2</v>
      </c>
      <c r="W93" s="4">
        <v>15219500</v>
      </c>
      <c r="X93" s="4">
        <v>21537800</v>
      </c>
      <c r="Y93" s="19">
        <v>43968000</v>
      </c>
      <c r="Z93" s="8">
        <v>3.4733920806866492E-2</v>
      </c>
      <c r="AA93" s="4">
        <v>12653600</v>
      </c>
      <c r="AB93" s="4">
        <v>15608500</v>
      </c>
      <c r="AC93" s="19">
        <v>33734000</v>
      </c>
      <c r="AD93" s="38">
        <v>3.0528350772608879E-2</v>
      </c>
      <c r="AE93" s="4">
        <v>15673500</v>
      </c>
      <c r="AF93" s="4">
        <v>11870900</v>
      </c>
      <c r="AG93" s="19">
        <v>29649500</v>
      </c>
      <c r="AH93" s="38">
        <v>6.0328745121121755E-2</v>
      </c>
      <c r="AI93" s="4">
        <v>13219100</v>
      </c>
      <c r="AJ93" s="4">
        <v>16348300</v>
      </c>
      <c r="AK93" s="19">
        <v>58592000</v>
      </c>
      <c r="AL93" s="38">
        <v>1.5365131719236E-2</v>
      </c>
      <c r="AM93" s="4">
        <v>4431900</v>
      </c>
      <c r="AN93" s="4">
        <v>7583900</v>
      </c>
      <c r="AO93" s="19">
        <v>14922800</v>
      </c>
      <c r="AP93" s="38">
        <v>4.708858718979146E-3</v>
      </c>
      <c r="AQ93" s="4">
        <v>1595400</v>
      </c>
      <c r="AR93" s="4">
        <v>2238400</v>
      </c>
      <c r="AS93" s="19">
        <v>4573300</v>
      </c>
      <c r="AT93" s="38">
        <v>6.8784159767057238E-3</v>
      </c>
      <c r="AU93" s="4">
        <v>2373500</v>
      </c>
      <c r="AV93" s="4">
        <v>3204400</v>
      </c>
      <c r="AW93" s="19">
        <v>6680400</v>
      </c>
      <c r="AX93" s="38">
        <v>5.0365935560226513E-3</v>
      </c>
      <c r="AY93" s="4">
        <v>146600</v>
      </c>
      <c r="AZ93" s="4">
        <v>309500</v>
      </c>
      <c r="BA93" s="19">
        <v>4891600</v>
      </c>
      <c r="BB93" s="38">
        <v>3.4814232831024182E-3</v>
      </c>
      <c r="BC93" s="4">
        <v>1078500</v>
      </c>
      <c r="BD93" s="4">
        <v>1674200</v>
      </c>
      <c r="BE93" s="19">
        <v>3381200</v>
      </c>
      <c r="BF93" s="38">
        <v>2.4782849157194291E-2</v>
      </c>
      <c r="BG93" s="4">
        <v>5985300</v>
      </c>
      <c r="BH93" s="4">
        <v>10412200</v>
      </c>
      <c r="BI93" s="19">
        <v>24069400</v>
      </c>
      <c r="BJ93" s="38">
        <v>1.3654691532944229E-2</v>
      </c>
      <c r="BK93" s="4">
        <v>4204800</v>
      </c>
      <c r="BL93" s="4">
        <v>7711700</v>
      </c>
      <c r="BM93" s="19">
        <v>13261600</v>
      </c>
      <c r="BN93" s="38">
        <v>2.5426889812458862E-2</v>
      </c>
      <c r="BO93" s="4">
        <v>9415000</v>
      </c>
      <c r="BP93" s="4">
        <v>13643100</v>
      </c>
      <c r="BQ93" s="19">
        <v>24694900</v>
      </c>
      <c r="BS93" s="4"/>
      <c r="BT93" s="4"/>
      <c r="BU93" s="19">
        <v>689800</v>
      </c>
      <c r="BW93" s="4"/>
      <c r="BX93" s="4"/>
      <c r="BY93" s="19">
        <v>9142400</v>
      </c>
      <c r="BZ93" s="8">
        <v>4.6662315676954478E-3</v>
      </c>
      <c r="CA93" s="4">
        <v>107200</v>
      </c>
      <c r="CB93" s="4">
        <v>98600</v>
      </c>
      <c r="CC93" s="19">
        <v>4531900</v>
      </c>
      <c r="CD93" s="38">
        <v>8.5930776924724502E-3</v>
      </c>
      <c r="CE93" s="4">
        <v>2991200</v>
      </c>
      <c r="CF93" s="4">
        <v>2989400</v>
      </c>
      <c r="CG93" s="19">
        <v>8345700</v>
      </c>
      <c r="CH93" s="8">
        <v>1.4889643350569049E-3</v>
      </c>
      <c r="CI93" s="4">
        <v>180500</v>
      </c>
      <c r="CJ93" s="4">
        <v>1263800</v>
      </c>
      <c r="CK93" s="19">
        <v>1446100</v>
      </c>
      <c r="CL93" s="8">
        <v>3.5067524599521516E-3</v>
      </c>
      <c r="CM93" s="4">
        <v>1427500</v>
      </c>
      <c r="CN93" s="4">
        <v>1805100</v>
      </c>
      <c r="CO93" s="19">
        <v>3404800</v>
      </c>
    </row>
    <row r="94" spans="1:93" x14ac:dyDescent="0.2">
      <c r="A94" s="39" t="s">
        <v>218</v>
      </c>
      <c r="B94" s="8">
        <v>0.3125</v>
      </c>
      <c r="C94" s="8">
        <v>0.28949999999999998</v>
      </c>
      <c r="D94" s="8">
        <v>0.47889999999999999</v>
      </c>
      <c r="E94" s="8">
        <v>6.6000000000000003E-2</v>
      </c>
      <c r="F94" s="8">
        <v>0.22838772620246939</v>
      </c>
      <c r="G94" s="4">
        <v>58600100</v>
      </c>
      <c r="H94" s="4">
        <v>86867000</v>
      </c>
      <c r="I94" s="19">
        <v>210698503</v>
      </c>
      <c r="J94" s="8">
        <v>0.13323683964639649</v>
      </c>
      <c r="K94" s="4">
        <v>41240800</v>
      </c>
      <c r="L94" s="4">
        <v>70634500</v>
      </c>
      <c r="M94" s="19">
        <v>122917300</v>
      </c>
      <c r="N94" s="8">
        <v>0.15121206780269503</v>
      </c>
      <c r="O94" s="4">
        <v>45650200</v>
      </c>
      <c r="P94" s="4">
        <v>57355500</v>
      </c>
      <c r="Q94" s="19">
        <v>139500300</v>
      </c>
      <c r="R94" s="8">
        <v>2.8467697161143158E-2</v>
      </c>
      <c r="S94" s="4">
        <v>9757100</v>
      </c>
      <c r="T94" s="4">
        <v>11653000</v>
      </c>
      <c r="U94" s="19">
        <v>26262800</v>
      </c>
      <c r="V94" s="8">
        <v>3.9189856261044147E-2</v>
      </c>
      <c r="W94" s="4">
        <v>8996400</v>
      </c>
      <c r="X94" s="4">
        <v>16721000</v>
      </c>
      <c r="Y94" s="19">
        <v>36154500</v>
      </c>
      <c r="Z94" s="8">
        <v>5.0980361551070441E-2</v>
      </c>
      <c r="AA94" s="4">
        <v>13832200</v>
      </c>
      <c r="AB94" s="4">
        <v>14963300</v>
      </c>
      <c r="AC94" s="19">
        <v>47031800</v>
      </c>
      <c r="AD94" s="38">
        <v>2.3699270086284998E-2</v>
      </c>
      <c r="AE94" s="4">
        <v>9143800</v>
      </c>
      <c r="AF94" s="4">
        <v>9468800</v>
      </c>
      <c r="AG94" s="19">
        <v>21863700</v>
      </c>
      <c r="AH94" s="38">
        <v>4.3957632962815789E-2</v>
      </c>
      <c r="AI94" s="4">
        <v>9618900</v>
      </c>
      <c r="AJ94" s="4">
        <v>14836900</v>
      </c>
      <c r="AK94" s="19">
        <v>40553000</v>
      </c>
      <c r="AL94" s="38">
        <v>3.087256004406928E-2</v>
      </c>
      <c r="AM94" s="4">
        <v>4101600</v>
      </c>
      <c r="AN94" s="4">
        <v>7700700</v>
      </c>
      <c r="AO94" s="19">
        <v>28481400</v>
      </c>
      <c r="AP94" s="38">
        <v>5.5289300040301456E-3</v>
      </c>
      <c r="AQ94" s="4">
        <v>1440300</v>
      </c>
      <c r="AR94" s="4">
        <v>2639900</v>
      </c>
      <c r="AS94" s="19">
        <v>5100700</v>
      </c>
      <c r="AT94" s="38">
        <v>6.1086292151492708E-3</v>
      </c>
      <c r="AU94" s="4">
        <v>1338900</v>
      </c>
      <c r="AV94" s="4">
        <v>2471200</v>
      </c>
      <c r="AW94" s="19">
        <v>5635500</v>
      </c>
      <c r="AX94" s="38">
        <v>2.2989604653376075E-3</v>
      </c>
      <c r="AY94" s="4">
        <v>447200</v>
      </c>
      <c r="AZ94" s="4">
        <v>207900</v>
      </c>
      <c r="BA94" s="19">
        <v>2120900</v>
      </c>
      <c r="BB94" s="38">
        <v>2.3734281837442714E-3</v>
      </c>
      <c r="BC94" s="4">
        <v>642000</v>
      </c>
      <c r="BD94" s="4">
        <v>1201300</v>
      </c>
      <c r="BE94" s="19">
        <v>2189600</v>
      </c>
      <c r="BF94" s="38">
        <v>3.1678047111725643E-2</v>
      </c>
      <c r="BG94" s="4">
        <v>5897500</v>
      </c>
      <c r="BH94" s="4">
        <v>11029000</v>
      </c>
      <c r="BI94" s="19">
        <v>29224500</v>
      </c>
      <c r="BJ94" s="38">
        <v>1.3354110585537394E-2</v>
      </c>
      <c r="BK94" s="4">
        <v>4987400</v>
      </c>
      <c r="BL94" s="4">
        <v>6143000</v>
      </c>
      <c r="BM94" s="19">
        <v>12319800</v>
      </c>
      <c r="BN94" s="38">
        <v>3.1840531987841494E-2</v>
      </c>
      <c r="BO94" s="4">
        <v>14690500</v>
      </c>
      <c r="BP94" s="4">
        <v>12876700</v>
      </c>
      <c r="BQ94" s="19">
        <v>29374400</v>
      </c>
      <c r="BS94" s="4"/>
      <c r="BT94" s="4"/>
      <c r="BU94" s="19">
        <v>956100</v>
      </c>
      <c r="BW94" s="4"/>
      <c r="BX94" s="4"/>
      <c r="BY94" s="19">
        <v>4564900</v>
      </c>
      <c r="BZ94" s="8">
        <v>8.1380100361238897E-3</v>
      </c>
      <c r="CA94" s="4">
        <v>70900</v>
      </c>
      <c r="CB94" s="4">
        <v>204400</v>
      </c>
      <c r="CC94" s="19">
        <v>7507700</v>
      </c>
      <c r="CD94" s="38">
        <v>7.2295472297683565E-3</v>
      </c>
      <c r="CE94" s="4">
        <v>2529000</v>
      </c>
      <c r="CF94" s="4">
        <v>2239200</v>
      </c>
      <c r="CG94" s="19">
        <v>6669600</v>
      </c>
      <c r="CH94" s="8">
        <v>6.4820517623267917E-4</v>
      </c>
      <c r="CI94" s="4">
        <v>243800</v>
      </c>
      <c r="CJ94" s="4">
        <v>285400</v>
      </c>
      <c r="CK94" s="19">
        <v>598000</v>
      </c>
      <c r="CL94" s="8">
        <v>3.7918918854467532E-3</v>
      </c>
      <c r="CM94" s="4">
        <v>1406600</v>
      </c>
      <c r="CN94" s="4">
        <v>1959000</v>
      </c>
      <c r="CO94" s="19">
        <v>3494300</v>
      </c>
    </row>
    <row r="95" spans="1:93" x14ac:dyDescent="0.2">
      <c r="A95" s="39" t="s">
        <v>217</v>
      </c>
      <c r="B95" s="8">
        <v>0.33299999999999996</v>
      </c>
      <c r="C95" s="8">
        <v>0.35920000000000002</v>
      </c>
      <c r="D95" s="8">
        <v>0.44369999999999998</v>
      </c>
      <c r="E95" s="8">
        <v>6.3099999999999989E-2</v>
      </c>
      <c r="F95" s="8">
        <v>0.28160431077089865</v>
      </c>
      <c r="G95" s="4">
        <v>70326100</v>
      </c>
      <c r="H95" s="4">
        <v>69773500</v>
      </c>
      <c r="I95" s="19">
        <v>285032939</v>
      </c>
      <c r="J95" s="8">
        <v>0.16914440930758104</v>
      </c>
      <c r="K95" s="4">
        <v>77184100</v>
      </c>
      <c r="L95" s="4">
        <v>78101400</v>
      </c>
      <c r="M95" s="19">
        <v>171203800</v>
      </c>
      <c r="N95" s="8">
        <v>0.13082407243788413</v>
      </c>
      <c r="O95" s="4">
        <v>43333100</v>
      </c>
      <c r="P95" s="4">
        <v>61634700</v>
      </c>
      <c r="Q95" s="19">
        <v>132416900</v>
      </c>
      <c r="R95" s="8">
        <v>2.45247824354227E-2</v>
      </c>
      <c r="S95" s="4">
        <v>7161600</v>
      </c>
      <c r="T95" s="4">
        <v>10197500</v>
      </c>
      <c r="U95" s="19">
        <v>24823380</v>
      </c>
      <c r="V95" s="8">
        <v>4.2755240411211759E-2</v>
      </c>
      <c r="W95" s="4">
        <v>12747000</v>
      </c>
      <c r="X95" s="4">
        <v>21816100</v>
      </c>
      <c r="Y95" s="19">
        <v>43275800</v>
      </c>
      <c r="Z95" s="8">
        <v>3.0088857924556827E-2</v>
      </c>
      <c r="AA95" s="4">
        <v>13736000</v>
      </c>
      <c r="AB95" s="4">
        <v>11667600</v>
      </c>
      <c r="AC95" s="19">
        <v>30455200</v>
      </c>
      <c r="AD95" s="38">
        <v>1.744371681689064E-2</v>
      </c>
      <c r="AE95" s="4">
        <v>5240800</v>
      </c>
      <c r="AF95" s="4">
        <v>10234900</v>
      </c>
      <c r="AG95" s="19">
        <v>17656100</v>
      </c>
      <c r="AH95" s="38">
        <v>4.2879625974685372E-2</v>
      </c>
      <c r="AI95" s="4">
        <v>10264000</v>
      </c>
      <c r="AJ95" s="4">
        <v>14925700</v>
      </c>
      <c r="AK95" s="19">
        <v>43401700</v>
      </c>
      <c r="AL95" s="38">
        <v>1.7057716501964967E-2</v>
      </c>
      <c r="AM95" s="4">
        <v>6464200</v>
      </c>
      <c r="AN95" s="4">
        <v>8936400</v>
      </c>
      <c r="AO95" s="19">
        <v>17265400</v>
      </c>
      <c r="AP95" s="38">
        <v>5.2217237381025306E-3</v>
      </c>
      <c r="AQ95" s="4">
        <v>1852600</v>
      </c>
      <c r="AR95" s="4">
        <v>2250500</v>
      </c>
      <c r="AS95" s="19">
        <v>5285300</v>
      </c>
      <c r="AT95" s="38">
        <v>1.0822630790432022E-2</v>
      </c>
      <c r="AU95" s="4">
        <v>5109800</v>
      </c>
      <c r="AV95" s="4">
        <v>4374900</v>
      </c>
      <c r="AW95" s="19">
        <v>10954400</v>
      </c>
      <c r="AX95" s="38">
        <v>2.0549799207714345E-3</v>
      </c>
      <c r="AY95" s="4">
        <v>291400</v>
      </c>
      <c r="AZ95" s="4">
        <v>402400</v>
      </c>
      <c r="BA95" s="19">
        <v>2080000</v>
      </c>
      <c r="BB95" s="38">
        <v>3.0699226479870573E-3</v>
      </c>
      <c r="BC95" s="4">
        <v>684100</v>
      </c>
      <c r="BD95" s="4">
        <v>1363200</v>
      </c>
      <c r="BE95" s="19">
        <v>3107300</v>
      </c>
      <c r="BF95" s="38">
        <v>1.8647263230103985E-2</v>
      </c>
      <c r="BG95" s="4">
        <v>4627200</v>
      </c>
      <c r="BH95" s="4">
        <v>10876200</v>
      </c>
      <c r="BI95" s="19">
        <v>18874300</v>
      </c>
      <c r="BJ95" s="38">
        <v>1.4866100175884547E-2</v>
      </c>
      <c r="BK95" s="4">
        <v>7301200</v>
      </c>
      <c r="BL95" s="4">
        <v>6428500</v>
      </c>
      <c r="BM95" s="19">
        <v>15047100</v>
      </c>
      <c r="BN95" s="38">
        <v>3.7062254450893853E-2</v>
      </c>
      <c r="BO95" s="4">
        <v>23559100</v>
      </c>
      <c r="BP95" s="4">
        <v>12055500</v>
      </c>
      <c r="BQ95" s="19">
        <v>37513500</v>
      </c>
      <c r="BS95" s="4"/>
      <c r="BT95" s="4"/>
      <c r="BU95" s="19">
        <v>1274100</v>
      </c>
      <c r="BW95" s="4"/>
      <c r="BX95" s="4"/>
      <c r="BY95" s="19">
        <v>3258500</v>
      </c>
      <c r="BZ95" s="8">
        <v>3.1524182361526414E-3</v>
      </c>
      <c r="CA95" s="4">
        <v>87600</v>
      </c>
      <c r="CB95" s="4">
        <v>139000</v>
      </c>
      <c r="CC95" s="19">
        <v>3190800</v>
      </c>
      <c r="CD95" s="38">
        <v>6.1938873160059405E-3</v>
      </c>
      <c r="CE95" s="4">
        <v>2552000</v>
      </c>
      <c r="CF95" s="4">
        <v>2565100</v>
      </c>
      <c r="CG95" s="19">
        <v>6269300</v>
      </c>
      <c r="CH95" s="8">
        <v>2.3734030113794317E-3</v>
      </c>
      <c r="CI95" s="4">
        <v>2107700</v>
      </c>
      <c r="CJ95" s="4">
        <v>258300</v>
      </c>
      <c r="CK95" s="19">
        <v>2402300</v>
      </c>
      <c r="CL95" s="8">
        <v>3.5094709973866782E-3</v>
      </c>
      <c r="CM95" s="4">
        <v>1823600</v>
      </c>
      <c r="CN95" s="4">
        <v>1608300</v>
      </c>
      <c r="CO95" s="19">
        <v>3549400</v>
      </c>
    </row>
    <row r="96" spans="1:93" x14ac:dyDescent="0.2">
      <c r="A96" s="39" t="s">
        <v>216</v>
      </c>
      <c r="B96" s="8">
        <v>0.27379999999999999</v>
      </c>
      <c r="C96" s="8">
        <v>0.2838</v>
      </c>
      <c r="D96" s="8">
        <v>0.50970000000000004</v>
      </c>
      <c r="E96" s="8">
        <v>7.8299999999999995E-2</v>
      </c>
      <c r="F96" s="8">
        <v>0.17818078163043016</v>
      </c>
      <c r="G96" s="4">
        <v>38874500</v>
      </c>
      <c r="H96" s="4">
        <v>54190300</v>
      </c>
      <c r="I96" s="19">
        <v>163798489</v>
      </c>
      <c r="J96" s="8">
        <v>0.1408461386468432</v>
      </c>
      <c r="K96" s="4">
        <v>43223000</v>
      </c>
      <c r="L96" s="4">
        <v>65246500</v>
      </c>
      <c r="M96" s="19">
        <v>129477402</v>
      </c>
      <c r="N96" s="8">
        <v>0.16959050791631339</v>
      </c>
      <c r="O96" s="4">
        <v>57064400</v>
      </c>
      <c r="P96" s="4">
        <v>53660900</v>
      </c>
      <c r="Q96" s="19">
        <v>155901600</v>
      </c>
      <c r="R96" s="8">
        <v>1.9036039997546696E-2</v>
      </c>
      <c r="S96" s="4">
        <v>5736800</v>
      </c>
      <c r="T96" s="4">
        <v>8546800</v>
      </c>
      <c r="U96" s="19">
        <v>17499500</v>
      </c>
      <c r="V96" s="8">
        <v>7.6907907736252529E-2</v>
      </c>
      <c r="W96" s="4">
        <v>24769400</v>
      </c>
      <c r="X96" s="4">
        <v>27175300</v>
      </c>
      <c r="Y96" s="19">
        <v>70700100</v>
      </c>
      <c r="Z96" s="8">
        <v>7.5144365130590501E-2</v>
      </c>
      <c r="AA96" s="4">
        <v>14549900</v>
      </c>
      <c r="AB96" s="4">
        <v>10330100</v>
      </c>
      <c r="AC96" s="19">
        <v>69078906</v>
      </c>
      <c r="AD96" s="38">
        <v>2.2736425566257493E-2</v>
      </c>
      <c r="AE96" s="4">
        <v>7473500</v>
      </c>
      <c r="AF96" s="4">
        <v>10229200</v>
      </c>
      <c r="AG96" s="19">
        <v>20901200</v>
      </c>
      <c r="AH96" s="38">
        <v>6.373448289701196E-2</v>
      </c>
      <c r="AI96" s="4">
        <v>15557900</v>
      </c>
      <c r="AJ96" s="4">
        <v>17263600</v>
      </c>
      <c r="AK96" s="19">
        <v>58590000</v>
      </c>
      <c r="AL96" s="38">
        <v>2.7929496873682742E-2</v>
      </c>
      <c r="AM96" s="4">
        <v>14647700</v>
      </c>
      <c r="AN96" s="4">
        <v>8822800</v>
      </c>
      <c r="AO96" s="19">
        <v>25675100</v>
      </c>
      <c r="AP96" s="38">
        <v>1.0510478702836992E-2</v>
      </c>
      <c r="AQ96" s="4">
        <v>4234300</v>
      </c>
      <c r="AR96" s="4">
        <v>3773500</v>
      </c>
      <c r="AS96" s="19">
        <v>9662100</v>
      </c>
      <c r="AT96" s="38">
        <v>7.4121930877615603E-3</v>
      </c>
      <c r="AU96" s="4">
        <v>2288900</v>
      </c>
      <c r="AV96" s="4">
        <v>2392700</v>
      </c>
      <c r="AW96" s="19">
        <v>6813900</v>
      </c>
      <c r="AX96" s="38">
        <v>1.9909003344958406E-3</v>
      </c>
      <c r="AY96" s="4">
        <v>349300</v>
      </c>
      <c r="AZ96" s="4">
        <v>184200</v>
      </c>
      <c r="BA96" s="19">
        <v>1830200</v>
      </c>
      <c r="BB96" s="38">
        <v>3.7096319094621984E-3</v>
      </c>
      <c r="BC96" s="4">
        <v>1153800</v>
      </c>
      <c r="BD96" s="4">
        <v>1746300</v>
      </c>
      <c r="BE96" s="19">
        <v>3410200</v>
      </c>
      <c r="BF96" s="38">
        <v>2.4332452760428783E-2</v>
      </c>
      <c r="BG96" s="4">
        <v>8582000</v>
      </c>
      <c r="BH96" s="4">
        <v>11383800</v>
      </c>
      <c r="BI96" s="19">
        <v>22368400</v>
      </c>
      <c r="BJ96" s="38">
        <v>1.3072150212892862E-2</v>
      </c>
      <c r="BK96" s="4">
        <v>5371100</v>
      </c>
      <c r="BL96" s="4">
        <v>5649000</v>
      </c>
      <c r="BM96" s="19">
        <v>12017000</v>
      </c>
      <c r="BN96" s="38">
        <v>1.8086712753576352E-2</v>
      </c>
      <c r="BO96" s="4">
        <v>8628600</v>
      </c>
      <c r="BP96" s="4">
        <v>6943800</v>
      </c>
      <c r="BQ96" s="19">
        <v>16626800</v>
      </c>
      <c r="BS96" s="4"/>
      <c r="BT96" s="4"/>
      <c r="BU96" s="19">
        <v>976400</v>
      </c>
      <c r="BW96" s="4"/>
      <c r="BX96" s="4"/>
      <c r="BY96" s="19">
        <v>5298620</v>
      </c>
      <c r="BZ96" s="8">
        <v>3.405916810898523E-3</v>
      </c>
      <c r="CA96" s="4">
        <v>246900</v>
      </c>
      <c r="CB96" s="4">
        <v>115100</v>
      </c>
      <c r="CC96" s="19">
        <v>3131000</v>
      </c>
      <c r="CD96" s="38">
        <v>7.823818421918061E-3</v>
      </c>
      <c r="CE96" s="4">
        <v>3625100</v>
      </c>
      <c r="CF96" s="4">
        <v>2800100</v>
      </c>
      <c r="CG96" s="19">
        <v>7192300</v>
      </c>
      <c r="CH96" s="8">
        <v>1.3874950151073352E-3</v>
      </c>
      <c r="CI96" s="4">
        <v>1136200</v>
      </c>
      <c r="CJ96" s="4">
        <v>138300</v>
      </c>
      <c r="CK96" s="19">
        <v>1275500</v>
      </c>
      <c r="CL96" s="8">
        <v>9.9268714307044273E-3</v>
      </c>
      <c r="CM96" s="4">
        <v>5864200</v>
      </c>
      <c r="CN96" s="4">
        <v>3828900</v>
      </c>
      <c r="CO96" s="19">
        <v>9125300</v>
      </c>
    </row>
    <row r="97" spans="1:93" x14ac:dyDescent="0.2">
      <c r="A97" s="33" t="s">
        <v>215</v>
      </c>
      <c r="B97" s="8">
        <v>0.25700000000000001</v>
      </c>
      <c r="C97" s="8">
        <v>0.25700000000000001</v>
      </c>
      <c r="D97" s="8">
        <v>0.52759999999999996</v>
      </c>
      <c r="E97" s="8">
        <v>7.3099999999999998E-2</v>
      </c>
      <c r="F97" s="8">
        <v>0.222940251952262</v>
      </c>
      <c r="G97" s="4">
        <v>72527500</v>
      </c>
      <c r="H97" s="4">
        <v>59992000</v>
      </c>
      <c r="I97" s="19">
        <v>209941822</v>
      </c>
      <c r="J97" s="8">
        <v>0.19332322358930787</v>
      </c>
      <c r="K97" s="4">
        <v>90162200</v>
      </c>
      <c r="L97" s="4">
        <v>82698100</v>
      </c>
      <c r="M97" s="19">
        <v>182051601</v>
      </c>
      <c r="N97" s="8">
        <v>0.16857042174000936</v>
      </c>
      <c r="O97" s="4">
        <v>65357500</v>
      </c>
      <c r="P97" s="4">
        <v>52506800</v>
      </c>
      <c r="Q97" s="19">
        <v>158742000</v>
      </c>
      <c r="R97" s="8">
        <v>3.0819093206731044E-2</v>
      </c>
      <c r="S97" s="4">
        <v>14564900</v>
      </c>
      <c r="T97" s="4">
        <v>9935900</v>
      </c>
      <c r="U97" s="19">
        <v>29022200</v>
      </c>
      <c r="V97" s="8">
        <v>3.6149478920443553E-2</v>
      </c>
      <c r="W97" s="4">
        <v>13921300</v>
      </c>
      <c r="X97" s="4">
        <v>11083100</v>
      </c>
      <c r="Y97" s="19">
        <v>34041800</v>
      </c>
      <c r="Z97" s="8">
        <v>2.5113002164802844E-2</v>
      </c>
      <c r="AA97" s="4">
        <v>8334100</v>
      </c>
      <c r="AB97" s="4">
        <v>9608900</v>
      </c>
      <c r="AC97" s="19">
        <v>23648800</v>
      </c>
      <c r="AD97" s="38">
        <v>1.8843140747663478E-2</v>
      </c>
      <c r="AE97" s="4">
        <v>7561500</v>
      </c>
      <c r="AF97" s="4">
        <v>8330400</v>
      </c>
      <c r="AG97" s="19">
        <v>17744500</v>
      </c>
      <c r="AH97" s="38">
        <v>4.3999575212986454E-2</v>
      </c>
      <c r="AI97" s="4">
        <v>10618100</v>
      </c>
      <c r="AJ97" s="4">
        <v>12789600</v>
      </c>
      <c r="AK97" s="19">
        <v>41434200</v>
      </c>
      <c r="AL97" s="38">
        <v>1.1807001871958701E-2</v>
      </c>
      <c r="AM97" s="4">
        <v>5020000</v>
      </c>
      <c r="AN97" s="4">
        <v>4228600</v>
      </c>
      <c r="AO97" s="19">
        <v>11118600</v>
      </c>
      <c r="AP97" s="38">
        <v>4.9538308539463002E-3</v>
      </c>
      <c r="AQ97" s="4">
        <v>1499000</v>
      </c>
      <c r="AR97" s="4">
        <v>1848600</v>
      </c>
      <c r="AS97" s="19">
        <v>4665000</v>
      </c>
      <c r="AT97" s="38">
        <v>7.0480323174120021E-3</v>
      </c>
      <c r="AU97" s="4">
        <v>3328000</v>
      </c>
      <c r="AV97" s="4">
        <v>2463800</v>
      </c>
      <c r="AW97" s="19">
        <v>6637100</v>
      </c>
      <c r="AX97" s="38">
        <v>3.2348037614772177E-3</v>
      </c>
      <c r="AY97" s="4">
        <v>430900</v>
      </c>
      <c r="AZ97" s="4">
        <v>335500</v>
      </c>
      <c r="BA97" s="19">
        <v>3046200</v>
      </c>
      <c r="BB97" s="38">
        <v>2.9728294695868527E-3</v>
      </c>
      <c r="BC97" s="4">
        <v>1101900</v>
      </c>
      <c r="BD97" s="4">
        <v>1171000</v>
      </c>
      <c r="BE97" s="19">
        <v>2799500</v>
      </c>
      <c r="BF97" s="38">
        <v>4.0160542136204742E-2</v>
      </c>
      <c r="BG97" s="4">
        <v>10037500</v>
      </c>
      <c r="BH97" s="4">
        <v>10900400</v>
      </c>
      <c r="BI97" s="19">
        <v>37819000</v>
      </c>
      <c r="BJ97" s="38">
        <v>1.2088833963842376E-2</v>
      </c>
      <c r="BK97" s="4">
        <v>5214400</v>
      </c>
      <c r="BL97" s="4">
        <v>4897100</v>
      </c>
      <c r="BM97" s="19">
        <v>11384000</v>
      </c>
      <c r="BN97" s="38">
        <v>2.1475308065493425E-2</v>
      </c>
      <c r="BO97" s="4">
        <v>10994700</v>
      </c>
      <c r="BP97" s="4">
        <v>7239300</v>
      </c>
      <c r="BQ97" s="19">
        <v>20223200</v>
      </c>
      <c r="BS97" s="4"/>
      <c r="BT97" s="4"/>
      <c r="BU97" s="19">
        <v>996000</v>
      </c>
      <c r="BW97" s="4"/>
      <c r="BX97" s="4"/>
      <c r="BY97" s="19">
        <v>3224200</v>
      </c>
      <c r="BZ97" s="8">
        <v>5.0883754132592688E-3</v>
      </c>
      <c r="CA97" s="4">
        <v>83900</v>
      </c>
      <c r="CB97" s="4">
        <v>108300</v>
      </c>
      <c r="CC97" s="19">
        <v>4791700</v>
      </c>
      <c r="CD97" s="38">
        <v>6.7436770202952715E-3</v>
      </c>
      <c r="CE97" s="4">
        <v>1623300</v>
      </c>
      <c r="CF97" s="4">
        <v>1567700</v>
      </c>
      <c r="CG97" s="19">
        <v>6350490</v>
      </c>
      <c r="CH97" s="8">
        <v>7.4307462809194511E-3</v>
      </c>
      <c r="CI97" s="4">
        <v>5689000</v>
      </c>
      <c r="CJ97" s="4">
        <v>1311000</v>
      </c>
      <c r="CK97" s="19">
        <v>6997500</v>
      </c>
      <c r="CL97" s="8">
        <v>4.0318767387488349E-3</v>
      </c>
      <c r="CM97" s="4">
        <v>1353000</v>
      </c>
      <c r="CN97" s="4">
        <v>2409100</v>
      </c>
      <c r="CO97" s="19">
        <v>3796700</v>
      </c>
    </row>
    <row r="98" spans="1:93" x14ac:dyDescent="0.2">
      <c r="A98" s="33" t="s">
        <v>214</v>
      </c>
      <c r="B98" s="8">
        <v>0.24379999999999999</v>
      </c>
      <c r="C98" s="8">
        <v>0.22839999999999999</v>
      </c>
      <c r="D98" s="8">
        <v>0.57279999999999998</v>
      </c>
      <c r="E98" s="8">
        <v>0.08</v>
      </c>
      <c r="F98" s="8">
        <v>0.17906293242190557</v>
      </c>
      <c r="G98" s="4">
        <v>61552200</v>
      </c>
      <c r="H98" s="4">
        <v>86306000</v>
      </c>
      <c r="I98" s="19">
        <v>222483300</v>
      </c>
      <c r="J98" s="8">
        <v>0.18254889668499155</v>
      </c>
      <c r="K98" s="4">
        <v>103388600</v>
      </c>
      <c r="L98" s="4">
        <v>136799800</v>
      </c>
      <c r="M98" s="19">
        <v>226814564</v>
      </c>
      <c r="N98" s="8">
        <v>0.21284341656172973</v>
      </c>
      <c r="O98" s="4">
        <v>110112500</v>
      </c>
      <c r="P98" s="4">
        <v>105819400</v>
      </c>
      <c r="Q98" s="19">
        <v>264455100</v>
      </c>
      <c r="R98" s="8">
        <v>3.2262801816395882E-2</v>
      </c>
      <c r="S98" s="4">
        <v>9076100</v>
      </c>
      <c r="T98" s="4">
        <v>17804900</v>
      </c>
      <c r="U98" s="19">
        <v>40086100</v>
      </c>
      <c r="V98" s="8">
        <v>4.7942407119642629E-2</v>
      </c>
      <c r="W98" s="4">
        <v>15607600</v>
      </c>
      <c r="X98" s="4">
        <v>23672200</v>
      </c>
      <c r="Y98" s="19">
        <v>59567800</v>
      </c>
      <c r="Z98" s="8">
        <v>2.729969007240016E-2</v>
      </c>
      <c r="AA98" s="4">
        <v>9359700</v>
      </c>
      <c r="AB98" s="4">
        <v>17547400</v>
      </c>
      <c r="AC98" s="19">
        <v>33919500</v>
      </c>
      <c r="AD98" s="38">
        <v>2.6839001011610884E-2</v>
      </c>
      <c r="AE98" s="4">
        <v>11047600</v>
      </c>
      <c r="AF98" s="4">
        <v>19052500</v>
      </c>
      <c r="AG98" s="19">
        <v>33347100</v>
      </c>
      <c r="AH98" s="38">
        <v>6.8690718864256789E-2</v>
      </c>
      <c r="AI98" s="4">
        <v>22733900</v>
      </c>
      <c r="AJ98" s="4">
        <v>29041900</v>
      </c>
      <c r="AK98" s="19">
        <v>85347300</v>
      </c>
      <c r="AL98" s="38">
        <v>1.6486133094680947E-2</v>
      </c>
      <c r="AM98" s="4">
        <v>4493700</v>
      </c>
      <c r="AN98" s="4">
        <v>11206300</v>
      </c>
      <c r="AO98" s="19">
        <v>20483800</v>
      </c>
      <c r="AP98" s="38">
        <v>5.259131025194699E-3</v>
      </c>
      <c r="AQ98" s="4">
        <v>1642600</v>
      </c>
      <c r="AR98" s="4">
        <v>3425800</v>
      </c>
      <c r="AS98" s="19">
        <v>6534400</v>
      </c>
      <c r="AT98" s="38">
        <v>7.0530336240647506E-3</v>
      </c>
      <c r="AU98" s="4">
        <v>2670600</v>
      </c>
      <c r="AV98" s="4">
        <v>4433400</v>
      </c>
      <c r="AW98" s="19">
        <v>8763300</v>
      </c>
      <c r="AX98" s="38">
        <v>2.4079937123959384E-3</v>
      </c>
      <c r="AY98" s="4">
        <v>196500</v>
      </c>
      <c r="AZ98" s="4">
        <v>458300</v>
      </c>
      <c r="BA98" s="19">
        <v>2991900</v>
      </c>
      <c r="BB98" s="38">
        <v>4.1048328927978089E-3</v>
      </c>
      <c r="BC98" s="4">
        <v>2070300</v>
      </c>
      <c r="BD98" s="4">
        <v>2446300</v>
      </c>
      <c r="BE98" s="19">
        <v>5100200</v>
      </c>
      <c r="BF98" s="38">
        <v>2.5231659775932575E-2</v>
      </c>
      <c r="BG98" s="4">
        <v>8717300</v>
      </c>
      <c r="BH98" s="4">
        <v>15672400</v>
      </c>
      <c r="BI98" s="19">
        <v>31350000</v>
      </c>
      <c r="BJ98" s="38">
        <v>1.2233773463863092E-2</v>
      </c>
      <c r="BK98" s="4">
        <v>6157300</v>
      </c>
      <c r="BL98" s="4">
        <v>7960800</v>
      </c>
      <c r="BM98" s="19">
        <v>15200300</v>
      </c>
      <c r="BN98" s="38">
        <v>1.9950154264556985E-2</v>
      </c>
      <c r="BO98" s="4">
        <v>9631800</v>
      </c>
      <c r="BP98" s="4">
        <v>13244800</v>
      </c>
      <c r="BQ98" s="19">
        <v>24787800</v>
      </c>
      <c r="BS98" s="4"/>
      <c r="BT98" s="4"/>
      <c r="BU98" s="19">
        <v>987300</v>
      </c>
      <c r="BW98" s="4"/>
      <c r="BX98" s="4"/>
      <c r="BY98" s="19">
        <v>4788600</v>
      </c>
      <c r="BZ98" s="8">
        <v>3.2425298534378678E-3</v>
      </c>
      <c r="CA98" s="4">
        <v>64700</v>
      </c>
      <c r="CB98" s="4">
        <v>312700</v>
      </c>
      <c r="CC98" s="19">
        <v>4028800</v>
      </c>
      <c r="CD98" s="38">
        <v>4.9041179503779824E-3</v>
      </c>
      <c r="CE98" s="4">
        <v>1449000</v>
      </c>
      <c r="CF98" s="4">
        <v>3486400</v>
      </c>
      <c r="CG98" s="19">
        <v>6093301</v>
      </c>
      <c r="CH98" s="8">
        <v>1.6764767883019954E-3</v>
      </c>
      <c r="CI98" s="4">
        <v>20300</v>
      </c>
      <c r="CJ98" s="4">
        <v>2026500</v>
      </c>
      <c r="CK98" s="19">
        <v>2083000</v>
      </c>
      <c r="CL98" s="8">
        <v>4.4281361697353569E-3</v>
      </c>
      <c r="CM98" s="4">
        <v>1828800</v>
      </c>
      <c r="CN98" s="4">
        <v>3192700</v>
      </c>
      <c r="CO98" s="19">
        <v>5501700</v>
      </c>
    </row>
    <row r="99" spans="1:93" x14ac:dyDescent="0.2">
      <c r="A99" s="33" t="s">
        <v>213</v>
      </c>
      <c r="B99" s="8">
        <v>0.37119999999999997</v>
      </c>
      <c r="C99" s="8">
        <v>0.37119999999999997</v>
      </c>
      <c r="D99" s="8">
        <v>0.47299999999999998</v>
      </c>
      <c r="E99" s="8">
        <v>5.9800000000000006E-2</v>
      </c>
      <c r="F99" s="8">
        <v>0.30813405384189901</v>
      </c>
      <c r="G99" s="4">
        <v>104486200</v>
      </c>
      <c r="H99" s="4">
        <v>105232100</v>
      </c>
      <c r="I99" s="19">
        <v>424509165</v>
      </c>
      <c r="J99" s="8">
        <v>0.13184905787306922</v>
      </c>
      <c r="K99" s="4">
        <v>84600100</v>
      </c>
      <c r="L99" s="4">
        <v>85815100</v>
      </c>
      <c r="M99" s="19">
        <v>181645400</v>
      </c>
      <c r="N99" s="8">
        <v>0.13594174465683315</v>
      </c>
      <c r="O99" s="4">
        <v>59625800</v>
      </c>
      <c r="P99" s="4">
        <v>73809400</v>
      </c>
      <c r="Q99" s="19">
        <v>187283800</v>
      </c>
      <c r="R99" s="8">
        <v>3.1313292915873765E-2</v>
      </c>
      <c r="S99" s="4">
        <v>17897800</v>
      </c>
      <c r="T99" s="4">
        <v>17976100</v>
      </c>
      <c r="U99" s="19">
        <v>43139600</v>
      </c>
      <c r="V99" s="8">
        <v>6.5774493756660168E-2</v>
      </c>
      <c r="W99" s="4">
        <v>39029500</v>
      </c>
      <c r="X99" s="4">
        <v>33593900</v>
      </c>
      <c r="Y99" s="19">
        <v>90616000</v>
      </c>
      <c r="Z99" s="8">
        <v>2.4554814155298779E-2</v>
      </c>
      <c r="AA99" s="4">
        <v>12456500</v>
      </c>
      <c r="AB99" s="4">
        <v>15511300</v>
      </c>
      <c r="AC99" s="19">
        <v>33828600</v>
      </c>
      <c r="AD99" s="38">
        <v>1.9051274061801241E-2</v>
      </c>
      <c r="AE99" s="4">
        <v>8876900</v>
      </c>
      <c r="AF99" s="4">
        <v>14569800</v>
      </c>
      <c r="AG99" s="19">
        <v>26246500</v>
      </c>
      <c r="AH99" s="38">
        <v>5.7561319766349567E-2</v>
      </c>
      <c r="AI99" s="4">
        <v>21387800</v>
      </c>
      <c r="AJ99" s="4">
        <v>28671900</v>
      </c>
      <c r="AK99" s="19">
        <v>79300900</v>
      </c>
      <c r="AL99" s="38">
        <v>1.2786815346811834E-2</v>
      </c>
      <c r="AM99" s="4">
        <v>5439800</v>
      </c>
      <c r="AN99" s="4">
        <v>8915800</v>
      </c>
      <c r="AO99" s="19">
        <v>17616100</v>
      </c>
      <c r="AP99" s="38">
        <v>4.4275984044415519E-3</v>
      </c>
      <c r="AQ99" s="4">
        <v>1702600</v>
      </c>
      <c r="AR99" s="4">
        <v>2519600</v>
      </c>
      <c r="AS99" s="19">
        <v>6099800</v>
      </c>
      <c r="AT99" s="38">
        <v>5.7972228887428028E-3</v>
      </c>
      <c r="AU99" s="4">
        <v>3213200</v>
      </c>
      <c r="AV99" s="4">
        <v>3746600</v>
      </c>
      <c r="AW99" s="19">
        <v>7986700</v>
      </c>
      <c r="AX99" s="38">
        <v>2.2677305707000718E-3</v>
      </c>
      <c r="AY99" s="4">
        <v>224300</v>
      </c>
      <c r="AZ99" s="4">
        <v>439900</v>
      </c>
      <c r="BA99" s="19">
        <v>3124200</v>
      </c>
      <c r="BB99" s="38">
        <v>4.4230254889446536E-3</v>
      </c>
      <c r="BC99" s="4">
        <v>2232400</v>
      </c>
      <c r="BD99" s="4">
        <v>3130900</v>
      </c>
      <c r="BE99" s="19">
        <v>6093500</v>
      </c>
      <c r="BF99" s="38">
        <v>2.4033103291730473E-2</v>
      </c>
      <c r="BG99" s="4">
        <v>9123700</v>
      </c>
      <c r="BH99" s="4">
        <v>17103700</v>
      </c>
      <c r="BI99" s="19">
        <v>33109851</v>
      </c>
      <c r="BJ99" s="38">
        <v>1.1316223791777475E-2</v>
      </c>
      <c r="BK99" s="4">
        <v>5827300</v>
      </c>
      <c r="BL99" s="4">
        <v>7504100</v>
      </c>
      <c r="BM99" s="19">
        <v>15590100</v>
      </c>
      <c r="BN99" s="38">
        <v>2.3021217986751597E-2</v>
      </c>
      <c r="BO99" s="4">
        <v>13303700</v>
      </c>
      <c r="BP99" s="4">
        <v>16125100</v>
      </c>
      <c r="BQ99" s="19">
        <v>31715800</v>
      </c>
      <c r="BS99" s="4"/>
      <c r="BT99" s="4"/>
      <c r="BU99" s="19">
        <v>974200</v>
      </c>
      <c r="BW99" s="4"/>
      <c r="BX99" s="4"/>
      <c r="BY99" s="19">
        <v>3650900</v>
      </c>
      <c r="BZ99" s="8">
        <v>3.1224302528584913E-3</v>
      </c>
      <c r="CA99" s="4">
        <v>79200</v>
      </c>
      <c r="CB99" s="4">
        <v>142900</v>
      </c>
      <c r="CC99" s="19">
        <v>4301700</v>
      </c>
      <c r="CD99" s="38">
        <v>4.6037478352416875E-3</v>
      </c>
      <c r="CE99" s="4">
        <v>1429200</v>
      </c>
      <c r="CF99" s="4">
        <v>2870700</v>
      </c>
      <c r="CG99" s="19">
        <v>6342477</v>
      </c>
      <c r="CH99" s="8">
        <v>9.3940749779144518E-4</v>
      </c>
      <c r="CI99" s="4">
        <v>69800</v>
      </c>
      <c r="CJ99" s="4">
        <v>1224600</v>
      </c>
      <c r="CK99" s="19">
        <v>1294200</v>
      </c>
      <c r="CL99" s="8">
        <v>7.3081722376862985E-3</v>
      </c>
      <c r="CM99" s="4">
        <v>1909300</v>
      </c>
      <c r="CN99" s="4">
        <v>3526600</v>
      </c>
      <c r="CO99" s="19">
        <v>10068200</v>
      </c>
    </row>
    <row r="100" spans="1:93" x14ac:dyDescent="0.2">
      <c r="A100" s="33" t="s">
        <v>211</v>
      </c>
      <c r="B100" s="8">
        <v>0.26329999999999998</v>
      </c>
      <c r="C100" s="8">
        <v>0.2455</v>
      </c>
      <c r="D100" s="8">
        <v>0.56679999999999997</v>
      </c>
      <c r="E100" s="8">
        <v>8.09E-2</v>
      </c>
      <c r="F100" s="8">
        <v>0.22351719014878341</v>
      </c>
      <c r="G100" s="4">
        <v>94085400</v>
      </c>
      <c r="H100" s="4">
        <v>64208600</v>
      </c>
      <c r="I100" s="19">
        <v>279801702</v>
      </c>
      <c r="J100" s="8">
        <v>0.17356339833213094</v>
      </c>
      <c r="K100" s="4">
        <v>105228000</v>
      </c>
      <c r="L100" s="4">
        <v>97843900</v>
      </c>
      <c r="M100" s="19">
        <v>217268901</v>
      </c>
      <c r="N100" s="8">
        <v>0.21047418507989493</v>
      </c>
      <c r="O100" s="4">
        <v>127100900</v>
      </c>
      <c r="P100" s="4">
        <v>81943600</v>
      </c>
      <c r="Q100" s="19">
        <v>263474300</v>
      </c>
      <c r="R100" s="8">
        <v>3.6500183054512379E-2</v>
      </c>
      <c r="S100" s="4">
        <v>22777700</v>
      </c>
      <c r="T100" s="4">
        <v>16400100</v>
      </c>
      <c r="U100" s="19">
        <v>45691400</v>
      </c>
      <c r="V100" s="8">
        <v>4.4426207782329134E-2</v>
      </c>
      <c r="W100" s="4">
        <v>17729200</v>
      </c>
      <c r="X100" s="4">
        <v>17826800</v>
      </c>
      <c r="Y100" s="19">
        <v>55613300</v>
      </c>
      <c r="Z100" s="8">
        <v>2.1977485613065659E-2</v>
      </c>
      <c r="AA100" s="4">
        <v>11500500</v>
      </c>
      <c r="AB100" s="4">
        <v>11621100</v>
      </c>
      <c r="AC100" s="19">
        <v>27511700</v>
      </c>
      <c r="AD100" s="38">
        <v>2.6984783428897402E-2</v>
      </c>
      <c r="AE100" s="4">
        <v>15512500</v>
      </c>
      <c r="AF100" s="4">
        <v>15663500</v>
      </c>
      <c r="AG100" s="19">
        <v>33779900</v>
      </c>
      <c r="AH100" s="38">
        <v>7.3359445329250081E-2</v>
      </c>
      <c r="AI100" s="4">
        <v>29017000</v>
      </c>
      <c r="AJ100" s="4">
        <v>27386600</v>
      </c>
      <c r="AK100" s="19">
        <v>91832300</v>
      </c>
      <c r="AL100" s="38">
        <v>1.6310344780757571E-2</v>
      </c>
      <c r="AM100" s="4">
        <v>6664300</v>
      </c>
      <c r="AN100" s="4">
        <v>8035900</v>
      </c>
      <c r="AO100" s="19">
        <v>20417500</v>
      </c>
      <c r="AP100" s="38">
        <v>6.0472295819926445E-3</v>
      </c>
      <c r="AQ100" s="4">
        <v>2655800</v>
      </c>
      <c r="AR100" s="4">
        <v>2978600</v>
      </c>
      <c r="AS100" s="19">
        <v>7570000</v>
      </c>
      <c r="AT100" s="38">
        <v>8.3534048898201967E-3</v>
      </c>
      <c r="AU100" s="4">
        <v>3971600</v>
      </c>
      <c r="AV100" s="4">
        <v>3703200</v>
      </c>
      <c r="AW100" s="19">
        <v>10456900</v>
      </c>
      <c r="AX100" s="38">
        <v>1.6699779975106503E-3</v>
      </c>
      <c r="AY100" s="4">
        <v>414200</v>
      </c>
      <c r="AZ100" s="4">
        <v>411700</v>
      </c>
      <c r="BA100" s="19">
        <v>2090500</v>
      </c>
      <c r="BB100" s="38">
        <v>3.3612051769078269E-3</v>
      </c>
      <c r="BC100" s="4">
        <v>2166800</v>
      </c>
      <c r="BD100" s="4">
        <v>1412700</v>
      </c>
      <c r="BE100" s="19">
        <v>4207600</v>
      </c>
      <c r="BF100" s="38">
        <v>2.383926543655206E-2</v>
      </c>
      <c r="BG100" s="4">
        <v>10978600</v>
      </c>
      <c r="BH100" s="4">
        <v>13892700</v>
      </c>
      <c r="BI100" s="19">
        <v>29842300</v>
      </c>
      <c r="BJ100" s="38">
        <v>1.1515458899648662E-2</v>
      </c>
      <c r="BK100" s="4">
        <v>6260100</v>
      </c>
      <c r="BL100" s="4">
        <v>7200500</v>
      </c>
      <c r="BM100" s="19">
        <v>14415200</v>
      </c>
      <c r="BN100" s="38">
        <v>2.0788809573699073E-2</v>
      </c>
      <c r="BO100" s="4">
        <v>13135100</v>
      </c>
      <c r="BP100" s="4">
        <v>10710500</v>
      </c>
      <c r="BQ100" s="19">
        <v>26023700</v>
      </c>
      <c r="BS100" s="4"/>
      <c r="BT100" s="4"/>
      <c r="BU100" s="19">
        <v>1233800</v>
      </c>
      <c r="BW100" s="4"/>
      <c r="BX100" s="4"/>
      <c r="BY100" s="19">
        <v>4690700</v>
      </c>
      <c r="BZ100" s="8">
        <v>6.2670707419615187E-3</v>
      </c>
      <c r="CA100" s="4">
        <v>86100</v>
      </c>
      <c r="CB100" s="4">
        <v>126800</v>
      </c>
      <c r="CC100" s="19">
        <v>7845200</v>
      </c>
      <c r="CD100" s="38">
        <v>7.1233488646745852E-3</v>
      </c>
      <c r="CE100" s="4">
        <v>3194800</v>
      </c>
      <c r="CF100" s="4">
        <v>2611400</v>
      </c>
      <c r="CG100" s="19">
        <v>8917100</v>
      </c>
      <c r="CH100" s="8">
        <v>1.9079528578112592E-3</v>
      </c>
      <c r="CI100" s="4">
        <v>119500</v>
      </c>
      <c r="CJ100" s="4">
        <v>2267100</v>
      </c>
      <c r="CK100" s="19">
        <v>2388400</v>
      </c>
      <c r="CL100" s="8">
        <v>4.4717545249773347E-3</v>
      </c>
      <c r="CM100" s="4">
        <v>1982400</v>
      </c>
      <c r="CN100" s="4">
        <v>3367700</v>
      </c>
      <c r="CO100" s="19">
        <v>5595300</v>
      </c>
    </row>
    <row r="101" spans="1:93" x14ac:dyDescent="0.2">
      <c r="A101" s="33" t="s">
        <v>210</v>
      </c>
      <c r="B101" s="8">
        <v>0.34539999999999998</v>
      </c>
      <c r="C101" s="8">
        <v>0.3322</v>
      </c>
      <c r="D101" s="8">
        <v>0.4526</v>
      </c>
      <c r="E101" s="8">
        <v>5.5500000000000001E-2</v>
      </c>
      <c r="F101" s="8">
        <v>0.27310289583573383</v>
      </c>
      <c r="G101" s="4">
        <v>117230500</v>
      </c>
      <c r="H101" s="4">
        <v>75567600</v>
      </c>
      <c r="I101" s="19">
        <v>250044637</v>
      </c>
      <c r="J101" s="8">
        <v>0.13394561741853706</v>
      </c>
      <c r="K101" s="4">
        <v>60727600</v>
      </c>
      <c r="L101" s="4">
        <v>48620200</v>
      </c>
      <c r="M101" s="19">
        <v>122636500</v>
      </c>
      <c r="N101" s="8">
        <v>0.14641763843432171</v>
      </c>
      <c r="O101" s="4">
        <v>42867300</v>
      </c>
      <c r="P101" s="4">
        <v>41684200</v>
      </c>
      <c r="Q101" s="19">
        <v>134055500</v>
      </c>
      <c r="R101" s="8">
        <v>2.4483454303891192E-2</v>
      </c>
      <c r="S101" s="4">
        <v>8255400</v>
      </c>
      <c r="T101" s="4">
        <v>7795200</v>
      </c>
      <c r="U101" s="19">
        <v>22416300</v>
      </c>
      <c r="V101" s="8">
        <v>3.3482991177852202E-2</v>
      </c>
      <c r="W101" s="4">
        <v>10491000</v>
      </c>
      <c r="X101" s="4">
        <v>11059300</v>
      </c>
      <c r="Y101" s="19">
        <v>30656000</v>
      </c>
      <c r="Z101" s="8">
        <v>4.1929538802291215E-2</v>
      </c>
      <c r="AA101" s="4">
        <v>19217400</v>
      </c>
      <c r="AB101" s="4">
        <v>14398700</v>
      </c>
      <c r="AC101" s="19">
        <v>38389400</v>
      </c>
      <c r="AD101" s="38">
        <v>1.9164796493359188E-2</v>
      </c>
      <c r="AE101" s="4">
        <v>8801800</v>
      </c>
      <c r="AF101" s="4">
        <v>7172200</v>
      </c>
      <c r="AG101" s="19">
        <v>17546700</v>
      </c>
      <c r="AH101" s="38">
        <v>5.0614298860703656E-2</v>
      </c>
      <c r="AI101" s="4">
        <v>15511100</v>
      </c>
      <c r="AJ101" s="4">
        <v>12393500</v>
      </c>
      <c r="AK101" s="19">
        <v>46340900</v>
      </c>
      <c r="AL101" s="38">
        <v>1.6843617838245294E-2</v>
      </c>
      <c r="AM101" s="4">
        <v>4875900</v>
      </c>
      <c r="AN101" s="4">
        <v>5089200</v>
      </c>
      <c r="AO101" s="19">
        <v>15421500</v>
      </c>
      <c r="AP101" s="38">
        <v>6.5707748866766329E-3</v>
      </c>
      <c r="AQ101" s="4">
        <v>1539800</v>
      </c>
      <c r="AR101" s="4">
        <v>1737700</v>
      </c>
      <c r="AS101" s="19">
        <v>6016000</v>
      </c>
      <c r="AT101" s="38">
        <v>5.3022745619781221E-3</v>
      </c>
      <c r="AU101" s="4">
        <v>1989500</v>
      </c>
      <c r="AV101" s="4">
        <v>2192900</v>
      </c>
      <c r="AW101" s="19">
        <v>4854600</v>
      </c>
      <c r="AX101" s="38">
        <v>1.6292594578549756E-3</v>
      </c>
      <c r="AY101" s="4">
        <v>138000</v>
      </c>
      <c r="AZ101" s="4">
        <v>238800</v>
      </c>
      <c r="BA101" s="19">
        <v>1491700</v>
      </c>
      <c r="BB101" s="38">
        <v>2.7257356727377335E-3</v>
      </c>
      <c r="BC101" s="4">
        <v>828000</v>
      </c>
      <c r="BD101" s="4">
        <v>1347700</v>
      </c>
      <c r="BE101" s="19">
        <v>2495600</v>
      </c>
      <c r="BF101" s="38">
        <v>2.2878332832238935E-2</v>
      </c>
      <c r="BG101" s="4">
        <v>7366500</v>
      </c>
      <c r="BH101" s="4">
        <v>9175200</v>
      </c>
      <c r="BI101" s="19">
        <v>20946700</v>
      </c>
      <c r="BJ101" s="38">
        <v>1.256715307905419E-2</v>
      </c>
      <c r="BK101" s="4">
        <v>6558600</v>
      </c>
      <c r="BL101" s="4">
        <v>4135000</v>
      </c>
      <c r="BM101" s="19">
        <v>11506100</v>
      </c>
      <c r="BN101" s="38">
        <v>4.4833196554324092E-2</v>
      </c>
      <c r="BO101" s="4">
        <v>25464400</v>
      </c>
      <c r="BP101" s="4">
        <v>14369900</v>
      </c>
      <c r="BQ101" s="19">
        <v>41047900</v>
      </c>
      <c r="BS101" s="4"/>
      <c r="BT101" s="4"/>
      <c r="BU101" s="19">
        <v>517700</v>
      </c>
      <c r="BW101" s="4"/>
      <c r="BX101" s="4"/>
      <c r="BY101" s="19">
        <v>3539800</v>
      </c>
      <c r="BZ101" s="8">
        <v>2.9660233181946585E-3</v>
      </c>
      <c r="CA101" s="4">
        <v>91800</v>
      </c>
      <c r="CB101" s="4">
        <v>82600</v>
      </c>
      <c r="CC101" s="19">
        <v>2715600</v>
      </c>
      <c r="CD101" s="38">
        <v>6.4299881707702801E-3</v>
      </c>
      <c r="CE101" s="4">
        <v>2104800</v>
      </c>
      <c r="CF101" s="4">
        <v>2553300</v>
      </c>
      <c r="CG101" s="19">
        <v>5887100</v>
      </c>
      <c r="CH101" s="8">
        <v>6.5128874084529188E-4</v>
      </c>
      <c r="CI101" s="4">
        <v>64500</v>
      </c>
      <c r="CJ101" s="4">
        <v>480000</v>
      </c>
      <c r="CK101" s="19">
        <v>596300</v>
      </c>
      <c r="CL101" s="8">
        <v>5.4594445264383564E-3</v>
      </c>
      <c r="CM101" s="4">
        <v>1853500</v>
      </c>
      <c r="CN101" s="4">
        <v>2909800</v>
      </c>
      <c r="CO101" s="19">
        <v>4998400</v>
      </c>
    </row>
    <row r="102" spans="1:93" x14ac:dyDescent="0.2">
      <c r="A102" s="33" t="s">
        <v>209</v>
      </c>
      <c r="B102" s="8">
        <v>0.28889999999999999</v>
      </c>
      <c r="C102" s="8">
        <v>0.2848</v>
      </c>
      <c r="D102" s="8">
        <v>0.46500000000000002</v>
      </c>
      <c r="E102" s="8">
        <v>8.0299999999999996E-2</v>
      </c>
      <c r="F102" s="8">
        <v>0.25115636329294433</v>
      </c>
      <c r="G102" s="4">
        <v>42347400</v>
      </c>
      <c r="H102" s="4">
        <v>69356200</v>
      </c>
      <c r="I102" s="19">
        <v>229720616</v>
      </c>
      <c r="J102" s="8">
        <v>0.11924286574261701</v>
      </c>
      <c r="K102" s="4">
        <v>39769100</v>
      </c>
      <c r="L102" s="4">
        <v>57734800</v>
      </c>
      <c r="M102" s="19">
        <v>109065700</v>
      </c>
      <c r="N102" s="8">
        <v>0.14128415001125263</v>
      </c>
      <c r="O102" s="4">
        <v>35421000</v>
      </c>
      <c r="P102" s="4">
        <v>48169800</v>
      </c>
      <c r="Q102" s="19">
        <v>129225800</v>
      </c>
      <c r="R102" s="8">
        <v>3.0398672430295426E-2</v>
      </c>
      <c r="S102" s="4">
        <v>12150500</v>
      </c>
      <c r="T102" s="4">
        <v>11971300</v>
      </c>
      <c r="U102" s="19">
        <v>27804200</v>
      </c>
      <c r="V102" s="8">
        <v>8.419378966171262E-2</v>
      </c>
      <c r="W102" s="4">
        <v>25007600</v>
      </c>
      <c r="X102" s="4">
        <v>22814800</v>
      </c>
      <c r="Y102" s="19">
        <v>77008000</v>
      </c>
      <c r="Z102" s="8">
        <v>2.3543057973696515E-2</v>
      </c>
      <c r="AA102" s="4">
        <v>6186800</v>
      </c>
      <c r="AB102" s="4">
        <v>12668600</v>
      </c>
      <c r="AC102" s="19">
        <v>21533700</v>
      </c>
      <c r="AD102" s="38">
        <v>2.3515178511350088E-2</v>
      </c>
      <c r="AE102" s="4">
        <v>7781700</v>
      </c>
      <c r="AF102" s="4">
        <v>8981300</v>
      </c>
      <c r="AG102" s="19">
        <v>21508200</v>
      </c>
      <c r="AH102" s="38">
        <v>7.7731986277160117E-2</v>
      </c>
      <c r="AI102" s="4">
        <v>15089000</v>
      </c>
      <c r="AJ102" s="4">
        <v>21799000</v>
      </c>
      <c r="AK102" s="19">
        <v>71097700</v>
      </c>
      <c r="AL102" s="38">
        <v>1.468854073247121E-2</v>
      </c>
      <c r="AM102" s="4">
        <v>4437300</v>
      </c>
      <c r="AN102" s="4">
        <v>6415800</v>
      </c>
      <c r="AO102" s="19">
        <v>13434900</v>
      </c>
      <c r="AP102" s="38">
        <v>4.5897248207961462E-3</v>
      </c>
      <c r="AQ102" s="4">
        <v>1120200</v>
      </c>
      <c r="AR102" s="4">
        <v>2010100</v>
      </c>
      <c r="AS102" s="19">
        <v>4198000</v>
      </c>
      <c r="AT102" s="38">
        <v>5.5650686780215489E-3</v>
      </c>
      <c r="AU102" s="4">
        <v>1362400</v>
      </c>
      <c r="AV102" s="4">
        <v>2095600</v>
      </c>
      <c r="AW102" s="19">
        <v>5090100</v>
      </c>
      <c r="AX102" s="38">
        <v>2.001089409124151E-3</v>
      </c>
      <c r="AY102" s="4">
        <v>191600</v>
      </c>
      <c r="AZ102" s="4">
        <v>324600</v>
      </c>
      <c r="BA102" s="19">
        <v>1830300</v>
      </c>
      <c r="BB102" s="38">
        <v>3.3134249008216826E-3</v>
      </c>
      <c r="BC102" s="4">
        <v>615000</v>
      </c>
      <c r="BD102" s="4">
        <v>1508800</v>
      </c>
      <c r="BE102" s="19">
        <v>3030630</v>
      </c>
      <c r="BF102" s="38">
        <v>4.1738944400573165E-2</v>
      </c>
      <c r="BG102" s="4">
        <v>16619200</v>
      </c>
      <c r="BH102" s="4">
        <v>17382400</v>
      </c>
      <c r="BI102" s="19">
        <v>38176600</v>
      </c>
      <c r="BJ102" s="38">
        <v>1.2990298816286681E-2</v>
      </c>
      <c r="BK102" s="4">
        <v>4302100</v>
      </c>
      <c r="BL102" s="4">
        <v>6051600</v>
      </c>
      <c r="BM102" s="19">
        <v>11881600</v>
      </c>
      <c r="BN102" s="38">
        <v>2.0934196285420249E-2</v>
      </c>
      <c r="BO102" s="4">
        <v>8913800</v>
      </c>
      <c r="BP102" s="4">
        <v>8697300</v>
      </c>
      <c r="BQ102" s="19">
        <v>19147500</v>
      </c>
      <c r="BS102" s="4"/>
      <c r="BT102" s="4"/>
      <c r="BU102" s="19">
        <v>1618700</v>
      </c>
      <c r="BW102" s="4"/>
      <c r="BX102" s="4"/>
      <c r="BY102" s="19">
        <v>3908800</v>
      </c>
      <c r="BZ102" s="8">
        <v>6.4754599478532692E-3</v>
      </c>
      <c r="CA102" s="4">
        <v>37000</v>
      </c>
      <c r="CB102" s="4">
        <v>99600</v>
      </c>
      <c r="CC102" s="19">
        <v>5922791</v>
      </c>
      <c r="CD102" s="38">
        <v>7.721408426486589E-3</v>
      </c>
      <c r="CE102" s="4">
        <v>2056100</v>
      </c>
      <c r="CF102" s="4">
        <v>3386400</v>
      </c>
      <c r="CG102" s="19">
        <v>7062400</v>
      </c>
      <c r="CH102" s="8">
        <v>5.8251676620299823E-4</v>
      </c>
      <c r="CI102" s="4">
        <v>79200</v>
      </c>
      <c r="CJ102" s="4">
        <v>451700</v>
      </c>
      <c r="CK102" s="19">
        <v>532800</v>
      </c>
      <c r="CL102" s="8">
        <v>5.05350787677083E-3</v>
      </c>
      <c r="CM102" s="4">
        <v>2257200</v>
      </c>
      <c r="CN102" s="4">
        <v>1977000</v>
      </c>
      <c r="CO102" s="19">
        <v>4617600</v>
      </c>
    </row>
    <row r="103" spans="1:93" x14ac:dyDescent="0.2">
      <c r="A103" s="33" t="s">
        <v>208</v>
      </c>
      <c r="B103" s="8">
        <v>0.2626</v>
      </c>
      <c r="C103" s="8">
        <v>0.25219999999999998</v>
      </c>
      <c r="D103" s="8">
        <v>0.54079999999999995</v>
      </c>
      <c r="E103" s="8">
        <v>9.06E-2</v>
      </c>
      <c r="F103" s="8">
        <v>0.16241779060581824</v>
      </c>
      <c r="G103" s="4">
        <v>80674600</v>
      </c>
      <c r="H103" s="4">
        <v>115251100</v>
      </c>
      <c r="I103" s="19">
        <v>277563549</v>
      </c>
      <c r="J103" s="8">
        <v>0.16861297814769832</v>
      </c>
      <c r="K103" s="4">
        <v>100812500</v>
      </c>
      <c r="L103" s="4">
        <v>161541700</v>
      </c>
      <c r="M103" s="19">
        <v>288150802</v>
      </c>
      <c r="N103" s="8">
        <v>0.20700706633929752</v>
      </c>
      <c r="O103" s="4">
        <v>129567100</v>
      </c>
      <c r="P103" s="4">
        <v>104911300</v>
      </c>
      <c r="Q103" s="19">
        <v>353764300</v>
      </c>
      <c r="R103" s="8">
        <v>3.7595703427225874E-2</v>
      </c>
      <c r="S103" s="4">
        <v>19434000</v>
      </c>
      <c r="T103" s="4">
        <v>32407600</v>
      </c>
      <c r="U103" s="19">
        <v>64249100</v>
      </c>
      <c r="V103" s="8">
        <v>4.8339155318752242E-2</v>
      </c>
      <c r="W103" s="4">
        <v>27896700</v>
      </c>
      <c r="X103" s="4">
        <v>47759100</v>
      </c>
      <c r="Y103" s="19">
        <v>82609100</v>
      </c>
      <c r="Z103" s="8">
        <v>2.6853187784230351E-2</v>
      </c>
      <c r="AA103" s="4">
        <v>16894400</v>
      </c>
      <c r="AB103" s="4">
        <v>22124800</v>
      </c>
      <c r="AC103" s="19">
        <v>45890700</v>
      </c>
      <c r="AD103" s="38">
        <v>2.4365282860090771E-2</v>
      </c>
      <c r="AE103" s="4">
        <v>16048900</v>
      </c>
      <c r="AF103" s="4">
        <v>21479300</v>
      </c>
      <c r="AG103" s="19">
        <v>41639000</v>
      </c>
      <c r="AH103" s="38">
        <v>6.3633126163418263E-2</v>
      </c>
      <c r="AI103" s="4">
        <v>23608400</v>
      </c>
      <c r="AJ103" s="4">
        <v>35124800</v>
      </c>
      <c r="AK103" s="19">
        <v>108745700</v>
      </c>
      <c r="AL103" s="38">
        <v>1.8040572940986637E-2</v>
      </c>
      <c r="AM103" s="4">
        <v>10462600</v>
      </c>
      <c r="AN103" s="4">
        <v>16423300</v>
      </c>
      <c r="AO103" s="19">
        <v>30830400</v>
      </c>
      <c r="AP103" s="38">
        <v>6.8885655968097363E-3</v>
      </c>
      <c r="AQ103" s="4">
        <v>3582600</v>
      </c>
      <c r="AR103" s="4">
        <v>6260500</v>
      </c>
      <c r="AS103" s="19">
        <v>11772200</v>
      </c>
      <c r="AT103" s="38">
        <v>9.1352694931885765E-3</v>
      </c>
      <c r="AU103" s="4">
        <v>4472700</v>
      </c>
      <c r="AV103" s="4">
        <v>8764500</v>
      </c>
      <c r="AW103" s="19">
        <v>15611700</v>
      </c>
      <c r="AX103" s="38">
        <v>3.5532972367159446E-3</v>
      </c>
      <c r="AY103" s="4">
        <v>695400</v>
      </c>
      <c r="AZ103" s="4">
        <v>845000</v>
      </c>
      <c r="BA103" s="19">
        <v>6072400</v>
      </c>
      <c r="BB103" s="38">
        <v>3.0356688302211605E-3</v>
      </c>
      <c r="BC103" s="4">
        <v>1530100</v>
      </c>
      <c r="BD103" s="4">
        <v>2946800</v>
      </c>
      <c r="BE103" s="19">
        <v>5187800</v>
      </c>
      <c r="BF103" s="38">
        <v>2.832772070478903E-2</v>
      </c>
      <c r="BG103" s="4">
        <v>15196000</v>
      </c>
      <c r="BH103" s="4">
        <v>25712400</v>
      </c>
      <c r="BI103" s="19">
        <v>48410600</v>
      </c>
      <c r="BJ103" s="38">
        <v>2.3733607679431584E-2</v>
      </c>
      <c r="BK103" s="4">
        <v>15274500</v>
      </c>
      <c r="BL103" s="4">
        <v>22318000</v>
      </c>
      <c r="BM103" s="19">
        <v>40559500</v>
      </c>
      <c r="BN103" s="38">
        <v>3.0569743358513608E-2</v>
      </c>
      <c r="BO103" s="4">
        <v>22102100</v>
      </c>
      <c r="BP103" s="4">
        <v>27554500</v>
      </c>
      <c r="BQ103" s="19">
        <v>52242100</v>
      </c>
      <c r="BS103" s="4"/>
      <c r="BT103" s="4"/>
      <c r="BU103" s="19">
        <v>1951400</v>
      </c>
      <c r="BW103" s="4"/>
      <c r="BX103" s="4"/>
      <c r="BY103" s="19">
        <v>4489400</v>
      </c>
      <c r="BZ103" s="8">
        <v>5.5495546510918817E-3</v>
      </c>
      <c r="CA103" s="4">
        <v>82700</v>
      </c>
      <c r="CB103" s="4">
        <v>342200</v>
      </c>
      <c r="CC103" s="19">
        <v>9483900</v>
      </c>
      <c r="CD103" s="38">
        <v>9.2874683949851992E-3</v>
      </c>
      <c r="CE103" s="4">
        <v>4571000</v>
      </c>
      <c r="CF103" s="4">
        <v>7479700</v>
      </c>
      <c r="CG103" s="19">
        <v>15871800</v>
      </c>
      <c r="CH103" s="8">
        <v>1.4080007593350085E-3</v>
      </c>
      <c r="CI103" s="4">
        <v>824500</v>
      </c>
      <c r="CJ103" s="4">
        <v>1572000</v>
      </c>
      <c r="CK103" s="19">
        <v>2406200</v>
      </c>
      <c r="CL103" s="8">
        <v>3.8868357758319594E-3</v>
      </c>
      <c r="CM103" s="4">
        <v>2350000</v>
      </c>
      <c r="CN103" s="4">
        <v>4118800</v>
      </c>
      <c r="CO103" s="19">
        <v>6638300</v>
      </c>
    </row>
    <row r="104" spans="1:93" x14ac:dyDescent="0.2">
      <c r="A104" s="33" t="s">
        <v>206</v>
      </c>
      <c r="B104" s="8">
        <v>0.26090000000000002</v>
      </c>
      <c r="C104" s="8">
        <v>0.27029999999999998</v>
      </c>
      <c r="D104" s="8">
        <v>0.54949999999999999</v>
      </c>
      <c r="E104" s="8">
        <v>7.6100000000000001E-2</v>
      </c>
      <c r="F104" s="8">
        <v>0.17825592900536646</v>
      </c>
      <c r="G104" s="4">
        <v>66056700</v>
      </c>
      <c r="H104" s="4">
        <v>64057900</v>
      </c>
      <c r="I104" s="19">
        <v>190308604</v>
      </c>
      <c r="J104" s="8">
        <v>0.15171628799652026</v>
      </c>
      <c r="K104" s="4">
        <v>66342500</v>
      </c>
      <c r="L104" s="4">
        <v>71107600</v>
      </c>
      <c r="M104" s="19">
        <v>161974500</v>
      </c>
      <c r="N104" s="8">
        <v>0.21259744275040207</v>
      </c>
      <c r="O104" s="4">
        <v>94451300</v>
      </c>
      <c r="P104" s="4">
        <v>75108400</v>
      </c>
      <c r="Q104" s="19">
        <v>226972100</v>
      </c>
      <c r="R104" s="8">
        <v>3.3474069502587404E-2</v>
      </c>
      <c r="S104" s="4">
        <v>13462000</v>
      </c>
      <c r="T104" s="4">
        <v>16245700</v>
      </c>
      <c r="U104" s="19">
        <v>35737400</v>
      </c>
      <c r="V104" s="8">
        <v>5.8359457878483303E-2</v>
      </c>
      <c r="W104" s="4">
        <v>21902100</v>
      </c>
      <c r="X104" s="4">
        <v>28280800</v>
      </c>
      <c r="Y104" s="19">
        <v>62305400</v>
      </c>
      <c r="Z104" s="8">
        <v>3.3861205517357738E-2</v>
      </c>
      <c r="AA104" s="4">
        <v>11990800</v>
      </c>
      <c r="AB104" s="4">
        <v>16789800</v>
      </c>
      <c r="AC104" s="19">
        <v>36150712</v>
      </c>
      <c r="AD104" s="38">
        <v>2.0738666647541159E-2</v>
      </c>
      <c r="AE104" s="4">
        <v>8386900</v>
      </c>
      <c r="AF104" s="4">
        <v>10494200</v>
      </c>
      <c r="AG104" s="19">
        <v>22140900</v>
      </c>
      <c r="AH104" s="38">
        <v>6.0558098052178745E-2</v>
      </c>
      <c r="AI104" s="4">
        <v>17361200</v>
      </c>
      <c r="AJ104" s="4">
        <v>19960000</v>
      </c>
      <c r="AK104" s="19">
        <v>64652700</v>
      </c>
      <c r="AL104" s="38">
        <v>1.7685879166559532E-2</v>
      </c>
      <c r="AM104" s="4">
        <v>7069600</v>
      </c>
      <c r="AN104" s="4">
        <v>9768600</v>
      </c>
      <c r="AO104" s="19">
        <v>18881700</v>
      </c>
      <c r="AP104" s="38">
        <v>8.7269332843353704E-3</v>
      </c>
      <c r="AQ104" s="4">
        <v>3326600</v>
      </c>
      <c r="AR104" s="4">
        <v>4245600</v>
      </c>
      <c r="AS104" s="19">
        <v>9317000</v>
      </c>
      <c r="AT104" s="38">
        <v>8.7458539725766039E-3</v>
      </c>
      <c r="AU104" s="4">
        <v>2930900</v>
      </c>
      <c r="AV104" s="4">
        <v>5327300</v>
      </c>
      <c r="AW104" s="19">
        <v>9337200</v>
      </c>
      <c r="AX104" s="38">
        <v>2.3233106491859453E-3</v>
      </c>
      <c r="AY104" s="4">
        <v>280700</v>
      </c>
      <c r="AZ104" s="4">
        <v>377500</v>
      </c>
      <c r="BA104" s="19">
        <v>2480400</v>
      </c>
      <c r="BB104" s="38">
        <v>5.6496987754776915E-3</v>
      </c>
      <c r="BC104" s="4">
        <v>2947700</v>
      </c>
      <c r="BD104" s="4">
        <v>2713300</v>
      </c>
      <c r="BE104" s="19">
        <v>6031700</v>
      </c>
      <c r="BF104" s="38">
        <v>2.9798304311247133E-2</v>
      </c>
      <c r="BG104" s="4">
        <v>8607100</v>
      </c>
      <c r="BH104" s="4">
        <v>10890000</v>
      </c>
      <c r="BI104" s="19">
        <v>31813100</v>
      </c>
      <c r="BJ104" s="38">
        <v>1.453249357086956E-2</v>
      </c>
      <c r="BK104" s="4">
        <v>5136800</v>
      </c>
      <c r="BL104" s="4">
        <v>8273200</v>
      </c>
      <c r="BM104" s="19">
        <v>15515100</v>
      </c>
      <c r="BN104" s="38">
        <v>2.1294485281320767E-2</v>
      </c>
      <c r="BO104" s="4">
        <v>8863600</v>
      </c>
      <c r="BP104" s="4">
        <v>12042700</v>
      </c>
      <c r="BQ104" s="19">
        <v>22734300</v>
      </c>
      <c r="BS104" s="4"/>
      <c r="BT104" s="4"/>
      <c r="BU104" s="19">
        <v>2205600</v>
      </c>
      <c r="BW104" s="4"/>
      <c r="BX104" s="4"/>
      <c r="BY104" s="19">
        <v>5363400</v>
      </c>
      <c r="BZ104" s="8">
        <v>5.5674509183601421E-3</v>
      </c>
      <c r="CA104" s="4">
        <v>61800</v>
      </c>
      <c r="CB104" s="4">
        <v>203500</v>
      </c>
      <c r="CC104" s="19">
        <v>5943891</v>
      </c>
      <c r="CD104" s="38">
        <v>9.055328992126287E-3</v>
      </c>
      <c r="CE104" s="4">
        <v>2997100</v>
      </c>
      <c r="CF104" s="4">
        <v>4283900</v>
      </c>
      <c r="CG104" s="19">
        <v>9667600</v>
      </c>
      <c r="CH104" s="8">
        <v>4.6140252612038242E-4</v>
      </c>
      <c r="CI104" s="4">
        <v>123200</v>
      </c>
      <c r="CJ104" s="4">
        <v>345100</v>
      </c>
      <c r="CK104" s="19">
        <v>492600</v>
      </c>
      <c r="CL104" s="8">
        <v>2.0792806042607661E-2</v>
      </c>
      <c r="CM104" s="4">
        <v>3426000</v>
      </c>
      <c r="CN104" s="4">
        <v>7291100</v>
      </c>
      <c r="CO104" s="19">
        <v>22194700</v>
      </c>
    </row>
    <row r="105" spans="1:93" x14ac:dyDescent="0.2">
      <c r="A105" s="33" t="s">
        <v>205</v>
      </c>
      <c r="B105" s="8">
        <v>0.2576</v>
      </c>
      <c r="C105" s="8">
        <v>0.24590000000000001</v>
      </c>
      <c r="D105" s="8">
        <v>0.60520000000000007</v>
      </c>
      <c r="E105" s="8">
        <v>8.6800000000000002E-2</v>
      </c>
      <c r="F105" s="8">
        <v>0.13673286735581183</v>
      </c>
      <c r="G105" s="4">
        <v>36976300</v>
      </c>
      <c r="H105" s="4">
        <v>67247000</v>
      </c>
      <c r="I105" s="19">
        <v>144551023</v>
      </c>
      <c r="J105" s="8">
        <v>0.23509108662008885</v>
      </c>
      <c r="K105" s="4">
        <v>115968100</v>
      </c>
      <c r="L105" s="4">
        <v>104581600</v>
      </c>
      <c r="M105" s="19">
        <v>248533200</v>
      </c>
      <c r="N105" s="8">
        <v>0.1354482940966856</v>
      </c>
      <c r="O105" s="4">
        <v>51312100</v>
      </c>
      <c r="P105" s="4">
        <v>48445900</v>
      </c>
      <c r="Q105" s="19">
        <v>143193000</v>
      </c>
      <c r="R105" s="8">
        <v>5.143976089104816E-2</v>
      </c>
      <c r="S105" s="4">
        <v>20234900</v>
      </c>
      <c r="T105" s="4">
        <v>21487300</v>
      </c>
      <c r="U105" s="19">
        <v>54381000</v>
      </c>
      <c r="V105" s="8">
        <v>4.8539398726981084E-2</v>
      </c>
      <c r="W105" s="4">
        <v>17196700</v>
      </c>
      <c r="X105" s="4">
        <v>26735600</v>
      </c>
      <c r="Y105" s="19">
        <v>51314800</v>
      </c>
      <c r="Z105" s="8">
        <v>3.4755347612501174E-2</v>
      </c>
      <c r="AA105" s="4">
        <v>12100300</v>
      </c>
      <c r="AB105" s="4">
        <v>20394100</v>
      </c>
      <c r="AC105" s="19">
        <v>36742600</v>
      </c>
      <c r="AD105" s="38">
        <v>5.0677543217117808E-2</v>
      </c>
      <c r="AE105" s="4">
        <v>28404200</v>
      </c>
      <c r="AF105" s="4">
        <v>20222000</v>
      </c>
      <c r="AG105" s="19">
        <v>53575200</v>
      </c>
      <c r="AH105" s="38">
        <v>6.0102632448989307E-2</v>
      </c>
      <c r="AI105" s="4">
        <v>17655600</v>
      </c>
      <c r="AJ105" s="4">
        <v>22916200</v>
      </c>
      <c r="AK105" s="19">
        <v>63539200</v>
      </c>
      <c r="AL105" s="38">
        <v>3.7655993550832559E-2</v>
      </c>
      <c r="AM105" s="4">
        <v>18258100</v>
      </c>
      <c r="AN105" s="4">
        <v>17921500</v>
      </c>
      <c r="AO105" s="19">
        <v>39809100</v>
      </c>
      <c r="AP105" s="38">
        <v>7.6826206576010754E-3</v>
      </c>
      <c r="AQ105" s="4">
        <v>2573600</v>
      </c>
      <c r="AR105" s="4">
        <v>3242400</v>
      </c>
      <c r="AS105" s="19">
        <v>8121900</v>
      </c>
      <c r="AT105" s="38">
        <v>9.725795360616173E-3</v>
      </c>
      <c r="AU105" s="4">
        <v>2997400</v>
      </c>
      <c r="AV105" s="4">
        <v>6104100</v>
      </c>
      <c r="AW105" s="19">
        <v>10281900</v>
      </c>
      <c r="AX105" s="38">
        <v>3.2652958679667212E-3</v>
      </c>
      <c r="AY105" s="4">
        <v>670400</v>
      </c>
      <c r="AZ105" s="4">
        <v>717100</v>
      </c>
      <c r="BA105" s="19">
        <v>3452000</v>
      </c>
      <c r="BB105" s="38">
        <v>5.4116698117683687E-3</v>
      </c>
      <c r="BC105" s="4">
        <v>2579200</v>
      </c>
      <c r="BD105" s="4">
        <v>2113200</v>
      </c>
      <c r="BE105" s="19">
        <v>5721100</v>
      </c>
      <c r="BF105" s="38">
        <v>3.4687620154753081E-2</v>
      </c>
      <c r="BG105" s="4">
        <v>10855900</v>
      </c>
      <c r="BH105" s="4">
        <v>21093300</v>
      </c>
      <c r="BI105" s="19">
        <v>36671000</v>
      </c>
      <c r="BJ105" s="38">
        <v>1.9210760962256584E-2</v>
      </c>
      <c r="BK105" s="4">
        <v>6482700</v>
      </c>
      <c r="BL105" s="4">
        <v>11899800</v>
      </c>
      <c r="BM105" s="19">
        <v>20309200</v>
      </c>
      <c r="BN105" s="38">
        <v>3.3835635221880073E-2</v>
      </c>
      <c r="BO105" s="4">
        <v>15226000</v>
      </c>
      <c r="BP105" s="4">
        <v>18752100</v>
      </c>
      <c r="BQ105" s="19">
        <v>35770300</v>
      </c>
      <c r="BS105" s="4"/>
      <c r="BT105" s="4"/>
      <c r="BU105" s="19">
        <v>929900</v>
      </c>
      <c r="BW105" s="4"/>
      <c r="BX105" s="4"/>
      <c r="BY105" s="19">
        <v>4056800</v>
      </c>
      <c r="BZ105" s="8">
        <v>6.5471452346847221E-3</v>
      </c>
      <c r="CA105" s="4">
        <v>133100</v>
      </c>
      <c r="CB105" s="4">
        <v>250100</v>
      </c>
      <c r="CC105" s="19">
        <v>6921500</v>
      </c>
      <c r="CD105" s="38">
        <v>1.144963037077794E-2</v>
      </c>
      <c r="CE105" s="4">
        <v>2845200</v>
      </c>
      <c r="CF105" s="4">
        <v>4969600</v>
      </c>
      <c r="CG105" s="19">
        <v>12104301</v>
      </c>
      <c r="CH105" s="8">
        <v>1.2196617879942904E-3</v>
      </c>
      <c r="CI105" s="4">
        <v>608000</v>
      </c>
      <c r="CJ105" s="4">
        <v>679000</v>
      </c>
      <c r="CK105" s="19">
        <v>1289400</v>
      </c>
      <c r="CL105" s="8">
        <v>9.3553753542732505E-3</v>
      </c>
      <c r="CM105" s="4">
        <v>2385600</v>
      </c>
      <c r="CN105" s="4">
        <v>6742600</v>
      </c>
      <c r="CO105" s="19">
        <v>9887600</v>
      </c>
    </row>
    <row r="106" spans="1:93" x14ac:dyDescent="0.2">
      <c r="A106" s="33" t="s">
        <v>204</v>
      </c>
      <c r="B106" s="8">
        <v>0.26989999999999997</v>
      </c>
      <c r="C106" s="8">
        <v>0.25840000000000002</v>
      </c>
      <c r="D106" s="8">
        <v>0.53049999999999997</v>
      </c>
      <c r="E106" s="8">
        <v>7.6999999999999999E-2</v>
      </c>
      <c r="F106" s="8">
        <v>0.16890735718473998</v>
      </c>
      <c r="G106" s="4">
        <v>61067700</v>
      </c>
      <c r="H106" s="4">
        <v>45969000</v>
      </c>
      <c r="I106" s="19">
        <v>165905601</v>
      </c>
      <c r="J106" s="8">
        <v>0.22607063992338067</v>
      </c>
      <c r="K106" s="4">
        <v>110945000</v>
      </c>
      <c r="L106" s="4">
        <v>60598500</v>
      </c>
      <c r="M106" s="19">
        <v>222053000</v>
      </c>
      <c r="N106" s="8">
        <v>0.11232882134162958</v>
      </c>
      <c r="O106" s="4">
        <v>42597300</v>
      </c>
      <c r="P106" s="4">
        <v>32962600</v>
      </c>
      <c r="Q106" s="19">
        <v>110332557</v>
      </c>
      <c r="R106" s="8">
        <v>3.8120258481187635E-2</v>
      </c>
      <c r="S106" s="4">
        <v>16123600</v>
      </c>
      <c r="T106" s="4">
        <v>13498400</v>
      </c>
      <c r="U106" s="19">
        <v>37442800</v>
      </c>
      <c r="V106" s="8">
        <v>5.721958430834885E-2</v>
      </c>
      <c r="W106" s="4">
        <v>29766200</v>
      </c>
      <c r="X106" s="4">
        <v>17143300</v>
      </c>
      <c r="Y106" s="19">
        <v>56202700</v>
      </c>
      <c r="Z106" s="8">
        <v>3.8455109320720542E-2</v>
      </c>
      <c r="AA106" s="4">
        <v>16343300</v>
      </c>
      <c r="AB106" s="4">
        <v>12965300</v>
      </c>
      <c r="AC106" s="19">
        <v>37771700</v>
      </c>
      <c r="AD106" s="38">
        <v>2.3029674462055637E-2</v>
      </c>
      <c r="AE106" s="4">
        <v>10747400</v>
      </c>
      <c r="AF106" s="4">
        <v>9308900</v>
      </c>
      <c r="AG106" s="19">
        <v>22620400</v>
      </c>
      <c r="AH106" s="38">
        <v>6.4711528236456886E-2</v>
      </c>
      <c r="AI106" s="4">
        <v>22521100</v>
      </c>
      <c r="AJ106" s="4">
        <v>19949000</v>
      </c>
      <c r="AK106" s="19">
        <v>63561500</v>
      </c>
      <c r="AL106" s="38">
        <v>1.7729888720880556E-2</v>
      </c>
      <c r="AM106" s="4">
        <v>7527300</v>
      </c>
      <c r="AN106" s="4">
        <v>6473200</v>
      </c>
      <c r="AO106" s="19">
        <v>17414800</v>
      </c>
      <c r="AP106" s="38">
        <v>1.273919606235123E-2</v>
      </c>
      <c r="AQ106" s="4">
        <v>5825400</v>
      </c>
      <c r="AR106" s="4">
        <v>5134300</v>
      </c>
      <c r="AS106" s="19">
        <v>12512800</v>
      </c>
      <c r="AT106" s="38">
        <v>1.0377423555362995E-2</v>
      </c>
      <c r="AU106" s="4">
        <v>5279400</v>
      </c>
      <c r="AV106" s="4">
        <v>3942500</v>
      </c>
      <c r="AW106" s="19">
        <v>10193000</v>
      </c>
      <c r="AX106" s="38">
        <v>3.2024120272141961E-3</v>
      </c>
      <c r="AY106" s="4">
        <v>372800</v>
      </c>
      <c r="AZ106" s="4">
        <v>639700</v>
      </c>
      <c r="BA106" s="19">
        <v>3145500</v>
      </c>
      <c r="BB106" s="38">
        <v>2.6967251558368982E-3</v>
      </c>
      <c r="BC106" s="4">
        <v>1237200</v>
      </c>
      <c r="BD106" s="4">
        <v>1019500</v>
      </c>
      <c r="BE106" s="19">
        <v>2648800</v>
      </c>
      <c r="BF106" s="38">
        <v>2.4969664209063425E-2</v>
      </c>
      <c r="BG106" s="4">
        <v>10765200</v>
      </c>
      <c r="BH106" s="4">
        <v>14068700</v>
      </c>
      <c r="BI106" s="19">
        <v>24525913</v>
      </c>
      <c r="BJ106" s="38">
        <v>2.6496994328875978E-2</v>
      </c>
      <c r="BK106" s="4">
        <v>14839700</v>
      </c>
      <c r="BL106" s="4">
        <v>9806200</v>
      </c>
      <c r="BM106" s="19">
        <v>26026100</v>
      </c>
      <c r="BN106" s="38">
        <v>3.0064392753087883E-2</v>
      </c>
      <c r="BO106" s="4">
        <v>14902100</v>
      </c>
      <c r="BP106" s="4">
        <v>11714500</v>
      </c>
      <c r="BQ106" s="19">
        <v>29530100</v>
      </c>
      <c r="BS106" s="4"/>
      <c r="BT106" s="4"/>
      <c r="BU106" s="19">
        <v>801200</v>
      </c>
      <c r="BW106" s="4"/>
      <c r="BX106" s="4"/>
      <c r="BY106" s="19">
        <v>4690200</v>
      </c>
      <c r="BZ106" s="8">
        <v>5.4646150233896669E-3</v>
      </c>
      <c r="CA106" s="4">
        <v>223500</v>
      </c>
      <c r="CB106" s="4">
        <v>258800</v>
      </c>
      <c r="CC106" s="19">
        <v>5367500</v>
      </c>
      <c r="CD106" s="38">
        <v>1.3937288090208697E-2</v>
      </c>
      <c r="CE106" s="4">
        <v>5585500</v>
      </c>
      <c r="CF106" s="4">
        <v>4741400</v>
      </c>
      <c r="CG106" s="19">
        <v>13689600</v>
      </c>
      <c r="CH106" s="8">
        <v>5.4885402125931428E-4</v>
      </c>
      <c r="CI106" s="4">
        <v>202000</v>
      </c>
      <c r="CJ106" s="4">
        <v>278000</v>
      </c>
      <c r="CK106" s="19">
        <v>539100</v>
      </c>
      <c r="CL106" s="8">
        <v>7.342386043257371E-3</v>
      </c>
      <c r="CM106" s="4">
        <v>2126300</v>
      </c>
      <c r="CN106" s="4">
        <v>4418700</v>
      </c>
      <c r="CO106" s="19">
        <v>7209600</v>
      </c>
    </row>
    <row r="107" spans="1:93" x14ac:dyDescent="0.2">
      <c r="A107" s="33" t="s">
        <v>203</v>
      </c>
      <c r="B107" s="8">
        <v>0.30030000000000001</v>
      </c>
      <c r="C107" s="8">
        <v>0.26469999999999999</v>
      </c>
      <c r="D107" s="8">
        <v>0.50460000000000005</v>
      </c>
      <c r="E107" s="8">
        <v>7.1599999999999997E-2</v>
      </c>
      <c r="F107" s="8">
        <v>0.17991589176091094</v>
      </c>
      <c r="G107" s="4">
        <v>45044200</v>
      </c>
      <c r="H107" s="4">
        <v>57417100</v>
      </c>
      <c r="I107" s="19">
        <v>150449242</v>
      </c>
      <c r="J107" s="8">
        <v>0.16854777980452679</v>
      </c>
      <c r="K107" s="4">
        <v>57194200</v>
      </c>
      <c r="L107" s="4">
        <v>70517500</v>
      </c>
      <c r="M107" s="19">
        <v>140943001</v>
      </c>
      <c r="N107" s="8">
        <v>0.1112048449660059</v>
      </c>
      <c r="O107" s="4">
        <v>31065000</v>
      </c>
      <c r="P107" s="4">
        <v>37328500</v>
      </c>
      <c r="Q107" s="19">
        <v>92991700</v>
      </c>
      <c r="R107" s="8">
        <v>4.7016252344190615E-2</v>
      </c>
      <c r="S107" s="4">
        <v>18954400</v>
      </c>
      <c r="T107" s="4">
        <v>15955100</v>
      </c>
      <c r="U107" s="19">
        <v>39315924</v>
      </c>
      <c r="V107" s="8">
        <v>6.2430830018279128E-2</v>
      </c>
      <c r="W107" s="4">
        <v>22543800</v>
      </c>
      <c r="X107" s="4">
        <v>24495300</v>
      </c>
      <c r="Y107" s="19">
        <v>52205900</v>
      </c>
      <c r="Z107" s="8">
        <v>4.8140090755390469E-2</v>
      </c>
      <c r="AA107" s="4">
        <v>16369500</v>
      </c>
      <c r="AB107" s="4">
        <v>19008200</v>
      </c>
      <c r="AC107" s="19">
        <v>40255700</v>
      </c>
      <c r="AD107" s="38">
        <v>2.4886517255298723E-2</v>
      </c>
      <c r="AE107" s="4">
        <v>8398500</v>
      </c>
      <c r="AF107" s="4">
        <v>10035600</v>
      </c>
      <c r="AG107" s="19">
        <v>20810600</v>
      </c>
      <c r="AH107" s="38">
        <v>6.3639901994626269E-2</v>
      </c>
      <c r="AI107" s="4">
        <v>14847700</v>
      </c>
      <c r="AJ107" s="4">
        <v>16238500</v>
      </c>
      <c r="AK107" s="19">
        <v>53216950</v>
      </c>
      <c r="AL107" s="38">
        <v>2.160305063598579E-2</v>
      </c>
      <c r="AM107" s="4">
        <v>9374500</v>
      </c>
      <c r="AN107" s="4">
        <v>7950200</v>
      </c>
      <c r="AO107" s="19">
        <v>18064900</v>
      </c>
      <c r="AP107" s="38">
        <v>7.273819103897127E-3</v>
      </c>
      <c r="AQ107" s="4">
        <v>2861700</v>
      </c>
      <c r="AR107" s="4">
        <v>1891300</v>
      </c>
      <c r="AS107" s="19">
        <v>6082512</v>
      </c>
      <c r="AT107" s="38">
        <v>9.8050768492809089E-3</v>
      </c>
      <c r="AU107" s="4">
        <v>2839400</v>
      </c>
      <c r="AV107" s="4">
        <v>4075000</v>
      </c>
      <c r="AW107" s="19">
        <v>8199200</v>
      </c>
      <c r="AX107" s="38">
        <v>5.2511656381239672E-3</v>
      </c>
      <c r="AY107" s="4">
        <v>889200</v>
      </c>
      <c r="AZ107" s="4">
        <v>408400</v>
      </c>
      <c r="BA107" s="19">
        <v>4391129</v>
      </c>
      <c r="BB107" s="38">
        <v>2.8051235200212497E-3</v>
      </c>
      <c r="BC107" s="4">
        <v>972600</v>
      </c>
      <c r="BD107" s="4">
        <v>1098100</v>
      </c>
      <c r="BE107" s="19">
        <v>2345700</v>
      </c>
      <c r="BF107" s="38">
        <v>3.1937414124632947E-2</v>
      </c>
      <c r="BG107" s="4">
        <v>8216800</v>
      </c>
      <c r="BH107" s="4">
        <v>13227500</v>
      </c>
      <c r="BI107" s="19">
        <v>26706700</v>
      </c>
      <c r="BJ107" s="38">
        <v>2.0515657185520973E-2</v>
      </c>
      <c r="BK107" s="4">
        <v>6310000</v>
      </c>
      <c r="BL107" s="4">
        <v>9282700</v>
      </c>
      <c r="BM107" s="19">
        <v>17155600</v>
      </c>
      <c r="BN107" s="38">
        <v>3.971228327474513E-2</v>
      </c>
      <c r="BO107" s="4">
        <v>16467900</v>
      </c>
      <c r="BP107" s="4">
        <v>14028500</v>
      </c>
      <c r="BQ107" s="19">
        <v>33208200</v>
      </c>
      <c r="BS107" s="4"/>
      <c r="BT107" s="4"/>
      <c r="BU107" s="19">
        <v>1104800</v>
      </c>
      <c r="BW107" s="4"/>
      <c r="BX107" s="4"/>
      <c r="BY107" s="19">
        <v>4384000</v>
      </c>
      <c r="BZ107" s="8">
        <v>5.8591050374489969E-3</v>
      </c>
      <c r="CA107" s="4">
        <v>204600</v>
      </c>
      <c r="CB107" s="4">
        <v>186800</v>
      </c>
      <c r="CC107" s="19">
        <v>4899500</v>
      </c>
      <c r="CD107" s="38">
        <v>1.2040374152270942E-2</v>
      </c>
      <c r="CE107" s="4">
        <v>4144700</v>
      </c>
      <c r="CF107" s="4">
        <v>3709700</v>
      </c>
      <c r="CG107" s="19">
        <v>10068400</v>
      </c>
      <c r="CH107" s="8">
        <v>5.9876597453836365E-4</v>
      </c>
      <c r="CI107" s="4">
        <v>249500</v>
      </c>
      <c r="CJ107" s="4">
        <v>234200</v>
      </c>
      <c r="CK107" s="19">
        <v>500700</v>
      </c>
      <c r="CL107" s="8">
        <v>9.050610195923103E-3</v>
      </c>
      <c r="CM107" s="4">
        <v>2172300</v>
      </c>
      <c r="CN107" s="4">
        <v>5140800</v>
      </c>
      <c r="CO107" s="19">
        <v>7566700</v>
      </c>
    </row>
    <row r="108" spans="1:93" x14ac:dyDescent="0.2">
      <c r="A108" s="33" t="s">
        <v>201</v>
      </c>
      <c r="B108" s="8">
        <v>0.32390000000000002</v>
      </c>
      <c r="C108" s="8">
        <v>0.29249999999999998</v>
      </c>
      <c r="D108" s="8">
        <v>0.46729999999999999</v>
      </c>
      <c r="E108" s="8">
        <v>7.3300000000000004E-2</v>
      </c>
      <c r="F108" s="8">
        <v>0.23123059344024841</v>
      </c>
      <c r="G108" s="4">
        <v>52982100</v>
      </c>
      <c r="H108" s="4">
        <v>95130200</v>
      </c>
      <c r="I108" s="19">
        <v>225677606</v>
      </c>
      <c r="J108" s="8">
        <v>0.15655567520743191</v>
      </c>
      <c r="K108" s="4">
        <v>51949800</v>
      </c>
      <c r="L108" s="4">
        <v>81538000</v>
      </c>
      <c r="M108" s="19">
        <v>152796001</v>
      </c>
      <c r="N108" s="8">
        <v>0.11345439992623822</v>
      </c>
      <c r="O108" s="4">
        <v>28416500</v>
      </c>
      <c r="P108" s="4">
        <v>50898500</v>
      </c>
      <c r="Q108" s="19">
        <v>110729800</v>
      </c>
      <c r="R108" s="8">
        <v>3.4186691131194012E-2</v>
      </c>
      <c r="S108" s="4">
        <v>13054800</v>
      </c>
      <c r="T108" s="4">
        <v>15771900</v>
      </c>
      <c r="U108" s="19">
        <v>33365700</v>
      </c>
      <c r="V108" s="8">
        <v>5.2422420979953803E-2</v>
      </c>
      <c r="W108" s="4">
        <v>15283400</v>
      </c>
      <c r="X108" s="4">
        <v>27632100</v>
      </c>
      <c r="Y108" s="19">
        <v>51163500</v>
      </c>
      <c r="Z108" s="8">
        <v>3.9000391835913605E-2</v>
      </c>
      <c r="AA108" s="4">
        <v>14238100</v>
      </c>
      <c r="AB108" s="4">
        <v>17735400</v>
      </c>
      <c r="AC108" s="19">
        <v>38063800</v>
      </c>
      <c r="AD108" s="38">
        <v>2.7013630554875726E-2</v>
      </c>
      <c r="AE108" s="4">
        <v>6651400</v>
      </c>
      <c r="AF108" s="4">
        <v>16708600</v>
      </c>
      <c r="AG108" s="19">
        <v>26364900</v>
      </c>
      <c r="AH108" s="38">
        <v>4.7166295472803883E-2</v>
      </c>
      <c r="AI108" s="4">
        <v>10375300</v>
      </c>
      <c r="AJ108" s="4">
        <v>17703900</v>
      </c>
      <c r="AK108" s="19">
        <v>46033600</v>
      </c>
      <c r="AL108" s="38">
        <v>1.6120533549229533E-2</v>
      </c>
      <c r="AM108" s="4">
        <v>5642600</v>
      </c>
      <c r="AN108" s="4">
        <v>9494500</v>
      </c>
      <c r="AO108" s="19">
        <v>15733400</v>
      </c>
      <c r="AP108" s="38">
        <v>6.5820679268467413E-3</v>
      </c>
      <c r="AQ108" s="4">
        <v>2300000</v>
      </c>
      <c r="AR108" s="4">
        <v>2972800</v>
      </c>
      <c r="AS108" s="19">
        <v>6424000</v>
      </c>
      <c r="AT108" s="38">
        <v>1.468588044973221E-2</v>
      </c>
      <c r="AU108" s="4">
        <v>6535500</v>
      </c>
      <c r="AV108" s="4">
        <v>6170000</v>
      </c>
      <c r="AW108" s="19">
        <v>14333200</v>
      </c>
      <c r="AX108" s="38">
        <v>6.0097231036934737E-3</v>
      </c>
      <c r="AY108" s="4">
        <v>1029200</v>
      </c>
      <c r="AZ108" s="4">
        <v>675000</v>
      </c>
      <c r="BA108" s="19">
        <v>5865400</v>
      </c>
      <c r="BB108" s="38">
        <v>2.2752397319981124E-3</v>
      </c>
      <c r="BC108" s="4">
        <v>510600</v>
      </c>
      <c r="BD108" s="4">
        <v>1314500</v>
      </c>
      <c r="BE108" s="19">
        <v>2220600</v>
      </c>
      <c r="BF108" s="38">
        <v>2.9372478123553585E-2</v>
      </c>
      <c r="BG108" s="4">
        <v>7207900</v>
      </c>
      <c r="BH108" s="4">
        <v>14760700</v>
      </c>
      <c r="BI108" s="19">
        <v>28667100</v>
      </c>
      <c r="BJ108" s="38">
        <v>1.8770061795187344E-2</v>
      </c>
      <c r="BK108" s="4">
        <v>7653500</v>
      </c>
      <c r="BL108" s="4">
        <v>8754900</v>
      </c>
      <c r="BM108" s="19">
        <v>18319300</v>
      </c>
      <c r="BN108" s="38">
        <v>4.9487232625340188E-2</v>
      </c>
      <c r="BO108" s="4">
        <v>24496000</v>
      </c>
      <c r="BP108" s="4">
        <v>20567500</v>
      </c>
      <c r="BQ108" s="19">
        <v>48298800</v>
      </c>
      <c r="BS108" s="4"/>
      <c r="BT108" s="4"/>
      <c r="BU108" s="19">
        <v>1194300</v>
      </c>
      <c r="BW108" s="4"/>
      <c r="BX108" s="4"/>
      <c r="BY108" s="19">
        <v>5230000</v>
      </c>
      <c r="BZ108" s="8">
        <v>5.021388308824799E-3</v>
      </c>
      <c r="CA108" s="4">
        <v>89700</v>
      </c>
      <c r="CB108" s="4">
        <v>151000</v>
      </c>
      <c r="CC108" s="19">
        <v>4900800</v>
      </c>
      <c r="CD108" s="38">
        <v>9.7548234411201536E-3</v>
      </c>
      <c r="CE108" s="4">
        <v>2782600</v>
      </c>
      <c r="CF108" s="4">
        <v>2483900</v>
      </c>
      <c r="CG108" s="19">
        <v>9520562</v>
      </c>
      <c r="CH108" s="8">
        <v>7.8945880100177678E-4</v>
      </c>
      <c r="CI108" s="4">
        <v>594600</v>
      </c>
      <c r="CJ108" s="4">
        <v>175600</v>
      </c>
      <c r="CK108" s="19">
        <v>770500</v>
      </c>
      <c r="CL108" s="8">
        <v>6.282268257575982E-3</v>
      </c>
      <c r="CM108" s="4">
        <v>1626600</v>
      </c>
      <c r="CN108" s="4">
        <v>4219800</v>
      </c>
      <c r="CO108" s="19">
        <v>6122500</v>
      </c>
    </row>
    <row r="109" spans="1:93" x14ac:dyDescent="0.2">
      <c r="A109" s="33" t="s">
        <v>200</v>
      </c>
      <c r="B109" s="8">
        <v>0.32619999999999999</v>
      </c>
      <c r="C109" s="8">
        <v>0.32090000000000002</v>
      </c>
      <c r="D109" s="8">
        <v>0.48100000000000004</v>
      </c>
      <c r="E109" s="8">
        <v>6.88E-2</v>
      </c>
      <c r="F109" s="8">
        <v>0.24333127530093221</v>
      </c>
      <c r="G109" s="4">
        <v>77364700</v>
      </c>
      <c r="H109" s="4">
        <v>178061100</v>
      </c>
      <c r="I109" s="19">
        <v>327550900</v>
      </c>
      <c r="J109" s="8">
        <v>0.17008590259067302</v>
      </c>
      <c r="K109" s="4">
        <v>84790400</v>
      </c>
      <c r="L109" s="4">
        <v>120923900</v>
      </c>
      <c r="M109" s="19">
        <v>228954500</v>
      </c>
      <c r="N109" s="8">
        <v>0.120496306124015</v>
      </c>
      <c r="O109" s="4">
        <v>41170700</v>
      </c>
      <c r="P109" s="4">
        <v>75492200</v>
      </c>
      <c r="Q109" s="19">
        <v>162201400</v>
      </c>
      <c r="R109" s="8">
        <v>3.4180094278021982E-2</v>
      </c>
      <c r="S109" s="4">
        <v>17333100</v>
      </c>
      <c r="T109" s="4">
        <v>19241700</v>
      </c>
      <c r="U109" s="19">
        <v>46010200</v>
      </c>
      <c r="V109" s="8">
        <v>6.4265801015600366E-2</v>
      </c>
      <c r="W109" s="4">
        <v>24595400</v>
      </c>
      <c r="X109" s="4">
        <v>44947800</v>
      </c>
      <c r="Y109" s="19">
        <v>86508900</v>
      </c>
      <c r="Z109" s="8">
        <v>3.7956083106711232E-2</v>
      </c>
      <c r="AA109" s="4">
        <v>19721500</v>
      </c>
      <c r="AB109" s="4">
        <v>25551100</v>
      </c>
      <c r="AC109" s="19">
        <v>51093100</v>
      </c>
      <c r="AD109" s="38">
        <v>1.9025028764084646E-2</v>
      </c>
      <c r="AE109" s="4">
        <v>8340400</v>
      </c>
      <c r="AF109" s="4">
        <v>13760200</v>
      </c>
      <c r="AG109" s="19">
        <v>25609800</v>
      </c>
      <c r="AH109" s="38">
        <v>6.203024981802132E-2</v>
      </c>
      <c r="AI109" s="4">
        <v>19379300</v>
      </c>
      <c r="AJ109" s="4">
        <v>28296000</v>
      </c>
      <c r="AK109" s="19">
        <v>83499600</v>
      </c>
      <c r="AL109" s="38">
        <v>1.2609733021907599E-2</v>
      </c>
      <c r="AM109" s="4">
        <v>6247700</v>
      </c>
      <c r="AN109" s="4">
        <v>10223900</v>
      </c>
      <c r="AO109" s="19">
        <v>16974100</v>
      </c>
      <c r="AP109" s="38">
        <v>4.7811808419296045E-3</v>
      </c>
      <c r="AQ109" s="4">
        <v>2012100</v>
      </c>
      <c r="AR109" s="4">
        <v>3307600</v>
      </c>
      <c r="AS109" s="19">
        <v>6436000</v>
      </c>
      <c r="AT109" s="38">
        <v>7.0815855335267476E-3</v>
      </c>
      <c r="AU109" s="4">
        <v>2880300</v>
      </c>
      <c r="AV109" s="4">
        <v>5497700</v>
      </c>
      <c r="AW109" s="19">
        <v>9532600</v>
      </c>
      <c r="AX109" s="38">
        <v>3.8236074881000115E-3</v>
      </c>
      <c r="AY109" s="4">
        <v>603400</v>
      </c>
      <c r="AZ109" s="4">
        <v>587300</v>
      </c>
      <c r="BA109" s="19">
        <v>5147000</v>
      </c>
      <c r="BB109" s="38">
        <v>2.5829965486931688E-3</v>
      </c>
      <c r="BC109" s="4">
        <v>886100</v>
      </c>
      <c r="BD109" s="4">
        <v>2240600</v>
      </c>
      <c r="BE109" s="19">
        <v>3477000</v>
      </c>
      <c r="BF109" s="38">
        <v>4.5658271262262212E-2</v>
      </c>
      <c r="BG109" s="4">
        <v>17724700</v>
      </c>
      <c r="BH109" s="4">
        <v>34997800</v>
      </c>
      <c r="BI109" s="19">
        <v>61461100</v>
      </c>
      <c r="BJ109" s="38">
        <v>1.8166852861568009E-2</v>
      </c>
      <c r="BK109" s="4">
        <v>13346000</v>
      </c>
      <c r="BL109" s="4">
        <v>9806100</v>
      </c>
      <c r="BM109" s="19">
        <v>24454600</v>
      </c>
      <c r="BN109" s="38">
        <v>3.0816775734865971E-2</v>
      </c>
      <c r="BO109" s="4">
        <v>17543300</v>
      </c>
      <c r="BP109" s="4">
        <v>20818800</v>
      </c>
      <c r="BQ109" s="19">
        <v>41482800</v>
      </c>
      <c r="BS109" s="4"/>
      <c r="BT109" s="4"/>
      <c r="BU109" s="19">
        <v>1757500</v>
      </c>
      <c r="BW109" s="4"/>
      <c r="BX109" s="4"/>
      <c r="BY109" s="19">
        <v>4783200</v>
      </c>
      <c r="BZ109" s="8">
        <v>5.0787788912268388E-3</v>
      </c>
      <c r="CA109" s="4">
        <v>150900</v>
      </c>
      <c r="CB109" s="4">
        <v>332800</v>
      </c>
      <c r="CC109" s="19">
        <v>6836600</v>
      </c>
      <c r="CD109" s="38">
        <v>6.2808343170078045E-3</v>
      </c>
      <c r="CE109" s="4">
        <v>2115800</v>
      </c>
      <c r="CF109" s="4">
        <v>3400000</v>
      </c>
      <c r="CG109" s="19">
        <v>8454700</v>
      </c>
      <c r="CH109" s="8">
        <v>1.4622122826553822E-3</v>
      </c>
      <c r="CI109" s="4">
        <v>370000</v>
      </c>
      <c r="CJ109" s="4">
        <v>1593500</v>
      </c>
      <c r="CK109" s="19">
        <v>1968300</v>
      </c>
      <c r="CL109" s="8">
        <v>3.5067688260299406E-3</v>
      </c>
      <c r="CM109" s="4">
        <v>1180100</v>
      </c>
      <c r="CN109" s="4">
        <v>3524400</v>
      </c>
      <c r="CO109" s="19">
        <v>4716100</v>
      </c>
    </row>
    <row r="110" spans="1:93" x14ac:dyDescent="0.2">
      <c r="A110" s="33" t="s">
        <v>199</v>
      </c>
      <c r="B110" s="8">
        <v>0.26119999999999999</v>
      </c>
      <c r="C110" s="8">
        <v>0.25609999999999999</v>
      </c>
      <c r="D110" s="8">
        <v>0.53539999999999999</v>
      </c>
      <c r="E110" s="8">
        <v>7.85E-2</v>
      </c>
      <c r="F110" s="8">
        <v>0.18229741921574055</v>
      </c>
      <c r="G110" s="4">
        <v>45749400</v>
      </c>
      <c r="H110" s="4">
        <v>70558300</v>
      </c>
      <c r="I110" s="19">
        <v>185445208</v>
      </c>
      <c r="J110" s="8">
        <v>0.25638619917335886</v>
      </c>
      <c r="K110" s="4">
        <v>148178600</v>
      </c>
      <c r="L110" s="4">
        <v>82254500</v>
      </c>
      <c r="M110" s="19">
        <v>260813303</v>
      </c>
      <c r="N110" s="8">
        <v>0.12432709858246946</v>
      </c>
      <c r="O110" s="4">
        <v>42348000</v>
      </c>
      <c r="P110" s="4">
        <v>47233200</v>
      </c>
      <c r="Q110" s="19">
        <v>126473895</v>
      </c>
      <c r="R110" s="8">
        <v>3.0783648732647537E-2</v>
      </c>
      <c r="S110" s="4">
        <v>13745300</v>
      </c>
      <c r="T110" s="4">
        <v>12777200</v>
      </c>
      <c r="U110" s="19">
        <v>31315200</v>
      </c>
      <c r="V110" s="8">
        <v>5.3004394887056848E-2</v>
      </c>
      <c r="W110" s="4">
        <v>25037700</v>
      </c>
      <c r="X110" s="4">
        <v>20990300</v>
      </c>
      <c r="Y110" s="19">
        <v>53919639</v>
      </c>
      <c r="Z110" s="8">
        <v>3.2017444382183416E-2</v>
      </c>
      <c r="AA110" s="4">
        <v>14103400</v>
      </c>
      <c r="AB110" s="4">
        <v>13046200</v>
      </c>
      <c r="AC110" s="19">
        <v>32570300</v>
      </c>
      <c r="AD110" s="38">
        <v>2.9950042875897937E-2</v>
      </c>
      <c r="AE110" s="4">
        <v>13336100</v>
      </c>
      <c r="AF110" s="4">
        <v>12607200</v>
      </c>
      <c r="AG110" s="19">
        <v>30467200</v>
      </c>
      <c r="AH110" s="38">
        <v>4.8780710616061512E-2</v>
      </c>
      <c r="AI110" s="4">
        <v>11656300</v>
      </c>
      <c r="AJ110" s="4">
        <v>14963600</v>
      </c>
      <c r="AK110" s="19">
        <v>49623023</v>
      </c>
      <c r="AL110" s="38">
        <v>1.7398671484901967E-2</v>
      </c>
      <c r="AM110" s="4">
        <v>6411500</v>
      </c>
      <c r="AN110" s="4">
        <v>10182400</v>
      </c>
      <c r="AO110" s="19">
        <v>17699100</v>
      </c>
      <c r="AP110" s="38">
        <v>8.5933164126745145E-3</v>
      </c>
      <c r="AQ110" s="4">
        <v>3492700</v>
      </c>
      <c r="AR110" s="4">
        <v>2974800</v>
      </c>
      <c r="AS110" s="19">
        <v>8741700</v>
      </c>
      <c r="AT110" s="38">
        <v>6.8119754067594773E-3</v>
      </c>
      <c r="AU110" s="4">
        <v>2908600</v>
      </c>
      <c r="AV110" s="4">
        <v>2783300</v>
      </c>
      <c r="AW110" s="19">
        <v>6929600</v>
      </c>
      <c r="AX110" s="38">
        <v>3.317167392553378E-3</v>
      </c>
      <c r="AY110" s="4">
        <v>181100</v>
      </c>
      <c r="AZ110" s="4">
        <v>423400</v>
      </c>
      <c r="BA110" s="19">
        <v>3374446</v>
      </c>
      <c r="BB110" s="38">
        <v>2.5441906334699189E-3</v>
      </c>
      <c r="BC110" s="4">
        <v>1141000</v>
      </c>
      <c r="BD110" s="4">
        <v>1076100</v>
      </c>
      <c r="BE110" s="19">
        <v>2588122</v>
      </c>
      <c r="BF110" s="38">
        <v>2.5096648022190235E-2</v>
      </c>
      <c r="BG110" s="4">
        <v>8314300</v>
      </c>
      <c r="BH110" s="4">
        <v>12688900</v>
      </c>
      <c r="BI110" s="19">
        <v>25530000</v>
      </c>
      <c r="BJ110" s="38">
        <v>2.4544601390789782E-2</v>
      </c>
      <c r="BK110" s="4">
        <v>13447400</v>
      </c>
      <c r="BL110" s="4">
        <v>8780500</v>
      </c>
      <c r="BM110" s="19">
        <v>24968421</v>
      </c>
      <c r="BN110" s="38">
        <v>2.6501293551328801E-2</v>
      </c>
      <c r="BO110" s="4">
        <v>11884600</v>
      </c>
      <c r="BP110" s="4">
        <v>13013900</v>
      </c>
      <c r="BQ110" s="19">
        <v>26958900</v>
      </c>
      <c r="BS110" s="4"/>
      <c r="BT110" s="4"/>
      <c r="BU110" s="19">
        <v>1959700</v>
      </c>
      <c r="BW110" s="4"/>
      <c r="BX110" s="4"/>
      <c r="BY110" s="19">
        <v>4558100</v>
      </c>
      <c r="BZ110" s="8">
        <v>4.6566913962364813E-3</v>
      </c>
      <c r="CA110" s="4">
        <v>150200</v>
      </c>
      <c r="CB110" s="4">
        <v>134300</v>
      </c>
      <c r="CC110" s="19">
        <v>4737100</v>
      </c>
      <c r="CD110" s="38">
        <v>9.1759066379134904E-3</v>
      </c>
      <c r="CE110" s="4">
        <v>3011600</v>
      </c>
      <c r="CF110" s="4">
        <v>3287600</v>
      </c>
      <c r="CG110" s="19">
        <v>9334350</v>
      </c>
      <c r="CH110" s="8">
        <v>9.7516156827311834E-4</v>
      </c>
      <c r="CI110" s="4">
        <v>108500</v>
      </c>
      <c r="CJ110" s="4">
        <v>864300</v>
      </c>
      <c r="CK110" s="19">
        <v>992000</v>
      </c>
      <c r="CL110" s="8">
        <v>2.9372810141129815E-3</v>
      </c>
      <c r="CM110" s="4">
        <v>1130200</v>
      </c>
      <c r="CN110" s="4">
        <v>1716900</v>
      </c>
      <c r="CO110" s="19">
        <v>2978100</v>
      </c>
    </row>
    <row r="111" spans="1:93" x14ac:dyDescent="0.2">
      <c r="A111" s="33" t="s">
        <v>196</v>
      </c>
      <c r="B111" s="8">
        <v>0.30380000000000001</v>
      </c>
      <c r="C111" s="8">
        <v>0.27129999999999999</v>
      </c>
      <c r="D111" s="8">
        <v>0.45039999999999997</v>
      </c>
      <c r="E111" s="8">
        <v>0.1114</v>
      </c>
      <c r="F111" s="8">
        <v>0.19748885950314801</v>
      </c>
      <c r="G111" s="4">
        <v>54812100</v>
      </c>
      <c r="H111" s="4">
        <v>70437700</v>
      </c>
      <c r="I111" s="19">
        <v>209917528</v>
      </c>
      <c r="J111" s="8">
        <v>0.13666517959655233</v>
      </c>
      <c r="K111" s="4">
        <v>47015000</v>
      </c>
      <c r="L111" s="4">
        <v>76718600</v>
      </c>
      <c r="M111" s="19">
        <v>145266000</v>
      </c>
      <c r="N111" s="8">
        <v>0.16982924812596722</v>
      </c>
      <c r="O111" s="4">
        <v>34926200</v>
      </c>
      <c r="P111" s="4">
        <v>62380400</v>
      </c>
      <c r="Q111" s="19">
        <v>180517200</v>
      </c>
      <c r="R111" s="8">
        <v>2.4500027126343783E-2</v>
      </c>
      <c r="S111" s="4">
        <v>7961700</v>
      </c>
      <c r="T111" s="4">
        <v>11370300</v>
      </c>
      <c r="U111" s="19">
        <v>26041900</v>
      </c>
      <c r="V111" s="8">
        <v>5.0793583170075159E-2</v>
      </c>
      <c r="W111" s="4">
        <v>13755200</v>
      </c>
      <c r="X111" s="4">
        <v>27256200</v>
      </c>
      <c r="Y111" s="19">
        <v>53990202</v>
      </c>
      <c r="Z111" s="8">
        <v>3.8593737372946156E-2</v>
      </c>
      <c r="AA111" s="4">
        <v>11827400</v>
      </c>
      <c r="AB111" s="4">
        <v>16282300</v>
      </c>
      <c r="AC111" s="19">
        <v>41022577</v>
      </c>
      <c r="AD111" s="38">
        <v>2.9242562684190905E-2</v>
      </c>
      <c r="AE111" s="4">
        <v>12410900</v>
      </c>
      <c r="AF111" s="4">
        <v>15129200</v>
      </c>
      <c r="AG111" s="19">
        <v>31082900</v>
      </c>
      <c r="AH111" s="38">
        <v>6.2726594780997957E-2</v>
      </c>
      <c r="AI111" s="4">
        <v>10375600</v>
      </c>
      <c r="AJ111" s="4">
        <v>23768400</v>
      </c>
      <c r="AK111" s="19">
        <v>66674200</v>
      </c>
      <c r="AL111" s="38">
        <v>2.0480867007978638E-2</v>
      </c>
      <c r="AM111" s="4">
        <v>5997000</v>
      </c>
      <c r="AN111" s="4">
        <v>11008700</v>
      </c>
      <c r="AO111" s="19">
        <v>21769800</v>
      </c>
      <c r="AP111" s="38">
        <v>4.6632267406428955E-3</v>
      </c>
      <c r="AQ111" s="4">
        <v>1299500</v>
      </c>
      <c r="AR111" s="4">
        <v>2776500</v>
      </c>
      <c r="AS111" s="19">
        <v>4956700</v>
      </c>
      <c r="AT111" s="38">
        <v>7.3408165940824308E-3</v>
      </c>
      <c r="AU111" s="4">
        <v>1977800</v>
      </c>
      <c r="AV111" s="4">
        <v>3921400</v>
      </c>
      <c r="AW111" s="19">
        <v>7802800</v>
      </c>
      <c r="AX111" s="38">
        <v>4.2546405091862388E-3</v>
      </c>
      <c r="AY111" s="4">
        <v>129900</v>
      </c>
      <c r="AZ111" s="4">
        <v>220800</v>
      </c>
      <c r="BA111" s="19">
        <v>4522400</v>
      </c>
      <c r="BB111" s="38">
        <v>2.8689470707508043E-3</v>
      </c>
      <c r="BC111" s="4">
        <v>661600</v>
      </c>
      <c r="BD111" s="4">
        <v>1676000</v>
      </c>
      <c r="BE111" s="19">
        <v>3049500</v>
      </c>
      <c r="BF111" s="38">
        <v>3.0293145794178584E-2</v>
      </c>
      <c r="BG111" s="4">
        <v>5318800</v>
      </c>
      <c r="BH111" s="4">
        <v>17018400</v>
      </c>
      <c r="BI111" s="19">
        <v>32199600</v>
      </c>
      <c r="BJ111" s="38">
        <v>1.4052242930636649E-2</v>
      </c>
      <c r="BK111" s="4">
        <v>4532700</v>
      </c>
      <c r="BL111" s="4">
        <v>8315600</v>
      </c>
      <c r="BM111" s="19">
        <v>14936600</v>
      </c>
      <c r="BN111" s="38">
        <v>2.0830089225608642E-2</v>
      </c>
      <c r="BO111" s="4">
        <v>6715500</v>
      </c>
      <c r="BP111" s="4">
        <v>9377600</v>
      </c>
      <c r="BQ111" s="19">
        <v>22141000</v>
      </c>
      <c r="BS111" s="4"/>
      <c r="BT111" s="4"/>
      <c r="BU111" s="19">
        <v>1180100</v>
      </c>
      <c r="BW111" s="4"/>
      <c r="BX111" s="4"/>
      <c r="BY111" s="19">
        <v>3323500</v>
      </c>
      <c r="BZ111" s="8">
        <v>3.5457532759313676E-3</v>
      </c>
      <c r="CA111" s="4">
        <v>48500</v>
      </c>
      <c r="CB111" s="4">
        <v>123300</v>
      </c>
      <c r="CC111" s="19">
        <v>3768900</v>
      </c>
      <c r="CD111" s="38">
        <v>8.6435330649188673E-3</v>
      </c>
      <c r="CE111" s="4">
        <v>2511000</v>
      </c>
      <c r="CF111" s="4">
        <v>3651900</v>
      </c>
      <c r="CG111" s="19">
        <v>9187501</v>
      </c>
      <c r="CH111" s="8">
        <v>1.7491216245089014E-3</v>
      </c>
      <c r="CI111" s="4">
        <v>698100</v>
      </c>
      <c r="CJ111" s="4">
        <v>1127600</v>
      </c>
      <c r="CK111" s="19">
        <v>1859200</v>
      </c>
      <c r="CL111" s="8">
        <v>3.7925231780982591E-3</v>
      </c>
      <c r="CM111" s="4">
        <v>1416900</v>
      </c>
      <c r="CN111" s="4">
        <v>2183300</v>
      </c>
      <c r="CO111" s="19">
        <v>4024800</v>
      </c>
    </row>
    <row r="112" spans="1:93" x14ac:dyDescent="0.2">
      <c r="A112" s="33" t="s">
        <v>195</v>
      </c>
      <c r="B112" s="8">
        <v>0.2873</v>
      </c>
      <c r="C112" s="8">
        <v>0.2611</v>
      </c>
      <c r="D112" s="8">
        <v>0.4531</v>
      </c>
      <c r="E112" s="8">
        <v>6.9900000000000004E-2</v>
      </c>
      <c r="F112" s="8">
        <v>0.18019918168059165</v>
      </c>
      <c r="G112" s="4">
        <v>49227600</v>
      </c>
      <c r="H112" s="4">
        <v>46660800</v>
      </c>
      <c r="I112" s="19">
        <v>182216711</v>
      </c>
      <c r="J112" s="8">
        <v>0.14989612197943322</v>
      </c>
      <c r="K112" s="4">
        <v>71893600</v>
      </c>
      <c r="L112" s="4">
        <v>65684600</v>
      </c>
      <c r="M112" s="19">
        <v>151574375</v>
      </c>
      <c r="N112" s="8">
        <v>0.12088130003055876</v>
      </c>
      <c r="O112" s="4">
        <v>33508100</v>
      </c>
      <c r="P112" s="4">
        <v>54278300</v>
      </c>
      <c r="Q112" s="19">
        <v>122234700</v>
      </c>
      <c r="R112" s="8">
        <v>2.3025306207987605E-2</v>
      </c>
      <c r="S112" s="4">
        <v>6582300</v>
      </c>
      <c r="T112" s="4">
        <v>9906600</v>
      </c>
      <c r="U112" s="19">
        <v>23283100</v>
      </c>
      <c r="V112" s="8">
        <v>5.4832292782946802E-2</v>
      </c>
      <c r="W112" s="4">
        <v>21967800</v>
      </c>
      <c r="X112" s="4">
        <v>23348000</v>
      </c>
      <c r="Y112" s="19">
        <v>55446201</v>
      </c>
      <c r="Z112" s="8">
        <v>5.019125335695146E-2</v>
      </c>
      <c r="AA112" s="4">
        <v>27211300</v>
      </c>
      <c r="AB112" s="4">
        <v>16159300</v>
      </c>
      <c r="AC112" s="19">
        <v>50753200</v>
      </c>
      <c r="AD112" s="38">
        <v>1.8744336403977078E-2</v>
      </c>
      <c r="AE112" s="4">
        <v>7099600</v>
      </c>
      <c r="AF112" s="4">
        <v>8625000</v>
      </c>
      <c r="AG112" s="19">
        <v>18954200</v>
      </c>
      <c r="AH112" s="38">
        <v>7.6320606325277318E-2</v>
      </c>
      <c r="AI112" s="4">
        <v>21394100</v>
      </c>
      <c r="AJ112" s="4">
        <v>20505900</v>
      </c>
      <c r="AK112" s="19">
        <v>77175100</v>
      </c>
      <c r="AL112" s="38">
        <v>1.3104876401586068E-2</v>
      </c>
      <c r="AM112" s="4">
        <v>4470300</v>
      </c>
      <c r="AN112" s="4">
        <v>8037900</v>
      </c>
      <c r="AO112" s="19">
        <v>13251600</v>
      </c>
      <c r="AP112" s="38">
        <v>5.052827997091963E-3</v>
      </c>
      <c r="AQ112" s="4">
        <v>1472100</v>
      </c>
      <c r="AR112" s="4">
        <v>1929500</v>
      </c>
      <c r="AS112" s="19">
        <v>5109400</v>
      </c>
      <c r="AT112" s="38">
        <v>8.6195941021359173E-3</v>
      </c>
      <c r="AU112" s="4">
        <v>3453300</v>
      </c>
      <c r="AV112" s="4">
        <v>3789400</v>
      </c>
      <c r="AW112" s="19">
        <v>8716100</v>
      </c>
      <c r="AX112" s="38">
        <v>6.2301466119073969E-3</v>
      </c>
      <c r="AY112" s="4">
        <v>226000</v>
      </c>
      <c r="AZ112" s="4">
        <v>412600</v>
      </c>
      <c r="BA112" s="19">
        <v>6299900</v>
      </c>
      <c r="BB112" s="38">
        <v>3.0450077672223475E-3</v>
      </c>
      <c r="BC112" s="4">
        <v>1016300</v>
      </c>
      <c r="BD112" s="4">
        <v>1834700</v>
      </c>
      <c r="BE112" s="19">
        <v>3079100</v>
      </c>
      <c r="BF112" s="38">
        <v>2.3799933399071126E-2</v>
      </c>
      <c r="BG112" s="4">
        <v>8899900</v>
      </c>
      <c r="BH112" s="4">
        <v>14143700</v>
      </c>
      <c r="BI112" s="19">
        <v>24066400</v>
      </c>
      <c r="BJ112" s="38">
        <v>1.4352507787097325E-2</v>
      </c>
      <c r="BK112" s="4">
        <v>7095800</v>
      </c>
      <c r="BL112" s="4">
        <v>6399200</v>
      </c>
      <c r="BM112" s="19">
        <v>14513200</v>
      </c>
      <c r="BN112" s="38">
        <v>4.4417002487530347E-2</v>
      </c>
      <c r="BO112" s="4">
        <v>25946700</v>
      </c>
      <c r="BP112" s="4">
        <v>14281300</v>
      </c>
      <c r="BQ112" s="19">
        <v>44914300</v>
      </c>
      <c r="BS112" s="4"/>
      <c r="BT112" s="4"/>
      <c r="BU112" s="19">
        <v>745700</v>
      </c>
      <c r="BW112" s="4"/>
      <c r="BX112" s="4"/>
      <c r="BY112" s="19">
        <v>3829800</v>
      </c>
      <c r="BZ112" s="8">
        <v>6.7889897443997975E-3</v>
      </c>
      <c r="CA112" s="4">
        <v>146900</v>
      </c>
      <c r="CB112" s="4">
        <v>240600</v>
      </c>
      <c r="CC112" s="19">
        <v>6865000</v>
      </c>
      <c r="CD112" s="38">
        <v>9.8819783134311452E-3</v>
      </c>
      <c r="CE112" s="4">
        <v>2404300</v>
      </c>
      <c r="CF112" s="4">
        <v>3126700</v>
      </c>
      <c r="CG112" s="19">
        <v>9992618</v>
      </c>
      <c r="CH112" s="8">
        <v>5.7812722572121212E-4</v>
      </c>
      <c r="CI112" s="4">
        <v>197100</v>
      </c>
      <c r="CJ112" s="4">
        <v>385400</v>
      </c>
      <c r="CK112" s="19">
        <v>584600</v>
      </c>
      <c r="CL112" s="8">
        <v>2.8802523860982387E-3</v>
      </c>
      <c r="CM112" s="4">
        <v>1243800</v>
      </c>
      <c r="CN112" s="4">
        <v>1490100</v>
      </c>
      <c r="CO112" s="19">
        <v>2907700</v>
      </c>
    </row>
    <row r="113" spans="1:93" x14ac:dyDescent="0.2">
      <c r="A113" s="33" t="s">
        <v>193</v>
      </c>
      <c r="B113" s="8">
        <v>0.28220000000000001</v>
      </c>
      <c r="C113" s="8">
        <v>0.25730000000000003</v>
      </c>
      <c r="D113" s="8">
        <v>0.49020000000000002</v>
      </c>
      <c r="E113" s="8">
        <v>8.900000000000001E-2</v>
      </c>
      <c r="F113" s="8">
        <v>0.20308879237342317</v>
      </c>
      <c r="G113" s="4">
        <v>70729400</v>
      </c>
      <c r="H113" s="4">
        <v>85935100</v>
      </c>
      <c r="I113" s="19">
        <v>240271585</v>
      </c>
      <c r="J113" s="8">
        <v>0.12553910349119529</v>
      </c>
      <c r="K113" s="4">
        <v>56321500</v>
      </c>
      <c r="L113" s="4">
        <v>67165100</v>
      </c>
      <c r="M113" s="19">
        <v>148523604</v>
      </c>
      <c r="N113" s="8">
        <v>0.17694684245474335</v>
      </c>
      <c r="O113" s="4">
        <v>90622300</v>
      </c>
      <c r="P113" s="4">
        <v>68824000</v>
      </c>
      <c r="Q113" s="19">
        <v>209343400</v>
      </c>
      <c r="R113" s="8">
        <v>4.6649340865036949E-2</v>
      </c>
      <c r="S113" s="4">
        <v>29922700</v>
      </c>
      <c r="T113" s="4">
        <v>20827700</v>
      </c>
      <c r="U113" s="19">
        <v>55190200</v>
      </c>
      <c r="V113" s="8">
        <v>5.7517757722753068E-2</v>
      </c>
      <c r="W113" s="4">
        <v>30706400</v>
      </c>
      <c r="X113" s="4">
        <v>29276700</v>
      </c>
      <c r="Y113" s="19">
        <v>68048476</v>
      </c>
      <c r="Z113" s="8">
        <v>3.2062324875847779E-2</v>
      </c>
      <c r="AA113" s="4">
        <v>14421100</v>
      </c>
      <c r="AB113" s="4">
        <v>15698200</v>
      </c>
      <c r="AC113" s="19">
        <v>37932500</v>
      </c>
      <c r="AD113" s="38">
        <v>2.2520164512348916E-2</v>
      </c>
      <c r="AE113" s="4">
        <v>9018500</v>
      </c>
      <c r="AF113" s="4">
        <v>14875800</v>
      </c>
      <c r="AG113" s="19">
        <v>26643300</v>
      </c>
      <c r="AH113" s="38">
        <v>5.4818063057008357E-2</v>
      </c>
      <c r="AI113" s="4">
        <v>16859800</v>
      </c>
      <c r="AJ113" s="4">
        <v>21097100</v>
      </c>
      <c r="AK113" s="19">
        <v>64854504</v>
      </c>
      <c r="AL113" s="38">
        <v>1.5067876903230424E-2</v>
      </c>
      <c r="AM113" s="4">
        <v>7276400</v>
      </c>
      <c r="AN113" s="4">
        <v>9768200</v>
      </c>
      <c r="AO113" s="19">
        <v>17826600</v>
      </c>
      <c r="AP113" s="38">
        <v>8.2934780863812216E-3</v>
      </c>
      <c r="AQ113" s="4">
        <v>4409500</v>
      </c>
      <c r="AR113" s="4">
        <v>3533900</v>
      </c>
      <c r="AS113" s="19">
        <v>9811901</v>
      </c>
      <c r="AT113" s="38">
        <v>8.4228000040950518E-3</v>
      </c>
      <c r="AU113" s="4">
        <v>3352700</v>
      </c>
      <c r="AV113" s="4">
        <v>5022400</v>
      </c>
      <c r="AW113" s="19">
        <v>9964900</v>
      </c>
      <c r="AX113" s="38">
        <v>4.9916625530194592E-3</v>
      </c>
      <c r="AY113" s="4">
        <v>352600</v>
      </c>
      <c r="AZ113" s="4">
        <v>426900</v>
      </c>
      <c r="BA113" s="19">
        <v>5905568</v>
      </c>
      <c r="BB113" s="38">
        <v>2.1066086413517545E-3</v>
      </c>
      <c r="BC113" s="4">
        <v>833800</v>
      </c>
      <c r="BD113" s="4">
        <v>1232500</v>
      </c>
      <c r="BE113" s="19">
        <v>2492300</v>
      </c>
      <c r="BF113" s="38">
        <v>3.3554946229522327E-2</v>
      </c>
      <c r="BG113" s="4">
        <v>16730500</v>
      </c>
      <c r="BH113" s="4">
        <v>21141800</v>
      </c>
      <c r="BI113" s="19">
        <v>39698400</v>
      </c>
      <c r="BJ113" s="38">
        <v>1.5365287138660874E-2</v>
      </c>
      <c r="BK113" s="4">
        <v>6926300</v>
      </c>
      <c r="BL113" s="4">
        <v>9837400</v>
      </c>
      <c r="BM113" s="19">
        <v>18178462</v>
      </c>
      <c r="BN113" s="38">
        <v>2.6556640685672872E-2</v>
      </c>
      <c r="BO113" s="4">
        <v>16195400</v>
      </c>
      <c r="BP113" s="4">
        <v>13838000</v>
      </c>
      <c r="BQ113" s="19">
        <v>31418800</v>
      </c>
      <c r="BS113" s="4"/>
      <c r="BT113" s="4"/>
      <c r="BU113" s="19">
        <v>1471400</v>
      </c>
      <c r="BW113" s="4"/>
      <c r="BX113" s="4"/>
      <c r="BY113" s="19">
        <v>7885800</v>
      </c>
      <c r="BZ113" s="8">
        <v>4.4353481461417953E-3</v>
      </c>
      <c r="CA113" s="4">
        <v>66100</v>
      </c>
      <c r="CB113" s="4">
        <v>187800</v>
      </c>
      <c r="CC113" s="19">
        <v>5247400</v>
      </c>
      <c r="CD113" s="38">
        <v>7.0808016331629087E-3</v>
      </c>
      <c r="CE113" s="4">
        <v>2447800</v>
      </c>
      <c r="CF113" s="4">
        <v>2636100</v>
      </c>
      <c r="CG113" s="19">
        <v>8377200</v>
      </c>
      <c r="CH113" s="8">
        <v>6.6402589922799756E-4</v>
      </c>
      <c r="CI113" s="4">
        <v>95600</v>
      </c>
      <c r="CJ113" s="4">
        <v>661100</v>
      </c>
      <c r="CK113" s="19">
        <v>785600</v>
      </c>
      <c r="CL113" s="8">
        <v>4.2207932299219162E-3</v>
      </c>
      <c r="CM113" s="4">
        <v>2165500</v>
      </c>
      <c r="CN113" s="4">
        <v>2639200</v>
      </c>
      <c r="CO113" s="19">
        <v>4979963</v>
      </c>
    </row>
    <row r="114" spans="1:93" x14ac:dyDescent="0.2">
      <c r="A114" s="33" t="s">
        <v>189</v>
      </c>
      <c r="B114" s="8">
        <v>0.28870000000000001</v>
      </c>
      <c r="C114" s="8">
        <v>0.2717</v>
      </c>
      <c r="D114" s="8">
        <v>0.50979999999999992</v>
      </c>
      <c r="E114" s="8">
        <v>7.7300000000000008E-2</v>
      </c>
      <c r="F114" s="8">
        <v>0.22327803488820538</v>
      </c>
      <c r="G114" s="4">
        <v>60067900</v>
      </c>
      <c r="H114" s="4">
        <v>71675000</v>
      </c>
      <c r="I114" s="19">
        <v>214777396</v>
      </c>
      <c r="J114" s="8">
        <v>0.18629107162989145</v>
      </c>
      <c r="K114" s="4">
        <v>94346600</v>
      </c>
      <c r="L114" s="4">
        <v>68591900</v>
      </c>
      <c r="M114" s="19">
        <v>179198600</v>
      </c>
      <c r="N114" s="8">
        <v>0.11017258962011867</v>
      </c>
      <c r="O114" s="4">
        <v>40894100</v>
      </c>
      <c r="P114" s="4">
        <v>36028700</v>
      </c>
      <c r="Q114" s="19">
        <v>105978100</v>
      </c>
      <c r="R114" s="8">
        <v>2.4704239535862732E-2</v>
      </c>
      <c r="S114" s="4">
        <v>8022500</v>
      </c>
      <c r="T114" s="4">
        <v>9564600</v>
      </c>
      <c r="U114" s="19">
        <v>23763700</v>
      </c>
      <c r="V114" s="8">
        <v>4.9146505205575099E-2</v>
      </c>
      <c r="W114" s="4">
        <v>19708200</v>
      </c>
      <c r="X114" s="4">
        <v>19021700</v>
      </c>
      <c r="Y114" s="19">
        <v>47275400</v>
      </c>
      <c r="Z114" s="8">
        <v>4.15074980075614E-2</v>
      </c>
      <c r="AA114" s="4">
        <v>18965100</v>
      </c>
      <c r="AB114" s="4">
        <v>16096300</v>
      </c>
      <c r="AC114" s="19">
        <v>39927225</v>
      </c>
      <c r="AD114" s="38">
        <v>2.309133297502031E-2</v>
      </c>
      <c r="AE114" s="4">
        <v>9693600</v>
      </c>
      <c r="AF114" s="4">
        <v>9775600</v>
      </c>
      <c r="AG114" s="19">
        <v>22212200</v>
      </c>
      <c r="AH114" s="38">
        <v>8.3479635774947825E-2</v>
      </c>
      <c r="AI114" s="4">
        <v>25925000</v>
      </c>
      <c r="AJ114" s="4">
        <v>16822900</v>
      </c>
      <c r="AK114" s="19">
        <v>80301400</v>
      </c>
      <c r="AL114" s="38">
        <v>2.4660265351187493E-2</v>
      </c>
      <c r="AM114" s="4">
        <v>7561700</v>
      </c>
      <c r="AN114" s="4">
        <v>6637500</v>
      </c>
      <c r="AO114" s="19">
        <v>23721400</v>
      </c>
      <c r="AP114" s="38">
        <v>4.8974558866443077E-3</v>
      </c>
      <c r="AQ114" s="4">
        <v>1314400</v>
      </c>
      <c r="AR114" s="4">
        <v>1916400</v>
      </c>
      <c r="AS114" s="19">
        <v>4711000</v>
      </c>
      <c r="AT114" s="38">
        <v>6.5206542779426349E-3</v>
      </c>
      <c r="AU114" s="4">
        <v>2015400</v>
      </c>
      <c r="AV114" s="4">
        <v>3306400</v>
      </c>
      <c r="AW114" s="19">
        <v>6272400</v>
      </c>
      <c r="AX114" s="38">
        <v>4.3845276899832373E-3</v>
      </c>
      <c r="AY114" s="4">
        <v>1056800</v>
      </c>
      <c r="AZ114" s="4">
        <v>776800</v>
      </c>
      <c r="BA114" s="19">
        <v>4217600</v>
      </c>
      <c r="BB114" s="38">
        <v>5.6686154656535939E-3</v>
      </c>
      <c r="BC114" s="4">
        <v>2915600</v>
      </c>
      <c r="BD114" s="4">
        <v>2176500</v>
      </c>
      <c r="BE114" s="19">
        <v>5452800</v>
      </c>
      <c r="BF114" s="38">
        <v>2.8950191367283096E-2</v>
      </c>
      <c r="BG114" s="4">
        <v>12817800</v>
      </c>
      <c r="BH114" s="4">
        <v>13701500</v>
      </c>
      <c r="BI114" s="19">
        <v>27848000</v>
      </c>
      <c r="BJ114" s="38">
        <v>1.5136683653554611E-2</v>
      </c>
      <c r="BK114" s="4">
        <v>6517500</v>
      </c>
      <c r="BL114" s="4">
        <v>7003400</v>
      </c>
      <c r="BM114" s="19">
        <v>14560400</v>
      </c>
      <c r="BN114" s="38">
        <v>2.2156751603317225E-2</v>
      </c>
      <c r="BO114" s="4">
        <v>10100800</v>
      </c>
      <c r="BP114" s="4">
        <v>9548200</v>
      </c>
      <c r="BQ114" s="19">
        <v>21313200</v>
      </c>
      <c r="BS114" s="4"/>
      <c r="BT114" s="4"/>
      <c r="BU114" s="19">
        <v>692400</v>
      </c>
      <c r="BW114" s="4"/>
      <c r="BX114" s="4"/>
      <c r="BY114" s="19">
        <v>4372700</v>
      </c>
      <c r="BZ114" s="8">
        <v>4.6179131382005261E-3</v>
      </c>
      <c r="CA114" s="4">
        <v>91100</v>
      </c>
      <c r="CB114" s="4">
        <v>203300</v>
      </c>
      <c r="CC114" s="19">
        <v>4442100</v>
      </c>
      <c r="CD114" s="38">
        <v>1.0377699667589781E-2</v>
      </c>
      <c r="CE114" s="4">
        <v>3181000</v>
      </c>
      <c r="CF114" s="4">
        <v>2137300</v>
      </c>
      <c r="CG114" s="19">
        <v>9982600</v>
      </c>
      <c r="CH114" s="8">
        <v>1.2299257184226024E-3</v>
      </c>
      <c r="CI114" s="4">
        <v>39100</v>
      </c>
      <c r="CJ114" s="4">
        <v>1143800</v>
      </c>
      <c r="CK114" s="19">
        <v>1183100</v>
      </c>
      <c r="CL114" s="8">
        <v>4.3451276521772894E-3</v>
      </c>
      <c r="CM114" s="4">
        <v>1585300</v>
      </c>
      <c r="CN114" s="4">
        <v>1866800</v>
      </c>
      <c r="CO114" s="19">
        <v>4174100</v>
      </c>
    </row>
    <row r="115" spans="1:93" x14ac:dyDescent="0.2">
      <c r="A115" s="33" t="s">
        <v>185</v>
      </c>
      <c r="B115" s="8">
        <v>0.32100000000000001</v>
      </c>
      <c r="C115" s="8">
        <v>0.32170000000000004</v>
      </c>
      <c r="D115" s="8">
        <v>0.45990000000000003</v>
      </c>
      <c r="E115" s="8">
        <v>6.4100000000000004E-2</v>
      </c>
      <c r="F115" s="8">
        <v>0.24016471870802761</v>
      </c>
      <c r="G115" s="4">
        <v>72616000</v>
      </c>
      <c r="H115" s="4">
        <v>97520200</v>
      </c>
      <c r="I115" s="19">
        <v>262066204</v>
      </c>
      <c r="J115" s="8">
        <v>0.17851706058393305</v>
      </c>
      <c r="K115" s="4">
        <v>88292600</v>
      </c>
      <c r="L115" s="4">
        <v>81776000</v>
      </c>
      <c r="M115" s="19">
        <v>194796674</v>
      </c>
      <c r="N115" s="8">
        <v>0.1377830661763412</v>
      </c>
      <c r="O115" s="4">
        <v>69618100</v>
      </c>
      <c r="P115" s="4">
        <v>57056700</v>
      </c>
      <c r="Q115" s="19">
        <v>150348000</v>
      </c>
      <c r="R115" s="8">
        <v>2.4070614050522292E-2</v>
      </c>
      <c r="S115" s="4">
        <v>9278600</v>
      </c>
      <c r="T115" s="4">
        <v>12869000</v>
      </c>
      <c r="U115" s="19">
        <v>26265700</v>
      </c>
      <c r="V115" s="8">
        <v>5.0460523228875245E-2</v>
      </c>
      <c r="W115" s="4">
        <v>24693500</v>
      </c>
      <c r="X115" s="4">
        <v>23950400</v>
      </c>
      <c r="Y115" s="19">
        <v>55062200</v>
      </c>
      <c r="Z115" s="8">
        <v>3.428475020381351E-2</v>
      </c>
      <c r="AA115" s="4">
        <v>15502900</v>
      </c>
      <c r="AB115" s="4">
        <v>15462800</v>
      </c>
      <c r="AC115" s="19">
        <v>37411300</v>
      </c>
      <c r="AD115" s="38">
        <v>2.0191650684168234E-2</v>
      </c>
      <c r="AE115" s="4">
        <v>7474000</v>
      </c>
      <c r="AF115" s="4">
        <v>11722000</v>
      </c>
      <c r="AG115" s="19">
        <v>22033000</v>
      </c>
      <c r="AH115" s="38">
        <v>4.6857129660584522E-2</v>
      </c>
      <c r="AI115" s="4">
        <v>11228900</v>
      </c>
      <c r="AJ115" s="4">
        <v>16155400</v>
      </c>
      <c r="AK115" s="19">
        <v>51130200</v>
      </c>
      <c r="AL115" s="38">
        <v>1.9018714919149086E-2</v>
      </c>
      <c r="AM115" s="4">
        <v>5987600</v>
      </c>
      <c r="AN115" s="4">
        <v>12419000</v>
      </c>
      <c r="AO115" s="19">
        <v>20753100</v>
      </c>
      <c r="AP115" s="38">
        <v>5.2327103091513736E-3</v>
      </c>
      <c r="AQ115" s="4">
        <v>2018700</v>
      </c>
      <c r="AR115" s="4">
        <v>2652700</v>
      </c>
      <c r="AS115" s="19">
        <v>5709900</v>
      </c>
      <c r="AT115" s="38">
        <v>1.0248410547862451E-2</v>
      </c>
      <c r="AU115" s="4">
        <v>5139000</v>
      </c>
      <c r="AV115" s="4">
        <v>4909500</v>
      </c>
      <c r="AW115" s="19">
        <v>11183000</v>
      </c>
      <c r="AX115" s="38">
        <v>5.3049248089431606E-3</v>
      </c>
      <c r="AY115" s="4">
        <v>305300</v>
      </c>
      <c r="AZ115" s="4">
        <v>214400</v>
      </c>
      <c r="BA115" s="19">
        <v>5788700</v>
      </c>
      <c r="BB115" s="38">
        <v>2.6761520595428713E-3</v>
      </c>
      <c r="BC115" s="4">
        <v>616700</v>
      </c>
      <c r="BD115" s="4">
        <v>1955000</v>
      </c>
      <c r="BE115" s="19">
        <v>2920200</v>
      </c>
      <c r="BF115" s="38">
        <v>2.824420891031619E-2</v>
      </c>
      <c r="BG115" s="4">
        <v>9445500</v>
      </c>
      <c r="BH115" s="4">
        <v>14558400</v>
      </c>
      <c r="BI115" s="19">
        <v>30819900</v>
      </c>
      <c r="BJ115" s="38">
        <v>1.1479539469439703E-2</v>
      </c>
      <c r="BK115" s="4">
        <v>3823100</v>
      </c>
      <c r="BL115" s="4">
        <v>6396700</v>
      </c>
      <c r="BM115" s="19">
        <v>12526400</v>
      </c>
      <c r="BN115" s="38">
        <v>2.7994024158499463E-2</v>
      </c>
      <c r="BO115" s="4">
        <v>13740900</v>
      </c>
      <c r="BP115" s="4">
        <v>14629800</v>
      </c>
      <c r="BQ115" s="19">
        <v>30546900</v>
      </c>
      <c r="BS115" s="4"/>
      <c r="BT115" s="4"/>
      <c r="BU115" s="19">
        <v>955900</v>
      </c>
      <c r="BW115" s="4"/>
      <c r="BX115" s="4"/>
      <c r="BY115" s="19">
        <v>3954200</v>
      </c>
      <c r="BZ115" s="8">
        <v>9.995109941993794E-3</v>
      </c>
      <c r="CA115" s="4">
        <v>285200</v>
      </c>
      <c r="CB115" s="4">
        <v>209400</v>
      </c>
      <c r="CC115" s="19">
        <v>10906600</v>
      </c>
      <c r="CD115" s="38">
        <v>7.836465499797652E-3</v>
      </c>
      <c r="CE115" s="4">
        <v>2054400</v>
      </c>
      <c r="CF115" s="4">
        <v>2021800</v>
      </c>
      <c r="CG115" s="19">
        <v>8551101</v>
      </c>
      <c r="CH115" s="8">
        <v>1.3077422741482356E-3</v>
      </c>
      <c r="CI115" s="4">
        <v>208400</v>
      </c>
      <c r="CJ115" s="4">
        <v>1211300</v>
      </c>
      <c r="CK115" s="19">
        <v>1427000</v>
      </c>
      <c r="CL115" s="8">
        <v>5.3993168581633914E-3</v>
      </c>
      <c r="CM115" s="4">
        <v>2157100</v>
      </c>
      <c r="CN115" s="4">
        <v>3548400</v>
      </c>
      <c r="CO115" s="19">
        <v>5891300</v>
      </c>
    </row>
    <row r="116" spans="1:93" x14ac:dyDescent="0.2">
      <c r="A116" s="33" t="s">
        <v>181</v>
      </c>
      <c r="B116" s="8">
        <v>0.3221</v>
      </c>
      <c r="C116" s="8">
        <v>0.34960000000000002</v>
      </c>
      <c r="D116" s="8">
        <v>0.42799999999999999</v>
      </c>
      <c r="E116" s="8">
        <v>7.6499999999999999E-2</v>
      </c>
      <c r="F116" s="8">
        <v>0.25345154656217983</v>
      </c>
      <c r="G116" s="4">
        <v>81181800</v>
      </c>
      <c r="H116" s="4">
        <v>73290700</v>
      </c>
      <c r="I116" s="19">
        <v>246039607</v>
      </c>
      <c r="J116" s="8">
        <v>0.13411475318323815</v>
      </c>
      <c r="K116" s="4">
        <v>53262800</v>
      </c>
      <c r="L116" s="4">
        <v>61320400</v>
      </c>
      <c r="M116" s="19">
        <v>130192700</v>
      </c>
      <c r="N116" s="8">
        <v>8.2183989408090075E-2</v>
      </c>
      <c r="O116" s="4">
        <v>18770900</v>
      </c>
      <c r="P116" s="4">
        <v>36114000</v>
      </c>
      <c r="Q116" s="19">
        <v>79780600</v>
      </c>
      <c r="R116" s="8">
        <v>2.3702042775960622E-2</v>
      </c>
      <c r="S116" s="4">
        <v>7716700</v>
      </c>
      <c r="T116" s="4">
        <v>10385100</v>
      </c>
      <c r="U116" s="19">
        <v>23008900</v>
      </c>
      <c r="V116" s="8">
        <v>5.5976890752948122E-2</v>
      </c>
      <c r="W116" s="4">
        <v>23819900</v>
      </c>
      <c r="X116" s="4">
        <v>20478900</v>
      </c>
      <c r="Y116" s="19">
        <v>54339902</v>
      </c>
      <c r="Z116" s="8">
        <v>2.9278418359283059E-2</v>
      </c>
      <c r="AA116" s="4">
        <v>10739800</v>
      </c>
      <c r="AB116" s="4">
        <v>12391400</v>
      </c>
      <c r="AC116" s="19">
        <v>28422200</v>
      </c>
      <c r="AD116" s="38">
        <v>5.9589124966408911E-2</v>
      </c>
      <c r="AE116" s="4">
        <v>27552300</v>
      </c>
      <c r="AF116" s="4">
        <v>24181900</v>
      </c>
      <c r="AG116" s="19">
        <v>57846500</v>
      </c>
      <c r="AH116" s="38">
        <v>4.5527465661066899E-2</v>
      </c>
      <c r="AI116" s="4">
        <v>10362200</v>
      </c>
      <c r="AJ116" s="4">
        <v>16663500</v>
      </c>
      <c r="AK116" s="19">
        <v>44196060</v>
      </c>
      <c r="AL116" s="38">
        <v>2.138683687133365E-2</v>
      </c>
      <c r="AM116" s="4">
        <v>9984400</v>
      </c>
      <c r="AN116" s="4">
        <v>9626900</v>
      </c>
      <c r="AO116" s="19">
        <v>20761400</v>
      </c>
      <c r="AP116" s="38">
        <v>5.3484089240592786E-3</v>
      </c>
      <c r="AQ116" s="4">
        <v>1438100</v>
      </c>
      <c r="AR116" s="4">
        <v>2018300</v>
      </c>
      <c r="AS116" s="19">
        <v>5192000</v>
      </c>
      <c r="AT116" s="38">
        <v>1.1201579090951579E-2</v>
      </c>
      <c r="AU116" s="4">
        <v>3415500</v>
      </c>
      <c r="AV116" s="4">
        <v>5875500</v>
      </c>
      <c r="AW116" s="19">
        <v>10874000</v>
      </c>
      <c r="AX116" s="38">
        <v>8.5229450914848341E-3</v>
      </c>
      <c r="AY116" s="4">
        <v>172400</v>
      </c>
      <c r="AZ116" s="4">
        <v>185800</v>
      </c>
      <c r="BA116" s="19">
        <v>8273700</v>
      </c>
      <c r="BB116" s="38">
        <v>2.4249142155692493E-3</v>
      </c>
      <c r="BC116" s="4">
        <v>695300</v>
      </c>
      <c r="BD116" s="4">
        <v>1331600</v>
      </c>
      <c r="BE116" s="19">
        <v>2354000</v>
      </c>
      <c r="BF116" s="38">
        <v>3.4786496656075229E-2</v>
      </c>
      <c r="BG116" s="4">
        <v>9674800</v>
      </c>
      <c r="BH116" s="4">
        <v>17154200</v>
      </c>
      <c r="BI116" s="19">
        <v>33769200</v>
      </c>
      <c r="BJ116" s="38">
        <v>2.0391324085468687E-2</v>
      </c>
      <c r="BK116" s="4">
        <v>9472700</v>
      </c>
      <c r="BL116" s="4">
        <v>9131100</v>
      </c>
      <c r="BM116" s="19">
        <v>19795000</v>
      </c>
      <c r="BN116" s="38">
        <v>2.9857554626060046E-2</v>
      </c>
      <c r="BO116" s="4">
        <v>14973600</v>
      </c>
      <c r="BP116" s="4">
        <v>11654500</v>
      </c>
      <c r="BQ116" s="19">
        <v>28984400</v>
      </c>
      <c r="BS116" s="4"/>
      <c r="BT116" s="4"/>
      <c r="BU116" s="19">
        <v>1024000</v>
      </c>
      <c r="BW116" s="4"/>
      <c r="BX116" s="4"/>
      <c r="BY116" s="19">
        <v>3209400</v>
      </c>
      <c r="BZ116" s="8">
        <v>5.8088747925212391E-3</v>
      </c>
      <c r="CA116" s="4">
        <v>120800</v>
      </c>
      <c r="CB116" s="4">
        <v>308700</v>
      </c>
      <c r="CC116" s="19">
        <v>5639000</v>
      </c>
      <c r="CD116" s="38">
        <v>1.2544037971890342E-2</v>
      </c>
      <c r="CE116" s="4">
        <v>1975200</v>
      </c>
      <c r="CF116" s="4">
        <v>2588800</v>
      </c>
      <c r="CG116" s="19">
        <v>12177200</v>
      </c>
      <c r="CH116" s="8">
        <v>8.9662078726910558E-4</v>
      </c>
      <c r="CI116" s="4">
        <v>118300</v>
      </c>
      <c r="CJ116" s="4">
        <v>751300</v>
      </c>
      <c r="CK116" s="19">
        <v>870400</v>
      </c>
      <c r="CL116" s="8">
        <v>5.0237135286695473E-3</v>
      </c>
      <c r="CM116" s="4">
        <v>1624700</v>
      </c>
      <c r="CN116" s="4">
        <v>3018800</v>
      </c>
      <c r="CO116" s="19">
        <v>4875200</v>
      </c>
    </row>
    <row r="117" spans="1:93" x14ac:dyDescent="0.2">
      <c r="A117" s="33" t="s">
        <v>178</v>
      </c>
      <c r="B117" s="8">
        <v>0.3639</v>
      </c>
      <c r="C117" s="8">
        <v>0.35299999999999998</v>
      </c>
      <c r="D117" s="8">
        <v>0.4022</v>
      </c>
      <c r="E117" s="8">
        <v>6.6600000000000006E-2</v>
      </c>
      <c r="F117" s="8">
        <v>0.20640938798012831</v>
      </c>
      <c r="G117" s="4">
        <v>60535400</v>
      </c>
      <c r="H117" s="4">
        <v>79505900</v>
      </c>
      <c r="I117" s="19">
        <v>203696015</v>
      </c>
      <c r="J117" s="8">
        <v>0.13695799450604068</v>
      </c>
      <c r="K117" s="4">
        <v>72829600</v>
      </c>
      <c r="L117" s="4">
        <v>51564200</v>
      </c>
      <c r="M117" s="19">
        <v>135157601</v>
      </c>
      <c r="N117" s="8">
        <v>0.11797636885670261</v>
      </c>
      <c r="O117" s="4">
        <v>56370100</v>
      </c>
      <c r="P117" s="4">
        <v>37619000</v>
      </c>
      <c r="Q117" s="19">
        <v>116425500</v>
      </c>
      <c r="R117" s="8">
        <v>2.5535377578608198E-2</v>
      </c>
      <c r="S117" s="4">
        <v>10130000</v>
      </c>
      <c r="T117" s="4">
        <v>8430700</v>
      </c>
      <c r="U117" s="19">
        <v>25199700</v>
      </c>
      <c r="V117" s="8">
        <v>0.12128384761305992</v>
      </c>
      <c r="W117" s="4">
        <v>70524400</v>
      </c>
      <c r="X117" s="4">
        <v>35118600</v>
      </c>
      <c r="Y117" s="19">
        <v>119689500</v>
      </c>
      <c r="Z117" s="8">
        <v>2.7099354982768577E-2</v>
      </c>
      <c r="AA117" s="4">
        <v>10522800</v>
      </c>
      <c r="AB117" s="4">
        <v>10515500</v>
      </c>
      <c r="AC117" s="19">
        <v>26743118</v>
      </c>
      <c r="AD117" s="38">
        <v>2.8047906247844697E-2</v>
      </c>
      <c r="AE117" s="4">
        <v>10580600</v>
      </c>
      <c r="AF117" s="4">
        <v>13402700</v>
      </c>
      <c r="AG117" s="19">
        <v>27679200</v>
      </c>
      <c r="AH117" s="38">
        <v>5.1713200479376484E-2</v>
      </c>
      <c r="AI117" s="4">
        <v>12347100</v>
      </c>
      <c r="AJ117" s="4">
        <v>14839900</v>
      </c>
      <c r="AK117" s="19">
        <v>51033400</v>
      </c>
      <c r="AL117" s="38">
        <v>1.2734806532673035E-2</v>
      </c>
      <c r="AM117" s="4">
        <v>4963400</v>
      </c>
      <c r="AN117" s="4">
        <v>6070500</v>
      </c>
      <c r="AO117" s="19">
        <v>12567400</v>
      </c>
      <c r="AP117" s="38">
        <v>7.0785517317812343E-3</v>
      </c>
      <c r="AQ117" s="4">
        <v>2488300</v>
      </c>
      <c r="AR117" s="4">
        <v>2718000</v>
      </c>
      <c r="AS117" s="19">
        <v>6985500</v>
      </c>
      <c r="AT117" s="38">
        <v>1.072589825005099E-2</v>
      </c>
      <c r="AU117" s="4">
        <v>4408900</v>
      </c>
      <c r="AV117" s="4">
        <v>4492600</v>
      </c>
      <c r="AW117" s="19">
        <v>10584900</v>
      </c>
      <c r="AX117" s="38">
        <v>3.3330144379321216E-3</v>
      </c>
      <c r="AY117" s="4">
        <v>554100</v>
      </c>
      <c r="AZ117" s="4">
        <v>296800</v>
      </c>
      <c r="BA117" s="19">
        <v>3289200</v>
      </c>
      <c r="BB117" s="38">
        <v>2.9545391574482206E-3</v>
      </c>
      <c r="BC117" s="4">
        <v>1377400</v>
      </c>
      <c r="BD117" s="4">
        <v>1088400</v>
      </c>
      <c r="BE117" s="19">
        <v>2915700</v>
      </c>
      <c r="BF117" s="38">
        <v>2.838189674971215E-2</v>
      </c>
      <c r="BG117" s="4">
        <v>8643600</v>
      </c>
      <c r="BH117" s="4">
        <v>12679900</v>
      </c>
      <c r="BI117" s="19">
        <v>28008800</v>
      </c>
      <c r="BJ117" s="38">
        <v>1.2796011102796804E-2</v>
      </c>
      <c r="BK117" s="4">
        <v>6270600</v>
      </c>
      <c r="BL117" s="4">
        <v>5642900</v>
      </c>
      <c r="BM117" s="19">
        <v>12627800</v>
      </c>
      <c r="BN117" s="38">
        <v>2.3257260386304338E-2</v>
      </c>
      <c r="BO117" s="4">
        <v>10736100</v>
      </c>
      <c r="BP117" s="4">
        <v>8891200</v>
      </c>
      <c r="BQ117" s="19">
        <v>22951530</v>
      </c>
      <c r="BS117" s="4"/>
      <c r="BT117" s="4"/>
      <c r="BU117" s="19">
        <v>641300</v>
      </c>
      <c r="BW117" s="4"/>
      <c r="BX117" s="4"/>
      <c r="BY117" s="19">
        <v>3341200</v>
      </c>
      <c r="BZ117" s="8">
        <v>5.0201933991254159E-3</v>
      </c>
      <c r="CA117" s="4">
        <v>191900</v>
      </c>
      <c r="CB117" s="4">
        <v>269100</v>
      </c>
      <c r="CC117" s="19">
        <v>4954200</v>
      </c>
      <c r="CD117" s="38">
        <v>1.2998776574349223E-2</v>
      </c>
      <c r="CE117" s="4">
        <v>2206100</v>
      </c>
      <c r="CF117" s="4">
        <v>2407900</v>
      </c>
      <c r="CG117" s="19">
        <v>12827900</v>
      </c>
      <c r="CH117" s="8">
        <v>1.4709363243652766E-3</v>
      </c>
      <c r="CI117" s="4">
        <v>666300</v>
      </c>
      <c r="CJ117" s="4">
        <v>785400</v>
      </c>
      <c r="CK117" s="19">
        <v>1451600</v>
      </c>
      <c r="CL117" s="8">
        <v>6.6645088948181237E-3</v>
      </c>
      <c r="CM117" s="4">
        <v>2565100</v>
      </c>
      <c r="CN117" s="4">
        <v>2687900</v>
      </c>
      <c r="CO117" s="19">
        <v>6575800</v>
      </c>
    </row>
    <row r="118" spans="1:93" x14ac:dyDescent="0.2">
      <c r="A118" s="33" t="s">
        <v>175</v>
      </c>
      <c r="B118" s="8">
        <v>0.314</v>
      </c>
      <c r="C118" s="8">
        <v>0.28850000000000003</v>
      </c>
      <c r="D118" s="8">
        <v>0.44420000000000004</v>
      </c>
      <c r="E118" s="8">
        <v>8.1000000000000003E-2</v>
      </c>
      <c r="F118" s="8">
        <v>0.21586741654320887</v>
      </c>
      <c r="G118" s="4">
        <v>58726500</v>
      </c>
      <c r="H118" s="4">
        <v>67651400</v>
      </c>
      <c r="I118" s="19">
        <v>192067769</v>
      </c>
      <c r="J118" s="8">
        <v>0.1821577122871739</v>
      </c>
      <c r="K118" s="4">
        <v>94724500</v>
      </c>
      <c r="L118" s="4">
        <v>52514600</v>
      </c>
      <c r="M118" s="19">
        <v>162074601</v>
      </c>
      <c r="N118" s="8">
        <v>0.10002236889850703</v>
      </c>
      <c r="O118" s="4">
        <v>30032900</v>
      </c>
      <c r="P118" s="4">
        <v>33752100</v>
      </c>
      <c r="Q118" s="19">
        <v>88994780</v>
      </c>
      <c r="R118" s="8">
        <v>2.6827348038388359E-2</v>
      </c>
      <c r="S118" s="4">
        <v>10446400</v>
      </c>
      <c r="T118" s="4">
        <v>9284200</v>
      </c>
      <c r="U118" s="19">
        <v>23869600</v>
      </c>
      <c r="V118" s="8">
        <v>4.303709222423395E-2</v>
      </c>
      <c r="W118" s="4">
        <v>15340900</v>
      </c>
      <c r="X118" s="4">
        <v>13540000</v>
      </c>
      <c r="Y118" s="19">
        <v>38292200</v>
      </c>
      <c r="Z118" s="8">
        <v>3.1515637729348123E-2</v>
      </c>
      <c r="AA118" s="4">
        <v>9951800</v>
      </c>
      <c r="AB118" s="4">
        <v>11883400</v>
      </c>
      <c r="AC118" s="19">
        <v>28041000</v>
      </c>
      <c r="AD118" s="38">
        <v>2.1139000772749592E-2</v>
      </c>
      <c r="AE118" s="4">
        <v>7708100</v>
      </c>
      <c r="AF118" s="4">
        <v>9743300</v>
      </c>
      <c r="AG118" s="19">
        <v>18808400</v>
      </c>
      <c r="AH118" s="38">
        <v>5.6627557720723039E-2</v>
      </c>
      <c r="AI118" s="4">
        <v>12103200</v>
      </c>
      <c r="AJ118" s="4">
        <v>17090700</v>
      </c>
      <c r="AK118" s="19">
        <v>50384300</v>
      </c>
      <c r="AL118" s="38">
        <v>2.0460494638973783E-2</v>
      </c>
      <c r="AM118" s="4">
        <v>9966100</v>
      </c>
      <c r="AN118" s="4">
        <v>6264400</v>
      </c>
      <c r="AO118" s="19">
        <v>18204700</v>
      </c>
      <c r="AP118" s="38">
        <v>8.2812140051133284E-3</v>
      </c>
      <c r="AQ118" s="4">
        <v>3606000</v>
      </c>
      <c r="AR118" s="4">
        <v>2044100</v>
      </c>
      <c r="AS118" s="19">
        <v>7368200</v>
      </c>
      <c r="AT118" s="38">
        <v>2.4363506483869014E-2</v>
      </c>
      <c r="AU118" s="4">
        <v>12660300</v>
      </c>
      <c r="AV118" s="4">
        <v>6361400</v>
      </c>
      <c r="AW118" s="19">
        <v>21677400</v>
      </c>
      <c r="AX118" s="38">
        <v>4.3194215228212511E-3</v>
      </c>
      <c r="AY118" s="4">
        <v>468400</v>
      </c>
      <c r="AZ118" s="4">
        <v>341900</v>
      </c>
      <c r="BA118" s="19">
        <v>3843200</v>
      </c>
      <c r="BB118" s="38">
        <v>2.3677470134594947E-3</v>
      </c>
      <c r="BC118" s="4">
        <v>953600</v>
      </c>
      <c r="BD118" s="4">
        <v>965600</v>
      </c>
      <c r="BE118" s="19">
        <v>2106700</v>
      </c>
      <c r="BF118" s="38">
        <v>3.6156385910520387E-2</v>
      </c>
      <c r="BG118" s="4">
        <v>13832100</v>
      </c>
      <c r="BH118" s="4">
        <v>11510200</v>
      </c>
      <c r="BI118" s="19">
        <v>32170100</v>
      </c>
      <c r="BJ118" s="38">
        <v>1.9885500870479987E-2</v>
      </c>
      <c r="BK118" s="4">
        <v>10248500</v>
      </c>
      <c r="BL118" s="4">
        <v>6925000</v>
      </c>
      <c r="BM118" s="19">
        <v>17693100</v>
      </c>
      <c r="BN118" s="38">
        <v>2.8261573112616137E-2</v>
      </c>
      <c r="BO118" s="4">
        <v>14267000</v>
      </c>
      <c r="BP118" s="4">
        <v>9752600</v>
      </c>
      <c r="BQ118" s="19">
        <v>25145700</v>
      </c>
      <c r="BS118" s="4"/>
      <c r="BT118" s="4"/>
      <c r="BU118" s="19">
        <v>607000</v>
      </c>
      <c r="BW118" s="4"/>
      <c r="BX118" s="4"/>
      <c r="BY118" s="19">
        <v>3115500</v>
      </c>
      <c r="BZ118" s="8">
        <v>9.8852622975182224E-3</v>
      </c>
      <c r="CA118" s="4">
        <v>310800</v>
      </c>
      <c r="CB118" s="4">
        <v>232500</v>
      </c>
      <c r="CC118" s="19">
        <v>8795400</v>
      </c>
      <c r="CD118" s="38">
        <v>1.0816985976332445E-2</v>
      </c>
      <c r="CE118" s="4">
        <v>3193500</v>
      </c>
      <c r="CF118" s="4">
        <v>2040700</v>
      </c>
      <c r="CG118" s="19">
        <v>9624400</v>
      </c>
      <c r="CH118" s="8">
        <v>1.3784790012854561E-3</v>
      </c>
      <c r="CI118" s="4">
        <v>259600</v>
      </c>
      <c r="CJ118" s="4">
        <v>768300</v>
      </c>
      <c r="CK118" s="19">
        <v>1226500</v>
      </c>
      <c r="CL118" s="8">
        <v>5.508746006441528E-3</v>
      </c>
      <c r="CM118" s="4">
        <v>2049100</v>
      </c>
      <c r="CN118" s="4">
        <v>2706400</v>
      </c>
      <c r="CO118" s="19">
        <v>4896700</v>
      </c>
    </row>
    <row r="119" spans="1:93" x14ac:dyDescent="0.2">
      <c r="A119" s="33" t="s">
        <v>111</v>
      </c>
      <c r="B119" s="8">
        <v>0.3569</v>
      </c>
      <c r="C119" s="8">
        <v>0.35820000000000002</v>
      </c>
      <c r="D119" s="8">
        <v>0.42159999999999997</v>
      </c>
      <c r="E119" s="8">
        <v>6.6699999999999995E-2</v>
      </c>
      <c r="F119" s="8">
        <v>0.31022629013917852</v>
      </c>
      <c r="G119" s="4">
        <v>165888600</v>
      </c>
      <c r="H119" s="4">
        <v>157912300</v>
      </c>
      <c r="I119" s="19">
        <v>432469632</v>
      </c>
      <c r="J119" s="8">
        <v>0.11618241616924874</v>
      </c>
      <c r="K119" s="4">
        <v>54704900</v>
      </c>
      <c r="L119" s="4">
        <v>93356000</v>
      </c>
      <c r="M119" s="19">
        <v>161963600</v>
      </c>
      <c r="N119" s="8">
        <v>0.11813618279320136</v>
      </c>
      <c r="O119" s="4">
        <v>38735600</v>
      </c>
      <c r="P119" s="4">
        <v>82248100</v>
      </c>
      <c r="Q119" s="19">
        <v>164687240</v>
      </c>
      <c r="R119" s="8">
        <v>2.5802883997233607E-2</v>
      </c>
      <c r="S119" s="4">
        <v>8414200</v>
      </c>
      <c r="T119" s="4">
        <v>18685400</v>
      </c>
      <c r="U119" s="19">
        <v>35970400</v>
      </c>
      <c r="V119" s="8">
        <v>3.9414058815804121E-2</v>
      </c>
      <c r="W119" s="4">
        <v>14588800</v>
      </c>
      <c r="X119" s="4">
        <v>29206200</v>
      </c>
      <c r="Y119" s="19">
        <v>54945000</v>
      </c>
      <c r="Z119" s="8">
        <v>2.650745199375527E-2</v>
      </c>
      <c r="AA119" s="4">
        <v>10614600</v>
      </c>
      <c r="AB119" s="4">
        <v>23438500</v>
      </c>
      <c r="AC119" s="19">
        <v>36952600</v>
      </c>
      <c r="AD119" s="38">
        <v>1.921816452332711E-2</v>
      </c>
      <c r="AE119" s="4">
        <v>8191300</v>
      </c>
      <c r="AF119" s="4">
        <v>17068800</v>
      </c>
      <c r="AG119" s="19">
        <v>26791000</v>
      </c>
      <c r="AH119" s="38">
        <v>6.329311781825922E-2</v>
      </c>
      <c r="AI119" s="4">
        <v>15642800</v>
      </c>
      <c r="AJ119" s="4">
        <v>36594000</v>
      </c>
      <c r="AK119" s="19">
        <v>88233500</v>
      </c>
      <c r="AL119" s="38">
        <v>1.4591415265777653E-2</v>
      </c>
      <c r="AM119" s="4">
        <v>6637800</v>
      </c>
      <c r="AN119" s="4">
        <v>11614200</v>
      </c>
      <c r="AO119" s="19">
        <v>20341100</v>
      </c>
      <c r="AP119" s="38">
        <v>5.2352658849668145E-3</v>
      </c>
      <c r="AQ119" s="4">
        <v>1430300</v>
      </c>
      <c r="AR119" s="4">
        <v>3566600</v>
      </c>
      <c r="AS119" s="19">
        <v>7298200</v>
      </c>
      <c r="AT119" s="38">
        <v>1.131663027522512E-2</v>
      </c>
      <c r="AU119" s="4">
        <v>6519200</v>
      </c>
      <c r="AV119" s="4">
        <v>7472400</v>
      </c>
      <c r="AW119" s="19">
        <v>15775900</v>
      </c>
      <c r="AX119" s="38">
        <v>3.8141503709074906E-3</v>
      </c>
      <c r="AY119" s="4">
        <v>114800</v>
      </c>
      <c r="AZ119" s="4">
        <v>185600</v>
      </c>
      <c r="BA119" s="19">
        <v>5317100</v>
      </c>
      <c r="BB119" s="38">
        <v>2.2885906496667844E-3</v>
      </c>
      <c r="BC119" s="4">
        <v>852800</v>
      </c>
      <c r="BD119" s="4">
        <v>1650500</v>
      </c>
      <c r="BE119" s="19">
        <v>3190400</v>
      </c>
      <c r="BF119" s="38">
        <v>4.0842060761106171E-2</v>
      </c>
      <c r="BG119" s="4">
        <v>25074400</v>
      </c>
      <c r="BH119" s="4">
        <v>24658000</v>
      </c>
      <c r="BI119" s="19">
        <v>56935700</v>
      </c>
      <c r="BJ119" s="38">
        <v>1.8393514382010367E-2</v>
      </c>
      <c r="BK119" s="4">
        <v>8149500</v>
      </c>
      <c r="BL119" s="4">
        <v>16400800</v>
      </c>
      <c r="BM119" s="19">
        <v>25641400</v>
      </c>
      <c r="BN119" s="38">
        <v>2.11882577280177E-2</v>
      </c>
      <c r="BO119" s="4">
        <v>8946600</v>
      </c>
      <c r="BP119" s="4">
        <v>17787000</v>
      </c>
      <c r="BQ119" s="19">
        <v>29537400</v>
      </c>
      <c r="BS119" s="4"/>
      <c r="BT119" s="4"/>
      <c r="BU119" s="19">
        <v>919900</v>
      </c>
      <c r="BW119" s="4"/>
      <c r="BX119" s="4"/>
      <c r="BY119" s="19">
        <v>3484100</v>
      </c>
      <c r="BZ119" s="8">
        <v>6.5510763879394144E-3</v>
      </c>
      <c r="CA119" s="4">
        <v>366900</v>
      </c>
      <c r="CB119" s="4">
        <v>191900</v>
      </c>
      <c r="CC119" s="19">
        <v>9132500</v>
      </c>
      <c r="CD119" s="38">
        <v>1.0163468670166714E-2</v>
      </c>
      <c r="CE119" s="4">
        <v>2711200</v>
      </c>
      <c r="CF119" s="4">
        <v>3064900</v>
      </c>
      <c r="CG119" s="19">
        <v>14168340</v>
      </c>
      <c r="CH119" s="8">
        <v>1.5594180081841219E-3</v>
      </c>
      <c r="CI119" s="4">
        <v>756500</v>
      </c>
      <c r="CJ119" s="4">
        <v>1416200</v>
      </c>
      <c r="CK119" s="19">
        <v>2173900</v>
      </c>
      <c r="CL119" s="8">
        <v>5.7526807657355744E-3</v>
      </c>
      <c r="CM119" s="4">
        <v>2721200</v>
      </c>
      <c r="CN119" s="4">
        <v>4124200</v>
      </c>
      <c r="CO119" s="19">
        <v>8014900</v>
      </c>
    </row>
    <row r="120" spans="1:93" x14ac:dyDescent="0.2">
      <c r="A120" s="33" t="s">
        <v>110</v>
      </c>
      <c r="B120" s="8">
        <v>0.30159999999999998</v>
      </c>
      <c r="C120" s="8">
        <v>0.25370000000000004</v>
      </c>
      <c r="D120" s="8">
        <v>0.41840000000000005</v>
      </c>
      <c r="E120" s="8">
        <v>0.11699999999999999</v>
      </c>
      <c r="F120" s="8">
        <v>0.21893963827354354</v>
      </c>
      <c r="G120" s="4">
        <v>56829100</v>
      </c>
      <c r="H120" s="4">
        <v>59817600</v>
      </c>
      <c r="I120" s="19">
        <v>183999103</v>
      </c>
      <c r="J120" s="8">
        <v>9.6886616760322716E-2</v>
      </c>
      <c r="K120" s="4">
        <v>27154500</v>
      </c>
      <c r="L120" s="4">
        <v>44528700</v>
      </c>
      <c r="M120" s="19">
        <v>81424500</v>
      </c>
      <c r="N120" s="8">
        <v>0.10886564809500941</v>
      </c>
      <c r="O120" s="4">
        <v>19385400</v>
      </c>
      <c r="P120" s="4">
        <v>40915700</v>
      </c>
      <c r="Q120" s="19">
        <v>91491800</v>
      </c>
      <c r="R120" s="8">
        <v>2.6305487799951593E-2</v>
      </c>
      <c r="S120" s="4">
        <v>8432800</v>
      </c>
      <c r="T120" s="4">
        <v>8869800</v>
      </c>
      <c r="U120" s="19">
        <v>22107400</v>
      </c>
      <c r="V120" s="8">
        <v>4.9441096139017544E-2</v>
      </c>
      <c r="W120" s="4">
        <v>12037100</v>
      </c>
      <c r="X120" s="4">
        <v>20393500</v>
      </c>
      <c r="Y120" s="19">
        <v>41550801</v>
      </c>
      <c r="Z120" s="8">
        <v>2.991250974717477E-2</v>
      </c>
      <c r="AA120" s="4">
        <v>9163500</v>
      </c>
      <c r="AB120" s="4">
        <v>13102600</v>
      </c>
      <c r="AC120" s="19">
        <v>25138778</v>
      </c>
      <c r="AD120" s="38">
        <v>3.0374572207412194E-2</v>
      </c>
      <c r="AE120" s="4">
        <v>11809800</v>
      </c>
      <c r="AF120" s="4">
        <v>12131100</v>
      </c>
      <c r="AG120" s="19">
        <v>25527100</v>
      </c>
      <c r="AH120" s="38">
        <v>8.3963522622209047E-2</v>
      </c>
      <c r="AI120" s="4">
        <v>16216500</v>
      </c>
      <c r="AJ120" s="4">
        <v>21311300</v>
      </c>
      <c r="AK120" s="19">
        <v>70563800</v>
      </c>
      <c r="AL120" s="38">
        <v>2.3164283622025095E-2</v>
      </c>
      <c r="AM120" s="4">
        <v>4574900</v>
      </c>
      <c r="AN120" s="4">
        <v>5096000</v>
      </c>
      <c r="AO120" s="19">
        <v>19467500</v>
      </c>
      <c r="AP120" s="38">
        <v>8.0075183286390187E-3</v>
      </c>
      <c r="AQ120" s="4">
        <v>2374100</v>
      </c>
      <c r="AR120" s="4">
        <v>2771700</v>
      </c>
      <c r="AS120" s="19">
        <v>6729600</v>
      </c>
      <c r="AT120" s="38">
        <v>6.2499242185533235E-3</v>
      </c>
      <c r="AU120" s="4">
        <v>2482700</v>
      </c>
      <c r="AV120" s="4">
        <v>1849600</v>
      </c>
      <c r="AW120" s="19">
        <v>5252500</v>
      </c>
      <c r="AX120" s="38">
        <v>5.2527920919188285E-3</v>
      </c>
      <c r="AY120" s="4">
        <v>138100</v>
      </c>
      <c r="AZ120" s="4">
        <v>117000</v>
      </c>
      <c r="BA120" s="19">
        <v>4414500</v>
      </c>
      <c r="BB120" s="38">
        <v>2.5385222899308255E-3</v>
      </c>
      <c r="BC120" s="4">
        <v>701800</v>
      </c>
      <c r="BD120" s="4">
        <v>1113900</v>
      </c>
      <c r="BE120" s="19">
        <v>2133400</v>
      </c>
      <c r="BF120" s="38">
        <v>4.6773826005132087E-2</v>
      </c>
      <c r="BG120" s="4">
        <v>14478000</v>
      </c>
      <c r="BH120" s="4">
        <v>17292100</v>
      </c>
      <c r="BI120" s="19">
        <v>39309200</v>
      </c>
      <c r="BJ120" s="38">
        <v>1.4965430155005618E-2</v>
      </c>
      <c r="BK120" s="4">
        <v>5240500</v>
      </c>
      <c r="BL120" s="4">
        <v>6922400</v>
      </c>
      <c r="BM120" s="19">
        <v>12577100</v>
      </c>
      <c r="BN120" s="38">
        <v>3.2630494401787301E-2</v>
      </c>
      <c r="BO120" s="4">
        <v>11456600</v>
      </c>
      <c r="BP120" s="4">
        <v>13164700</v>
      </c>
      <c r="BQ120" s="19">
        <v>27423000</v>
      </c>
      <c r="BS120" s="4"/>
      <c r="BT120" s="4"/>
      <c r="BU120" s="19">
        <v>673200</v>
      </c>
      <c r="BW120" s="4"/>
      <c r="BX120" s="4"/>
      <c r="BY120" s="19">
        <v>3151400</v>
      </c>
      <c r="BZ120" s="8">
        <v>7.2669275940121575E-3</v>
      </c>
      <c r="CA120" s="4">
        <v>495800</v>
      </c>
      <c r="CB120" s="4">
        <v>260300</v>
      </c>
      <c r="CC120" s="19">
        <v>6107200</v>
      </c>
      <c r="CD120" s="38">
        <v>7.6719250631646909E-3</v>
      </c>
      <c r="CE120" s="4">
        <v>978500</v>
      </c>
      <c r="CF120" s="4">
        <v>1406500</v>
      </c>
      <c r="CG120" s="19">
        <v>6447564</v>
      </c>
      <c r="CH120" s="8">
        <v>6.2627750860564883E-3</v>
      </c>
      <c r="CI120" s="4">
        <v>3477100</v>
      </c>
      <c r="CJ120" s="4">
        <v>1786500</v>
      </c>
      <c r="CK120" s="19">
        <v>5263300</v>
      </c>
      <c r="CL120" s="8">
        <v>1.3982219801499551E-2</v>
      </c>
      <c r="CM120" s="4">
        <v>7499500</v>
      </c>
      <c r="CN120" s="4">
        <v>4197000</v>
      </c>
      <c r="CO120" s="19">
        <v>11746000</v>
      </c>
    </row>
    <row r="121" spans="1:93" x14ac:dyDescent="0.2">
      <c r="A121" s="33" t="s">
        <v>109</v>
      </c>
      <c r="B121" s="8">
        <v>0.36170000000000002</v>
      </c>
      <c r="C121" s="8">
        <v>0.35920000000000002</v>
      </c>
      <c r="D121" s="8">
        <v>0.3962</v>
      </c>
      <c r="E121" s="8">
        <v>6.8000000000000005E-2</v>
      </c>
      <c r="F121" s="8">
        <v>0.30668689980812791</v>
      </c>
      <c r="G121" s="4">
        <v>114006700</v>
      </c>
      <c r="H121" s="4">
        <v>83271800</v>
      </c>
      <c r="I121" s="19">
        <v>303266200</v>
      </c>
      <c r="J121" s="8">
        <v>0.12378170143897391</v>
      </c>
      <c r="K121" s="4">
        <v>44263100</v>
      </c>
      <c r="L121" s="4">
        <v>62587700</v>
      </c>
      <c r="M121" s="19">
        <v>122401075</v>
      </c>
      <c r="N121" s="8">
        <v>0.10472598430566983</v>
      </c>
      <c r="O121" s="4">
        <v>35922900</v>
      </c>
      <c r="P121" s="4">
        <v>42019100</v>
      </c>
      <c r="Q121" s="19">
        <v>103557900</v>
      </c>
      <c r="R121" s="8">
        <v>2.633897758102503E-2</v>
      </c>
      <c r="S121" s="4">
        <v>10274200</v>
      </c>
      <c r="T121" s="4">
        <v>9784000</v>
      </c>
      <c r="U121" s="19">
        <v>26045200</v>
      </c>
      <c r="V121" s="8">
        <v>5.8109638638676984E-2</v>
      </c>
      <c r="W121" s="4">
        <v>15817100</v>
      </c>
      <c r="X121" s="4">
        <v>30145600</v>
      </c>
      <c r="Y121" s="19">
        <v>57461500</v>
      </c>
      <c r="Z121" s="8">
        <v>1.948553621499188E-2</v>
      </c>
      <c r="AA121" s="4">
        <v>5872800</v>
      </c>
      <c r="AB121" s="4">
        <v>10269200</v>
      </c>
      <c r="AC121" s="19">
        <v>19268200</v>
      </c>
      <c r="AD121" s="38">
        <v>1.8037889569650807E-2</v>
      </c>
      <c r="AE121" s="4">
        <v>7022500</v>
      </c>
      <c r="AF121" s="4">
        <v>8909500</v>
      </c>
      <c r="AG121" s="19">
        <v>17836700</v>
      </c>
      <c r="AH121" s="38">
        <v>5.1132517786283221E-2</v>
      </c>
      <c r="AI121" s="4">
        <v>10365700</v>
      </c>
      <c r="AJ121" s="4">
        <v>16207500</v>
      </c>
      <c r="AK121" s="19">
        <v>50562200</v>
      </c>
      <c r="AL121" s="38">
        <v>1.6601164743219744E-2</v>
      </c>
      <c r="AM121" s="4">
        <v>6080400</v>
      </c>
      <c r="AN121" s="4">
        <v>8726900</v>
      </c>
      <c r="AO121" s="19">
        <v>16416000</v>
      </c>
      <c r="AP121" s="38">
        <v>4.1101433885153511E-3</v>
      </c>
      <c r="AQ121" s="4">
        <v>1294500</v>
      </c>
      <c r="AR121" s="4">
        <v>1920000</v>
      </c>
      <c r="AS121" s="19">
        <v>4064300</v>
      </c>
      <c r="AT121" s="38">
        <v>5.1743128365715242E-3</v>
      </c>
      <c r="AU121" s="4">
        <v>1348300</v>
      </c>
      <c r="AV121" s="4">
        <v>3017100</v>
      </c>
      <c r="AW121" s="19">
        <v>5116600</v>
      </c>
      <c r="AX121" s="38">
        <v>3.0323216668216623E-3</v>
      </c>
      <c r="AY121" s="4">
        <v>59900</v>
      </c>
      <c r="AZ121" s="4">
        <v>85500</v>
      </c>
      <c r="BA121" s="19">
        <v>2998500</v>
      </c>
      <c r="BB121" s="38">
        <v>2.5119172213501173E-3</v>
      </c>
      <c r="BC121" s="4">
        <v>1093600</v>
      </c>
      <c r="BD121" s="4">
        <v>988900</v>
      </c>
      <c r="BE121" s="19">
        <v>2483900</v>
      </c>
      <c r="BF121" s="38">
        <v>2.6357281740494589E-2</v>
      </c>
      <c r="BG121" s="4">
        <v>7918700</v>
      </c>
      <c r="BH121" s="4">
        <v>12058200</v>
      </c>
      <c r="BI121" s="19">
        <v>26063300</v>
      </c>
      <c r="BJ121" s="38">
        <v>2.0064898256986919E-2</v>
      </c>
      <c r="BK121" s="4">
        <v>10384900</v>
      </c>
      <c r="BL121" s="4">
        <v>8167500</v>
      </c>
      <c r="BM121" s="19">
        <v>19841100</v>
      </c>
      <c r="BN121" s="38">
        <v>2.1369145465157637E-2</v>
      </c>
      <c r="BO121" s="4">
        <v>11022100</v>
      </c>
      <c r="BP121" s="4">
        <v>8776800</v>
      </c>
      <c r="BQ121" s="19">
        <v>21130800</v>
      </c>
      <c r="BS121" s="4"/>
      <c r="BT121" s="4"/>
      <c r="BU121" s="19">
        <v>940700</v>
      </c>
      <c r="BW121" s="4"/>
      <c r="BX121" s="4"/>
      <c r="BY121" s="19">
        <v>3774100</v>
      </c>
      <c r="BZ121" s="8">
        <v>2.1667877437937067E-2</v>
      </c>
      <c r="CA121" s="4">
        <v>94400</v>
      </c>
      <c r="CB121" s="4">
        <v>99200</v>
      </c>
      <c r="CC121" s="19">
        <v>21426200</v>
      </c>
      <c r="CD121" s="38">
        <v>8.1539468399476605E-3</v>
      </c>
      <c r="CE121" s="4">
        <v>1529800</v>
      </c>
      <c r="CF121" s="4">
        <v>2039600</v>
      </c>
      <c r="CG121" s="19">
        <v>8063000</v>
      </c>
      <c r="CH121" s="8">
        <v>2.1048772110463924E-3</v>
      </c>
      <c r="CI121" s="4">
        <v>968500</v>
      </c>
      <c r="CJ121" s="4">
        <v>1111300</v>
      </c>
      <c r="CK121" s="19">
        <v>2081400</v>
      </c>
      <c r="CL121" s="8">
        <v>3.2841302694691836E-3</v>
      </c>
      <c r="CM121" s="4">
        <v>891700</v>
      </c>
      <c r="CN121" s="4">
        <v>1699700</v>
      </c>
      <c r="CO121" s="19">
        <v>3242900</v>
      </c>
    </row>
    <row r="122" spans="1:93" x14ac:dyDescent="0.2">
      <c r="A122" s="33" t="s">
        <v>108</v>
      </c>
      <c r="B122" s="8">
        <v>0.30879999999999996</v>
      </c>
      <c r="C122" s="8">
        <v>0.31</v>
      </c>
      <c r="D122" s="8">
        <v>0.4592</v>
      </c>
      <c r="E122" s="8">
        <v>6.4600000000000005E-2</v>
      </c>
      <c r="F122" s="8">
        <v>0.25234820883817466</v>
      </c>
      <c r="G122" s="4">
        <v>55436400</v>
      </c>
      <c r="H122" s="4">
        <v>64231900</v>
      </c>
      <c r="I122" s="19">
        <v>237194092</v>
      </c>
      <c r="J122" s="8">
        <v>0.15256861208310235</v>
      </c>
      <c r="K122" s="4">
        <v>74182700</v>
      </c>
      <c r="L122" s="4">
        <v>56748000</v>
      </c>
      <c r="M122" s="19">
        <v>143406500</v>
      </c>
      <c r="N122" s="8">
        <v>0.13041705798502523</v>
      </c>
      <c r="O122" s="4">
        <v>46901400</v>
      </c>
      <c r="P122" s="4">
        <v>48612500</v>
      </c>
      <c r="Q122" s="19">
        <v>122585200</v>
      </c>
      <c r="R122" s="8">
        <v>2.0967339141923121E-2</v>
      </c>
      <c r="S122" s="4">
        <v>6958500</v>
      </c>
      <c r="T122" s="4">
        <v>8437100</v>
      </c>
      <c r="U122" s="19">
        <v>19708200</v>
      </c>
      <c r="V122" s="8">
        <v>4.1307409271045585E-2</v>
      </c>
      <c r="W122" s="4">
        <v>14536300</v>
      </c>
      <c r="X122" s="4">
        <v>16551700</v>
      </c>
      <c r="Y122" s="19">
        <v>38826800</v>
      </c>
      <c r="Z122" s="8">
        <v>2.6020284673423735E-2</v>
      </c>
      <c r="AA122" s="4">
        <v>7233600</v>
      </c>
      <c r="AB122" s="4">
        <v>10680100</v>
      </c>
      <c r="AC122" s="19">
        <v>24457704</v>
      </c>
      <c r="AD122" s="38">
        <v>1.8980419860534885E-2</v>
      </c>
      <c r="AE122" s="4">
        <v>5570500</v>
      </c>
      <c r="AF122" s="4">
        <v>9544800</v>
      </c>
      <c r="AG122" s="19">
        <v>17840600</v>
      </c>
      <c r="AH122" s="38">
        <v>6.8167523743704037E-2</v>
      </c>
      <c r="AI122" s="4">
        <v>14528300</v>
      </c>
      <c r="AJ122" s="4">
        <v>20140800</v>
      </c>
      <c r="AK122" s="19">
        <v>64073900</v>
      </c>
      <c r="AL122" s="38">
        <v>1.8119627190492465E-2</v>
      </c>
      <c r="AM122" s="4">
        <v>6131700</v>
      </c>
      <c r="AN122" s="4">
        <v>8513700</v>
      </c>
      <c r="AO122" s="19">
        <v>17031500</v>
      </c>
      <c r="AP122" s="38">
        <v>4.7396259362736072E-3</v>
      </c>
      <c r="AQ122" s="4">
        <v>1650200</v>
      </c>
      <c r="AR122" s="4">
        <v>1778900</v>
      </c>
      <c r="AS122" s="19">
        <v>4455000</v>
      </c>
      <c r="AT122" s="38">
        <v>5.0323018274226238E-3</v>
      </c>
      <c r="AU122" s="4">
        <v>1374000</v>
      </c>
      <c r="AV122" s="4">
        <v>2379600</v>
      </c>
      <c r="AW122" s="19">
        <v>4730100</v>
      </c>
      <c r="AX122" s="38">
        <v>2.9579308620923703E-3</v>
      </c>
      <c r="AY122" s="4">
        <v>65700</v>
      </c>
      <c r="AZ122" s="4">
        <v>115400</v>
      </c>
      <c r="BA122" s="19">
        <v>2780300</v>
      </c>
      <c r="BB122" s="38">
        <v>3.3282706574721327E-3</v>
      </c>
      <c r="BC122" s="4">
        <v>788800</v>
      </c>
      <c r="BD122" s="4">
        <v>1504300</v>
      </c>
      <c r="BE122" s="19">
        <v>3128400</v>
      </c>
      <c r="BF122" s="38">
        <v>3.7124516500305529E-2</v>
      </c>
      <c r="BG122" s="4">
        <v>14194200</v>
      </c>
      <c r="BH122" s="4">
        <v>13048500</v>
      </c>
      <c r="BI122" s="19">
        <v>34895100</v>
      </c>
      <c r="BJ122" s="38">
        <v>1.3731616601455318E-2</v>
      </c>
      <c r="BK122" s="4">
        <v>5322800</v>
      </c>
      <c r="BL122" s="4">
        <v>6208000</v>
      </c>
      <c r="BM122" s="19">
        <v>12907000</v>
      </c>
      <c r="BN122" s="38">
        <v>2.4701802657413046E-2</v>
      </c>
      <c r="BO122" s="4">
        <v>8991900</v>
      </c>
      <c r="BP122" s="4">
        <v>11989800</v>
      </c>
      <c r="BQ122" s="19">
        <v>23218400</v>
      </c>
      <c r="BS122" s="4"/>
      <c r="BT122" s="4"/>
      <c r="BU122" s="19">
        <v>735800</v>
      </c>
      <c r="BW122" s="4"/>
      <c r="BX122" s="4"/>
      <c r="BY122" s="19">
        <v>3208600</v>
      </c>
      <c r="BZ122" s="8">
        <v>5.5348830378144642E-3</v>
      </c>
      <c r="CA122" s="4">
        <v>88700</v>
      </c>
      <c r="CB122" s="4">
        <v>85400</v>
      </c>
      <c r="CC122" s="19">
        <v>5202500</v>
      </c>
      <c r="CD122" s="38">
        <v>1.1942155136851007E-2</v>
      </c>
      <c r="CE122" s="4">
        <v>1328100</v>
      </c>
      <c r="CF122" s="4">
        <v>2043300</v>
      </c>
      <c r="CG122" s="19">
        <v>11225000</v>
      </c>
      <c r="CH122" s="8">
        <v>2.6052516257568594E-3</v>
      </c>
      <c r="CI122" s="4">
        <v>496200</v>
      </c>
      <c r="CJ122" s="4">
        <v>1922500</v>
      </c>
      <c r="CK122" s="19">
        <v>2448800</v>
      </c>
      <c r="CL122" s="8">
        <v>3.4176373417924432E-3</v>
      </c>
      <c r="CM122" s="4">
        <v>1490500</v>
      </c>
      <c r="CN122" s="4">
        <v>1714800</v>
      </c>
      <c r="CO122" s="19">
        <v>3210500</v>
      </c>
    </row>
    <row r="123" spans="1:93" x14ac:dyDescent="0.2">
      <c r="A123" s="33" t="s">
        <v>107</v>
      </c>
      <c r="B123" s="8">
        <v>0.34990000000000004</v>
      </c>
      <c r="C123" s="8">
        <v>0.32369999999999999</v>
      </c>
      <c r="D123" s="8">
        <v>0.45140000000000002</v>
      </c>
      <c r="E123" s="8">
        <v>6.3299999999999995E-2</v>
      </c>
      <c r="F123" s="8">
        <v>0.19814820824658375</v>
      </c>
      <c r="G123" s="4">
        <v>63392700</v>
      </c>
      <c r="H123" s="4">
        <v>77366200</v>
      </c>
      <c r="I123" s="19">
        <v>207348503</v>
      </c>
      <c r="J123" s="8">
        <v>0.15000784857961733</v>
      </c>
      <c r="K123" s="4">
        <v>56308500</v>
      </c>
      <c r="L123" s="4">
        <v>83121200</v>
      </c>
      <c r="M123" s="19">
        <v>156972920</v>
      </c>
      <c r="N123" s="8">
        <v>0.10180717248750702</v>
      </c>
      <c r="O123" s="4">
        <v>35292800</v>
      </c>
      <c r="P123" s="4">
        <v>47897700</v>
      </c>
      <c r="Q123" s="19">
        <v>106534220</v>
      </c>
      <c r="R123" s="8">
        <v>2.7212295563995795E-2</v>
      </c>
      <c r="S123" s="4">
        <v>11474400</v>
      </c>
      <c r="T123" s="4">
        <v>12416800</v>
      </c>
      <c r="U123" s="19">
        <v>28475800</v>
      </c>
      <c r="V123" s="8">
        <v>7.3355541000691318E-2</v>
      </c>
      <c r="W123" s="4">
        <v>34447300</v>
      </c>
      <c r="X123" s="4">
        <v>27960000</v>
      </c>
      <c r="Y123" s="19">
        <v>76761540</v>
      </c>
      <c r="Z123" s="8">
        <v>2.9223703134743532E-2</v>
      </c>
      <c r="AA123" s="4">
        <v>13687100</v>
      </c>
      <c r="AB123" s="4">
        <v>11826100</v>
      </c>
      <c r="AC123" s="19">
        <v>30580600</v>
      </c>
      <c r="AD123" s="38">
        <v>4.016249971402807E-2</v>
      </c>
      <c r="AE123" s="4">
        <v>21967400</v>
      </c>
      <c r="AF123" s="4">
        <v>17012700</v>
      </c>
      <c r="AG123" s="19">
        <v>42027300</v>
      </c>
      <c r="AH123" s="38">
        <v>5.6410770097509881E-2</v>
      </c>
      <c r="AI123" s="4">
        <v>14273000</v>
      </c>
      <c r="AJ123" s="4">
        <v>18737500</v>
      </c>
      <c r="AK123" s="19">
        <v>59030000</v>
      </c>
      <c r="AL123" s="38">
        <v>1.523683282510125E-2</v>
      </c>
      <c r="AM123" s="4">
        <v>5607100</v>
      </c>
      <c r="AN123" s="4">
        <v>7536000</v>
      </c>
      <c r="AO123" s="19">
        <v>15944300</v>
      </c>
      <c r="AP123" s="38">
        <v>3.7453960908549969E-3</v>
      </c>
      <c r="AQ123" s="4">
        <v>1472000</v>
      </c>
      <c r="AR123" s="4">
        <v>1708300</v>
      </c>
      <c r="AS123" s="19">
        <v>3919300</v>
      </c>
      <c r="AT123" s="38">
        <v>5.4365724391789551E-3</v>
      </c>
      <c r="AU123" s="4">
        <v>2144600</v>
      </c>
      <c r="AV123" s="4">
        <v>2287600</v>
      </c>
      <c r="AW123" s="19">
        <v>5689000</v>
      </c>
      <c r="AX123" s="38">
        <v>4.5763153624081877E-3</v>
      </c>
      <c r="AY123" s="4">
        <v>74800</v>
      </c>
      <c r="AZ123" s="4">
        <v>161400</v>
      </c>
      <c r="BA123" s="19">
        <v>4788800</v>
      </c>
      <c r="BB123" s="38">
        <v>4.2077293209613039E-3</v>
      </c>
      <c r="BC123" s="4">
        <v>1741900</v>
      </c>
      <c r="BD123" s="4">
        <v>1871600</v>
      </c>
      <c r="BE123" s="19">
        <v>4403100</v>
      </c>
      <c r="BF123" s="38">
        <v>4.7987570862028241E-2</v>
      </c>
      <c r="BG123" s="4">
        <v>13871800</v>
      </c>
      <c r="BH123" s="4">
        <v>12130400</v>
      </c>
      <c r="BI123" s="19">
        <v>50215700</v>
      </c>
      <c r="BJ123" s="38">
        <v>2.0167973173740261E-2</v>
      </c>
      <c r="BK123" s="4">
        <v>10846900</v>
      </c>
      <c r="BL123" s="4">
        <v>9446300</v>
      </c>
      <c r="BM123" s="19">
        <v>21104400</v>
      </c>
      <c r="BN123" s="38">
        <v>3.4567388451214071E-2</v>
      </c>
      <c r="BO123" s="4">
        <v>15830400</v>
      </c>
      <c r="BP123" s="4">
        <v>16929300</v>
      </c>
      <c r="BQ123" s="19">
        <v>36172400</v>
      </c>
      <c r="BS123" s="4"/>
      <c r="BT123" s="4"/>
      <c r="BU123" s="19">
        <v>1265300</v>
      </c>
      <c r="BW123" s="4"/>
      <c r="BX123" s="4"/>
      <c r="BY123" s="19">
        <v>4475200</v>
      </c>
      <c r="BZ123" s="8">
        <v>6.4936890558461658E-3</v>
      </c>
      <c r="CA123" s="4">
        <v>107700</v>
      </c>
      <c r="CB123" s="4">
        <v>272200</v>
      </c>
      <c r="CC123" s="19">
        <v>6795200</v>
      </c>
      <c r="CD123" s="38">
        <v>6.7049785911427844E-3</v>
      </c>
      <c r="CE123" s="4">
        <v>1307600</v>
      </c>
      <c r="CF123" s="4">
        <v>1465800</v>
      </c>
      <c r="CG123" s="19">
        <v>7016300</v>
      </c>
      <c r="CH123" s="8">
        <v>9.9738981451416337E-4</v>
      </c>
      <c r="CI123" s="4">
        <v>236900</v>
      </c>
      <c r="CJ123" s="4">
        <v>806200</v>
      </c>
      <c r="CK123" s="19">
        <v>1043700</v>
      </c>
      <c r="CL123" s="8">
        <v>5.0099797274810315E-3</v>
      </c>
      <c r="CM123" s="4">
        <v>2645600</v>
      </c>
      <c r="CN123" s="4">
        <v>2373100</v>
      </c>
      <c r="CO123" s="19">
        <v>5242200</v>
      </c>
    </row>
    <row r="124" spans="1:93" x14ac:dyDescent="0.2">
      <c r="A124" s="33" t="s">
        <v>129</v>
      </c>
      <c r="B124" s="8">
        <v>0.2712</v>
      </c>
      <c r="C124" s="8">
        <v>0.26640000000000003</v>
      </c>
      <c r="D124" s="8">
        <v>0.48020000000000002</v>
      </c>
      <c r="E124" s="8">
        <v>9.1799999999999993E-2</v>
      </c>
      <c r="F124" s="8">
        <v>0.20661566011038676</v>
      </c>
      <c r="G124" s="4">
        <v>48912400</v>
      </c>
      <c r="H124" s="4">
        <v>66274600</v>
      </c>
      <c r="I124" s="19">
        <v>169969631</v>
      </c>
      <c r="J124" s="8">
        <v>0.13090334539280782</v>
      </c>
      <c r="K124" s="4">
        <v>48677200</v>
      </c>
      <c r="L124" s="4">
        <v>51315500</v>
      </c>
      <c r="M124" s="19">
        <v>107685900</v>
      </c>
      <c r="N124" s="8">
        <v>0.16785477108468036</v>
      </c>
      <c r="O124" s="4">
        <v>51224800</v>
      </c>
      <c r="P124" s="4">
        <v>49245300</v>
      </c>
      <c r="Q124" s="19">
        <v>138083500</v>
      </c>
      <c r="R124" s="8">
        <v>3.0291864064956108E-2</v>
      </c>
      <c r="S124" s="4">
        <v>11550200</v>
      </c>
      <c r="T124" s="4">
        <v>10476900</v>
      </c>
      <c r="U124" s="19">
        <v>24919200</v>
      </c>
      <c r="V124" s="8">
        <v>3.9371205805507854E-2</v>
      </c>
      <c r="W124" s="4">
        <v>11862100</v>
      </c>
      <c r="X124" s="4">
        <v>13523200</v>
      </c>
      <c r="Y124" s="19">
        <v>32388200</v>
      </c>
      <c r="Z124" s="8">
        <v>2.8648489838278921E-2</v>
      </c>
      <c r="AA124" s="4">
        <v>11590500</v>
      </c>
      <c r="AB124" s="4">
        <v>9267100</v>
      </c>
      <c r="AC124" s="19">
        <v>23567300</v>
      </c>
      <c r="AD124" s="38">
        <v>1.7602788049592678E-2</v>
      </c>
      <c r="AE124" s="4">
        <v>5458000</v>
      </c>
      <c r="AF124" s="4">
        <v>7061700</v>
      </c>
      <c r="AG124" s="19">
        <v>14480700</v>
      </c>
      <c r="AH124" s="38">
        <v>5.7705057735508603E-2</v>
      </c>
      <c r="AI124" s="4">
        <v>10677700</v>
      </c>
      <c r="AJ124" s="4">
        <v>20130100</v>
      </c>
      <c r="AK124" s="19">
        <v>47470300</v>
      </c>
      <c r="AL124" s="38">
        <v>2.1033707065328824E-2</v>
      </c>
      <c r="AM124" s="4">
        <v>9436800</v>
      </c>
      <c r="AN124" s="4">
        <v>6622400</v>
      </c>
      <c r="AO124" s="19">
        <v>17303100</v>
      </c>
      <c r="AP124" s="38">
        <v>4.3369082243628967E-3</v>
      </c>
      <c r="AQ124" s="4">
        <v>1203200</v>
      </c>
      <c r="AR124" s="4">
        <v>1621200</v>
      </c>
      <c r="AS124" s="19">
        <v>3567700</v>
      </c>
      <c r="AT124" s="38">
        <v>5.5522684964480007E-3</v>
      </c>
      <c r="AU124" s="4">
        <v>1450700</v>
      </c>
      <c r="AV124" s="4">
        <v>1766600</v>
      </c>
      <c r="AW124" s="19">
        <v>4567500</v>
      </c>
      <c r="AX124" s="38">
        <v>3.1423347702940517E-3</v>
      </c>
      <c r="AY124" s="4">
        <v>158100</v>
      </c>
      <c r="AZ124" s="4">
        <v>147800</v>
      </c>
      <c r="BA124" s="19">
        <v>2585000</v>
      </c>
      <c r="BB124" s="38">
        <v>7.0690984099384914E-3</v>
      </c>
      <c r="BC124" s="4">
        <v>2024600</v>
      </c>
      <c r="BD124" s="4">
        <v>3001900</v>
      </c>
      <c r="BE124" s="19">
        <v>5815300</v>
      </c>
      <c r="BF124" s="38">
        <v>3.1587089479945783E-2</v>
      </c>
      <c r="BG124" s="4">
        <v>11379800</v>
      </c>
      <c r="BH124" s="4">
        <v>11098900</v>
      </c>
      <c r="BI124" s="19">
        <v>25984700</v>
      </c>
      <c r="BJ124" s="38">
        <v>1.5541732497161901E-2</v>
      </c>
      <c r="BK124" s="4">
        <v>5915800</v>
      </c>
      <c r="BL124" s="4">
        <v>6193100</v>
      </c>
      <c r="BM124" s="19">
        <v>12785200</v>
      </c>
      <c r="BN124" s="38">
        <v>5.3810021344415294E-2</v>
      </c>
      <c r="BO124" s="4">
        <v>17277200</v>
      </c>
      <c r="BP124" s="4">
        <v>25191300</v>
      </c>
      <c r="BQ124" s="19">
        <v>44266100</v>
      </c>
      <c r="BS124" s="4"/>
      <c r="BT124" s="4"/>
      <c r="BU124" s="19">
        <v>1242200</v>
      </c>
      <c r="BW124" s="4"/>
      <c r="BX124" s="4"/>
      <c r="BY124" s="19">
        <v>3756600</v>
      </c>
      <c r="BZ124" s="8">
        <v>6.4425764213081032E-3</v>
      </c>
      <c r="CA124" s="4">
        <v>55400</v>
      </c>
      <c r="CB124" s="4">
        <v>85200</v>
      </c>
      <c r="CC124" s="19">
        <v>5299900</v>
      </c>
      <c r="CD124" s="38">
        <v>1.4560132757505248E-2</v>
      </c>
      <c r="CE124" s="4">
        <v>1061800</v>
      </c>
      <c r="CF124" s="4">
        <v>1218300</v>
      </c>
      <c r="CG124" s="19">
        <v>11977700</v>
      </c>
      <c r="CH124" s="8">
        <v>5.7072579290253671E-4</v>
      </c>
      <c r="CI124" s="4">
        <v>69700</v>
      </c>
      <c r="CJ124" s="4">
        <v>387500</v>
      </c>
      <c r="CK124" s="19">
        <v>469500</v>
      </c>
      <c r="CL124" s="8">
        <v>4.2165634884792948E-3</v>
      </c>
      <c r="CM124" s="4">
        <v>1612000</v>
      </c>
      <c r="CN124" s="4">
        <v>1816300</v>
      </c>
      <c r="CO124" s="19">
        <v>3468200</v>
      </c>
    </row>
    <row r="125" spans="1:93" x14ac:dyDescent="0.2">
      <c r="A125" s="33" t="s">
        <v>130</v>
      </c>
      <c r="B125" s="8">
        <v>0.34570000000000001</v>
      </c>
      <c r="C125" s="8">
        <v>0.34049999999999997</v>
      </c>
      <c r="D125" s="8">
        <v>0.435</v>
      </c>
      <c r="E125" s="8">
        <v>5.7000000000000002E-2</v>
      </c>
      <c r="F125" s="8">
        <v>0.31712086154725166</v>
      </c>
      <c r="G125" s="4">
        <v>105161600</v>
      </c>
      <c r="H125" s="4">
        <v>90617900</v>
      </c>
      <c r="I125" s="19">
        <v>275490601</v>
      </c>
      <c r="J125" s="8">
        <v>0.11168318775765165</v>
      </c>
      <c r="K125" s="4">
        <v>33591400</v>
      </c>
      <c r="L125" s="4">
        <v>57379500</v>
      </c>
      <c r="M125" s="19">
        <v>97021900</v>
      </c>
      <c r="N125" s="8">
        <v>0.10753318071076699</v>
      </c>
      <c r="O125" s="4">
        <v>35444300</v>
      </c>
      <c r="P125" s="4">
        <v>35063300</v>
      </c>
      <c r="Q125" s="19">
        <v>93416688</v>
      </c>
      <c r="R125" s="8">
        <v>2.5981430232984801E-2</v>
      </c>
      <c r="S125" s="4">
        <v>7469200</v>
      </c>
      <c r="T125" s="4">
        <v>12594000</v>
      </c>
      <c r="U125" s="19">
        <v>22570700</v>
      </c>
      <c r="V125" s="8">
        <v>6.9437449193605394E-2</v>
      </c>
      <c r="W125" s="4">
        <v>26388300</v>
      </c>
      <c r="X125" s="4">
        <v>25208600</v>
      </c>
      <c r="Y125" s="19">
        <v>60322000</v>
      </c>
      <c r="Z125" s="8">
        <v>2.5670859897246021E-2</v>
      </c>
      <c r="AA125" s="4">
        <v>8261800</v>
      </c>
      <c r="AB125" s="4">
        <v>11251900</v>
      </c>
      <c r="AC125" s="19">
        <v>22300900</v>
      </c>
      <c r="AD125" s="38">
        <v>1.9647775298581836E-2</v>
      </c>
      <c r="AE125" s="4">
        <v>5755100</v>
      </c>
      <c r="AF125" s="4">
        <v>9690000</v>
      </c>
      <c r="AG125" s="19">
        <v>17068500</v>
      </c>
      <c r="AH125" s="38">
        <v>8.4059234129315971E-2</v>
      </c>
      <c r="AI125" s="4">
        <v>18180800</v>
      </c>
      <c r="AJ125" s="4">
        <v>19820700</v>
      </c>
      <c r="AK125" s="19">
        <v>73024300</v>
      </c>
      <c r="AL125" s="38">
        <v>1.721593359627736E-2</v>
      </c>
      <c r="AM125" s="4">
        <v>4310000</v>
      </c>
      <c r="AN125" s="4">
        <v>9224600</v>
      </c>
      <c r="AO125" s="19">
        <v>14955900</v>
      </c>
      <c r="AP125" s="38">
        <v>6.3054526615134157E-3</v>
      </c>
      <c r="AQ125" s="4">
        <v>2658300</v>
      </c>
      <c r="AR125" s="4">
        <v>2012600</v>
      </c>
      <c r="AS125" s="19">
        <v>5477700</v>
      </c>
      <c r="AT125" s="38">
        <v>8.2267756688581117E-3</v>
      </c>
      <c r="AU125" s="4">
        <v>3023700</v>
      </c>
      <c r="AV125" s="4">
        <v>2990700</v>
      </c>
      <c r="AW125" s="19">
        <v>7146800</v>
      </c>
      <c r="AX125" s="38">
        <v>1.8400544168956305E-3</v>
      </c>
      <c r="AY125" s="4">
        <v>68100</v>
      </c>
      <c r="AZ125" s="4">
        <v>131700</v>
      </c>
      <c r="BA125" s="19">
        <v>1598500</v>
      </c>
      <c r="BB125" s="38">
        <v>7.0954616363745173E-3</v>
      </c>
      <c r="BC125" s="4">
        <v>3256100</v>
      </c>
      <c r="BD125" s="4">
        <v>2533800</v>
      </c>
      <c r="BE125" s="19">
        <v>6164000</v>
      </c>
      <c r="BF125" s="38">
        <v>1.5581237770544806E-2</v>
      </c>
      <c r="BG125" s="4">
        <v>4742000</v>
      </c>
      <c r="BH125" s="4">
        <v>5824600</v>
      </c>
      <c r="BI125" s="19">
        <v>13535800</v>
      </c>
      <c r="BJ125" s="38">
        <v>1.0745181082235815E-2</v>
      </c>
      <c r="BK125" s="4">
        <v>3495900</v>
      </c>
      <c r="BL125" s="4">
        <v>5204100</v>
      </c>
      <c r="BM125" s="19">
        <v>9334600</v>
      </c>
      <c r="BN125" s="38">
        <v>3.0938353805106143E-2</v>
      </c>
      <c r="BO125" s="4">
        <v>10234100</v>
      </c>
      <c r="BP125" s="4">
        <v>14186700</v>
      </c>
      <c r="BQ125" s="19">
        <v>26876900</v>
      </c>
      <c r="BS125" s="4"/>
      <c r="BT125" s="4"/>
      <c r="BU125" s="19">
        <v>798500</v>
      </c>
      <c r="BW125" s="4"/>
      <c r="BX125" s="4"/>
      <c r="BY125" s="19">
        <v>3253500</v>
      </c>
      <c r="BZ125" s="8">
        <v>7.4567960633144846E-3</v>
      </c>
      <c r="CA125" s="4">
        <v>76000</v>
      </c>
      <c r="CB125" s="4">
        <v>241600</v>
      </c>
      <c r="CC125" s="19">
        <v>6477900</v>
      </c>
      <c r="CD125" s="38">
        <v>7.5260009876458988E-3</v>
      </c>
      <c r="CE125" s="4">
        <v>1116200</v>
      </c>
      <c r="CF125" s="4">
        <v>1616700</v>
      </c>
      <c r="CG125" s="19">
        <v>6538020</v>
      </c>
      <c r="CH125" s="8">
        <v>1.0918308504382268E-3</v>
      </c>
      <c r="CI125" s="4">
        <v>420000</v>
      </c>
      <c r="CJ125" s="4">
        <v>509300</v>
      </c>
      <c r="CK125" s="19">
        <v>948500</v>
      </c>
      <c r="CL125" s="8">
        <v>2.637775850057139E-3</v>
      </c>
      <c r="CM125" s="4">
        <v>914400</v>
      </c>
      <c r="CN125" s="4">
        <v>1344600</v>
      </c>
      <c r="CO125" s="19">
        <v>2291300</v>
      </c>
    </row>
    <row r="126" spans="1:93" x14ac:dyDescent="0.2">
      <c r="A126" s="33" t="s">
        <v>131</v>
      </c>
      <c r="B126" s="8">
        <v>0.30380000000000001</v>
      </c>
      <c r="C126" s="8">
        <v>0.27960000000000002</v>
      </c>
      <c r="D126" s="8">
        <v>0.50649999999999995</v>
      </c>
      <c r="E126" s="8">
        <v>5.33E-2</v>
      </c>
      <c r="F126" s="8">
        <v>0.26406359645118149</v>
      </c>
      <c r="G126" s="4">
        <v>76598700</v>
      </c>
      <c r="H126" s="4">
        <v>54879400</v>
      </c>
      <c r="I126" s="19">
        <v>181057718</v>
      </c>
      <c r="J126" s="8">
        <v>0.16890103196802853</v>
      </c>
      <c r="K126" s="4">
        <v>58477600</v>
      </c>
      <c r="L126" s="4">
        <v>45212300</v>
      </c>
      <c r="M126" s="19">
        <v>115808600</v>
      </c>
      <c r="N126" s="8">
        <v>0.12998346524810214</v>
      </c>
      <c r="O126" s="4">
        <v>25458400</v>
      </c>
      <c r="P126" s="4">
        <v>39092700</v>
      </c>
      <c r="Q126" s="19">
        <v>89124400</v>
      </c>
      <c r="R126" s="8">
        <v>1.8083319333551961E-2</v>
      </c>
      <c r="S126" s="4">
        <v>4403300</v>
      </c>
      <c r="T126" s="4">
        <v>6028100</v>
      </c>
      <c r="U126" s="19">
        <v>12399000</v>
      </c>
      <c r="V126" s="8">
        <v>4.0333575651368081E-2</v>
      </c>
      <c r="W126" s="4">
        <v>11136900</v>
      </c>
      <c r="X126" s="4">
        <v>11644100</v>
      </c>
      <c r="Y126" s="19">
        <v>27655100</v>
      </c>
      <c r="Z126" s="8">
        <v>2.1029679662420555E-2</v>
      </c>
      <c r="AA126" s="4">
        <v>4805200</v>
      </c>
      <c r="AB126" s="4">
        <v>5949300</v>
      </c>
      <c r="AC126" s="19">
        <v>14419200</v>
      </c>
      <c r="AD126" s="38">
        <v>1.84771007852867E-2</v>
      </c>
      <c r="AE126" s="4">
        <v>5904100</v>
      </c>
      <c r="AF126" s="4">
        <v>5202500</v>
      </c>
      <c r="AG126" s="19">
        <v>12669000</v>
      </c>
      <c r="AH126" s="38">
        <v>6.4396539252003115E-2</v>
      </c>
      <c r="AI126" s="4">
        <v>14056000</v>
      </c>
      <c r="AJ126" s="4">
        <v>13865600</v>
      </c>
      <c r="AK126" s="19">
        <v>44154100</v>
      </c>
      <c r="AL126" s="38">
        <v>1.9257954819578475E-2</v>
      </c>
      <c r="AM126" s="4">
        <v>5682300</v>
      </c>
      <c r="AN126" s="4">
        <v>6805600</v>
      </c>
      <c r="AO126" s="19">
        <v>13204400</v>
      </c>
      <c r="AP126" s="38">
        <v>5.3792004756786594E-3</v>
      </c>
      <c r="AQ126" s="4">
        <v>736900</v>
      </c>
      <c r="AR126" s="4">
        <v>1772000</v>
      </c>
      <c r="AS126" s="19">
        <v>3688300</v>
      </c>
      <c r="AT126" s="38">
        <v>4.0269258014251404E-3</v>
      </c>
      <c r="AU126" s="4">
        <v>892600</v>
      </c>
      <c r="AV126" s="4">
        <v>1318200</v>
      </c>
      <c r="AW126" s="19">
        <v>2761100</v>
      </c>
      <c r="AX126" s="38">
        <v>2.2951624836850329E-3</v>
      </c>
      <c r="AY126" s="4">
        <v>235600</v>
      </c>
      <c r="AZ126" s="4">
        <v>87300</v>
      </c>
      <c r="BA126" s="19">
        <v>1573700</v>
      </c>
      <c r="BB126" s="38">
        <v>5.8568427921346861E-3</v>
      </c>
      <c r="BC126" s="4">
        <v>1883200</v>
      </c>
      <c r="BD126" s="4">
        <v>1331900</v>
      </c>
      <c r="BE126" s="19">
        <v>4015800</v>
      </c>
      <c r="BF126" s="38">
        <v>2.8236171919130526E-2</v>
      </c>
      <c r="BG126" s="4">
        <v>2735100</v>
      </c>
      <c r="BH126" s="4">
        <v>3160100</v>
      </c>
      <c r="BI126" s="19">
        <v>19360400</v>
      </c>
      <c r="BJ126" s="38">
        <v>2.1859100075759613E-2</v>
      </c>
      <c r="BK126" s="4">
        <v>8035800</v>
      </c>
      <c r="BL126" s="4">
        <v>5966700</v>
      </c>
      <c r="BM126" s="19">
        <v>14987900</v>
      </c>
      <c r="BN126" s="38">
        <v>6.1682509979658025E-2</v>
      </c>
      <c r="BO126" s="4">
        <v>20122900</v>
      </c>
      <c r="BP126" s="4">
        <v>19720300</v>
      </c>
      <c r="BQ126" s="19">
        <v>42293200</v>
      </c>
      <c r="BS126" s="4"/>
      <c r="BT126" s="4"/>
      <c r="BU126" s="19">
        <v>566600</v>
      </c>
      <c r="BW126" s="4"/>
      <c r="BX126" s="4"/>
      <c r="BY126" s="19">
        <v>2732400</v>
      </c>
      <c r="BZ126" s="8">
        <v>2.6984238592578304E-3</v>
      </c>
      <c r="CA126" s="4">
        <v>36300</v>
      </c>
      <c r="CB126" s="4">
        <v>134900</v>
      </c>
      <c r="CC126" s="19">
        <v>1850200</v>
      </c>
      <c r="CD126" s="38">
        <v>1.6186313651065386E-2</v>
      </c>
      <c r="CE126" s="4">
        <v>1496300</v>
      </c>
      <c r="CF126" s="4">
        <v>918100</v>
      </c>
      <c r="CG126" s="19">
        <v>11098300</v>
      </c>
      <c r="CH126" s="8">
        <v>6.3850933173877317E-4</v>
      </c>
      <c r="CI126" s="4">
        <v>132900</v>
      </c>
      <c r="CJ126" s="4">
        <v>304000</v>
      </c>
      <c r="CK126" s="19">
        <v>437800</v>
      </c>
      <c r="CL126" s="8">
        <v>2.7920563377814242E-3</v>
      </c>
      <c r="CM126" s="4">
        <v>810500</v>
      </c>
      <c r="CN126" s="4">
        <v>1013000</v>
      </c>
      <c r="CO126" s="19">
        <v>1913300</v>
      </c>
    </row>
    <row r="127" spans="1:93" x14ac:dyDescent="0.2">
      <c r="A127" s="33" t="s">
        <v>132</v>
      </c>
      <c r="B127" s="8">
        <v>0.30079999999999996</v>
      </c>
      <c r="C127" s="8">
        <v>0.2732</v>
      </c>
      <c r="D127" s="8">
        <v>0.54239999999999999</v>
      </c>
      <c r="E127" s="8">
        <v>5.5E-2</v>
      </c>
      <c r="F127" s="8">
        <v>0.22506498759786056</v>
      </c>
      <c r="G127" s="4">
        <v>42052500</v>
      </c>
      <c r="H127" s="4">
        <v>38866900</v>
      </c>
      <c r="I127" s="19">
        <v>139489000</v>
      </c>
      <c r="J127" s="8">
        <v>0.20611511876704355</v>
      </c>
      <c r="K127" s="4">
        <v>48888900</v>
      </c>
      <c r="L127" s="4">
        <v>62040200</v>
      </c>
      <c r="M127" s="19">
        <v>127744400</v>
      </c>
      <c r="N127" s="8">
        <v>0.13966488649618142</v>
      </c>
      <c r="O127" s="4">
        <v>33954500</v>
      </c>
      <c r="P127" s="4">
        <v>30492900</v>
      </c>
      <c r="Q127" s="19">
        <v>86560400</v>
      </c>
      <c r="R127" s="8">
        <v>2.210877191793564E-2</v>
      </c>
      <c r="S127" s="4">
        <v>5222000</v>
      </c>
      <c r="T127" s="4">
        <v>6305000</v>
      </c>
      <c r="U127" s="19">
        <v>13702400</v>
      </c>
      <c r="V127" s="8">
        <v>4.955160130635116E-2</v>
      </c>
      <c r="W127" s="4">
        <v>10626800</v>
      </c>
      <c r="X127" s="4">
        <v>13875300</v>
      </c>
      <c r="Y127" s="19">
        <v>30710700</v>
      </c>
      <c r="Z127" s="8">
        <v>3.3682058292072201E-2</v>
      </c>
      <c r="AA127" s="4">
        <v>6192500</v>
      </c>
      <c r="AB127" s="4">
        <v>6035100</v>
      </c>
      <c r="AC127" s="19">
        <v>20875200</v>
      </c>
      <c r="AD127" s="38">
        <v>3.1405737689708849E-2</v>
      </c>
      <c r="AE127" s="4">
        <v>10588600</v>
      </c>
      <c r="AF127" s="4">
        <v>7431100</v>
      </c>
      <c r="AG127" s="19">
        <v>19464400</v>
      </c>
      <c r="AH127" s="38">
        <v>5.920127737276331E-2</v>
      </c>
      <c r="AI127" s="4">
        <v>7292500</v>
      </c>
      <c r="AJ127" s="4">
        <v>12736500</v>
      </c>
      <c r="AK127" s="19">
        <v>36691300</v>
      </c>
      <c r="AL127" s="38">
        <v>1.9651094329673761E-2</v>
      </c>
      <c r="AM127" s="4">
        <v>5710800</v>
      </c>
      <c r="AN127" s="4">
        <v>5070400</v>
      </c>
      <c r="AO127" s="19">
        <v>12179200</v>
      </c>
      <c r="AP127" s="38">
        <v>4.5632902804111381E-3</v>
      </c>
      <c r="AQ127" s="4">
        <v>578200</v>
      </c>
      <c r="AR127" s="4">
        <v>1191100</v>
      </c>
      <c r="AS127" s="19">
        <v>2828200</v>
      </c>
      <c r="AT127" s="38">
        <v>4.6618749053079353E-3</v>
      </c>
      <c r="AU127" s="4">
        <v>1526300</v>
      </c>
      <c r="AV127" s="4">
        <v>915700</v>
      </c>
      <c r="AW127" s="19">
        <v>2889300</v>
      </c>
      <c r="AX127" s="38">
        <v>2.7150302506356774E-3</v>
      </c>
      <c r="AY127" s="4">
        <v>49900</v>
      </c>
      <c r="AZ127" s="4">
        <v>130900</v>
      </c>
      <c r="BA127" s="19">
        <v>1682700</v>
      </c>
      <c r="BB127" s="38">
        <v>3.5346863790738565E-3</v>
      </c>
      <c r="BC127" s="4">
        <v>832900</v>
      </c>
      <c r="BD127" s="4">
        <v>1051600</v>
      </c>
      <c r="BE127" s="19">
        <v>2190700</v>
      </c>
      <c r="BF127" s="38">
        <v>2.4309580892718469E-2</v>
      </c>
      <c r="BG127" s="4">
        <v>2214100</v>
      </c>
      <c r="BH127" s="4">
        <v>3875800</v>
      </c>
      <c r="BI127" s="19">
        <v>15066400</v>
      </c>
      <c r="BJ127" s="38">
        <v>2.1309284493445251E-2</v>
      </c>
      <c r="BK127" s="4">
        <v>7804400</v>
      </c>
      <c r="BL127" s="4">
        <v>4500500</v>
      </c>
      <c r="BM127" s="19">
        <v>13206900</v>
      </c>
      <c r="BN127" s="38">
        <v>3.9387058565559824E-2</v>
      </c>
      <c r="BO127" s="4">
        <v>12434100</v>
      </c>
      <c r="BP127" s="4">
        <v>10323900</v>
      </c>
      <c r="BQ127" s="19">
        <v>24411000</v>
      </c>
      <c r="BS127" s="4"/>
      <c r="BT127" s="4"/>
      <c r="BU127" s="19">
        <v>545600</v>
      </c>
      <c r="BW127" s="4"/>
      <c r="BX127" s="4"/>
      <c r="BY127" s="19">
        <v>4969700</v>
      </c>
      <c r="BZ127" s="8">
        <v>1.2302909408151803E-3</v>
      </c>
      <c r="CA127" s="4">
        <v>57000</v>
      </c>
      <c r="CB127" s="4">
        <v>115100</v>
      </c>
      <c r="CC127" s="19">
        <v>762500</v>
      </c>
      <c r="CD127" s="38">
        <v>1.2760819662582423E-2</v>
      </c>
      <c r="CE127" s="4">
        <v>1035300</v>
      </c>
      <c r="CF127" s="4">
        <v>1176800</v>
      </c>
      <c r="CG127" s="19">
        <v>7908800</v>
      </c>
      <c r="CH127" s="8">
        <v>9.839100533889796E-4</v>
      </c>
      <c r="CI127" s="4">
        <v>235600</v>
      </c>
      <c r="CJ127" s="4">
        <v>373900</v>
      </c>
      <c r="CK127" s="19">
        <v>609800</v>
      </c>
      <c r="CL127" s="8">
        <v>6.2313227717091489E-3</v>
      </c>
      <c r="CM127" s="4">
        <v>1312400</v>
      </c>
      <c r="CN127" s="4">
        <v>2185800</v>
      </c>
      <c r="CO127" s="19">
        <v>3861900</v>
      </c>
    </row>
    <row r="128" spans="1:93" x14ac:dyDescent="0.2">
      <c r="A128" s="33" t="s">
        <v>133</v>
      </c>
      <c r="B128" s="8">
        <v>0.3856</v>
      </c>
      <c r="C128" s="8">
        <v>0.3579</v>
      </c>
      <c r="D128" s="8">
        <v>0.37409999999999999</v>
      </c>
      <c r="E128" s="8">
        <v>6.5599999999999992E-2</v>
      </c>
      <c r="F128" s="8">
        <v>0.35387536171974959</v>
      </c>
      <c r="G128" s="4">
        <v>126881700</v>
      </c>
      <c r="H128" s="4">
        <v>62199600</v>
      </c>
      <c r="I128" s="19">
        <v>309571451</v>
      </c>
      <c r="J128" s="8">
        <v>0.12207791250248927</v>
      </c>
      <c r="K128" s="4">
        <v>48500900</v>
      </c>
      <c r="L128" s="4">
        <v>48210200</v>
      </c>
      <c r="M128" s="19">
        <v>106794201</v>
      </c>
      <c r="N128" s="8">
        <v>8.8467396963133313E-2</v>
      </c>
      <c r="O128" s="4">
        <v>19331600</v>
      </c>
      <c r="P128" s="4">
        <v>29299200</v>
      </c>
      <c r="Q128" s="19">
        <v>77391600</v>
      </c>
      <c r="R128" s="8">
        <v>2.0477967152468263E-2</v>
      </c>
      <c r="S128" s="4">
        <v>6954000</v>
      </c>
      <c r="T128" s="4">
        <v>8472100</v>
      </c>
      <c r="U128" s="19">
        <v>17914200</v>
      </c>
      <c r="V128" s="8">
        <v>4.0949876945526618E-2</v>
      </c>
      <c r="W128" s="4">
        <v>12881000</v>
      </c>
      <c r="X128" s="4">
        <v>12116200</v>
      </c>
      <c r="Y128" s="19">
        <v>35823101</v>
      </c>
      <c r="Z128" s="8">
        <v>2.0804783354636973E-2</v>
      </c>
      <c r="AA128" s="4">
        <v>8508600</v>
      </c>
      <c r="AB128" s="4">
        <v>7533700</v>
      </c>
      <c r="AC128" s="19">
        <v>18200100</v>
      </c>
      <c r="AD128" s="38">
        <v>2.0270720641614164E-2</v>
      </c>
      <c r="AE128" s="4">
        <v>8190800</v>
      </c>
      <c r="AF128" s="4">
        <v>7517600</v>
      </c>
      <c r="AG128" s="19">
        <v>17732900</v>
      </c>
      <c r="AH128" s="38">
        <v>6.7314078246337408E-2</v>
      </c>
      <c r="AI128" s="4">
        <v>9957400</v>
      </c>
      <c r="AJ128" s="4">
        <v>19428300</v>
      </c>
      <c r="AK128" s="19">
        <v>58886600</v>
      </c>
      <c r="AL128" s="38">
        <v>2.1171151290261564E-2</v>
      </c>
      <c r="AM128" s="4">
        <v>9741900</v>
      </c>
      <c r="AN128" s="4">
        <v>7454900</v>
      </c>
      <c r="AO128" s="19">
        <v>18520600</v>
      </c>
      <c r="AP128" s="38">
        <v>4.4401964815806716E-3</v>
      </c>
      <c r="AQ128" s="4">
        <v>1458400</v>
      </c>
      <c r="AR128" s="4">
        <v>1536500</v>
      </c>
      <c r="AS128" s="19">
        <v>3884300</v>
      </c>
      <c r="AT128" s="38">
        <v>5.3223373112889346E-3</v>
      </c>
      <c r="AU128" s="4">
        <v>1793700</v>
      </c>
      <c r="AV128" s="4">
        <v>2232400</v>
      </c>
      <c r="AW128" s="19">
        <v>4656000</v>
      </c>
      <c r="AX128" s="38">
        <v>2.1894056383830961E-3</v>
      </c>
      <c r="AY128" s="4">
        <v>169200</v>
      </c>
      <c r="AZ128" s="4">
        <v>183500</v>
      </c>
      <c r="BA128" s="19">
        <v>1915300</v>
      </c>
      <c r="BB128" s="38">
        <v>4.1888257825359043E-3</v>
      </c>
      <c r="BC128" s="4">
        <v>1645700</v>
      </c>
      <c r="BD128" s="4">
        <v>1845700</v>
      </c>
      <c r="BE128" s="19">
        <v>3664400</v>
      </c>
      <c r="BF128" s="38">
        <v>2.930772017944187E-2</v>
      </c>
      <c r="BG128" s="4">
        <v>3583000</v>
      </c>
      <c r="BH128" s="4">
        <v>5523200</v>
      </c>
      <c r="BI128" s="19">
        <v>25638500</v>
      </c>
      <c r="BJ128" s="38">
        <v>7.7595699962973406E-3</v>
      </c>
      <c r="BK128" s="4">
        <v>2787200</v>
      </c>
      <c r="BL128" s="4">
        <v>3526000</v>
      </c>
      <c r="BM128" s="19">
        <v>6788100</v>
      </c>
      <c r="BN128" s="38">
        <v>3.3690646665469372E-2</v>
      </c>
      <c r="BO128" s="4">
        <v>9748900</v>
      </c>
      <c r="BP128" s="4">
        <v>17260900</v>
      </c>
      <c r="BQ128" s="19">
        <v>29472700</v>
      </c>
      <c r="BS128" s="4"/>
      <c r="BT128" s="4"/>
      <c r="BU128" s="19">
        <v>613400</v>
      </c>
      <c r="BW128" s="4"/>
      <c r="BX128" s="4"/>
      <c r="BY128" s="19">
        <v>3439900</v>
      </c>
      <c r="BZ128" s="8">
        <v>1.100589854662583E-3</v>
      </c>
      <c r="CA128" s="4">
        <v>138400</v>
      </c>
      <c r="CB128" s="4">
        <v>114500</v>
      </c>
      <c r="CC128" s="19">
        <v>962800</v>
      </c>
      <c r="CD128" s="38">
        <v>1.5610474775921998E-2</v>
      </c>
      <c r="CE128" s="4">
        <v>2148900</v>
      </c>
      <c r="CF128" s="4">
        <v>1521300</v>
      </c>
      <c r="CG128" s="19">
        <v>13656100</v>
      </c>
      <c r="CH128" s="8">
        <v>4.2672433812374554E-4</v>
      </c>
      <c r="CI128" s="4">
        <v>65800</v>
      </c>
      <c r="CJ128" s="4">
        <v>297500</v>
      </c>
      <c r="CK128" s="19">
        <v>373300</v>
      </c>
      <c r="CL128" s="8">
        <v>3.9648898118998434E-3</v>
      </c>
      <c r="CM128" s="4">
        <v>1473800</v>
      </c>
      <c r="CN128" s="4">
        <v>1855000</v>
      </c>
      <c r="CO128" s="19">
        <v>3467000</v>
      </c>
    </row>
    <row r="129" spans="1:93" x14ac:dyDescent="0.2">
      <c r="A129" s="33" t="s">
        <v>134</v>
      </c>
      <c r="B129" s="8">
        <v>0.2697</v>
      </c>
      <c r="C129" s="8">
        <v>0.27779999999999999</v>
      </c>
      <c r="D129" s="8">
        <v>0.48100000000000004</v>
      </c>
      <c r="E129" s="8">
        <v>4.6399999999999997E-2</v>
      </c>
      <c r="F129" s="8">
        <v>0.26745702620466227</v>
      </c>
      <c r="G129" s="4">
        <v>34624900</v>
      </c>
      <c r="H129" s="4">
        <v>60204500</v>
      </c>
      <c r="I129" s="19">
        <v>244635812</v>
      </c>
      <c r="J129" s="8">
        <v>0.15188602708834603</v>
      </c>
      <c r="K129" s="4">
        <v>61008400</v>
      </c>
      <c r="L129" s="4">
        <v>56998200</v>
      </c>
      <c r="M129" s="19">
        <v>138926100</v>
      </c>
      <c r="N129" s="8">
        <v>0.19667688095801092</v>
      </c>
      <c r="O129" s="4">
        <v>80698900</v>
      </c>
      <c r="P129" s="4">
        <v>74196600</v>
      </c>
      <c r="Q129" s="19">
        <v>179895100</v>
      </c>
      <c r="R129" s="8">
        <v>2.1227796972353438E-2</v>
      </c>
      <c r="S129" s="4">
        <v>6677100</v>
      </c>
      <c r="T129" s="4">
        <v>9225600</v>
      </c>
      <c r="U129" s="19">
        <v>19416500</v>
      </c>
      <c r="V129" s="8">
        <v>3.8410652619632155E-2</v>
      </c>
      <c r="W129" s="4">
        <v>13309300</v>
      </c>
      <c r="X129" s="4">
        <v>15903400</v>
      </c>
      <c r="Y129" s="19">
        <v>35133200</v>
      </c>
      <c r="Z129" s="8">
        <v>2.7212337844650991E-2</v>
      </c>
      <c r="AA129" s="4">
        <v>10890500</v>
      </c>
      <c r="AB129" s="4">
        <v>10518300</v>
      </c>
      <c r="AC129" s="19">
        <v>24890400</v>
      </c>
      <c r="AD129" s="38">
        <v>1.3039737196145375E-2</v>
      </c>
      <c r="AE129" s="4">
        <v>5183700</v>
      </c>
      <c r="AF129" s="4">
        <v>5182100</v>
      </c>
      <c r="AG129" s="19">
        <v>11927100</v>
      </c>
      <c r="AH129" s="38">
        <v>6.7776218190034446E-2</v>
      </c>
      <c r="AI129" s="4">
        <v>10858600</v>
      </c>
      <c r="AJ129" s="4">
        <v>19315700</v>
      </c>
      <c r="AK129" s="19">
        <v>61993100</v>
      </c>
      <c r="AL129" s="38">
        <v>1.6110560266005873E-2</v>
      </c>
      <c r="AM129" s="4">
        <v>4983500</v>
      </c>
      <c r="AN129" s="4">
        <v>5241500</v>
      </c>
      <c r="AO129" s="19">
        <v>14735900</v>
      </c>
      <c r="AP129" s="38">
        <v>4.033461817016637E-3</v>
      </c>
      <c r="AQ129" s="4">
        <v>817800</v>
      </c>
      <c r="AR129" s="4">
        <v>2125000</v>
      </c>
      <c r="AS129" s="19">
        <v>3689300</v>
      </c>
      <c r="AT129" s="38">
        <v>3.6713653342703412E-3</v>
      </c>
      <c r="AU129" s="4">
        <v>1092000</v>
      </c>
      <c r="AV129" s="4">
        <v>1841300</v>
      </c>
      <c r="AW129" s="19">
        <v>3358100</v>
      </c>
      <c r="AX129" s="38">
        <v>1.5377074365418644E-3</v>
      </c>
      <c r="AY129" s="4">
        <v>60700</v>
      </c>
      <c r="AZ129" s="4">
        <v>85500</v>
      </c>
      <c r="BA129" s="19">
        <v>1406500</v>
      </c>
      <c r="BB129" s="38">
        <v>3.9674273135206339E-3</v>
      </c>
      <c r="BC129" s="4">
        <v>881800</v>
      </c>
      <c r="BD129" s="4">
        <v>2490200</v>
      </c>
      <c r="BE129" s="19">
        <v>3628900</v>
      </c>
      <c r="BF129" s="38">
        <v>3.3709520748227952E-2</v>
      </c>
      <c r="BG129" s="4">
        <v>3489900</v>
      </c>
      <c r="BH129" s="4">
        <v>4064100</v>
      </c>
      <c r="BI129" s="19">
        <v>30833200</v>
      </c>
      <c r="BJ129" s="38">
        <v>1.1026778125998997E-2</v>
      </c>
      <c r="BK129" s="4">
        <v>3968100</v>
      </c>
      <c r="BL129" s="4">
        <v>5154600</v>
      </c>
      <c r="BM129" s="19">
        <v>10085900</v>
      </c>
      <c r="BN129" s="38">
        <v>2.8185472142031664E-2</v>
      </c>
      <c r="BO129" s="4">
        <v>9614800</v>
      </c>
      <c r="BP129" s="4">
        <v>12497700</v>
      </c>
      <c r="BQ129" s="19">
        <v>25780500</v>
      </c>
      <c r="BS129" s="4"/>
      <c r="BT129" s="4"/>
      <c r="BU129" s="19">
        <v>940600</v>
      </c>
      <c r="BW129" s="4"/>
      <c r="BX129" s="4"/>
      <c r="BY129" s="19">
        <v>3406100</v>
      </c>
      <c r="BZ129" s="8">
        <v>1.0971129844079353E-3</v>
      </c>
      <c r="CA129" s="4">
        <v>166200</v>
      </c>
      <c r="CB129" s="4">
        <v>118000</v>
      </c>
      <c r="CC129" s="19">
        <v>1003500</v>
      </c>
      <c r="CD129" s="38">
        <v>7.4597123220849267E-3</v>
      </c>
      <c r="CE129" s="4">
        <v>2058700</v>
      </c>
      <c r="CF129" s="4">
        <v>1606400</v>
      </c>
      <c r="CG129" s="19">
        <v>6823200</v>
      </c>
      <c r="CH129" s="8">
        <v>1.1518866371422029E-3</v>
      </c>
      <c r="CI129" s="4">
        <v>444200</v>
      </c>
      <c r="CJ129" s="4">
        <v>594200</v>
      </c>
      <c r="CK129" s="19">
        <v>1053600</v>
      </c>
      <c r="CL129" s="8">
        <v>4.8411818697127835E-3</v>
      </c>
      <c r="CM129" s="4">
        <v>1951600</v>
      </c>
      <c r="CN129" s="4">
        <v>2454500</v>
      </c>
      <c r="CO129" s="19">
        <v>4428000</v>
      </c>
    </row>
    <row r="130" spans="1:93" x14ac:dyDescent="0.2">
      <c r="A130" s="33" t="s">
        <v>135</v>
      </c>
      <c r="B130" s="8">
        <v>0.27279999999999999</v>
      </c>
      <c r="C130" s="8">
        <v>0.27679999999999999</v>
      </c>
      <c r="D130" s="8">
        <v>0.39549999999999996</v>
      </c>
      <c r="E130" s="8">
        <v>6.0700000000000004E-2</v>
      </c>
      <c r="F130" s="8">
        <v>0.25402315627046662</v>
      </c>
      <c r="G130" s="4">
        <v>33288400</v>
      </c>
      <c r="H130" s="4">
        <v>44325600</v>
      </c>
      <c r="I130" s="19">
        <v>170258074</v>
      </c>
      <c r="J130" s="8">
        <v>9.424311995503909E-2</v>
      </c>
      <c r="K130" s="4">
        <v>25746900</v>
      </c>
      <c r="L130" s="4">
        <v>28274700</v>
      </c>
      <c r="M130" s="19">
        <v>63166100</v>
      </c>
      <c r="N130" s="8">
        <v>0.1140722492102955</v>
      </c>
      <c r="O130" s="4">
        <v>25141800</v>
      </c>
      <c r="P130" s="4">
        <v>22374700</v>
      </c>
      <c r="Q130" s="19">
        <v>76456500</v>
      </c>
      <c r="R130" s="8">
        <v>5.0338959437467905E-2</v>
      </c>
      <c r="S130" s="4">
        <v>18418100</v>
      </c>
      <c r="T130" s="4">
        <v>9709900</v>
      </c>
      <c r="U130" s="19">
        <v>33739500</v>
      </c>
      <c r="V130" s="8">
        <v>4.4526439247314635E-2</v>
      </c>
      <c r="W130" s="4">
        <v>9268100</v>
      </c>
      <c r="X130" s="4">
        <v>9921900</v>
      </c>
      <c r="Y130" s="19">
        <v>29843680</v>
      </c>
      <c r="Z130" s="8">
        <v>3.7117201490030213E-2</v>
      </c>
      <c r="AA130" s="4">
        <v>9696700</v>
      </c>
      <c r="AB130" s="4">
        <v>8621400</v>
      </c>
      <c r="AC130" s="19">
        <v>24877666</v>
      </c>
      <c r="AD130" s="38">
        <v>1.6418293434630866E-2</v>
      </c>
      <c r="AE130" s="4">
        <v>3894200</v>
      </c>
      <c r="AF130" s="4">
        <v>5866100</v>
      </c>
      <c r="AG130" s="19">
        <v>11004300</v>
      </c>
      <c r="AH130" s="38">
        <v>5.0402518164539618E-2</v>
      </c>
      <c r="AI130" s="4">
        <v>11750900</v>
      </c>
      <c r="AJ130" s="4">
        <v>13055100</v>
      </c>
      <c r="AK130" s="19">
        <v>33782100</v>
      </c>
      <c r="AL130" s="38">
        <v>3.071915622465661E-2</v>
      </c>
      <c r="AM130" s="4">
        <v>5339300</v>
      </c>
      <c r="AN130" s="4">
        <v>3625200</v>
      </c>
      <c r="AO130" s="19">
        <v>20589400</v>
      </c>
      <c r="AP130" s="38">
        <v>5.9866054548182394E-3</v>
      </c>
      <c r="AQ130" s="4">
        <v>1820700</v>
      </c>
      <c r="AR130" s="4">
        <v>1375300</v>
      </c>
      <c r="AS130" s="19">
        <v>4012500</v>
      </c>
      <c r="AT130" s="38">
        <v>3.9754044197789903E-3</v>
      </c>
      <c r="AU130" s="4">
        <v>1037100</v>
      </c>
      <c r="AV130" s="4">
        <v>1247200</v>
      </c>
      <c r="AW130" s="19">
        <v>2664500</v>
      </c>
      <c r="AX130" s="38">
        <v>2.2315677953324959E-3</v>
      </c>
      <c r="AY130" s="4">
        <v>231900</v>
      </c>
      <c r="AZ130" s="4">
        <v>59200</v>
      </c>
      <c r="BA130" s="19">
        <v>1495700</v>
      </c>
      <c r="BB130" s="38">
        <v>3.5424292414641609E-3</v>
      </c>
      <c r="BC130" s="4">
        <v>1103800</v>
      </c>
      <c r="BD130" s="4">
        <v>939600</v>
      </c>
      <c r="BE130" s="19">
        <v>2374300</v>
      </c>
      <c r="BF130" s="38">
        <v>1.5658423488677239E-2</v>
      </c>
      <c r="BG130" s="4">
        <v>2033800</v>
      </c>
      <c r="BH130" s="4">
        <v>3162100</v>
      </c>
      <c r="BI130" s="19">
        <v>10495000</v>
      </c>
      <c r="BJ130" s="38">
        <v>1.172762953696032E-2</v>
      </c>
      <c r="BK130" s="4">
        <v>4213400</v>
      </c>
      <c r="BL130" s="4">
        <v>3133600</v>
      </c>
      <c r="BM130" s="19">
        <v>7860400</v>
      </c>
      <c r="BN130" s="38">
        <v>2.7546441832215243E-2</v>
      </c>
      <c r="BO130" s="4">
        <v>8687300</v>
      </c>
      <c r="BP130" s="4">
        <v>6706400</v>
      </c>
      <c r="BQ130" s="19">
        <v>18462900</v>
      </c>
      <c r="BS130" s="4"/>
      <c r="BT130" s="4"/>
      <c r="BU130" s="19">
        <v>680600</v>
      </c>
      <c r="BW130" s="4"/>
      <c r="BX130" s="4"/>
      <c r="BY130" s="19">
        <v>4713300</v>
      </c>
      <c r="BZ130" s="8">
        <v>2.8859541261694504E-3</v>
      </c>
      <c r="CA130" s="4">
        <v>179600</v>
      </c>
      <c r="CB130" s="4">
        <v>144200</v>
      </c>
      <c r="CC130" s="19">
        <v>1934300</v>
      </c>
      <c r="CD130" s="38">
        <v>2.9480498089273974E-2</v>
      </c>
      <c r="CE130" s="4">
        <v>5323600</v>
      </c>
      <c r="CF130" s="4">
        <v>2744400</v>
      </c>
      <c r="CG130" s="19">
        <v>19759194</v>
      </c>
      <c r="CH130" s="8">
        <v>5.9933194048610256E-4</v>
      </c>
      <c r="CI130" s="4">
        <v>195600</v>
      </c>
      <c r="CJ130" s="4">
        <v>206000</v>
      </c>
      <c r="CK130" s="19">
        <v>401700</v>
      </c>
      <c r="CL130" s="8">
        <v>5.6109226502018567E-3</v>
      </c>
      <c r="CM130" s="4">
        <v>1542000</v>
      </c>
      <c r="CN130" s="4">
        <v>2007800</v>
      </c>
      <c r="CO130" s="19">
        <v>3758200</v>
      </c>
    </row>
    <row r="131" spans="1:93" x14ac:dyDescent="0.2">
      <c r="A131" s="33" t="s">
        <v>136</v>
      </c>
      <c r="B131" s="8">
        <v>0.37990000000000002</v>
      </c>
      <c r="C131" s="8">
        <v>0.26700000000000002</v>
      </c>
      <c r="D131" s="8">
        <v>0.37939999999999996</v>
      </c>
      <c r="E131" s="8">
        <v>5.8700000000000002E-2</v>
      </c>
      <c r="F131" s="8">
        <v>0.2930007931209988</v>
      </c>
      <c r="G131" s="4">
        <v>50821200</v>
      </c>
      <c r="H131" s="4">
        <v>104313200</v>
      </c>
      <c r="I131" s="19">
        <v>328424468</v>
      </c>
      <c r="J131" s="8">
        <v>0.17729937837866291</v>
      </c>
      <c r="K131" s="4">
        <v>92614500</v>
      </c>
      <c r="L131" s="4">
        <v>81544500</v>
      </c>
      <c r="M131" s="19">
        <v>198734800</v>
      </c>
      <c r="N131" s="8">
        <v>0.10180117944855661</v>
      </c>
      <c r="O131" s="4">
        <v>35147200</v>
      </c>
      <c r="P131" s="4">
        <v>47305000</v>
      </c>
      <c r="Q131" s="19">
        <v>114108900</v>
      </c>
      <c r="R131" s="8">
        <v>1.8155952804361233E-2</v>
      </c>
      <c r="S131" s="4">
        <v>5452400</v>
      </c>
      <c r="T131" s="4">
        <v>10999900</v>
      </c>
      <c r="U131" s="19">
        <v>20351000</v>
      </c>
      <c r="V131" s="8">
        <v>5.6797594305831429E-2</v>
      </c>
      <c r="W131" s="4">
        <v>13606200</v>
      </c>
      <c r="X131" s="4">
        <v>23930200</v>
      </c>
      <c r="Y131" s="19">
        <v>63664400</v>
      </c>
      <c r="Z131" s="8">
        <v>2.1756453729516807E-2</v>
      </c>
      <c r="AA131" s="4">
        <v>7376200</v>
      </c>
      <c r="AB131" s="4">
        <v>10938900</v>
      </c>
      <c r="AC131" s="19">
        <v>24386800</v>
      </c>
      <c r="AD131" s="38">
        <v>1.2679904752253245E-2</v>
      </c>
      <c r="AE131" s="4">
        <v>3942300</v>
      </c>
      <c r="AF131" s="4">
        <v>8829100</v>
      </c>
      <c r="AG131" s="19">
        <v>14212900</v>
      </c>
      <c r="AH131" s="38">
        <v>4.6936407694474422E-2</v>
      </c>
      <c r="AI131" s="4">
        <v>11655400</v>
      </c>
      <c r="AJ131" s="4">
        <v>22119300</v>
      </c>
      <c r="AK131" s="19">
        <v>52611000</v>
      </c>
      <c r="AL131" s="38">
        <v>1.3225181070568099E-2</v>
      </c>
      <c r="AM131" s="4">
        <v>3398600</v>
      </c>
      <c r="AN131" s="4">
        <v>8961200</v>
      </c>
      <c r="AO131" s="19">
        <v>14824100</v>
      </c>
      <c r="AP131" s="38">
        <v>4.809529829900812E-3</v>
      </c>
      <c r="AQ131" s="4">
        <v>2037200</v>
      </c>
      <c r="AR131" s="4">
        <v>2639500</v>
      </c>
      <c r="AS131" s="19">
        <v>5391000</v>
      </c>
      <c r="AT131" s="38">
        <v>3.213757986691095E-3</v>
      </c>
      <c r="AU131" s="4">
        <v>1047400</v>
      </c>
      <c r="AV131" s="4">
        <v>1791800</v>
      </c>
      <c r="AW131" s="19">
        <v>3602300</v>
      </c>
      <c r="AX131" s="38">
        <v>3.2190216160727339E-3</v>
      </c>
      <c r="AY131" s="4">
        <v>405400</v>
      </c>
      <c r="AZ131" s="4">
        <v>287100</v>
      </c>
      <c r="BA131" s="19">
        <v>3608200</v>
      </c>
      <c r="BB131" s="38">
        <v>3.9820694482957282E-3</v>
      </c>
      <c r="BC131" s="4">
        <v>1264000</v>
      </c>
      <c r="BD131" s="4">
        <v>2816500</v>
      </c>
      <c r="BE131" s="19">
        <v>4463500</v>
      </c>
      <c r="BF131" s="38">
        <v>1.3790887408008297E-2</v>
      </c>
      <c r="BG131" s="4">
        <v>2428100</v>
      </c>
      <c r="BH131" s="4">
        <v>4817000</v>
      </c>
      <c r="BI131" s="19">
        <v>15458200</v>
      </c>
      <c r="BJ131" s="38">
        <v>1.048702322342813E-2</v>
      </c>
      <c r="BK131" s="4">
        <v>3197100</v>
      </c>
      <c r="BL131" s="4">
        <v>7435200</v>
      </c>
      <c r="BM131" s="19">
        <v>11754900</v>
      </c>
      <c r="BN131" s="38">
        <v>2.7119556785062855E-2</v>
      </c>
      <c r="BO131" s="4">
        <v>10330300</v>
      </c>
      <c r="BP131" s="4">
        <v>17272800</v>
      </c>
      <c r="BQ131" s="19">
        <v>30398300</v>
      </c>
      <c r="BS131" s="4"/>
      <c r="BT131" s="4"/>
      <c r="BU131" s="19">
        <v>821900</v>
      </c>
      <c r="BW131" s="4"/>
      <c r="BX131" s="4"/>
      <c r="BY131" s="19">
        <v>4132600</v>
      </c>
      <c r="BZ131" s="8">
        <v>1.188152815333315E-3</v>
      </c>
      <c r="CA131" s="4">
        <v>94300</v>
      </c>
      <c r="CB131" s="4">
        <v>126400</v>
      </c>
      <c r="CC131" s="19">
        <v>1331800</v>
      </c>
      <c r="CD131" s="38">
        <v>8.1546073403986358E-3</v>
      </c>
      <c r="CE131" s="4">
        <v>2008900</v>
      </c>
      <c r="CF131" s="4">
        <v>1676800</v>
      </c>
      <c r="CG131" s="19">
        <v>9140496</v>
      </c>
      <c r="CH131" s="8">
        <v>1.6219115620032787E-3</v>
      </c>
      <c r="CI131" s="4">
        <v>320700</v>
      </c>
      <c r="CJ131" s="4">
        <v>1497100</v>
      </c>
      <c r="CK131" s="19">
        <v>1818000</v>
      </c>
      <c r="CL131" s="8">
        <v>3.5390324396649101E-3</v>
      </c>
      <c r="CM131" s="4">
        <v>1246200</v>
      </c>
      <c r="CN131" s="4">
        <v>2212200</v>
      </c>
      <c r="CO131" s="19">
        <v>3964300</v>
      </c>
    </row>
    <row r="132" spans="1:93" x14ac:dyDescent="0.2">
      <c r="A132" s="33" t="s">
        <v>137</v>
      </c>
      <c r="B132" s="8">
        <v>0.30130000000000001</v>
      </c>
      <c r="C132" s="8">
        <v>0.25190000000000001</v>
      </c>
      <c r="D132" s="8">
        <v>0.42409999999999998</v>
      </c>
      <c r="E132" s="8">
        <v>7.3399999999999993E-2</v>
      </c>
      <c r="F132" s="8">
        <v>0.24644466877072288</v>
      </c>
      <c r="G132" s="4">
        <v>37505800</v>
      </c>
      <c r="H132" s="4">
        <v>44362200</v>
      </c>
      <c r="I132" s="19">
        <v>152831749</v>
      </c>
      <c r="J132" s="8">
        <v>9.2235332508588161E-2</v>
      </c>
      <c r="K132" s="4">
        <v>24548200</v>
      </c>
      <c r="L132" s="4">
        <v>25751400</v>
      </c>
      <c r="M132" s="19">
        <v>57199400</v>
      </c>
      <c r="N132" s="8">
        <v>0.10369391901134915</v>
      </c>
      <c r="O132" s="4">
        <v>17279400</v>
      </c>
      <c r="P132" s="4">
        <v>21834000</v>
      </c>
      <c r="Q132" s="19">
        <v>64305400</v>
      </c>
      <c r="R132" s="8">
        <v>4.4395169476606308E-2</v>
      </c>
      <c r="S132" s="4">
        <v>13830400</v>
      </c>
      <c r="T132" s="4">
        <v>7408200</v>
      </c>
      <c r="U132" s="19">
        <v>27531500</v>
      </c>
      <c r="V132" s="8">
        <v>6.5935570577251107E-2</v>
      </c>
      <c r="W132" s="4">
        <v>14684200</v>
      </c>
      <c r="X132" s="4">
        <v>12378100</v>
      </c>
      <c r="Y132" s="19">
        <v>40889700</v>
      </c>
      <c r="Z132" s="8">
        <v>2.5812457563037811E-2</v>
      </c>
      <c r="AA132" s="4">
        <v>8045000</v>
      </c>
      <c r="AB132" s="4">
        <v>5827900</v>
      </c>
      <c r="AC132" s="19">
        <v>16007500</v>
      </c>
      <c r="AD132" s="38">
        <v>2.7161977833817529E-2</v>
      </c>
      <c r="AE132" s="4">
        <v>7025700</v>
      </c>
      <c r="AF132" s="4">
        <v>6401100</v>
      </c>
      <c r="AG132" s="19">
        <v>16844400</v>
      </c>
      <c r="AH132" s="38">
        <v>7.6154449606986127E-2</v>
      </c>
      <c r="AI132" s="4">
        <v>25621900</v>
      </c>
      <c r="AJ132" s="4">
        <v>13067800</v>
      </c>
      <c r="AK132" s="19">
        <v>47226900</v>
      </c>
      <c r="AL132" s="38">
        <v>2.5365305010657341E-2</v>
      </c>
      <c r="AM132" s="4">
        <v>5717600</v>
      </c>
      <c r="AN132" s="4">
        <v>6269500</v>
      </c>
      <c r="AO132" s="19">
        <v>15730200</v>
      </c>
      <c r="AP132" s="38">
        <v>1.107464484130485E-2</v>
      </c>
      <c r="AQ132" s="4">
        <v>4884700</v>
      </c>
      <c r="AR132" s="4">
        <v>1757000</v>
      </c>
      <c r="AS132" s="19">
        <v>6867900</v>
      </c>
      <c r="AT132" s="38">
        <v>1.4526501293409317E-2</v>
      </c>
      <c r="AU132" s="4">
        <v>1562800</v>
      </c>
      <c r="AV132" s="4">
        <v>1598600</v>
      </c>
      <c r="AW132" s="19">
        <v>9008556</v>
      </c>
      <c r="AX132" s="38">
        <v>1.942283625468002E-3</v>
      </c>
      <c r="AY132" s="4">
        <v>88500</v>
      </c>
      <c r="AZ132" s="4">
        <v>48500</v>
      </c>
      <c r="BA132" s="19">
        <v>1204500</v>
      </c>
      <c r="BB132" s="38">
        <v>9.2083110363096934E-3</v>
      </c>
      <c r="BC132" s="4">
        <v>3211600</v>
      </c>
      <c r="BD132" s="4">
        <v>1546600</v>
      </c>
      <c r="BE132" s="19">
        <v>5710500</v>
      </c>
      <c r="BF132" s="38">
        <v>2.7132791172446859E-2</v>
      </c>
      <c r="BG132" s="4">
        <v>3779800</v>
      </c>
      <c r="BH132" s="4">
        <v>3611300</v>
      </c>
      <c r="BI132" s="19">
        <v>16826300</v>
      </c>
      <c r="BJ132" s="38">
        <v>1.3460694721425234E-2</v>
      </c>
      <c r="BK132" s="4">
        <v>3474100</v>
      </c>
      <c r="BL132" s="4">
        <v>4197000</v>
      </c>
      <c r="BM132" s="19">
        <v>8347600</v>
      </c>
      <c r="BN132" s="38">
        <v>3.580090709499003E-2</v>
      </c>
      <c r="BO132" s="4">
        <v>13207800</v>
      </c>
      <c r="BP132" s="4">
        <v>7301500</v>
      </c>
      <c r="BQ132" s="19">
        <v>22201800</v>
      </c>
      <c r="BS132" s="4"/>
      <c r="BT132" s="4"/>
      <c r="BU132" s="19">
        <v>311200</v>
      </c>
      <c r="BW132" s="4"/>
      <c r="BX132" s="4"/>
      <c r="BY132" s="19">
        <v>2992800</v>
      </c>
      <c r="BZ132" s="8">
        <v>1.8887478709096479E-3</v>
      </c>
      <c r="CA132" s="4">
        <v>69000</v>
      </c>
      <c r="CB132" s="4">
        <v>106700</v>
      </c>
      <c r="CC132" s="19">
        <v>1171300</v>
      </c>
      <c r="CD132" s="38">
        <v>6.3650109864882235E-3</v>
      </c>
      <c r="CE132" s="4">
        <v>502300</v>
      </c>
      <c r="CF132" s="4">
        <v>628900</v>
      </c>
      <c r="CG132" s="19">
        <v>3947238</v>
      </c>
      <c r="CH132" s="8">
        <v>1.5849485890182642E-3</v>
      </c>
      <c r="CI132" s="4">
        <v>169300</v>
      </c>
      <c r="CJ132" s="4">
        <v>732900</v>
      </c>
      <c r="CK132" s="19">
        <v>982900</v>
      </c>
      <c r="CL132" s="8">
        <v>8.0866402269485129E-3</v>
      </c>
      <c r="CM132" s="4">
        <v>2831700</v>
      </c>
      <c r="CN132" s="4">
        <v>2174000</v>
      </c>
      <c r="CO132" s="19">
        <v>5014300</v>
      </c>
    </row>
    <row r="133" spans="1:93" x14ac:dyDescent="0.2">
      <c r="A133" s="33" t="s">
        <v>138</v>
      </c>
      <c r="B133" s="8">
        <v>0.26079999999999998</v>
      </c>
      <c r="C133" s="8">
        <v>0.2848</v>
      </c>
      <c r="D133" s="8">
        <v>0.37540000000000001</v>
      </c>
      <c r="E133" s="8">
        <v>5.9800000000000006E-2</v>
      </c>
      <c r="F133" s="8">
        <v>0.2388432787488006</v>
      </c>
      <c r="G133" s="4">
        <v>33495100</v>
      </c>
      <c r="H133" s="4">
        <v>44979100</v>
      </c>
      <c r="I133" s="19">
        <v>159196100</v>
      </c>
      <c r="J133" s="8">
        <v>9.0286022838324723E-2</v>
      </c>
      <c r="K133" s="4">
        <v>21223100</v>
      </c>
      <c r="L133" s="4">
        <v>33459200</v>
      </c>
      <c r="M133" s="19">
        <v>60178301</v>
      </c>
      <c r="N133" s="8">
        <v>9.4278042474807838E-2</v>
      </c>
      <c r="O133" s="4">
        <v>12015300</v>
      </c>
      <c r="P133" s="4">
        <v>21547800</v>
      </c>
      <c r="Q133" s="19">
        <v>62839100</v>
      </c>
      <c r="R133" s="8">
        <v>2.9105536848849357E-2</v>
      </c>
      <c r="S133" s="4">
        <v>9265600</v>
      </c>
      <c r="T133" s="4">
        <v>7315000</v>
      </c>
      <c r="U133" s="19">
        <v>19399700</v>
      </c>
      <c r="V133" s="8">
        <v>8.5697477499785582E-2</v>
      </c>
      <c r="W133" s="4">
        <v>17141400</v>
      </c>
      <c r="X133" s="4">
        <v>25836600</v>
      </c>
      <c r="Y133" s="19">
        <v>57119900</v>
      </c>
      <c r="Z133" s="8">
        <v>2.0377941630514717E-2</v>
      </c>
      <c r="AA133" s="4">
        <v>4509300</v>
      </c>
      <c r="AB133" s="4">
        <v>6118200</v>
      </c>
      <c r="AC133" s="19">
        <v>13582500</v>
      </c>
      <c r="AD133" s="38">
        <v>1.4396061190608572E-2</v>
      </c>
      <c r="AE133" s="4">
        <v>3211700</v>
      </c>
      <c r="AF133" s="4">
        <v>4944000</v>
      </c>
      <c r="AG133" s="19">
        <v>9595400</v>
      </c>
      <c r="AH133" s="38">
        <v>7.0922738417217357E-2</v>
      </c>
      <c r="AI133" s="4">
        <v>11390100</v>
      </c>
      <c r="AJ133" s="4">
        <v>12217300</v>
      </c>
      <c r="AK133" s="19">
        <v>47272100</v>
      </c>
      <c r="AL133" s="38">
        <v>1.2090837018675138E-2</v>
      </c>
      <c r="AM133" s="4">
        <v>1900800</v>
      </c>
      <c r="AN133" s="4">
        <v>3365800</v>
      </c>
      <c r="AO133" s="19">
        <v>8058900</v>
      </c>
      <c r="AP133" s="38">
        <v>3.311781215181166E-3</v>
      </c>
      <c r="AQ133" s="4">
        <v>631100</v>
      </c>
      <c r="AR133" s="4">
        <v>1357700</v>
      </c>
      <c r="AS133" s="19">
        <v>2207400</v>
      </c>
      <c r="AT133" s="38">
        <v>4.0419814133458272E-3</v>
      </c>
      <c r="AU133" s="4">
        <v>818500</v>
      </c>
      <c r="AV133" s="4">
        <v>1469200</v>
      </c>
      <c r="AW133" s="19">
        <v>2694100</v>
      </c>
      <c r="AX133" s="38">
        <v>2.7323620318419587E-3</v>
      </c>
      <c r="AY133" s="4">
        <v>111100</v>
      </c>
      <c r="AZ133" s="4">
        <v>409700</v>
      </c>
      <c r="BA133" s="19">
        <v>1821200</v>
      </c>
      <c r="BB133" s="38">
        <v>3.9333590703272917E-3</v>
      </c>
      <c r="BC133" s="4">
        <v>1256100</v>
      </c>
      <c r="BD133" s="4">
        <v>1066100</v>
      </c>
      <c r="BE133" s="19">
        <v>2621700</v>
      </c>
      <c r="BF133" s="38">
        <v>2.262330348909954E-2</v>
      </c>
      <c r="BG133" s="4">
        <v>1314200</v>
      </c>
      <c r="BH133" s="4">
        <v>1435900</v>
      </c>
      <c r="BI133" s="19">
        <v>15079100</v>
      </c>
      <c r="BJ133" s="38">
        <v>2.3034087985211074E-2</v>
      </c>
      <c r="BK133" s="4">
        <v>7469400</v>
      </c>
      <c r="BL133" s="4">
        <v>7005800</v>
      </c>
      <c r="BM133" s="19">
        <v>15352900</v>
      </c>
      <c r="BN133" s="38">
        <v>2.4791549485375621E-2</v>
      </c>
      <c r="BO133" s="4">
        <v>6912700</v>
      </c>
      <c r="BP133" s="4">
        <v>8477800</v>
      </c>
      <c r="BQ133" s="19">
        <v>16524300</v>
      </c>
      <c r="BS133" s="4"/>
      <c r="BT133" s="4"/>
      <c r="BU133" s="19">
        <v>482900</v>
      </c>
      <c r="BW133" s="4"/>
      <c r="BX133" s="4"/>
      <c r="BY133" s="19">
        <v>4580800</v>
      </c>
      <c r="BZ133" s="8">
        <v>1.449898236092724E-3</v>
      </c>
      <c r="CA133" s="4">
        <v>60400</v>
      </c>
      <c r="CB133" s="4">
        <v>136500</v>
      </c>
      <c r="CC133" s="19">
        <v>966400</v>
      </c>
      <c r="CD133" s="38">
        <v>9.8268713333854851E-3</v>
      </c>
      <c r="CE133" s="4">
        <v>563000</v>
      </c>
      <c r="CF133" s="4">
        <v>827000</v>
      </c>
      <c r="CG133" s="19">
        <v>6549900</v>
      </c>
      <c r="CH133" s="8">
        <v>1.8966901387297409E-3</v>
      </c>
      <c r="CI133" s="4">
        <v>493000</v>
      </c>
      <c r="CJ133" s="4">
        <v>686100</v>
      </c>
      <c r="CK133" s="19">
        <v>1264200</v>
      </c>
      <c r="CL133" s="8">
        <v>6.8181524564604554E-3</v>
      </c>
      <c r="CM133" s="4">
        <v>1260000</v>
      </c>
      <c r="CN133" s="4">
        <v>1350800</v>
      </c>
      <c r="CO133" s="19">
        <v>4543700</v>
      </c>
    </row>
    <row r="134" spans="1:93" x14ac:dyDescent="0.2">
      <c r="A134" s="33" t="s">
        <v>139</v>
      </c>
      <c r="B134" s="8">
        <v>0.31219999999999998</v>
      </c>
      <c r="C134" s="8">
        <v>0.27149999999999996</v>
      </c>
      <c r="D134" s="8">
        <v>0.44259999999999999</v>
      </c>
      <c r="E134" s="8">
        <v>6.9699999999999998E-2</v>
      </c>
      <c r="F134" s="8">
        <v>0.22064908918586407</v>
      </c>
      <c r="G134" s="4">
        <v>35810100</v>
      </c>
      <c r="H134" s="4">
        <v>34046200</v>
      </c>
      <c r="I134" s="19">
        <v>126922700</v>
      </c>
      <c r="J134" s="8">
        <v>0.11761830911365016</v>
      </c>
      <c r="K134" s="4">
        <v>30121400</v>
      </c>
      <c r="L134" s="4">
        <v>29553600</v>
      </c>
      <c r="M134" s="19">
        <v>67656900</v>
      </c>
      <c r="N134" s="8">
        <v>0.13881978081315802</v>
      </c>
      <c r="O134" s="4">
        <v>36654900</v>
      </c>
      <c r="P134" s="4">
        <v>25397200</v>
      </c>
      <c r="Q134" s="19">
        <v>79852500</v>
      </c>
      <c r="R134" s="8">
        <v>3.1713198779622316E-2</v>
      </c>
      <c r="S134" s="4">
        <v>7489800</v>
      </c>
      <c r="T134" s="4">
        <v>6002700</v>
      </c>
      <c r="U134" s="19">
        <v>18242200</v>
      </c>
      <c r="V134" s="8">
        <v>7.7102977473902226E-2</v>
      </c>
      <c r="W134" s="4">
        <v>21409700</v>
      </c>
      <c r="X134" s="4">
        <v>10503300</v>
      </c>
      <c r="Y134" s="19">
        <v>44351500</v>
      </c>
      <c r="Z134" s="8">
        <v>2.2682807102042412E-2</v>
      </c>
      <c r="AA134" s="4">
        <v>4018300</v>
      </c>
      <c r="AB134" s="4">
        <v>4954700</v>
      </c>
      <c r="AC134" s="19">
        <v>13047700</v>
      </c>
      <c r="AD134" s="38">
        <v>2.8767564809366972E-2</v>
      </c>
      <c r="AE134" s="4">
        <v>6597200</v>
      </c>
      <c r="AF134" s="4">
        <v>6337500</v>
      </c>
      <c r="AG134" s="19">
        <v>16547800</v>
      </c>
      <c r="AH134" s="38">
        <v>5.7676291964333999E-2</v>
      </c>
      <c r="AI134" s="4">
        <v>8556600</v>
      </c>
      <c r="AJ134" s="4">
        <v>10024300</v>
      </c>
      <c r="AK134" s="19">
        <v>33176800</v>
      </c>
      <c r="AL134" s="38">
        <v>1.1720125435121848E-2</v>
      </c>
      <c r="AM134" s="4">
        <v>1829500</v>
      </c>
      <c r="AN134" s="4">
        <v>3437500</v>
      </c>
      <c r="AO134" s="19">
        <v>6741700</v>
      </c>
      <c r="AP134" s="38">
        <v>2.2354761109250167E-3</v>
      </c>
      <c r="AQ134" s="4">
        <v>565200</v>
      </c>
      <c r="AR134" s="4">
        <v>649000</v>
      </c>
      <c r="AS134" s="19">
        <v>1285900</v>
      </c>
      <c r="AT134" s="38">
        <v>1.4817234251397193E-2</v>
      </c>
      <c r="AU134" s="4">
        <v>1062100</v>
      </c>
      <c r="AV134" s="4">
        <v>1281500</v>
      </c>
      <c r="AW134" s="19">
        <v>8523232</v>
      </c>
      <c r="AX134" s="38">
        <v>1.1661539584792761E-3</v>
      </c>
      <c r="AY134" s="4">
        <v>29900</v>
      </c>
      <c r="AZ134" s="4">
        <v>36400</v>
      </c>
      <c r="BA134" s="19">
        <v>670800</v>
      </c>
      <c r="BB134" s="38">
        <v>4.7019925633555422E-3</v>
      </c>
      <c r="BC134" s="4">
        <v>533800</v>
      </c>
      <c r="BD134" s="4">
        <v>1023800</v>
      </c>
      <c r="BE134" s="19">
        <v>2704700</v>
      </c>
      <c r="BF134" s="38">
        <v>3.6980536106390891E-2</v>
      </c>
      <c r="BG134" s="4">
        <v>844800</v>
      </c>
      <c r="BH134" s="4">
        <v>1169900</v>
      </c>
      <c r="BI134" s="19">
        <v>21272100</v>
      </c>
      <c r="BJ134" s="38">
        <v>2.0102074318258147E-2</v>
      </c>
      <c r="BK134" s="4">
        <v>5517000</v>
      </c>
      <c r="BL134" s="4">
        <v>4690400</v>
      </c>
      <c r="BM134" s="19">
        <v>11563200</v>
      </c>
      <c r="BN134" s="38">
        <v>2.6014203689153081E-2</v>
      </c>
      <c r="BO134" s="4">
        <v>7097300</v>
      </c>
      <c r="BP134" s="4">
        <v>6513700</v>
      </c>
      <c r="BQ134" s="19">
        <v>14964000</v>
      </c>
      <c r="BS134" s="4"/>
      <c r="BT134" s="4"/>
      <c r="BU134" s="19">
        <v>355600</v>
      </c>
      <c r="BW134" s="4"/>
      <c r="BX134" s="4"/>
      <c r="BY134" s="19">
        <v>2783500</v>
      </c>
      <c r="BZ134" s="8">
        <v>1.6633513826371069E-3</v>
      </c>
      <c r="CA134" s="4">
        <v>187200</v>
      </c>
      <c r="CB134" s="4">
        <v>279100</v>
      </c>
      <c r="CC134" s="19">
        <v>956800</v>
      </c>
      <c r="CD134" s="38">
        <v>1.3104681185198846E-2</v>
      </c>
      <c r="CE134" s="4">
        <v>615000</v>
      </c>
      <c r="CF134" s="4">
        <v>589800</v>
      </c>
      <c r="CG134" s="19">
        <v>7538130</v>
      </c>
      <c r="CH134" s="8">
        <v>6.6175934083888078E-3</v>
      </c>
      <c r="CI134" s="4">
        <v>2467100</v>
      </c>
      <c r="CJ134" s="4">
        <v>1130000</v>
      </c>
      <c r="CK134" s="19">
        <v>3806600</v>
      </c>
      <c r="CL134" s="8">
        <v>2.9755353538060956E-3</v>
      </c>
      <c r="CM134" s="4">
        <v>546400</v>
      </c>
      <c r="CN134" s="4">
        <v>1063100</v>
      </c>
      <c r="CO134" s="19">
        <v>1710900</v>
      </c>
    </row>
    <row r="135" spans="1:93" x14ac:dyDescent="0.2">
      <c r="A135" s="33" t="s">
        <v>140</v>
      </c>
      <c r="B135" s="8">
        <v>0.3085</v>
      </c>
      <c r="C135" s="8">
        <v>0.28039999999999998</v>
      </c>
      <c r="D135" s="8">
        <v>0.35240000000000005</v>
      </c>
      <c r="E135" s="8">
        <v>5.2499999999999998E-2</v>
      </c>
      <c r="F135" s="8">
        <v>0.2739978640434893</v>
      </c>
      <c r="G135" s="4">
        <v>29787600</v>
      </c>
      <c r="H135" s="4">
        <v>45188000</v>
      </c>
      <c r="I135" s="19">
        <v>148106301</v>
      </c>
      <c r="J135" s="8">
        <v>9.5905902547020735E-2</v>
      </c>
      <c r="K135" s="4">
        <v>20003000</v>
      </c>
      <c r="L135" s="4">
        <v>24893600</v>
      </c>
      <c r="M135" s="19">
        <v>51840800</v>
      </c>
      <c r="N135" s="8">
        <v>9.4105104612975166E-2</v>
      </c>
      <c r="O135" s="4">
        <v>16442200</v>
      </c>
      <c r="P135" s="4">
        <v>19287000</v>
      </c>
      <c r="Q135" s="19">
        <v>50867400</v>
      </c>
      <c r="R135" s="8">
        <v>1.5658653989680679E-2</v>
      </c>
      <c r="S135" s="4">
        <v>3579000</v>
      </c>
      <c r="T135" s="4">
        <v>3349300</v>
      </c>
      <c r="U135" s="19">
        <v>8464100</v>
      </c>
      <c r="V135" s="8">
        <v>6.7756178523559155E-2</v>
      </c>
      <c r="W135" s="4">
        <v>15876500</v>
      </c>
      <c r="X135" s="4">
        <v>12256900</v>
      </c>
      <c r="Y135" s="19">
        <v>36624800</v>
      </c>
      <c r="Z135" s="8">
        <v>3.495886402351106E-2</v>
      </c>
      <c r="AA135" s="4">
        <v>6285300</v>
      </c>
      <c r="AB135" s="4">
        <v>7566600</v>
      </c>
      <c r="AC135" s="19">
        <v>18896600</v>
      </c>
      <c r="AD135" s="38">
        <v>1.4637634491221923E-2</v>
      </c>
      <c r="AE135" s="4">
        <v>2408600</v>
      </c>
      <c r="AF135" s="4">
        <v>4521000</v>
      </c>
      <c r="AG135" s="19">
        <v>7912200</v>
      </c>
      <c r="AH135" s="38">
        <v>4.7526339393922416E-2</v>
      </c>
      <c r="AI135" s="4">
        <v>7215300</v>
      </c>
      <c r="AJ135" s="4">
        <v>8274800</v>
      </c>
      <c r="AK135" s="19">
        <v>25689800</v>
      </c>
      <c r="AL135" s="38">
        <v>1.9063963992965758E-2</v>
      </c>
      <c r="AM135" s="4">
        <v>2599800</v>
      </c>
      <c r="AN135" s="4">
        <v>3526400</v>
      </c>
      <c r="AO135" s="19">
        <v>10304800</v>
      </c>
      <c r="AP135" s="38">
        <v>2.0499940319662056E-3</v>
      </c>
      <c r="AQ135" s="4">
        <v>303600</v>
      </c>
      <c r="AR135" s="4">
        <v>637500</v>
      </c>
      <c r="AS135" s="19">
        <v>1108100</v>
      </c>
      <c r="AT135" s="38">
        <v>7.4509078275822524E-3</v>
      </c>
      <c r="AU135" s="4">
        <v>1213600</v>
      </c>
      <c r="AV135" s="4">
        <v>2428600</v>
      </c>
      <c r="AW135" s="19">
        <v>4027500</v>
      </c>
      <c r="AX135" s="38">
        <v>1.8566681802015018E-3</v>
      </c>
      <c r="AY135" s="4">
        <v>74800</v>
      </c>
      <c r="AZ135" s="4">
        <v>69700</v>
      </c>
      <c r="BA135" s="19">
        <v>1003600</v>
      </c>
      <c r="BB135" s="38">
        <v>2.4153706417607418E-3</v>
      </c>
      <c r="BC135" s="4">
        <v>307400</v>
      </c>
      <c r="BD135" s="4">
        <v>837600</v>
      </c>
      <c r="BE135" s="19">
        <v>1305600</v>
      </c>
      <c r="BF135" s="38">
        <v>2.5522712449242646E-2</v>
      </c>
      <c r="BG135" s="4">
        <v>605100</v>
      </c>
      <c r="BH135" s="4">
        <v>1265500</v>
      </c>
      <c r="BI135" s="19">
        <v>13796000</v>
      </c>
      <c r="BJ135" s="38">
        <v>1.4389363397376724E-2</v>
      </c>
      <c r="BK135" s="4">
        <v>2607700</v>
      </c>
      <c r="BL135" s="4">
        <v>4415000</v>
      </c>
      <c r="BM135" s="19">
        <v>7778000</v>
      </c>
      <c r="BN135" s="38">
        <v>3.365534828041622E-2</v>
      </c>
      <c r="BO135" s="4">
        <v>8413300</v>
      </c>
      <c r="BP135" s="4">
        <v>6728200</v>
      </c>
      <c r="BQ135" s="19">
        <v>18192000</v>
      </c>
      <c r="BS135" s="4"/>
      <c r="BT135" s="4"/>
      <c r="BU135" s="19">
        <v>422300</v>
      </c>
      <c r="BW135" s="4"/>
      <c r="BX135" s="4"/>
      <c r="BY135" s="19">
        <v>2848400</v>
      </c>
      <c r="BZ135" s="8">
        <v>3.5070604515822904E-3</v>
      </c>
      <c r="CA135" s="4">
        <v>107500</v>
      </c>
      <c r="CB135" s="4">
        <v>235500</v>
      </c>
      <c r="CC135" s="19">
        <v>1895700</v>
      </c>
      <c r="CD135" s="38">
        <v>1.1172199223033946E-2</v>
      </c>
      <c r="CE135" s="4">
        <v>495600</v>
      </c>
      <c r="CF135" s="4">
        <v>666400</v>
      </c>
      <c r="CG135" s="19">
        <v>6039000</v>
      </c>
      <c r="CH135" s="8">
        <v>5.3372735152265171E-4</v>
      </c>
      <c r="CI135" s="4">
        <v>158600</v>
      </c>
      <c r="CJ135" s="4">
        <v>84100</v>
      </c>
      <c r="CK135" s="19">
        <v>288500</v>
      </c>
      <c r="CL135" s="8">
        <v>4.8953065679864429E-3</v>
      </c>
      <c r="CM135" s="4">
        <v>958700</v>
      </c>
      <c r="CN135" s="4">
        <v>1175100</v>
      </c>
      <c r="CO135" s="19">
        <v>2645900</v>
      </c>
    </row>
    <row r="136" spans="1:93" x14ac:dyDescent="0.2">
      <c r="A136" s="33" t="s">
        <v>141</v>
      </c>
      <c r="B136" s="8">
        <v>0.33909999999999996</v>
      </c>
      <c r="C136" s="8">
        <v>0.2974</v>
      </c>
      <c r="D136" s="8">
        <v>0.39500000000000002</v>
      </c>
      <c r="E136" s="8">
        <v>5.6399999999999999E-2</v>
      </c>
      <c r="F136" s="8">
        <v>0.27895719330057372</v>
      </c>
      <c r="G136" s="4">
        <v>46204000</v>
      </c>
      <c r="H136" s="4">
        <v>52578900</v>
      </c>
      <c r="I136" s="19">
        <v>204528677</v>
      </c>
      <c r="J136" s="8">
        <v>0.18140313683521361</v>
      </c>
      <c r="K136" s="4">
        <v>66075000</v>
      </c>
      <c r="L136" s="4">
        <v>53448800</v>
      </c>
      <c r="M136" s="19">
        <v>133003000</v>
      </c>
      <c r="N136" s="8">
        <v>9.3790807795152878E-2</v>
      </c>
      <c r="O136" s="4">
        <v>19863300</v>
      </c>
      <c r="P136" s="4">
        <v>25604800</v>
      </c>
      <c r="Q136" s="19">
        <v>68766500</v>
      </c>
      <c r="R136" s="8">
        <v>1.5164005440836587E-2</v>
      </c>
      <c r="S136" s="4">
        <v>4595900</v>
      </c>
      <c r="T136" s="4">
        <v>4727300</v>
      </c>
      <c r="U136" s="19">
        <v>11118100</v>
      </c>
      <c r="V136" s="8">
        <v>4.6261393776317147E-2</v>
      </c>
      <c r="W136" s="4">
        <v>12551900</v>
      </c>
      <c r="X136" s="4">
        <v>15302500</v>
      </c>
      <c r="Y136" s="19">
        <v>33918400</v>
      </c>
      <c r="Z136" s="8">
        <v>2.7988235980048331E-2</v>
      </c>
      <c r="AA136" s="4">
        <v>4969600</v>
      </c>
      <c r="AB136" s="4">
        <v>11269200</v>
      </c>
      <c r="AC136" s="19">
        <v>20520700</v>
      </c>
      <c r="AD136" s="38">
        <v>2.0998098790705584E-2</v>
      </c>
      <c r="AE136" s="4">
        <v>6902300</v>
      </c>
      <c r="AF136" s="4">
        <v>3798100</v>
      </c>
      <c r="AG136" s="19">
        <v>15395600</v>
      </c>
      <c r="AH136" s="38">
        <v>5.999821017790271E-2</v>
      </c>
      <c r="AI136" s="4">
        <v>7433600</v>
      </c>
      <c r="AJ136" s="4">
        <v>9199000</v>
      </c>
      <c r="AK136" s="19">
        <v>43990099</v>
      </c>
      <c r="AL136" s="38">
        <v>1.9987992528890743E-2</v>
      </c>
      <c r="AM136" s="4">
        <v>6258300</v>
      </c>
      <c r="AN136" s="4">
        <v>6847600</v>
      </c>
      <c r="AO136" s="19">
        <v>14655000</v>
      </c>
      <c r="AP136" s="38">
        <v>2.15128356300371E-3</v>
      </c>
      <c r="AQ136" s="4">
        <v>616500</v>
      </c>
      <c r="AR136" s="4">
        <v>788900</v>
      </c>
      <c r="AS136" s="19">
        <v>1577300</v>
      </c>
      <c r="AT136" s="38">
        <v>1.025231941592759E-2</v>
      </c>
      <c r="AU136" s="4">
        <v>1140100</v>
      </c>
      <c r="AV136" s="4">
        <v>2583200</v>
      </c>
      <c r="AW136" s="19">
        <v>7516900</v>
      </c>
      <c r="AX136" s="38">
        <v>2.4812116007204396E-3</v>
      </c>
      <c r="AY136" s="4">
        <v>90600</v>
      </c>
      <c r="AZ136" s="4">
        <v>127900</v>
      </c>
      <c r="BA136" s="19">
        <v>1819200</v>
      </c>
      <c r="BB136" s="38">
        <v>4.2255066293931361E-3</v>
      </c>
      <c r="BC136" s="4">
        <v>737600</v>
      </c>
      <c r="BD136" s="4">
        <v>1196300</v>
      </c>
      <c r="BE136" s="19">
        <v>3098100</v>
      </c>
      <c r="BF136" s="38">
        <v>3.091271592412527E-2</v>
      </c>
      <c r="BG136" s="4">
        <v>910100</v>
      </c>
      <c r="BH136" s="4">
        <v>2294300</v>
      </c>
      <c r="BI136" s="19">
        <v>22664900</v>
      </c>
      <c r="BJ136" s="38">
        <v>8.0610735068920476E-3</v>
      </c>
      <c r="BK136" s="4">
        <v>1812000</v>
      </c>
      <c r="BL136" s="4">
        <v>3369900</v>
      </c>
      <c r="BM136" s="19">
        <v>5910300</v>
      </c>
      <c r="BN136" s="38">
        <v>2.1384628786112452E-2</v>
      </c>
      <c r="BO136" s="4">
        <v>6013700</v>
      </c>
      <c r="BP136" s="4">
        <v>8190600</v>
      </c>
      <c r="BQ136" s="19">
        <v>15679000</v>
      </c>
      <c r="BS136" s="4"/>
      <c r="BT136" s="4"/>
      <c r="BU136" s="19">
        <v>633600</v>
      </c>
      <c r="BW136" s="4"/>
      <c r="BX136" s="4"/>
      <c r="BY136" s="19">
        <v>4407900</v>
      </c>
      <c r="BZ136" s="8">
        <v>6.8577022473737741E-4</v>
      </c>
      <c r="CA136" s="4">
        <v>51900</v>
      </c>
      <c r="CB136" s="4">
        <v>104000</v>
      </c>
      <c r="CC136" s="19">
        <v>502800</v>
      </c>
      <c r="CD136" s="38">
        <v>1.105279384889968E-2</v>
      </c>
      <c r="CE136" s="4">
        <v>756300</v>
      </c>
      <c r="CF136" s="4">
        <v>1390300</v>
      </c>
      <c r="CG136" s="19">
        <v>8103800</v>
      </c>
      <c r="CH136" s="8">
        <v>6.8795246888928637E-4</v>
      </c>
      <c r="CI136" s="4">
        <v>31000</v>
      </c>
      <c r="CJ136" s="4">
        <v>362300</v>
      </c>
      <c r="CK136" s="19">
        <v>504400</v>
      </c>
      <c r="CL136" s="8">
        <v>3.2590452506164745E-3</v>
      </c>
      <c r="CM136" s="4">
        <v>787700</v>
      </c>
      <c r="CN136" s="4">
        <v>1514300</v>
      </c>
      <c r="CO136" s="19">
        <v>2380900</v>
      </c>
    </row>
    <row r="137" spans="1:93" x14ac:dyDescent="0.2">
      <c r="A137" s="33" t="s">
        <v>142</v>
      </c>
      <c r="B137" s="8">
        <v>0.34369999999999995</v>
      </c>
      <c r="C137" s="8">
        <v>0.29189999999999999</v>
      </c>
      <c r="D137" s="8">
        <v>0.43640000000000001</v>
      </c>
      <c r="E137" s="8">
        <v>0.06</v>
      </c>
      <c r="F137" s="8">
        <v>0.26096521364762398</v>
      </c>
      <c r="G137" s="4">
        <v>43526500</v>
      </c>
      <c r="H137" s="4">
        <v>66787200</v>
      </c>
      <c r="I137" s="19">
        <v>178425104</v>
      </c>
      <c r="J137" s="8">
        <v>0.12591087044702115</v>
      </c>
      <c r="K137" s="4">
        <v>35692600</v>
      </c>
      <c r="L137" s="4">
        <v>43691200</v>
      </c>
      <c r="M137" s="19">
        <v>86086800</v>
      </c>
      <c r="N137" s="8">
        <v>8.5586301958326574E-2</v>
      </c>
      <c r="O137" s="4">
        <v>13192500</v>
      </c>
      <c r="P137" s="4">
        <v>23844500</v>
      </c>
      <c r="Q137" s="19">
        <v>58516400</v>
      </c>
      <c r="R137" s="8">
        <v>2.2117785364004043E-2</v>
      </c>
      <c r="S137" s="4">
        <v>3900700</v>
      </c>
      <c r="T137" s="4">
        <v>6971000</v>
      </c>
      <c r="U137" s="19">
        <v>15122200</v>
      </c>
      <c r="V137" s="8">
        <v>5.6249982393908209E-2</v>
      </c>
      <c r="W137" s="4">
        <v>12321900</v>
      </c>
      <c r="X137" s="4">
        <v>16285200</v>
      </c>
      <c r="Y137" s="19">
        <v>38458800</v>
      </c>
      <c r="Z137" s="8">
        <v>2.524088300110432E-2</v>
      </c>
      <c r="AA137" s="4">
        <v>5728300</v>
      </c>
      <c r="AB137" s="4">
        <v>8841400</v>
      </c>
      <c r="AC137" s="19">
        <v>17257500</v>
      </c>
      <c r="AD137" s="38">
        <v>2.5999974310828972E-2</v>
      </c>
      <c r="AE137" s="4">
        <v>8500200</v>
      </c>
      <c r="AF137" s="4">
        <v>7306000</v>
      </c>
      <c r="AG137" s="19">
        <v>17776500</v>
      </c>
      <c r="AH137" s="38">
        <v>0.11893549410834424</v>
      </c>
      <c r="AI137" s="4">
        <v>17038300</v>
      </c>
      <c r="AJ137" s="4">
        <v>13637800</v>
      </c>
      <c r="AK137" s="19">
        <v>81317650</v>
      </c>
      <c r="AL137" s="38">
        <v>1.5793048272207698E-2</v>
      </c>
      <c r="AM137" s="4">
        <v>4936800</v>
      </c>
      <c r="AN137" s="4">
        <v>4514700</v>
      </c>
      <c r="AO137" s="19">
        <v>10797900</v>
      </c>
      <c r="AP137" s="38">
        <v>2.0355055409321675E-3</v>
      </c>
      <c r="AQ137" s="4">
        <v>590000</v>
      </c>
      <c r="AR137" s="4">
        <v>691300</v>
      </c>
      <c r="AS137" s="19">
        <v>1391700</v>
      </c>
      <c r="AT137" s="38">
        <v>8.6198284589954679E-3</v>
      </c>
      <c r="AU137" s="4">
        <v>1145500</v>
      </c>
      <c r="AV137" s="4">
        <v>1593600</v>
      </c>
      <c r="AW137" s="19">
        <v>5893482</v>
      </c>
      <c r="AX137" s="38">
        <v>2.1569016463409267E-3</v>
      </c>
      <c r="AY137" s="4">
        <v>35700</v>
      </c>
      <c r="AZ137" s="4">
        <v>96500</v>
      </c>
      <c r="BA137" s="19">
        <v>1474700</v>
      </c>
      <c r="BB137" s="38">
        <v>2.1596805933322117E-3</v>
      </c>
      <c r="BC137" s="4">
        <v>495000</v>
      </c>
      <c r="BD137" s="4">
        <v>750600</v>
      </c>
      <c r="BE137" s="19">
        <v>1476600</v>
      </c>
      <c r="BF137" s="38">
        <v>2.3984945221411536E-2</v>
      </c>
      <c r="BG137" s="4">
        <v>1274400</v>
      </c>
      <c r="BH137" s="4">
        <v>1678800</v>
      </c>
      <c r="BI137" s="19">
        <v>16398800</v>
      </c>
      <c r="BJ137" s="38">
        <v>1.6382770075831936E-2</v>
      </c>
      <c r="BK137" s="4">
        <v>4200200</v>
      </c>
      <c r="BL137" s="4">
        <v>6474900</v>
      </c>
      <c r="BM137" s="19">
        <v>11201100</v>
      </c>
      <c r="BN137" s="38">
        <v>4.522546089837734E-2</v>
      </c>
      <c r="BO137" s="4">
        <v>18192900</v>
      </c>
      <c r="BP137" s="4">
        <v>9683000</v>
      </c>
      <c r="BQ137" s="19">
        <v>30921200</v>
      </c>
      <c r="BS137" s="4"/>
      <c r="BT137" s="4"/>
      <c r="BU137" s="19">
        <v>868500</v>
      </c>
      <c r="BW137" s="4"/>
      <c r="BX137" s="4"/>
      <c r="BY137" s="19">
        <v>2848700</v>
      </c>
      <c r="BZ137" s="8">
        <v>6.5419337382204498E-3</v>
      </c>
      <c r="CA137" s="4">
        <v>27400</v>
      </c>
      <c r="CB137" s="4">
        <v>92100</v>
      </c>
      <c r="CC137" s="19">
        <v>4472800</v>
      </c>
      <c r="CD137" s="38">
        <v>1.3425985103141656E-2</v>
      </c>
      <c r="CE137" s="4">
        <v>1069400</v>
      </c>
      <c r="CF137" s="4">
        <v>1493100</v>
      </c>
      <c r="CG137" s="19">
        <v>9179510</v>
      </c>
      <c r="CH137" s="8">
        <v>5.3999327851703409E-4</v>
      </c>
      <c r="CI137" s="4">
        <v>54600</v>
      </c>
      <c r="CJ137" s="4">
        <v>270700</v>
      </c>
      <c r="CK137" s="19">
        <v>369200</v>
      </c>
      <c r="CL137" s="8">
        <v>5.0883982014105133E-3</v>
      </c>
      <c r="CM137" s="4">
        <v>931500</v>
      </c>
      <c r="CN137" s="4">
        <v>1913000</v>
      </c>
      <c r="CO137" s="19">
        <v>3468700</v>
      </c>
    </row>
    <row r="138" spans="1:93" x14ac:dyDescent="0.2">
      <c r="A138" s="33" t="s">
        <v>143</v>
      </c>
      <c r="B138" s="8">
        <v>0.32479999999999998</v>
      </c>
      <c r="C138" s="8">
        <v>0.30409999999999998</v>
      </c>
      <c r="D138" s="8">
        <v>0.44579999999999997</v>
      </c>
      <c r="E138" s="8">
        <v>4.5599999999999995E-2</v>
      </c>
      <c r="F138" s="8">
        <v>0.23767275047010084</v>
      </c>
      <c r="G138" s="4">
        <v>61318300</v>
      </c>
      <c r="H138" s="4">
        <v>64632000</v>
      </c>
      <c r="I138" s="19">
        <v>211470732</v>
      </c>
      <c r="J138" s="8">
        <v>0.11253513463636487</v>
      </c>
      <c r="K138" s="4">
        <v>43144800</v>
      </c>
      <c r="L138" s="4">
        <v>51505400</v>
      </c>
      <c r="M138" s="19">
        <v>100128800</v>
      </c>
      <c r="N138" s="8">
        <v>0.12823168691547873</v>
      </c>
      <c r="O138" s="4">
        <v>48414600</v>
      </c>
      <c r="P138" s="4">
        <v>37547700</v>
      </c>
      <c r="Q138" s="19">
        <v>114094900</v>
      </c>
      <c r="R138" s="8">
        <v>2.9379069023313022E-2</v>
      </c>
      <c r="S138" s="4">
        <v>11653100</v>
      </c>
      <c r="T138" s="4">
        <v>11801000</v>
      </c>
      <c r="U138" s="19">
        <v>26140200</v>
      </c>
      <c r="V138" s="8">
        <v>0.12216833852970237</v>
      </c>
      <c r="W138" s="4">
        <v>59320500</v>
      </c>
      <c r="X138" s="4">
        <v>34831500</v>
      </c>
      <c r="Y138" s="19">
        <v>108700000</v>
      </c>
      <c r="Z138" s="8">
        <v>1.8779307897817819E-2</v>
      </c>
      <c r="AA138" s="4">
        <v>4962400</v>
      </c>
      <c r="AB138" s="4">
        <v>7919400</v>
      </c>
      <c r="AC138" s="19">
        <v>16709000</v>
      </c>
      <c r="AD138" s="38">
        <v>1.6424055181876288E-2</v>
      </c>
      <c r="AE138" s="4">
        <v>5139300</v>
      </c>
      <c r="AF138" s="4">
        <v>4894000</v>
      </c>
      <c r="AG138" s="19">
        <v>14613400</v>
      </c>
      <c r="AH138" s="38">
        <v>9.266170642981969E-2</v>
      </c>
      <c r="AI138" s="4">
        <v>11776800</v>
      </c>
      <c r="AJ138" s="4">
        <v>10641000</v>
      </c>
      <c r="AK138" s="19">
        <v>82446300</v>
      </c>
      <c r="AL138" s="38">
        <v>1.1656005877567094E-2</v>
      </c>
      <c r="AM138" s="4">
        <v>2616300</v>
      </c>
      <c r="AN138" s="4">
        <v>4787700</v>
      </c>
      <c r="AO138" s="19">
        <v>10371000</v>
      </c>
      <c r="AP138" s="38">
        <v>2.4069522888243845E-3</v>
      </c>
      <c r="AQ138" s="4">
        <v>887000</v>
      </c>
      <c r="AR138" s="4">
        <v>1016700</v>
      </c>
      <c r="AS138" s="19">
        <v>2141600</v>
      </c>
      <c r="AT138" s="38">
        <v>3.5247869668523692E-3</v>
      </c>
      <c r="AU138" s="4">
        <v>1063100</v>
      </c>
      <c r="AV138" s="4">
        <v>1597400</v>
      </c>
      <c r="AW138" s="19">
        <v>3136200</v>
      </c>
      <c r="AX138" s="38">
        <v>2.0723661399716484E-3</v>
      </c>
      <c r="AY138" s="4">
        <v>50900</v>
      </c>
      <c r="AZ138" s="4">
        <v>40700</v>
      </c>
      <c r="BA138" s="19">
        <v>1843900</v>
      </c>
      <c r="BB138" s="38">
        <v>2.7896415185333415E-3</v>
      </c>
      <c r="BC138" s="4">
        <v>762700</v>
      </c>
      <c r="BD138" s="4">
        <v>1443800</v>
      </c>
      <c r="BE138" s="19">
        <v>2482100</v>
      </c>
      <c r="BF138" s="38">
        <v>2.2818280834102925E-2</v>
      </c>
      <c r="BG138" s="4">
        <v>3493100</v>
      </c>
      <c r="BH138" s="4">
        <v>4003500</v>
      </c>
      <c r="BI138" s="19">
        <v>20302700</v>
      </c>
      <c r="BJ138" s="38">
        <v>8.0520960861287915E-3</v>
      </c>
      <c r="BK138" s="4">
        <v>3056600</v>
      </c>
      <c r="BL138" s="4">
        <v>3833600</v>
      </c>
      <c r="BM138" s="19">
        <v>7164400</v>
      </c>
      <c r="BN138" s="38">
        <v>2.8097593958073219E-2</v>
      </c>
      <c r="BO138" s="4">
        <v>13444900</v>
      </c>
      <c r="BP138" s="4">
        <v>9204700</v>
      </c>
      <c r="BQ138" s="19">
        <v>25000000</v>
      </c>
      <c r="BR138" s="8"/>
      <c r="BS138" s="4"/>
      <c r="BT138" s="4"/>
      <c r="BU138" s="19">
        <v>472800</v>
      </c>
      <c r="BW138" s="4"/>
      <c r="BX138" s="4"/>
      <c r="BY138" s="19">
        <v>3641200</v>
      </c>
      <c r="BZ138" s="8">
        <v>1.2069602460629933E-3</v>
      </c>
      <c r="CA138" s="4">
        <v>202100</v>
      </c>
      <c r="CB138" s="4">
        <v>80600</v>
      </c>
      <c r="CC138" s="19">
        <v>1073900</v>
      </c>
      <c r="CD138" s="38">
        <v>5.2263772569532832E-3</v>
      </c>
      <c r="CE138" s="4">
        <v>1198500</v>
      </c>
      <c r="CF138" s="4">
        <v>1256100</v>
      </c>
      <c r="CG138" s="19">
        <v>4650200</v>
      </c>
      <c r="CH138" s="8">
        <v>1.4905211642878681E-3</v>
      </c>
      <c r="CI138" s="4">
        <v>377700</v>
      </c>
      <c r="CJ138" s="4">
        <v>913000</v>
      </c>
      <c r="CK138" s="19">
        <v>1326200</v>
      </c>
      <c r="CL138" s="8">
        <v>3.4796060357677877E-3</v>
      </c>
      <c r="CM138" s="4">
        <v>1244600</v>
      </c>
      <c r="CN138" s="4">
        <v>1660200</v>
      </c>
      <c r="CO138" s="19">
        <v>3080400</v>
      </c>
    </row>
    <row r="139" spans="1:93" x14ac:dyDescent="0.2">
      <c r="A139" s="33" t="s">
        <v>144</v>
      </c>
      <c r="B139" s="8">
        <v>0.35840000000000005</v>
      </c>
      <c r="C139" s="8">
        <v>0.33950000000000002</v>
      </c>
      <c r="D139" s="8">
        <v>0.375</v>
      </c>
      <c r="E139" s="8">
        <v>5.5999999999999994E-2</v>
      </c>
      <c r="F139" s="8">
        <v>0.27963019731393779</v>
      </c>
      <c r="G139" s="4">
        <v>78104600</v>
      </c>
      <c r="H139" s="4">
        <v>54861000</v>
      </c>
      <c r="I139" s="19">
        <v>185363500</v>
      </c>
      <c r="J139" s="8">
        <v>0.14288130293963749</v>
      </c>
      <c r="K139" s="4">
        <v>29560000</v>
      </c>
      <c r="L139" s="4">
        <v>56233500</v>
      </c>
      <c r="M139" s="19">
        <v>94714300</v>
      </c>
      <c r="N139" s="8">
        <v>0.10044170478803906</v>
      </c>
      <c r="O139" s="4">
        <v>17990000</v>
      </c>
      <c r="P139" s="4">
        <v>29146100</v>
      </c>
      <c r="Q139" s="19">
        <v>66581600</v>
      </c>
      <c r="R139" s="8">
        <v>2.439612754367106E-2</v>
      </c>
      <c r="S139" s="4">
        <v>7117200</v>
      </c>
      <c r="T139" s="4">
        <v>7158600</v>
      </c>
      <c r="U139" s="19">
        <v>16171900</v>
      </c>
      <c r="V139" s="8">
        <v>4.9665102396363819E-2</v>
      </c>
      <c r="W139" s="4">
        <v>10812700</v>
      </c>
      <c r="X139" s="4">
        <v>16110100</v>
      </c>
      <c r="Y139" s="19">
        <v>32922400</v>
      </c>
      <c r="Z139" s="8">
        <v>3.7252447318430228E-2</v>
      </c>
      <c r="AA139" s="4">
        <v>11343200</v>
      </c>
      <c r="AB139" s="4">
        <v>10057600</v>
      </c>
      <c r="AC139" s="19">
        <v>24694200</v>
      </c>
      <c r="AD139" s="38">
        <v>2.2273295305068674E-2</v>
      </c>
      <c r="AE139" s="4">
        <v>6318500</v>
      </c>
      <c r="AF139" s="4">
        <v>6673200</v>
      </c>
      <c r="AG139" s="19">
        <v>14764700</v>
      </c>
      <c r="AH139" s="38">
        <v>5.5429273788987266E-2</v>
      </c>
      <c r="AI139" s="4">
        <v>9487200</v>
      </c>
      <c r="AJ139" s="4">
        <v>10938700</v>
      </c>
      <c r="AK139" s="19">
        <v>36743400</v>
      </c>
      <c r="AL139" s="38">
        <v>1.6893351720270715E-2</v>
      </c>
      <c r="AM139" s="4">
        <v>3068300</v>
      </c>
      <c r="AN139" s="4">
        <v>6428000</v>
      </c>
      <c r="AO139" s="19">
        <v>11198400</v>
      </c>
      <c r="AP139" s="38">
        <v>3.3334440005967103E-3</v>
      </c>
      <c r="AQ139" s="4">
        <v>350500</v>
      </c>
      <c r="AR139" s="4">
        <v>445800</v>
      </c>
      <c r="AS139" s="19">
        <v>2209700</v>
      </c>
      <c r="AT139" s="38">
        <v>1.3638192438399156E-2</v>
      </c>
      <c r="AU139" s="4">
        <v>878100</v>
      </c>
      <c r="AV139" s="4">
        <v>1789300</v>
      </c>
      <c r="AW139" s="19">
        <v>9040594</v>
      </c>
      <c r="AX139" s="38">
        <v>2.9268896456341302E-3</v>
      </c>
      <c r="AY139" s="4">
        <v>194600</v>
      </c>
      <c r="AZ139" s="4">
        <v>43300</v>
      </c>
      <c r="BA139" s="19">
        <v>1940200</v>
      </c>
      <c r="BB139" s="38">
        <v>3.8676217263564493E-3</v>
      </c>
      <c r="BC139" s="4">
        <v>1106600</v>
      </c>
      <c r="BD139" s="4">
        <v>1293000</v>
      </c>
      <c r="BE139" s="19">
        <v>2563800</v>
      </c>
      <c r="BF139" s="38">
        <v>2.8484601060626846E-2</v>
      </c>
      <c r="BG139" s="4">
        <v>2125700</v>
      </c>
      <c r="BH139" s="4">
        <v>3417800</v>
      </c>
      <c r="BI139" s="19">
        <v>18882100</v>
      </c>
      <c r="BJ139" s="38">
        <v>1.4188973270766384E-2</v>
      </c>
      <c r="BK139" s="4">
        <v>3938400</v>
      </c>
      <c r="BL139" s="4">
        <v>5004700</v>
      </c>
      <c r="BM139" s="19">
        <v>9405700</v>
      </c>
      <c r="BN139" s="38">
        <v>2.4777639960628522E-2</v>
      </c>
      <c r="BO139" s="4">
        <v>7234800</v>
      </c>
      <c r="BP139" s="4">
        <v>7669100</v>
      </c>
      <c r="BQ139" s="19">
        <v>16424800</v>
      </c>
      <c r="BR139" s="8"/>
      <c r="BS139" s="4"/>
      <c r="BT139" s="4"/>
      <c r="BU139" s="19">
        <v>625000</v>
      </c>
      <c r="BW139" s="4"/>
      <c r="BX139" s="4"/>
      <c r="BY139" s="19">
        <v>2939300</v>
      </c>
      <c r="BZ139" s="8">
        <v>8.6907593281611295E-4</v>
      </c>
      <c r="CA139" s="4">
        <v>60900</v>
      </c>
      <c r="CB139" s="4">
        <v>86700</v>
      </c>
      <c r="CC139" s="19">
        <v>576100</v>
      </c>
      <c r="CD139" s="38">
        <v>9.4411123380252759E-3</v>
      </c>
      <c r="CE139" s="4">
        <v>892200</v>
      </c>
      <c r="CF139" s="4">
        <v>1004600</v>
      </c>
      <c r="CG139" s="19">
        <v>6258400</v>
      </c>
      <c r="CH139" s="8">
        <v>6.3389291263553317E-4</v>
      </c>
      <c r="CI139" s="4">
        <v>81800</v>
      </c>
      <c r="CJ139" s="4">
        <v>239500</v>
      </c>
      <c r="CK139" s="19">
        <v>420200</v>
      </c>
      <c r="CL139" s="8">
        <v>6.7653963476834262E-3</v>
      </c>
      <c r="CM139" s="4">
        <v>1409700</v>
      </c>
      <c r="CN139" s="4">
        <v>2480100</v>
      </c>
      <c r="CO139" s="19">
        <v>4482200</v>
      </c>
    </row>
    <row r="140" spans="1:93" x14ac:dyDescent="0.2">
      <c r="A140" s="33" t="s">
        <v>356</v>
      </c>
      <c r="B140" s="8">
        <v>0.32030000000000003</v>
      </c>
      <c r="C140" s="8">
        <v>0.2747</v>
      </c>
      <c r="D140" s="8">
        <v>0.41229999999999994</v>
      </c>
      <c r="E140" s="8">
        <v>5.6600000000000004E-2</v>
      </c>
      <c r="F140" s="8">
        <v>0.25117806054414576</v>
      </c>
      <c r="G140" s="4">
        <v>58618700</v>
      </c>
      <c r="H140" s="4">
        <v>49679700</v>
      </c>
      <c r="I140" s="19">
        <v>149758501</v>
      </c>
      <c r="J140" s="8">
        <v>0.12137425763066241</v>
      </c>
      <c r="K140" s="4">
        <v>30676100</v>
      </c>
      <c r="L140" s="4">
        <v>32763200</v>
      </c>
      <c r="M140" s="19">
        <v>72366300</v>
      </c>
      <c r="N140" s="8">
        <v>0.14829381787345353</v>
      </c>
      <c r="O140" s="4">
        <v>39612000</v>
      </c>
      <c r="P140" s="4">
        <v>27243400</v>
      </c>
      <c r="Q140" s="19">
        <v>88416400</v>
      </c>
      <c r="R140" s="8">
        <v>2.0772043145832076E-2</v>
      </c>
      <c r="S140" s="4">
        <v>4174300</v>
      </c>
      <c r="T140" s="4">
        <v>4542900</v>
      </c>
      <c r="U140" s="19">
        <v>12384800</v>
      </c>
      <c r="V140" s="8">
        <v>6.4079223856049514E-2</v>
      </c>
      <c r="W140" s="4">
        <v>16282900</v>
      </c>
      <c r="X140" s="4">
        <v>15394500</v>
      </c>
      <c r="Y140" s="19">
        <v>38205600</v>
      </c>
      <c r="Z140" s="8">
        <v>3.0994535698762437E-2</v>
      </c>
      <c r="AA140" s="4">
        <v>7968400</v>
      </c>
      <c r="AB140" s="4">
        <v>5829300</v>
      </c>
      <c r="AC140" s="19">
        <v>18479700</v>
      </c>
      <c r="AD140" s="38">
        <v>2.2500083651383302E-2</v>
      </c>
      <c r="AE140" s="4">
        <v>6111200</v>
      </c>
      <c r="AF140" s="4">
        <v>5765500</v>
      </c>
      <c r="AG140" s="19">
        <v>13415100</v>
      </c>
      <c r="AH140" s="38">
        <v>6.5658327161859931E-2</v>
      </c>
      <c r="AI140" s="4">
        <v>9718000</v>
      </c>
      <c r="AJ140" s="4">
        <v>9852700</v>
      </c>
      <c r="AK140" s="19">
        <v>39147100</v>
      </c>
      <c r="AL140" s="38">
        <v>1.7837745500037781E-2</v>
      </c>
      <c r="AM140" s="4">
        <v>4413200</v>
      </c>
      <c r="AN140" s="4">
        <v>4806300</v>
      </c>
      <c r="AO140" s="19">
        <v>10635300</v>
      </c>
      <c r="AP140" s="38">
        <v>4.1507858324159631E-3</v>
      </c>
      <c r="AQ140" s="4">
        <v>1063800</v>
      </c>
      <c r="AR140" s="4">
        <v>1155400</v>
      </c>
      <c r="AS140" s="19">
        <v>2474800</v>
      </c>
      <c r="AT140" s="38">
        <v>4.6994047292089414E-3</v>
      </c>
      <c r="AU140" s="4">
        <v>951300</v>
      </c>
      <c r="AV140" s="4">
        <v>1452500</v>
      </c>
      <c r="AW140" s="19">
        <v>2801900</v>
      </c>
      <c r="AX140" s="38">
        <v>2.5923123414345051E-3</v>
      </c>
      <c r="AY140" s="4">
        <v>26600</v>
      </c>
      <c r="AZ140" s="4">
        <v>61300</v>
      </c>
      <c r="BA140" s="19">
        <v>1545600</v>
      </c>
      <c r="BB140" s="38">
        <v>3.875218468481123E-3</v>
      </c>
      <c r="BC140" s="4">
        <v>898100</v>
      </c>
      <c r="BD140" s="4">
        <v>978700</v>
      </c>
      <c r="BE140" s="19">
        <v>2310500</v>
      </c>
      <c r="BF140" s="38">
        <v>2.2430646713666305E-2</v>
      </c>
      <c r="BG140" s="4">
        <v>1237100</v>
      </c>
      <c r="BH140" s="4">
        <v>2314000</v>
      </c>
      <c r="BI140" s="19">
        <v>13373700</v>
      </c>
      <c r="BJ140" s="38">
        <v>8.3539009512273443E-3</v>
      </c>
      <c r="BK140" s="4">
        <v>1950700</v>
      </c>
      <c r="BL140" s="4">
        <v>2694300</v>
      </c>
      <c r="BM140" s="19">
        <v>4980800</v>
      </c>
      <c r="BN140" s="38">
        <v>2.2838379070163929E-2</v>
      </c>
      <c r="BO140" s="4">
        <v>5230600</v>
      </c>
      <c r="BP140" s="4">
        <v>5546300</v>
      </c>
      <c r="BQ140" s="19">
        <v>13616800</v>
      </c>
      <c r="BS140" s="4"/>
      <c r="BT140" s="4"/>
      <c r="BU140" s="19">
        <v>529400</v>
      </c>
      <c r="BW140" s="4"/>
      <c r="BX140" s="4"/>
      <c r="BY140" s="19">
        <v>3769300</v>
      </c>
      <c r="BZ140" s="8">
        <v>6.6686295739800674E-4</v>
      </c>
      <c r="CA140" s="4">
        <v>71600</v>
      </c>
      <c r="CB140" s="4">
        <v>192400</v>
      </c>
      <c r="CC140" s="19">
        <v>397600</v>
      </c>
      <c r="CD140" s="38">
        <v>9.2248816699818329E-3</v>
      </c>
      <c r="CE140" s="4">
        <v>576100</v>
      </c>
      <c r="CF140" s="4">
        <v>485800</v>
      </c>
      <c r="CG140" s="19">
        <v>5500100</v>
      </c>
      <c r="CH140" s="8">
        <v>8.7919910027171812E-4</v>
      </c>
      <c r="CI140" s="4">
        <v>57900</v>
      </c>
      <c r="CJ140" s="4">
        <v>362300</v>
      </c>
      <c r="CK140" s="19">
        <v>524200</v>
      </c>
      <c r="CL140" s="8">
        <v>8.1861788794471615E-3</v>
      </c>
      <c r="CM140" s="4">
        <v>1777800</v>
      </c>
      <c r="CN140" s="4">
        <v>2364200</v>
      </c>
      <c r="CO140" s="19">
        <v>4873300</v>
      </c>
    </row>
    <row r="141" spans="1:93" x14ac:dyDescent="0.2">
      <c r="A141" s="33" t="s">
        <v>145</v>
      </c>
      <c r="B141" s="8">
        <v>0.33529999999999999</v>
      </c>
      <c r="C141" s="8">
        <v>0.23960000000000001</v>
      </c>
      <c r="D141" s="8">
        <v>0.43979999999999997</v>
      </c>
      <c r="E141" s="8">
        <v>5.4699999999999999E-2</v>
      </c>
      <c r="F141" s="8">
        <v>0.23586610712828329</v>
      </c>
      <c r="G141" s="4">
        <v>48803000</v>
      </c>
      <c r="H141" s="4">
        <v>66937400</v>
      </c>
      <c r="I141" s="19">
        <v>181570468</v>
      </c>
      <c r="J141" s="8">
        <v>0.21788742085814222</v>
      </c>
      <c r="K141" s="4">
        <v>86556700</v>
      </c>
      <c r="L141" s="4">
        <v>65710600</v>
      </c>
      <c r="M141" s="19">
        <v>167730419</v>
      </c>
      <c r="N141" s="8">
        <v>0.11143135359444081</v>
      </c>
      <c r="O141" s="4">
        <v>30065800</v>
      </c>
      <c r="P141" s="4">
        <v>34209800</v>
      </c>
      <c r="Q141" s="19">
        <v>85780205</v>
      </c>
      <c r="R141" s="8">
        <v>1.7692216923845927E-2</v>
      </c>
      <c r="S141" s="4">
        <v>4663500</v>
      </c>
      <c r="T141" s="4">
        <v>5205800</v>
      </c>
      <c r="U141" s="19">
        <v>13619524</v>
      </c>
      <c r="V141" s="8">
        <v>6.7556070946201349E-2</v>
      </c>
      <c r="W141" s="4">
        <v>14756700</v>
      </c>
      <c r="X141" s="4">
        <v>22447700</v>
      </c>
      <c r="Y141" s="19">
        <v>52004875</v>
      </c>
      <c r="Z141" s="8">
        <v>2.7748829683898975E-2</v>
      </c>
      <c r="AA141" s="4">
        <v>10444300</v>
      </c>
      <c r="AB141" s="4">
        <v>9351600</v>
      </c>
      <c r="AC141" s="19">
        <v>21361136</v>
      </c>
      <c r="AD141" s="38">
        <v>1.9157847489765734E-2</v>
      </c>
      <c r="AE141" s="4">
        <v>5470600</v>
      </c>
      <c r="AF141" s="4">
        <v>6868400</v>
      </c>
      <c r="AG141" s="19">
        <v>14747771</v>
      </c>
      <c r="AH141" s="38">
        <v>4.8640994617309509E-2</v>
      </c>
      <c r="AI141" s="4">
        <v>9053300</v>
      </c>
      <c r="AJ141" s="4">
        <v>11020900</v>
      </c>
      <c r="AK141" s="19">
        <v>37443990</v>
      </c>
      <c r="AL141" s="38">
        <v>1.7322188551449021E-2</v>
      </c>
      <c r="AM141" s="4">
        <v>5491900</v>
      </c>
      <c r="AN141" s="4">
        <v>5698100</v>
      </c>
      <c r="AO141" s="19">
        <v>13334675</v>
      </c>
      <c r="AP141" s="38">
        <v>4.3758538514234056E-3</v>
      </c>
      <c r="AQ141" s="4">
        <v>1680700</v>
      </c>
      <c r="AR141" s="4">
        <v>1367000</v>
      </c>
      <c r="AS141" s="19">
        <v>3368546</v>
      </c>
      <c r="AT141" s="38">
        <v>3.8709052693228067E-3</v>
      </c>
      <c r="AU141" s="4">
        <v>917100</v>
      </c>
      <c r="AV141" s="4">
        <v>1608100</v>
      </c>
      <c r="AW141" s="19">
        <v>2979835</v>
      </c>
      <c r="AX141" s="38">
        <v>1.7779156034922446E-3</v>
      </c>
      <c r="AY141" s="4">
        <v>25100</v>
      </c>
      <c r="AZ141" s="4">
        <v>104400</v>
      </c>
      <c r="BA141" s="19">
        <v>1368645</v>
      </c>
      <c r="BB141" s="38">
        <v>2.4646769039126225E-3</v>
      </c>
      <c r="BC141" s="4">
        <v>587000</v>
      </c>
      <c r="BD141" s="4">
        <v>1107500</v>
      </c>
      <c r="BE141" s="19">
        <v>1897316</v>
      </c>
      <c r="BF141" s="38">
        <v>1.9410060025580669E-2</v>
      </c>
      <c r="BG141" s="4">
        <v>1106700</v>
      </c>
      <c r="BH141" s="4">
        <v>1932600</v>
      </c>
      <c r="BI141" s="19">
        <v>14941925</v>
      </c>
      <c r="BJ141" s="38">
        <v>7.4953137499056055E-3</v>
      </c>
      <c r="BK141" s="4">
        <v>2111700</v>
      </c>
      <c r="BL141" s="4">
        <v>3211500</v>
      </c>
      <c r="BM141" s="19">
        <v>5769916</v>
      </c>
      <c r="BN141" s="38">
        <v>1.7987285871421992E-2</v>
      </c>
      <c r="BO141" s="4">
        <v>4264700</v>
      </c>
      <c r="BP141" s="4">
        <v>3990200</v>
      </c>
      <c r="BQ141" s="19">
        <v>13846669</v>
      </c>
      <c r="BS141" s="4"/>
      <c r="BT141" s="4"/>
      <c r="BU141" s="19">
        <v>1080856</v>
      </c>
      <c r="BW141" s="4"/>
      <c r="BX141" s="4"/>
      <c r="BY141" s="19">
        <v>3298800</v>
      </c>
      <c r="BZ141" s="8">
        <v>3.1107044131901507E-3</v>
      </c>
      <c r="CA141" s="4">
        <v>105400</v>
      </c>
      <c r="CB141" s="4">
        <v>123300</v>
      </c>
      <c r="CC141" s="19">
        <v>2394630</v>
      </c>
      <c r="CD141" s="38">
        <v>5.8583679547824959E-3</v>
      </c>
      <c r="CE141" s="4">
        <v>386400</v>
      </c>
      <c r="CF141" s="4">
        <v>851600</v>
      </c>
      <c r="CG141" s="19">
        <v>4509790</v>
      </c>
      <c r="CH141" s="8">
        <v>8.5648521367668326E-4</v>
      </c>
      <c r="CI141" s="4">
        <v>180500</v>
      </c>
      <c r="CJ141" s="4">
        <v>369800</v>
      </c>
      <c r="CK141" s="19">
        <v>659325</v>
      </c>
      <c r="CL141" s="8">
        <v>1.0814936512884959E-2</v>
      </c>
      <c r="CM141" s="4">
        <v>3932700</v>
      </c>
      <c r="CN141" s="4">
        <v>4132100</v>
      </c>
      <c r="CO141" s="19">
        <v>8323772</v>
      </c>
    </row>
    <row r="142" spans="1:93" x14ac:dyDescent="0.2">
      <c r="A142" s="33" t="s">
        <v>146</v>
      </c>
      <c r="B142" s="8">
        <v>0.36820000000000003</v>
      </c>
      <c r="C142" s="8">
        <v>0.28039999999999998</v>
      </c>
      <c r="D142" s="8">
        <v>0.4022</v>
      </c>
      <c r="E142" s="8">
        <v>6.7299999999999999E-2</v>
      </c>
      <c r="F142" s="8">
        <v>0.25239378604612667</v>
      </c>
      <c r="G142" s="4">
        <v>52936400</v>
      </c>
      <c r="H142" s="4">
        <v>54299700</v>
      </c>
      <c r="I142" s="19">
        <v>154313504</v>
      </c>
      <c r="J142" s="8">
        <v>0.13153555380356494</v>
      </c>
      <c r="K142" s="4">
        <v>36163400</v>
      </c>
      <c r="L142" s="4">
        <v>33604900</v>
      </c>
      <c r="M142" s="19">
        <v>80420808</v>
      </c>
      <c r="N142" s="8">
        <v>0.10018807252586902</v>
      </c>
      <c r="O142" s="4">
        <v>22184600</v>
      </c>
      <c r="P142" s="4">
        <v>17391800</v>
      </c>
      <c r="Q142" s="19">
        <v>61254965</v>
      </c>
      <c r="R142" s="8">
        <v>1.9283150701192193E-2</v>
      </c>
      <c r="S142" s="4">
        <v>4134400</v>
      </c>
      <c r="T142" s="4">
        <v>3763700</v>
      </c>
      <c r="U142" s="19">
        <v>11789714</v>
      </c>
      <c r="V142" s="8">
        <v>0.10583829050313275</v>
      </c>
      <c r="W142" s="4">
        <v>21262900</v>
      </c>
      <c r="X142" s="4">
        <v>14085400</v>
      </c>
      <c r="Y142" s="19">
        <v>64709507</v>
      </c>
      <c r="Z142" s="8">
        <v>4.1731188075756161E-2</v>
      </c>
      <c r="AA142" s="4">
        <v>16947800</v>
      </c>
      <c r="AB142" s="4">
        <v>7702400</v>
      </c>
      <c r="AC142" s="19">
        <v>25514439</v>
      </c>
      <c r="AD142" s="38">
        <v>1.5835660063826487E-2</v>
      </c>
      <c r="AE142" s="4">
        <v>3689800</v>
      </c>
      <c r="AF142" s="4">
        <v>3522000</v>
      </c>
      <c r="AG142" s="19">
        <v>9681919</v>
      </c>
      <c r="AH142" s="38">
        <v>5.6723521038260116E-2</v>
      </c>
      <c r="AI142" s="4">
        <v>9419900</v>
      </c>
      <c r="AJ142" s="4">
        <v>7392300</v>
      </c>
      <c r="AK142" s="19">
        <v>34680748</v>
      </c>
      <c r="AL142" s="38">
        <v>1.4610062622283431E-2</v>
      </c>
      <c r="AM142" s="4">
        <v>3293600</v>
      </c>
      <c r="AN142" s="4">
        <v>3992900</v>
      </c>
      <c r="AO142" s="19">
        <v>8932589</v>
      </c>
      <c r="AP142" s="38">
        <v>3.686177346074424E-3</v>
      </c>
      <c r="AQ142" s="4">
        <v>1097200</v>
      </c>
      <c r="AR142" s="4">
        <v>926500</v>
      </c>
      <c r="AS142" s="19">
        <v>2253728</v>
      </c>
      <c r="AT142" s="38">
        <v>5.4037049653804662E-3</v>
      </c>
      <c r="AU142" s="4">
        <v>1140000</v>
      </c>
      <c r="AV142" s="4">
        <v>1705000</v>
      </c>
      <c r="AW142" s="19">
        <v>3303824</v>
      </c>
      <c r="AX142" s="38">
        <v>2.6643385663660084E-3</v>
      </c>
      <c r="AY142" s="4">
        <v>126800</v>
      </c>
      <c r="AZ142" s="4">
        <v>63500</v>
      </c>
      <c r="BA142" s="19">
        <v>1628976</v>
      </c>
      <c r="BB142" s="38">
        <v>3.6312591053864881E-3</v>
      </c>
      <c r="BC142" s="4">
        <v>1042700</v>
      </c>
      <c r="BD142" s="4">
        <v>937500</v>
      </c>
      <c r="BE142" s="19">
        <v>2220151</v>
      </c>
      <c r="BF142" s="38">
        <v>2.1269039557628232E-2</v>
      </c>
      <c r="BG142" s="4">
        <v>2576000</v>
      </c>
      <c r="BH142" s="4">
        <v>1791800</v>
      </c>
      <c r="BI142" s="19">
        <v>13003886</v>
      </c>
      <c r="BJ142" s="38">
        <v>8.6403041283422133E-3</v>
      </c>
      <c r="BK142" s="4">
        <v>2289300</v>
      </c>
      <c r="BL142" s="4">
        <v>2335400</v>
      </c>
      <c r="BM142" s="19">
        <v>5282680</v>
      </c>
      <c r="BN142" s="38">
        <v>3.0352613394403032E-2</v>
      </c>
      <c r="BO142" s="4">
        <v>6302400</v>
      </c>
      <c r="BP142" s="4">
        <v>3863400</v>
      </c>
      <c r="BQ142" s="19">
        <v>18557581</v>
      </c>
      <c r="BS142" s="4"/>
      <c r="BT142" s="4"/>
      <c r="BU142" s="19">
        <v>1020527</v>
      </c>
      <c r="BW142" s="4"/>
      <c r="BX142" s="4"/>
      <c r="BY142" s="19">
        <v>2524900</v>
      </c>
      <c r="BZ142" s="8">
        <v>2.8388054280850854E-3</v>
      </c>
      <c r="CA142" s="4">
        <v>69200</v>
      </c>
      <c r="CB142" s="4">
        <v>91400</v>
      </c>
      <c r="CC142" s="19">
        <v>1735645</v>
      </c>
      <c r="CD142" s="8">
        <v>1.1039111030094834E-2</v>
      </c>
      <c r="CE142" s="4">
        <v>406700</v>
      </c>
      <c r="CF142" s="4">
        <v>402900</v>
      </c>
      <c r="CG142" s="19">
        <v>6749310</v>
      </c>
      <c r="CH142" s="8">
        <v>1.1567537786548907E-3</v>
      </c>
      <c r="CI142" s="4">
        <v>365600</v>
      </c>
      <c r="CJ142" s="4">
        <v>297000</v>
      </c>
      <c r="CK142" s="19">
        <v>707239</v>
      </c>
      <c r="CL142" s="8">
        <v>3.9278032119001022E-3</v>
      </c>
      <c r="CM142" s="4">
        <v>1179500</v>
      </c>
      <c r="CN142" s="4">
        <v>1099500</v>
      </c>
      <c r="CO142" s="19">
        <v>2399558</v>
      </c>
    </row>
    <row r="143" spans="1:93" x14ac:dyDescent="0.2">
      <c r="A143" s="33" t="s">
        <v>147</v>
      </c>
      <c r="B143" s="8">
        <v>0.36749999999999999</v>
      </c>
      <c r="C143" s="8">
        <v>0.26750000000000002</v>
      </c>
      <c r="D143" s="8">
        <v>0.37180000000000002</v>
      </c>
      <c r="E143" s="8">
        <v>7.0400000000000004E-2</v>
      </c>
      <c r="F143" s="8">
        <v>0.28413004128009473</v>
      </c>
      <c r="G143" s="4">
        <v>50405800</v>
      </c>
      <c r="H143" s="4">
        <v>64418800</v>
      </c>
      <c r="I143" s="19">
        <v>175349544</v>
      </c>
      <c r="J143" s="8">
        <v>0.13661928276978158</v>
      </c>
      <c r="K143" s="4">
        <v>24137600</v>
      </c>
      <c r="L143" s="4">
        <v>49214700</v>
      </c>
      <c r="M143" s="19">
        <v>84313960</v>
      </c>
      <c r="N143" s="8">
        <v>0.1047067181670544</v>
      </c>
      <c r="O143" s="4">
        <v>15734800</v>
      </c>
      <c r="P143" s="4">
        <v>26362900</v>
      </c>
      <c r="Q143" s="19">
        <v>64619268</v>
      </c>
      <c r="R143" s="8">
        <v>2.3143246832926984E-2</v>
      </c>
      <c r="S143" s="4">
        <v>3404400</v>
      </c>
      <c r="T143" s="4">
        <v>6115100</v>
      </c>
      <c r="U143" s="19">
        <v>14282748</v>
      </c>
      <c r="V143" s="8">
        <v>4.2671468664273543E-2</v>
      </c>
      <c r="W143" s="4">
        <v>7275600</v>
      </c>
      <c r="X143" s="4">
        <v>12983100</v>
      </c>
      <c r="Y143" s="19">
        <v>26334500</v>
      </c>
      <c r="Z143" s="8">
        <v>2.6021842444755798E-2</v>
      </c>
      <c r="AA143" s="4">
        <v>7710200</v>
      </c>
      <c r="AB143" s="4">
        <v>7702400</v>
      </c>
      <c r="AC143" s="19">
        <v>16059260</v>
      </c>
      <c r="AD143" s="38">
        <v>2.3418616306401421E-2</v>
      </c>
      <c r="AE143" s="4">
        <v>6574600</v>
      </c>
      <c r="AF143" s="4">
        <v>5646100</v>
      </c>
      <c r="AG143" s="19">
        <v>14452691</v>
      </c>
      <c r="AH143" s="38">
        <v>6.2410982685366781E-2</v>
      </c>
      <c r="AI143" s="4">
        <v>8336600</v>
      </c>
      <c r="AJ143" s="4">
        <v>13663800</v>
      </c>
      <c r="AK143" s="19">
        <v>38516650</v>
      </c>
      <c r="AL143" s="38">
        <v>1.6243347560245716E-2</v>
      </c>
      <c r="AM143" s="4">
        <v>3313000</v>
      </c>
      <c r="AN143" s="4">
        <v>5100400</v>
      </c>
      <c r="AO143" s="19">
        <v>10024507</v>
      </c>
      <c r="AP143" s="38">
        <v>3.4876336254420284E-3</v>
      </c>
      <c r="AQ143" s="4">
        <v>585400</v>
      </c>
      <c r="AR143" s="4">
        <v>1180800</v>
      </c>
      <c r="AS143" s="19">
        <v>2152377</v>
      </c>
      <c r="AT143" s="38">
        <v>4.5051377893636233E-3</v>
      </c>
      <c r="AU143" s="4">
        <v>694300</v>
      </c>
      <c r="AV143" s="4">
        <v>1529100</v>
      </c>
      <c r="AW143" s="19">
        <v>2780325</v>
      </c>
      <c r="AX143" s="38">
        <v>2.3967691139798945E-3</v>
      </c>
      <c r="AY143" s="4">
        <v>97200</v>
      </c>
      <c r="AZ143" s="4">
        <v>116100</v>
      </c>
      <c r="BA143" s="19">
        <v>1479155</v>
      </c>
      <c r="BB143" s="38">
        <v>2.3830203277254995E-3</v>
      </c>
      <c r="BC143" s="4">
        <v>534300</v>
      </c>
      <c r="BD143" s="4">
        <v>774100</v>
      </c>
      <c r="BE143" s="19">
        <v>1470670</v>
      </c>
      <c r="BF143" s="38">
        <v>2.2829335387755778E-2</v>
      </c>
      <c r="BG143" s="4">
        <v>1009100</v>
      </c>
      <c r="BH143" s="4">
        <v>2702600</v>
      </c>
      <c r="BI143" s="19">
        <v>14089019</v>
      </c>
      <c r="BJ143" s="38">
        <v>6.8622890101296165E-3</v>
      </c>
      <c r="BK143" s="4">
        <v>1441000</v>
      </c>
      <c r="BL143" s="4">
        <v>2366400</v>
      </c>
      <c r="BM143" s="19">
        <v>4235030</v>
      </c>
      <c r="BN143" s="38">
        <v>2.8911626668144612E-2</v>
      </c>
      <c r="BO143" s="4">
        <v>3038600</v>
      </c>
      <c r="BP143" s="4">
        <v>3880200</v>
      </c>
      <c r="BQ143" s="19">
        <v>17842677</v>
      </c>
      <c r="BS143" s="4"/>
      <c r="BT143" s="4"/>
      <c r="BU143" s="19">
        <v>841495</v>
      </c>
      <c r="BW143" s="4"/>
      <c r="BX143" s="4"/>
      <c r="BY143" s="19">
        <v>2874600</v>
      </c>
      <c r="BZ143" s="8">
        <v>5.6448044156648686E-3</v>
      </c>
      <c r="CA143" s="4">
        <v>168200</v>
      </c>
      <c r="CB143" s="4">
        <v>150100</v>
      </c>
      <c r="CC143" s="19">
        <v>3483665</v>
      </c>
      <c r="CD143" s="8">
        <v>9.7024593164502741E-3</v>
      </c>
      <c r="CE143" s="4">
        <v>592600</v>
      </c>
      <c r="CF143" s="4">
        <v>718600</v>
      </c>
      <c r="CG143" s="19">
        <v>5987828</v>
      </c>
      <c r="CH143" s="8">
        <v>6.4356148325801462E-4</v>
      </c>
      <c r="CI143" s="4">
        <v>27300</v>
      </c>
      <c r="CJ143" s="4">
        <v>317600</v>
      </c>
      <c r="CK143" s="19">
        <v>397171</v>
      </c>
      <c r="CL143" s="8">
        <v>6.5421472664141415E-3</v>
      </c>
      <c r="CM143" s="4">
        <v>2162400</v>
      </c>
      <c r="CN143" s="4">
        <v>1864100</v>
      </c>
      <c r="CO143" s="19">
        <v>4036556</v>
      </c>
    </row>
    <row r="144" spans="1:93" x14ac:dyDescent="0.2">
      <c r="A144" s="33" t="s">
        <v>148</v>
      </c>
      <c r="B144" s="8">
        <v>0.35460000000000003</v>
      </c>
      <c r="C144" s="8">
        <v>0.2964</v>
      </c>
      <c r="D144" s="8">
        <v>0.40139999999999998</v>
      </c>
      <c r="E144" s="8">
        <v>8.6199999999999999E-2</v>
      </c>
      <c r="F144" s="8">
        <v>0.2943214391392715</v>
      </c>
      <c r="G144" s="4">
        <v>126539900</v>
      </c>
      <c r="H144" s="4">
        <v>112042100</v>
      </c>
      <c r="I144" s="19">
        <v>319830059</v>
      </c>
      <c r="J144" s="8">
        <v>0.1207180155290213</v>
      </c>
      <c r="K144" s="4">
        <v>53774500</v>
      </c>
      <c r="L144" s="4">
        <v>64403800</v>
      </c>
      <c r="M144" s="19">
        <v>131180556</v>
      </c>
      <c r="N144" s="8">
        <v>0.15345331915183336</v>
      </c>
      <c r="O144" s="4">
        <v>47515600</v>
      </c>
      <c r="P144" s="4">
        <v>70551300</v>
      </c>
      <c r="Q144" s="19">
        <v>166753004</v>
      </c>
      <c r="R144" s="8">
        <v>2.7355208462210519E-2</v>
      </c>
      <c r="S144" s="4">
        <v>7012900</v>
      </c>
      <c r="T144" s="4">
        <v>13016900</v>
      </c>
      <c r="U144" s="19">
        <v>29726064</v>
      </c>
      <c r="V144" s="8">
        <v>5.0017545587042488E-2</v>
      </c>
      <c r="W144" s="4">
        <v>15876900</v>
      </c>
      <c r="X144" s="4">
        <v>25389800</v>
      </c>
      <c r="Y144" s="19">
        <v>54352529</v>
      </c>
      <c r="Z144" s="8">
        <v>1.6041577434708965E-2</v>
      </c>
      <c r="AA144" s="4">
        <v>5429200</v>
      </c>
      <c r="AB144" s="4">
        <v>10331800</v>
      </c>
      <c r="AC144" s="19">
        <v>17431889</v>
      </c>
      <c r="AD144" s="38">
        <v>2.2069752953487214E-2</v>
      </c>
      <c r="AE144" s="4">
        <v>6874400</v>
      </c>
      <c r="AF144" s="4">
        <v>9833000</v>
      </c>
      <c r="AG144" s="19">
        <v>23982522</v>
      </c>
      <c r="AH144" s="38">
        <v>6.3758943837975798E-2</v>
      </c>
      <c r="AI144" s="4">
        <v>14057600</v>
      </c>
      <c r="AJ144" s="4">
        <v>27497100</v>
      </c>
      <c r="AK144" s="19">
        <v>69284884</v>
      </c>
      <c r="AL144" s="38">
        <v>1.767885390297529E-2</v>
      </c>
      <c r="AM144" s="4">
        <v>7422800</v>
      </c>
      <c r="AN144" s="4">
        <v>9384800</v>
      </c>
      <c r="AO144" s="19">
        <v>19211067</v>
      </c>
      <c r="AP144" s="38">
        <v>4.1250187022177235E-3</v>
      </c>
      <c r="AQ144" s="4">
        <v>1570800</v>
      </c>
      <c r="AR144" s="4">
        <v>2453500</v>
      </c>
      <c r="AS144" s="19">
        <v>4482531</v>
      </c>
      <c r="AT144" s="38">
        <v>5.8054536566418272E-3</v>
      </c>
      <c r="AU144" s="4">
        <v>1954900</v>
      </c>
      <c r="AV144" s="4">
        <v>3346800</v>
      </c>
      <c r="AW144" s="19">
        <v>6308608</v>
      </c>
      <c r="AX144" s="38">
        <v>3.5642519397495976E-3</v>
      </c>
      <c r="AY144" s="4">
        <v>237200</v>
      </c>
      <c r="AZ144" s="4">
        <v>138900</v>
      </c>
      <c r="BA144" s="19">
        <v>3873163</v>
      </c>
      <c r="BB144" s="38">
        <v>3.2985998117706938E-3</v>
      </c>
      <c r="BC144" s="4">
        <v>990200</v>
      </c>
      <c r="BD144" s="4">
        <v>1951800</v>
      </c>
      <c r="BE144" s="19">
        <v>3584487</v>
      </c>
      <c r="BF144" s="38">
        <v>2.6669929112883569E-2</v>
      </c>
      <c r="BG144" s="4">
        <v>1900800</v>
      </c>
      <c r="BH144" s="4">
        <v>4756600</v>
      </c>
      <c r="BI144" s="19">
        <v>28981392</v>
      </c>
      <c r="BJ144" s="38">
        <v>1.140831669154015E-2</v>
      </c>
      <c r="BK144" s="4">
        <v>3607400</v>
      </c>
      <c r="BL144" s="4">
        <v>8030000</v>
      </c>
      <c r="BM144" s="19">
        <v>12397067</v>
      </c>
      <c r="BN144" s="38">
        <v>2.2282993549863524E-2</v>
      </c>
      <c r="BO144" s="4">
        <v>5239500</v>
      </c>
      <c r="BP144" s="4">
        <v>5837600</v>
      </c>
      <c r="BQ144" s="19">
        <v>24214244</v>
      </c>
      <c r="BS144" s="4"/>
      <c r="BT144" s="4"/>
      <c r="BU144" s="19">
        <v>1195495</v>
      </c>
      <c r="BW144" s="4"/>
      <c r="BX144" s="4"/>
      <c r="BY144" s="19">
        <v>3955200</v>
      </c>
      <c r="BZ144" s="8">
        <v>5.2209390979778844E-3</v>
      </c>
      <c r="CA144" s="4">
        <v>135500</v>
      </c>
      <c r="CB144" s="4">
        <v>165900</v>
      </c>
      <c r="CC144" s="19">
        <v>5673434</v>
      </c>
      <c r="CD144" s="8">
        <v>7.7048337950814663E-3</v>
      </c>
      <c r="CE144" s="4">
        <v>953100</v>
      </c>
      <c r="CF144" s="4">
        <v>1587100</v>
      </c>
      <c r="CG144" s="19">
        <v>8372606</v>
      </c>
      <c r="CH144" s="8">
        <v>1.2587574312112107E-3</v>
      </c>
      <c r="CI144" s="4">
        <v>143400</v>
      </c>
      <c r="CJ144" s="4">
        <v>995700</v>
      </c>
      <c r="CK144" s="19">
        <v>1367853</v>
      </c>
      <c r="CL144" s="8">
        <v>4.4701862849703981E-3</v>
      </c>
      <c r="CM144" s="4">
        <v>1342500</v>
      </c>
      <c r="CN144" s="4">
        <v>3105300</v>
      </c>
      <c r="CO144" s="19">
        <v>4855914</v>
      </c>
    </row>
    <row r="145" spans="1:93" x14ac:dyDescent="0.2">
      <c r="A145" s="33" t="s">
        <v>149</v>
      </c>
      <c r="B145" s="8">
        <v>0.33390000000000003</v>
      </c>
      <c r="C145" s="8">
        <v>0.2676</v>
      </c>
      <c r="D145" s="8">
        <v>0.37060000000000004</v>
      </c>
      <c r="E145" s="8">
        <v>5.6399999999999999E-2</v>
      </c>
      <c r="F145" s="8">
        <v>0.27357098095774579</v>
      </c>
      <c r="G145" s="4">
        <v>81384000</v>
      </c>
      <c r="H145" s="4">
        <v>87413800</v>
      </c>
      <c r="I145" s="19">
        <v>235405994</v>
      </c>
      <c r="J145" s="8">
        <v>0.15120554710843695</v>
      </c>
      <c r="K145" s="4">
        <v>62483600</v>
      </c>
      <c r="L145" s="4">
        <v>58074700</v>
      </c>
      <c r="M145" s="19">
        <v>130111359</v>
      </c>
      <c r="N145" s="8">
        <v>9.4791717446648036E-2</v>
      </c>
      <c r="O145" s="4">
        <v>20244400</v>
      </c>
      <c r="P145" s="4">
        <v>34624200</v>
      </c>
      <c r="Q145" s="19">
        <v>81567637</v>
      </c>
      <c r="R145" s="8">
        <v>2.2598012303854196E-2</v>
      </c>
      <c r="S145" s="4">
        <v>5200500</v>
      </c>
      <c r="T145" s="4">
        <v>7958900</v>
      </c>
      <c r="U145" s="19">
        <v>19445438</v>
      </c>
      <c r="V145" s="8">
        <v>4.0823465245560568E-2</v>
      </c>
      <c r="W145" s="4">
        <v>12499200</v>
      </c>
      <c r="X145" s="4">
        <v>13347000</v>
      </c>
      <c r="Y145" s="19">
        <v>35128318</v>
      </c>
      <c r="Z145" s="8">
        <v>1.5052968013142862E-2</v>
      </c>
      <c r="AA145" s="4">
        <v>5619500</v>
      </c>
      <c r="AB145" s="4">
        <v>6219200</v>
      </c>
      <c r="AC145" s="19">
        <v>12952978</v>
      </c>
      <c r="AD145" s="38">
        <v>1.8397726219578713E-2</v>
      </c>
      <c r="AE145" s="4">
        <v>5239800</v>
      </c>
      <c r="AF145" s="4">
        <v>8286300</v>
      </c>
      <c r="AG145" s="19">
        <v>15831120</v>
      </c>
      <c r="AH145" s="38">
        <v>5.4906280431527177E-2</v>
      </c>
      <c r="AI145" s="4">
        <v>10175800</v>
      </c>
      <c r="AJ145" s="4">
        <v>13250800</v>
      </c>
      <c r="AK145" s="19">
        <v>47246486</v>
      </c>
      <c r="AL145" s="38">
        <v>1.213144378585115E-2</v>
      </c>
      <c r="AM145" s="4">
        <v>3265900</v>
      </c>
      <c r="AN145" s="4">
        <v>6370300</v>
      </c>
      <c r="AO145" s="19">
        <v>10439026</v>
      </c>
      <c r="AP145" s="38">
        <v>3.4771462227738085E-3</v>
      </c>
      <c r="AQ145" s="4">
        <v>967500</v>
      </c>
      <c r="AR145" s="4">
        <v>1683800</v>
      </c>
      <c r="AS145" s="19">
        <v>2992061</v>
      </c>
      <c r="AT145" s="38">
        <v>3.8297509470881499E-3</v>
      </c>
      <c r="AU145" s="4">
        <v>961900</v>
      </c>
      <c r="AV145" s="4">
        <v>1564000</v>
      </c>
      <c r="AW145" s="19">
        <v>3295475</v>
      </c>
      <c r="AX145" s="38">
        <v>2.4559749851019177E-3</v>
      </c>
      <c r="AY145" s="4">
        <v>128800</v>
      </c>
      <c r="AZ145" s="4">
        <v>115100</v>
      </c>
      <c r="BA145" s="19">
        <v>2113350</v>
      </c>
      <c r="BB145" s="38">
        <v>2.6383215547483895E-3</v>
      </c>
      <c r="BC145" s="4">
        <v>795300</v>
      </c>
      <c r="BD145" s="4">
        <v>1049100</v>
      </c>
      <c r="BE145" s="19">
        <v>2270258</v>
      </c>
      <c r="BF145" s="38">
        <v>2.7173031117597602E-2</v>
      </c>
      <c r="BG145" s="4">
        <v>1955000</v>
      </c>
      <c r="BH145" s="4">
        <v>3263200</v>
      </c>
      <c r="BI145" s="19">
        <v>23382211</v>
      </c>
      <c r="BJ145" s="38">
        <v>7.8859220206448748E-3</v>
      </c>
      <c r="BK145" s="4">
        <v>2217100</v>
      </c>
      <c r="BL145" s="4">
        <v>4016600</v>
      </c>
      <c r="BM145" s="19">
        <v>6785783</v>
      </c>
      <c r="BN145" s="38">
        <v>5.28599007370298E-2</v>
      </c>
      <c r="BO145" s="4">
        <v>4489400</v>
      </c>
      <c r="BP145" s="4">
        <v>4604400</v>
      </c>
      <c r="BQ145" s="19">
        <v>45485590</v>
      </c>
      <c r="BS145" s="4"/>
      <c r="BT145" s="4"/>
      <c r="BU145" s="19">
        <v>2353377</v>
      </c>
      <c r="BW145" s="4"/>
      <c r="BX145" s="4"/>
      <c r="BY145" s="19">
        <v>3904900</v>
      </c>
      <c r="BZ145" s="8">
        <v>4.259272017660307E-3</v>
      </c>
      <c r="CA145" s="4">
        <v>122100</v>
      </c>
      <c r="CB145" s="4">
        <v>130000</v>
      </c>
      <c r="CC145" s="19">
        <v>3665075</v>
      </c>
      <c r="CD145" s="8">
        <v>5.8387474332571559E-3</v>
      </c>
      <c r="CE145" s="4">
        <v>559700</v>
      </c>
      <c r="CF145" s="4">
        <v>746900</v>
      </c>
      <c r="CG145" s="19">
        <v>5024203</v>
      </c>
      <c r="CH145" s="8">
        <v>9.3620718196139061E-4</v>
      </c>
      <c r="CI145" s="4">
        <v>399000</v>
      </c>
      <c r="CJ145" s="4">
        <v>398900</v>
      </c>
      <c r="CK145" s="19">
        <v>805600</v>
      </c>
      <c r="CL145" s="8">
        <v>5.2003275814031568E-3</v>
      </c>
      <c r="CM145" s="4">
        <v>2085100</v>
      </c>
      <c r="CN145" s="4">
        <v>2280100</v>
      </c>
      <c r="CO145" s="19">
        <v>4474247</v>
      </c>
    </row>
    <row r="146" spans="1:93" x14ac:dyDescent="0.2">
      <c r="A146" s="33" t="s">
        <v>150</v>
      </c>
      <c r="B146" s="8">
        <v>0.37070000000000003</v>
      </c>
      <c r="C146" s="8">
        <v>0.27140000000000003</v>
      </c>
      <c r="D146" s="8">
        <v>0.37530000000000002</v>
      </c>
      <c r="E146" s="8">
        <v>7.5899999999999995E-2</v>
      </c>
      <c r="F146" s="8">
        <v>0.29964228699136564</v>
      </c>
      <c r="G146" s="4">
        <v>105592300</v>
      </c>
      <c r="H146" s="4">
        <v>78792200</v>
      </c>
      <c r="I146" s="19">
        <v>297473240</v>
      </c>
      <c r="J146" s="8">
        <v>0.11816483821287732</v>
      </c>
      <c r="K146" s="4">
        <v>36662500</v>
      </c>
      <c r="L146" s="4">
        <v>69469300</v>
      </c>
      <c r="M146" s="19">
        <v>117309468</v>
      </c>
      <c r="N146" s="8">
        <v>0.12448414231558434</v>
      </c>
      <c r="O146" s="4">
        <v>26433200</v>
      </c>
      <c r="P146" s="4">
        <v>56350100</v>
      </c>
      <c r="Q146" s="19">
        <v>123583028</v>
      </c>
      <c r="R146" s="8">
        <v>2.6176189889256067E-2</v>
      </c>
      <c r="S146" s="4">
        <v>6864400</v>
      </c>
      <c r="T146" s="4">
        <v>11188400</v>
      </c>
      <c r="U146" s="19">
        <v>25986706</v>
      </c>
      <c r="V146" s="8">
        <v>6.8221507026404657E-2</v>
      </c>
      <c r="W146" s="4">
        <v>19488500</v>
      </c>
      <c r="X146" s="4">
        <v>32267000</v>
      </c>
      <c r="Y146" s="19">
        <v>67727666</v>
      </c>
      <c r="Z146" s="8">
        <v>1.8826191811369842E-2</v>
      </c>
      <c r="AA146" s="4">
        <v>5928000</v>
      </c>
      <c r="AB146" s="4">
        <v>11015300</v>
      </c>
      <c r="AC146" s="19">
        <v>18689913</v>
      </c>
      <c r="AD146" s="38">
        <v>2.2468676989366502E-2</v>
      </c>
      <c r="AE146" s="4">
        <v>5669400</v>
      </c>
      <c r="AF146" s="4">
        <v>9811300</v>
      </c>
      <c r="AG146" s="19">
        <v>22306031</v>
      </c>
      <c r="AH146" s="38">
        <v>6.4430710252205134E-2</v>
      </c>
      <c r="AI146" s="4">
        <v>14786600</v>
      </c>
      <c r="AJ146" s="4">
        <v>23742200</v>
      </c>
      <c r="AK146" s="19">
        <v>63964310</v>
      </c>
      <c r="AL146" s="38">
        <v>2.3278107283667727E-2</v>
      </c>
      <c r="AM146" s="4">
        <v>10605000</v>
      </c>
      <c r="AN146" s="4">
        <v>10326000</v>
      </c>
      <c r="AO146" s="19">
        <v>23109602</v>
      </c>
      <c r="AP146" s="38">
        <v>2.5095803199047628E-3</v>
      </c>
      <c r="AQ146" s="4">
        <v>866000</v>
      </c>
      <c r="AR146" s="4">
        <v>1500200</v>
      </c>
      <c r="AS146" s="19">
        <v>2491414</v>
      </c>
      <c r="AT146" s="38">
        <v>4.1169386460678924E-3</v>
      </c>
      <c r="AU146" s="4">
        <v>1295400</v>
      </c>
      <c r="AV146" s="4">
        <v>2028400</v>
      </c>
      <c r="AW146" s="19">
        <v>4087137</v>
      </c>
      <c r="AX146" s="38">
        <v>3.3086556568650469E-3</v>
      </c>
      <c r="AY146" s="4">
        <v>88100</v>
      </c>
      <c r="AZ146" s="4">
        <v>135200</v>
      </c>
      <c r="BA146" s="19">
        <v>3284705</v>
      </c>
      <c r="BB146" s="38">
        <v>3.4768290282477313E-3</v>
      </c>
      <c r="BC146" s="4">
        <v>1162400</v>
      </c>
      <c r="BD146" s="4">
        <v>1495700</v>
      </c>
      <c r="BE146" s="19">
        <v>3451661</v>
      </c>
      <c r="BF146" s="38">
        <v>2.010759864377135E-2</v>
      </c>
      <c r="BG146" s="4">
        <v>2122500</v>
      </c>
      <c r="BH146" s="4">
        <v>4680600</v>
      </c>
      <c r="BI146" s="19">
        <v>19962044</v>
      </c>
      <c r="BJ146" s="38">
        <v>1.1803959359363046E-2</v>
      </c>
      <c r="BK146" s="4">
        <v>3687800</v>
      </c>
      <c r="BL146" s="4">
        <v>7381400</v>
      </c>
      <c r="BM146" s="19">
        <v>11718513</v>
      </c>
      <c r="BN146" s="38">
        <v>1.8439503657804068E-2</v>
      </c>
      <c r="BO146" s="4">
        <v>6088000</v>
      </c>
      <c r="BP146" s="4">
        <v>4702100</v>
      </c>
      <c r="BQ146" s="19">
        <v>18306024</v>
      </c>
      <c r="BS146" s="4"/>
      <c r="BT146" s="4"/>
      <c r="BU146" s="19">
        <v>1468696</v>
      </c>
      <c r="BW146" s="4"/>
      <c r="BX146" s="4"/>
      <c r="BY146" s="19">
        <v>2737400</v>
      </c>
      <c r="BZ146" s="8">
        <v>8.2587513501685833E-3</v>
      </c>
      <c r="CA146" s="4">
        <v>68300</v>
      </c>
      <c r="CB146" s="4">
        <v>93700</v>
      </c>
      <c r="CC146" s="19">
        <v>8198968</v>
      </c>
      <c r="CD146" s="8">
        <v>4.5400786669735444E-3</v>
      </c>
      <c r="CE146" s="4">
        <v>1037600</v>
      </c>
      <c r="CF146" s="4">
        <v>1960500</v>
      </c>
      <c r="CG146" s="19">
        <v>4507214</v>
      </c>
      <c r="CH146" s="8">
        <v>6.6088198457938947E-4</v>
      </c>
      <c r="CI146" s="4">
        <v>244700</v>
      </c>
      <c r="CJ146" s="4">
        <v>384300</v>
      </c>
      <c r="CK146" s="19">
        <v>656098</v>
      </c>
      <c r="CL146" s="8">
        <v>3.7222596484762743E-3</v>
      </c>
      <c r="CM146" s="4">
        <v>1405900</v>
      </c>
      <c r="CN146" s="4">
        <v>2176900</v>
      </c>
      <c r="CO146" s="19">
        <v>3690815</v>
      </c>
    </row>
    <row r="147" spans="1:93" x14ac:dyDescent="0.2">
      <c r="A147" s="33" t="s">
        <v>151</v>
      </c>
      <c r="B147" s="8">
        <v>0.27960000000000002</v>
      </c>
      <c r="C147" s="8">
        <v>0.22690000000000002</v>
      </c>
      <c r="D147" s="8">
        <v>0.44119999999999998</v>
      </c>
      <c r="E147" s="8">
        <v>7.9899999999999999E-2</v>
      </c>
      <c r="F147" s="8">
        <v>0.18897374953387344</v>
      </c>
      <c r="G147" s="4">
        <v>59982900</v>
      </c>
      <c r="H147" s="4">
        <v>60827400</v>
      </c>
      <c r="I147" s="19">
        <v>164503400</v>
      </c>
      <c r="J147" s="8">
        <v>0.11803547993479946</v>
      </c>
      <c r="K147" s="4">
        <v>40006200</v>
      </c>
      <c r="L147" s="4">
        <v>51642600</v>
      </c>
      <c r="M147" s="19">
        <v>102750979</v>
      </c>
      <c r="N147" s="8">
        <v>0.14768305866602918</v>
      </c>
      <c r="O147" s="4">
        <v>39043900</v>
      </c>
      <c r="P147" s="4">
        <v>51824600</v>
      </c>
      <c r="Q147" s="19">
        <v>128559471</v>
      </c>
      <c r="R147" s="8">
        <v>2.7860215792349763E-2</v>
      </c>
      <c r="S147" s="4">
        <v>8933300</v>
      </c>
      <c r="T147" s="4">
        <v>10037100</v>
      </c>
      <c r="U147" s="19">
        <v>24252576</v>
      </c>
      <c r="V147" s="8">
        <v>7.3643733046719798E-2</v>
      </c>
      <c r="W147" s="4">
        <v>18987800</v>
      </c>
      <c r="X147" s="4">
        <v>27320100</v>
      </c>
      <c r="Y147" s="19">
        <v>64107552</v>
      </c>
      <c r="Z147" s="8">
        <v>2.1318325633997329E-2</v>
      </c>
      <c r="AA147" s="4">
        <v>7004000</v>
      </c>
      <c r="AB147" s="4">
        <v>10730300</v>
      </c>
      <c r="AC147" s="19">
        <v>18557800</v>
      </c>
      <c r="AD147" s="38">
        <v>3.8999191997113103E-2</v>
      </c>
      <c r="AE147" s="4">
        <v>11403800</v>
      </c>
      <c r="AF147" s="4">
        <v>17438200</v>
      </c>
      <c r="AG147" s="19">
        <v>33949158</v>
      </c>
      <c r="AH147" s="38">
        <v>6.0688170779333209E-2</v>
      </c>
      <c r="AI147" s="4">
        <v>9972600</v>
      </c>
      <c r="AJ147" s="4">
        <v>16261000</v>
      </c>
      <c r="AK147" s="19">
        <v>52829615</v>
      </c>
      <c r="AL147" s="38">
        <v>2.0812705513464345E-2</v>
      </c>
      <c r="AM147" s="4">
        <v>6498200</v>
      </c>
      <c r="AN147" s="4">
        <v>10025400</v>
      </c>
      <c r="AO147" s="19">
        <v>18117653</v>
      </c>
      <c r="AP147" s="38">
        <v>7.2954973003124821E-3</v>
      </c>
      <c r="AQ147" s="4">
        <v>2873100</v>
      </c>
      <c r="AR147" s="4">
        <v>3166900</v>
      </c>
      <c r="AS147" s="19">
        <v>6350798</v>
      </c>
      <c r="AT147" s="38">
        <v>5.1922480053187628E-3</v>
      </c>
      <c r="AU147" s="4">
        <v>1134900</v>
      </c>
      <c r="AV147" s="4">
        <v>2673000</v>
      </c>
      <c r="AW147" s="19">
        <v>4519900</v>
      </c>
      <c r="AX147" s="38">
        <v>3.2082829087312667E-3</v>
      </c>
      <c r="AY147" s="4">
        <v>60800</v>
      </c>
      <c r="AZ147" s="4">
        <v>133900</v>
      </c>
      <c r="BA147" s="19">
        <v>2792840</v>
      </c>
      <c r="BB147" s="38">
        <v>2.7038609374205099E-3</v>
      </c>
      <c r="BC147" s="4">
        <v>823500</v>
      </c>
      <c r="BD147" s="4">
        <v>1165100</v>
      </c>
      <c r="BE147" s="19">
        <v>2353736</v>
      </c>
      <c r="BF147" s="38">
        <v>2.4570480562811147E-2</v>
      </c>
      <c r="BG147" s="4">
        <v>1724000</v>
      </c>
      <c r="BH147" s="4">
        <v>2616000</v>
      </c>
      <c r="BI147" s="19">
        <v>21388831</v>
      </c>
      <c r="BJ147" s="38">
        <v>1.5372527924361003E-2</v>
      </c>
      <c r="BK147" s="4">
        <v>5841300</v>
      </c>
      <c r="BL147" s="4">
        <v>6876900</v>
      </c>
      <c r="BM147" s="19">
        <v>13381928</v>
      </c>
      <c r="BN147" s="38">
        <v>3.3068229281777682E-2</v>
      </c>
      <c r="BO147" s="4">
        <v>5160800</v>
      </c>
      <c r="BP147" s="4">
        <v>6075000</v>
      </c>
      <c r="BQ147" s="19">
        <v>28786200</v>
      </c>
      <c r="BS147" s="4"/>
      <c r="BT147" s="4"/>
      <c r="BU147" s="19">
        <v>671100</v>
      </c>
      <c r="BW147" s="4"/>
      <c r="BX147" s="4"/>
      <c r="BY147" s="19">
        <v>3577000</v>
      </c>
      <c r="BZ147" s="8">
        <v>5.0532799268330824E-3</v>
      </c>
      <c r="CA147" s="4">
        <v>135900</v>
      </c>
      <c r="CB147" s="4">
        <v>119000</v>
      </c>
      <c r="CC147" s="19">
        <v>4398927</v>
      </c>
      <c r="CD147" s="8">
        <v>3.5381564795428609E-3</v>
      </c>
      <c r="CE147" s="4">
        <v>506600</v>
      </c>
      <c r="CF147" s="4">
        <v>696200</v>
      </c>
      <c r="CG147" s="19">
        <v>3079998</v>
      </c>
      <c r="CH147" s="8">
        <v>1.0072092673164032E-3</v>
      </c>
      <c r="CI147" s="4">
        <v>236000</v>
      </c>
      <c r="CJ147" s="4">
        <v>633400</v>
      </c>
      <c r="CK147" s="19">
        <v>876785</v>
      </c>
      <c r="CL147" s="8">
        <v>1.0659749829704857E-2</v>
      </c>
      <c r="CM147" s="4">
        <v>5678900</v>
      </c>
      <c r="CN147" s="4">
        <v>3376800</v>
      </c>
      <c r="CO147" s="19">
        <v>9276911</v>
      </c>
    </row>
    <row r="148" spans="1:93" x14ac:dyDescent="0.2">
      <c r="A148" s="33" t="s">
        <v>152</v>
      </c>
      <c r="B148" s="8">
        <v>0.30609999999999998</v>
      </c>
      <c r="C148" s="8">
        <v>0.21870000000000001</v>
      </c>
      <c r="D148" s="8">
        <v>0.41249999999999998</v>
      </c>
      <c r="E148" s="8">
        <v>7.8200000000000006E-2</v>
      </c>
      <c r="F148" s="8">
        <v>0.18961289094263117</v>
      </c>
      <c r="G148" s="4">
        <v>54063400</v>
      </c>
      <c r="H148" s="4">
        <v>59982000</v>
      </c>
      <c r="I148" s="19">
        <v>171677108</v>
      </c>
      <c r="J148" s="8">
        <v>0.11892063694304941</v>
      </c>
      <c r="K148" s="4">
        <v>43752700</v>
      </c>
      <c r="L148" s="4">
        <v>47105300</v>
      </c>
      <c r="M148" s="19">
        <v>107671746</v>
      </c>
      <c r="N148" s="8">
        <v>0.16544932838154963</v>
      </c>
      <c r="O148" s="4">
        <v>61708300</v>
      </c>
      <c r="P148" s="4">
        <v>53041400</v>
      </c>
      <c r="Q148" s="19">
        <v>149799215</v>
      </c>
      <c r="R148" s="8">
        <v>2.056267932652979E-2</v>
      </c>
      <c r="S148" s="4">
        <v>4589600</v>
      </c>
      <c r="T148" s="4">
        <v>8025100</v>
      </c>
      <c r="U148" s="19">
        <v>18617623</v>
      </c>
      <c r="V148" s="8">
        <v>6.2043137394282237E-2</v>
      </c>
      <c r="W148" s="4">
        <v>21875200</v>
      </c>
      <c r="X148" s="4">
        <v>22081900</v>
      </c>
      <c r="Y148" s="19">
        <v>56174379</v>
      </c>
      <c r="Z148" s="8">
        <v>1.8952580538184084E-2</v>
      </c>
      <c r="AA148" s="4">
        <v>6323700</v>
      </c>
      <c r="AB148" s="4">
        <v>9157700</v>
      </c>
      <c r="AC148" s="19">
        <v>17159826</v>
      </c>
      <c r="AD148" s="38">
        <v>2.2599546843180451E-2</v>
      </c>
      <c r="AE148" s="4">
        <v>5313100</v>
      </c>
      <c r="AF148" s="4">
        <v>10547500</v>
      </c>
      <c r="AG148" s="19">
        <v>20461820</v>
      </c>
      <c r="AH148" s="38">
        <v>7.560777820025133E-2</v>
      </c>
      <c r="AI148" s="4">
        <v>16045400</v>
      </c>
      <c r="AJ148" s="4">
        <v>16868300</v>
      </c>
      <c r="AK148" s="19">
        <v>68455919</v>
      </c>
      <c r="AL148" s="38">
        <v>1.4107468759789091E-2</v>
      </c>
      <c r="AM148" s="4">
        <v>3828200</v>
      </c>
      <c r="AN148" s="4">
        <v>7297300</v>
      </c>
      <c r="AO148" s="19">
        <v>12773021</v>
      </c>
      <c r="AP148" s="38">
        <v>4.2903654463474061E-3</v>
      </c>
      <c r="AQ148" s="4">
        <v>1354300</v>
      </c>
      <c r="AR148" s="4">
        <v>2040300</v>
      </c>
      <c r="AS148" s="19">
        <v>3884533</v>
      </c>
      <c r="AT148" s="38">
        <v>4.0904788581489007E-3</v>
      </c>
      <c r="AU148" s="4">
        <v>1277600</v>
      </c>
      <c r="AV148" s="4">
        <v>1918600</v>
      </c>
      <c r="AW148" s="19">
        <v>3703554</v>
      </c>
      <c r="AX148" s="38">
        <v>3.787209091782027E-3</v>
      </c>
      <c r="AY148" s="4">
        <v>199100</v>
      </c>
      <c r="AZ148" s="4">
        <v>140500</v>
      </c>
      <c r="BA148" s="19">
        <v>3428971</v>
      </c>
      <c r="BB148" s="38">
        <v>6.0924803416341107E-3</v>
      </c>
      <c r="BC148" s="4">
        <v>2351500</v>
      </c>
      <c r="BD148" s="4">
        <v>1879900</v>
      </c>
      <c r="BE148" s="19">
        <v>5516183</v>
      </c>
      <c r="BF148" s="38">
        <v>3.3782632593586881E-2</v>
      </c>
      <c r="BG148" s="4">
        <v>1318400</v>
      </c>
      <c r="BH148" s="4">
        <v>2440200</v>
      </c>
      <c r="BI148" s="19">
        <v>30587080</v>
      </c>
      <c r="BJ148" s="38">
        <v>1.0922024559921809E-2</v>
      </c>
      <c r="BK148" s="4">
        <v>3308700</v>
      </c>
      <c r="BL148" s="4">
        <v>5728400</v>
      </c>
      <c r="BM148" s="19">
        <v>9888893</v>
      </c>
      <c r="BN148" s="38">
        <v>3.0339627281133524E-2</v>
      </c>
      <c r="BO148" s="4">
        <v>4549200</v>
      </c>
      <c r="BP148" s="4">
        <v>5826100</v>
      </c>
      <c r="BQ148" s="19">
        <v>27469754</v>
      </c>
      <c r="BS148" s="4"/>
      <c r="BT148" s="4"/>
      <c r="BU148" s="19">
        <v>612683</v>
      </c>
      <c r="BW148" s="4"/>
      <c r="BX148" s="4"/>
      <c r="BY148" s="19">
        <v>3204100</v>
      </c>
      <c r="BZ148" s="8">
        <v>6.3514971508659042E-3</v>
      </c>
      <c r="CA148" s="4">
        <v>182900</v>
      </c>
      <c r="CB148" s="4">
        <v>129300</v>
      </c>
      <c r="CC148" s="19">
        <v>5750699</v>
      </c>
      <c r="CD148" s="8">
        <v>4.5835712462227816E-3</v>
      </c>
      <c r="CE148" s="4">
        <v>697000</v>
      </c>
      <c r="CF148" s="4">
        <v>690200</v>
      </c>
      <c r="CG148" s="19">
        <v>4150004</v>
      </c>
      <c r="CH148" s="8">
        <v>1.3022576043637854E-3</v>
      </c>
      <c r="CI148" s="4">
        <v>34500</v>
      </c>
      <c r="CJ148" s="4">
        <v>1143800</v>
      </c>
      <c r="CK148" s="19">
        <v>1179075</v>
      </c>
      <c r="CL148" s="8">
        <v>3.0133682653404083E-3</v>
      </c>
      <c r="CM148" s="4">
        <v>1162500</v>
      </c>
      <c r="CN148" s="4">
        <v>1469900</v>
      </c>
      <c r="CO148" s="19">
        <v>2725129</v>
      </c>
    </row>
    <row r="149" spans="1:93" x14ac:dyDescent="0.2">
      <c r="A149" s="33" t="s">
        <v>153</v>
      </c>
      <c r="B149" s="8">
        <v>0.29699999999999999</v>
      </c>
      <c r="C149" s="8">
        <v>0.23769999999999999</v>
      </c>
      <c r="D149" s="8">
        <v>0.39840000000000003</v>
      </c>
      <c r="E149" s="8">
        <v>9.1400000000000009E-2</v>
      </c>
      <c r="F149" s="8">
        <v>0.21912631665467583</v>
      </c>
      <c r="G149" s="4">
        <v>65748200</v>
      </c>
      <c r="H149" s="4">
        <v>54049900</v>
      </c>
      <c r="I149" s="19">
        <v>176017230</v>
      </c>
      <c r="J149" s="8">
        <v>0.11720066597721004</v>
      </c>
      <c r="K149" s="4">
        <v>38955000</v>
      </c>
      <c r="L149" s="4">
        <v>45444800</v>
      </c>
      <c r="M149" s="19">
        <v>94143583</v>
      </c>
      <c r="N149" s="8">
        <v>0.13102447255956046</v>
      </c>
      <c r="O149" s="4">
        <v>37498600</v>
      </c>
      <c r="P149" s="4">
        <v>34418800</v>
      </c>
      <c r="Q149" s="19">
        <v>105247809</v>
      </c>
      <c r="R149" s="8">
        <v>2.7775876655751826E-2</v>
      </c>
      <c r="S149" s="4">
        <v>6583500</v>
      </c>
      <c r="T149" s="4">
        <v>7702200</v>
      </c>
      <c r="U149" s="19">
        <v>22311482</v>
      </c>
      <c r="V149" s="8">
        <v>4.9182696021845392E-2</v>
      </c>
      <c r="W149" s="4">
        <v>10874800</v>
      </c>
      <c r="X149" s="4">
        <v>15951100</v>
      </c>
      <c r="Y149" s="19">
        <v>39506902</v>
      </c>
      <c r="Z149" s="8">
        <v>2.3779091412153872E-2</v>
      </c>
      <c r="AA149" s="4">
        <v>8129300</v>
      </c>
      <c r="AB149" s="4">
        <v>9027000</v>
      </c>
      <c r="AC149" s="19">
        <v>19100991</v>
      </c>
      <c r="AD149" s="38">
        <v>2.2383855273825758E-2</v>
      </c>
      <c r="AE149" s="4">
        <v>4616700</v>
      </c>
      <c r="AF149" s="4">
        <v>6492000</v>
      </c>
      <c r="AG149" s="19">
        <v>17980242</v>
      </c>
      <c r="AH149" s="38">
        <v>5.0822606315930836E-2</v>
      </c>
      <c r="AI149" s="4">
        <v>12365900</v>
      </c>
      <c r="AJ149" s="4">
        <v>13357500</v>
      </c>
      <c r="AK149" s="19">
        <v>40824190</v>
      </c>
      <c r="AL149" s="38">
        <v>1.5005774010798544E-2</v>
      </c>
      <c r="AM149" s="4">
        <v>3908400</v>
      </c>
      <c r="AN149" s="4">
        <v>5972800</v>
      </c>
      <c r="AO149" s="19">
        <v>12053663</v>
      </c>
      <c r="AP149" s="38">
        <v>4.035667643054389E-3</v>
      </c>
      <c r="AQ149" s="4">
        <v>1017900</v>
      </c>
      <c r="AR149" s="4">
        <v>1715000</v>
      </c>
      <c r="AS149" s="19">
        <v>3241724</v>
      </c>
      <c r="AT149" s="38">
        <v>8.1596756295861331E-3</v>
      </c>
      <c r="AU149" s="4">
        <v>3663800</v>
      </c>
      <c r="AV149" s="4">
        <v>2069000</v>
      </c>
      <c r="AW149" s="19">
        <v>6554409</v>
      </c>
      <c r="AX149" s="38">
        <v>4.4659970709065473E-3</v>
      </c>
      <c r="AY149" s="4">
        <v>121500</v>
      </c>
      <c r="AZ149" s="4">
        <v>142100</v>
      </c>
      <c r="BA149" s="19">
        <v>3587394</v>
      </c>
      <c r="BB149" s="38">
        <v>4.9964449737398336E-3</v>
      </c>
      <c r="BC149" s="4">
        <v>1774300</v>
      </c>
      <c r="BD149" s="4">
        <v>1661000</v>
      </c>
      <c r="BE149" s="19">
        <v>4013486</v>
      </c>
      <c r="BF149" s="38">
        <v>2.6139530550493707E-2</v>
      </c>
      <c r="BG149" s="4">
        <v>1408200</v>
      </c>
      <c r="BH149" s="4">
        <v>2232000</v>
      </c>
      <c r="BI149" s="19">
        <v>20997057</v>
      </c>
      <c r="BJ149" s="38">
        <v>9.3623858153660446E-3</v>
      </c>
      <c r="BK149" s="4">
        <v>3074200</v>
      </c>
      <c r="BL149" s="4">
        <v>3688600</v>
      </c>
      <c r="BM149" s="19">
        <v>7520508</v>
      </c>
      <c r="BN149" s="38">
        <v>5.5559038548324294E-2</v>
      </c>
      <c r="BO149" s="4">
        <v>3697800</v>
      </c>
      <c r="BP149" s="4">
        <v>5370700</v>
      </c>
      <c r="BQ149" s="19">
        <v>44628816</v>
      </c>
      <c r="BS149" s="4"/>
      <c r="BT149" s="4"/>
      <c r="BU149" s="19">
        <v>727265</v>
      </c>
      <c r="BW149" s="4"/>
      <c r="BX149" s="4"/>
      <c r="BY149" s="19">
        <v>4246200</v>
      </c>
      <c r="BZ149" s="8">
        <v>3.9871085269529011E-3</v>
      </c>
      <c r="CA149" s="4">
        <v>79700</v>
      </c>
      <c r="CB149" s="4">
        <v>223400</v>
      </c>
      <c r="CC149" s="19">
        <v>3202718</v>
      </c>
      <c r="CD149" s="8">
        <v>5.8730163203944974E-3</v>
      </c>
      <c r="CE149" s="4">
        <v>493900</v>
      </c>
      <c r="CF149" s="4">
        <v>447800</v>
      </c>
      <c r="CG149" s="19">
        <v>4717608</v>
      </c>
      <c r="CH149" s="8">
        <v>5.6549472220694848E-4</v>
      </c>
      <c r="CI149" s="4">
        <v>89400</v>
      </c>
      <c r="CJ149" s="4">
        <v>361800</v>
      </c>
      <c r="CK149" s="19">
        <v>454244</v>
      </c>
      <c r="CL149" s="8">
        <v>3.6053407050302623E-3</v>
      </c>
      <c r="CM149" s="4">
        <v>1034100</v>
      </c>
      <c r="CN149" s="4">
        <v>1734400</v>
      </c>
      <c r="CO149" s="19">
        <v>2895756</v>
      </c>
    </row>
    <row r="150" spans="1:93" x14ac:dyDescent="0.2">
      <c r="A150" s="33" t="s">
        <v>154</v>
      </c>
      <c r="B150" s="8">
        <v>0.36979999999999996</v>
      </c>
      <c r="C150" s="8">
        <v>0.31759999999999999</v>
      </c>
      <c r="D150" s="8">
        <v>0.38469999999999999</v>
      </c>
      <c r="E150" s="8">
        <v>1.54E-2</v>
      </c>
      <c r="F150" s="8">
        <v>0.29096364540292091</v>
      </c>
      <c r="G150" s="4">
        <v>158843800</v>
      </c>
      <c r="H150" s="4">
        <v>89729900</v>
      </c>
      <c r="I150" s="19">
        <v>343731229</v>
      </c>
      <c r="J150" s="8">
        <v>0.17227913283906834</v>
      </c>
      <c r="K150" s="4">
        <v>101961100</v>
      </c>
      <c r="L150" s="4">
        <v>86234700</v>
      </c>
      <c r="M150" s="19">
        <v>203522739</v>
      </c>
      <c r="N150" s="8">
        <v>0.10419729797648328</v>
      </c>
      <c r="O150" s="4">
        <v>54151900</v>
      </c>
      <c r="P150" s="4">
        <v>48831900</v>
      </c>
      <c r="Q150" s="19">
        <v>123093953</v>
      </c>
      <c r="R150" s="8">
        <v>2.098832040821709E-2</v>
      </c>
      <c r="S150" s="4">
        <v>9909800</v>
      </c>
      <c r="T150" s="4">
        <v>13425600</v>
      </c>
      <c r="U150" s="19">
        <v>24794648</v>
      </c>
      <c r="V150" s="8">
        <v>5.4141748988670892E-2</v>
      </c>
      <c r="W150" s="4">
        <v>25607700</v>
      </c>
      <c r="X150" s="4">
        <v>26393400</v>
      </c>
      <c r="Y150" s="19">
        <v>63960602</v>
      </c>
      <c r="Z150" s="8">
        <v>1.6625663185001516E-2</v>
      </c>
      <c r="AA150" s="4">
        <v>8077300</v>
      </c>
      <c r="AB150" s="4">
        <v>10033000</v>
      </c>
      <c r="AC150" s="19">
        <v>19640803</v>
      </c>
      <c r="AD150" s="38">
        <v>2.1222189230997838E-2</v>
      </c>
      <c r="AE150" s="4">
        <v>9374400</v>
      </c>
      <c r="AF150" s="4">
        <v>11710500</v>
      </c>
      <c r="AG150" s="19">
        <v>25070930</v>
      </c>
      <c r="AH150" s="38">
        <v>4.3818392713376744E-2</v>
      </c>
      <c r="AI150" s="4">
        <v>18778400</v>
      </c>
      <c r="AJ150" s="4">
        <v>20655100</v>
      </c>
      <c r="AK150" s="19">
        <v>51765058</v>
      </c>
      <c r="AL150" s="38">
        <v>1.5450741575374917E-2</v>
      </c>
      <c r="AM150" s="4">
        <v>8969200</v>
      </c>
      <c r="AN150" s="4">
        <v>7542100</v>
      </c>
      <c r="AO150" s="19">
        <v>18252804</v>
      </c>
      <c r="AP150" s="38">
        <v>2.9741333566902502E-3</v>
      </c>
      <c r="AQ150" s="4">
        <v>1394100</v>
      </c>
      <c r="AR150" s="4">
        <v>1924000</v>
      </c>
      <c r="AS150" s="19">
        <v>3513506</v>
      </c>
      <c r="AT150" s="38">
        <v>4.6703480830262746E-3</v>
      </c>
      <c r="AU150" s="4">
        <v>1829800</v>
      </c>
      <c r="AV150" s="4">
        <v>2981400</v>
      </c>
      <c r="AW150" s="19">
        <v>5517337</v>
      </c>
      <c r="AX150" s="38">
        <v>3.132776668786699E-4</v>
      </c>
      <c r="AY150" s="4">
        <v>38000</v>
      </c>
      <c r="AZ150" s="4">
        <v>30200</v>
      </c>
      <c r="BA150" s="19">
        <v>370092</v>
      </c>
      <c r="BB150" s="38">
        <v>2.2035120448542665E-3</v>
      </c>
      <c r="BC150" s="4">
        <v>1096900</v>
      </c>
      <c r="BD150" s="4">
        <v>1302000</v>
      </c>
      <c r="BE150" s="19">
        <v>2603129</v>
      </c>
      <c r="BF150" s="38">
        <v>9.9197009997741073E-3</v>
      </c>
      <c r="BG150" s="4">
        <v>1778700</v>
      </c>
      <c r="BH150" s="4">
        <v>3837100</v>
      </c>
      <c r="BI150" s="19">
        <v>11718684</v>
      </c>
      <c r="BJ150" s="38">
        <v>1.4119562897458629E-2</v>
      </c>
      <c r="BK150" s="4">
        <v>8254500</v>
      </c>
      <c r="BL150" s="4">
        <v>7964300</v>
      </c>
      <c r="BM150" s="19">
        <v>16680210</v>
      </c>
      <c r="BN150" s="38">
        <v>2.5102813354445266E-2</v>
      </c>
      <c r="BO150" s="4">
        <v>6578400</v>
      </c>
      <c r="BP150" s="4">
        <v>6542200</v>
      </c>
      <c r="BQ150" s="19">
        <v>29655323</v>
      </c>
      <c r="BS150" s="4"/>
      <c r="BT150" s="4"/>
      <c r="BU150" s="19">
        <v>266238</v>
      </c>
      <c r="BW150" s="4"/>
      <c r="BX150" s="4"/>
      <c r="BY150" s="19">
        <v>5588400</v>
      </c>
      <c r="BZ150" s="8">
        <v>6.5669361843128076E-4</v>
      </c>
      <c r="CA150" s="4">
        <v>109200</v>
      </c>
      <c r="CB150" s="4">
        <v>220900</v>
      </c>
      <c r="CC150" s="19">
        <v>775788</v>
      </c>
      <c r="CD150" s="8">
        <v>6.8503481349835799E-3</v>
      </c>
      <c r="CE150" s="4">
        <v>1515900</v>
      </c>
      <c r="CF150" s="4">
        <v>1383800</v>
      </c>
      <c r="CG150" s="19">
        <v>8092690</v>
      </c>
      <c r="CH150" s="8">
        <v>1.5230355580318202E-3</v>
      </c>
      <c r="CI150" s="4">
        <v>536300</v>
      </c>
      <c r="CJ150" s="4">
        <v>1260500</v>
      </c>
      <c r="CK150" s="19">
        <v>1799245</v>
      </c>
      <c r="CL150" s="8">
        <v>3.3547591362873812E-3</v>
      </c>
      <c r="CM150" s="4">
        <v>1660200</v>
      </c>
      <c r="CN150" s="4">
        <v>2099100</v>
      </c>
      <c r="CO150" s="19">
        <v>3962660</v>
      </c>
    </row>
    <row r="151" spans="1:93" x14ac:dyDescent="0.2">
      <c r="A151" s="33" t="s">
        <v>155</v>
      </c>
      <c r="B151" s="8">
        <v>0.27639999999999998</v>
      </c>
      <c r="C151" s="8">
        <v>0.20449999999999999</v>
      </c>
      <c r="D151" s="8">
        <v>0.36969999999999997</v>
      </c>
      <c r="E151" s="8">
        <v>1.83E-2</v>
      </c>
      <c r="F151" s="8">
        <v>0.19048224924392859</v>
      </c>
      <c r="G151" s="4">
        <v>53996400</v>
      </c>
      <c r="H151" s="4">
        <v>37986800</v>
      </c>
      <c r="I151" s="19">
        <v>137134392</v>
      </c>
      <c r="J151" s="8">
        <v>9.59322823218835E-2</v>
      </c>
      <c r="K151" s="4">
        <v>30836300</v>
      </c>
      <c r="L151" s="4">
        <v>31236100</v>
      </c>
      <c r="M151" s="19">
        <v>69064783</v>
      </c>
      <c r="N151" s="8">
        <v>8.0710372497089858E-2</v>
      </c>
      <c r="O151" s="4">
        <v>20976300</v>
      </c>
      <c r="P151" s="4">
        <v>21570000</v>
      </c>
      <c r="Q151" s="19">
        <v>58106033</v>
      </c>
      <c r="R151" s="8">
        <v>2.1582165814180914E-2</v>
      </c>
      <c r="S151" s="4">
        <v>6621900</v>
      </c>
      <c r="T151" s="4">
        <v>7953700</v>
      </c>
      <c r="U151" s="19">
        <v>15537706</v>
      </c>
      <c r="V151" s="8">
        <v>4.8762870540594368E-2</v>
      </c>
      <c r="W151" s="4">
        <v>11964200</v>
      </c>
      <c r="X151" s="4">
        <v>12590400</v>
      </c>
      <c r="Y151" s="19">
        <v>35105983</v>
      </c>
      <c r="Z151" s="8">
        <v>2.5502608884288173E-2</v>
      </c>
      <c r="AA151" s="4">
        <v>9742700</v>
      </c>
      <c r="AB151" s="4">
        <v>6300900</v>
      </c>
      <c r="AC151" s="19">
        <v>18360161</v>
      </c>
      <c r="AD151" s="38">
        <v>1.6518479704805945E-2</v>
      </c>
      <c r="AE151" s="4">
        <v>4292800</v>
      </c>
      <c r="AF151" s="4">
        <v>5258800</v>
      </c>
      <c r="AG151" s="19">
        <v>11892193</v>
      </c>
      <c r="AH151" s="38">
        <v>8.4591700797659888E-2</v>
      </c>
      <c r="AI151" s="4">
        <v>29670200</v>
      </c>
      <c r="AJ151" s="4">
        <v>19861900</v>
      </c>
      <c r="AK151" s="19">
        <v>60900328</v>
      </c>
      <c r="AL151" s="38">
        <v>1.4111962955290743E-2</v>
      </c>
      <c r="AM151" s="4">
        <v>5348200</v>
      </c>
      <c r="AN151" s="4">
        <v>3788400</v>
      </c>
      <c r="AO151" s="19">
        <v>10159663</v>
      </c>
      <c r="AP151" s="38">
        <v>5.5531360545669258E-3</v>
      </c>
      <c r="AQ151" s="4">
        <v>2253300</v>
      </c>
      <c r="AR151" s="4">
        <v>1531400</v>
      </c>
      <c r="AS151" s="19">
        <v>3997884</v>
      </c>
      <c r="AT151" s="38">
        <v>7.5942033456134726E-3</v>
      </c>
      <c r="AU151" s="4">
        <v>2861300</v>
      </c>
      <c r="AV151" s="4">
        <v>1718800</v>
      </c>
      <c r="AW151" s="19">
        <v>5467315</v>
      </c>
      <c r="AX151" s="38">
        <v>2.3835979392394782E-4</v>
      </c>
      <c r="AY151" s="4">
        <v>17400</v>
      </c>
      <c r="AZ151" s="4">
        <v>26000</v>
      </c>
      <c r="BA151" s="19">
        <v>171603</v>
      </c>
      <c r="BB151" s="38">
        <v>9.5367919814522435E-3</v>
      </c>
      <c r="BC151" s="4">
        <v>3304100</v>
      </c>
      <c r="BD151" s="4">
        <v>3204300</v>
      </c>
      <c r="BE151" s="19">
        <v>6865848</v>
      </c>
      <c r="BF151" s="38">
        <v>9.4890555721949196E-3</v>
      </c>
      <c r="BG151" s="4">
        <v>2311600</v>
      </c>
      <c r="BH151" s="4">
        <v>2988300</v>
      </c>
      <c r="BI151" s="19">
        <v>6831481</v>
      </c>
      <c r="BJ151" s="38">
        <v>8.6567291131276897E-3</v>
      </c>
      <c r="BK151" s="4">
        <v>2863400</v>
      </c>
      <c r="BL151" s="4">
        <v>2992700</v>
      </c>
      <c r="BM151" s="19">
        <v>6232262</v>
      </c>
      <c r="BN151" s="38">
        <v>3.0123384123518952E-2</v>
      </c>
      <c r="BO151" s="4">
        <v>6005500</v>
      </c>
      <c r="BP151" s="4">
        <v>5039300</v>
      </c>
      <c r="BQ151" s="19">
        <v>21686808</v>
      </c>
      <c r="BS151" s="4"/>
      <c r="BT151" s="4"/>
      <c r="BU151" s="19">
        <v>180155</v>
      </c>
      <c r="BW151" s="4"/>
      <c r="BX151" s="4"/>
      <c r="BY151" s="19">
        <v>6052100</v>
      </c>
      <c r="BZ151" s="8">
        <v>6.5070669429195414E-4</v>
      </c>
      <c r="CA151" s="4">
        <v>35900</v>
      </c>
      <c r="CB151" s="4">
        <v>58200</v>
      </c>
      <c r="CC151" s="19">
        <v>468465</v>
      </c>
      <c r="CD151" s="8">
        <v>1.093637010699409E-2</v>
      </c>
      <c r="CE151" s="4">
        <v>613900</v>
      </c>
      <c r="CF151" s="4">
        <v>820900</v>
      </c>
      <c r="CG151" s="19">
        <v>7873450</v>
      </c>
      <c r="CH151" s="8">
        <v>1.9100411472096324E-3</v>
      </c>
      <c r="CI151" s="4">
        <v>866000</v>
      </c>
      <c r="CJ151" s="4">
        <v>507100</v>
      </c>
      <c r="CK151" s="19">
        <v>1375101</v>
      </c>
      <c r="CL151" s="8">
        <v>3.8900082790799023E-3</v>
      </c>
      <c r="CM151" s="4">
        <v>1318600</v>
      </c>
      <c r="CN151" s="4">
        <v>1511200</v>
      </c>
      <c r="CO151" s="19">
        <v>2799944</v>
      </c>
    </row>
    <row r="152" spans="1:93" x14ac:dyDescent="0.2">
      <c r="A152" s="33" t="s">
        <v>156</v>
      </c>
      <c r="B152" s="8">
        <v>0.25540000000000002</v>
      </c>
      <c r="C152" s="8">
        <v>0.18940000000000001</v>
      </c>
      <c r="D152" s="8">
        <v>0.47979999999999995</v>
      </c>
      <c r="E152" s="8">
        <v>9.6600000000000005E-2</v>
      </c>
      <c r="F152" s="8">
        <v>0.16942018851864574</v>
      </c>
      <c r="G152" s="4">
        <v>42452800</v>
      </c>
      <c r="H152" s="4">
        <v>49591600</v>
      </c>
      <c r="I152" s="19">
        <v>142695080</v>
      </c>
      <c r="J152" s="8">
        <v>0.17955934383979485</v>
      </c>
      <c r="K152" s="4">
        <v>51347600</v>
      </c>
      <c r="L152" s="4">
        <v>84009800</v>
      </c>
      <c r="M152" s="19">
        <v>151234839</v>
      </c>
      <c r="N152" s="8">
        <v>0.1141147024457367</v>
      </c>
      <c r="O152" s="4">
        <v>23962100</v>
      </c>
      <c r="P152" s="4">
        <v>42056100</v>
      </c>
      <c r="Q152" s="19">
        <v>96113732</v>
      </c>
      <c r="R152" s="8">
        <v>2.5882991389357169E-2</v>
      </c>
      <c r="S152" s="4">
        <v>5916800</v>
      </c>
      <c r="T152" s="4">
        <v>8767100</v>
      </c>
      <c r="U152" s="19">
        <v>21800091</v>
      </c>
      <c r="V152" s="8">
        <v>5.9834139372822857E-2</v>
      </c>
      <c r="W152" s="4">
        <v>11213900</v>
      </c>
      <c r="X152" s="4">
        <v>21223400</v>
      </c>
      <c r="Y152" s="19">
        <v>50395631</v>
      </c>
      <c r="Z152" s="8">
        <v>1.9376453628884547E-2</v>
      </c>
      <c r="AA152" s="4">
        <v>6332300</v>
      </c>
      <c r="AB152" s="4">
        <v>8521900</v>
      </c>
      <c r="AC152" s="19">
        <v>16319924</v>
      </c>
      <c r="AD152" s="38">
        <v>1.6547913959696507E-2</v>
      </c>
      <c r="AE152" s="4">
        <v>4426700</v>
      </c>
      <c r="AF152" s="4">
        <v>6569200</v>
      </c>
      <c r="AG152" s="19">
        <v>13937571</v>
      </c>
      <c r="AH152" s="38">
        <v>4.4343226566435572E-2</v>
      </c>
      <c r="AI152" s="4">
        <v>10997600</v>
      </c>
      <c r="AJ152" s="4">
        <v>14928500</v>
      </c>
      <c r="AK152" s="19">
        <v>37348325</v>
      </c>
      <c r="AL152" s="38">
        <v>1.2398598060984744E-2</v>
      </c>
      <c r="AM152" s="4">
        <v>4237300</v>
      </c>
      <c r="AN152" s="4">
        <v>4438000</v>
      </c>
      <c r="AO152" s="19">
        <v>10442787</v>
      </c>
      <c r="AP152" s="38">
        <v>3.6343628743700394E-3</v>
      </c>
      <c r="AQ152" s="4">
        <v>931600</v>
      </c>
      <c r="AR152" s="4">
        <v>1915000</v>
      </c>
      <c r="AS152" s="19">
        <v>3061062</v>
      </c>
      <c r="AT152" s="38">
        <v>4.4976116492218624E-3</v>
      </c>
      <c r="AU152" s="4">
        <v>1227400</v>
      </c>
      <c r="AV152" s="4">
        <v>1932800</v>
      </c>
      <c r="AW152" s="19">
        <v>3788138</v>
      </c>
      <c r="AX152" s="38">
        <v>9.5736629988535295E-3</v>
      </c>
      <c r="AY152" s="4">
        <v>6700</v>
      </c>
      <c r="AZ152" s="4">
        <v>12100</v>
      </c>
      <c r="BA152" s="19">
        <v>8063470</v>
      </c>
      <c r="BB152" s="38">
        <v>2.1152062168805132E-3</v>
      </c>
      <c r="BC152" s="4">
        <v>516000</v>
      </c>
      <c r="BD152" s="4">
        <v>997100</v>
      </c>
      <c r="BE152" s="19">
        <v>1781544</v>
      </c>
      <c r="BF152" s="38">
        <v>5.0388639388908828E-2</v>
      </c>
      <c r="BG152" s="4">
        <v>2119200</v>
      </c>
      <c r="BH152" s="4">
        <v>3270300</v>
      </c>
      <c r="BI152" s="19">
        <v>42440107</v>
      </c>
      <c r="BJ152" s="38">
        <v>1.3774152207432333E-2</v>
      </c>
      <c r="BK152" s="4">
        <v>5666400</v>
      </c>
      <c r="BL152" s="4">
        <v>5236900</v>
      </c>
      <c r="BM152" s="19">
        <v>11601355</v>
      </c>
      <c r="BN152" s="38">
        <v>4.1113445215547648E-2</v>
      </c>
      <c r="BO152" s="4">
        <v>6507300</v>
      </c>
      <c r="BP152" s="4">
        <v>6102300</v>
      </c>
      <c r="BQ152" s="19">
        <v>34628024</v>
      </c>
      <c r="BR152" s="4"/>
      <c r="BS152" s="4"/>
      <c r="BT152" s="4"/>
      <c r="BU152" s="19">
        <v>492440</v>
      </c>
      <c r="BV152" s="8"/>
      <c r="BW152" s="4"/>
      <c r="BX152" s="4"/>
      <c r="BY152" s="19">
        <v>1479900</v>
      </c>
      <c r="BZ152" s="8">
        <v>3.366068979164014E-3</v>
      </c>
      <c r="CA152" s="4">
        <v>139700</v>
      </c>
      <c r="CB152" s="4">
        <v>181300</v>
      </c>
      <c r="CC152" s="19">
        <v>2835090</v>
      </c>
      <c r="CD152" s="8">
        <v>6.5190387182135082E-3</v>
      </c>
      <c r="CE152" s="4">
        <v>604800</v>
      </c>
      <c r="CF152" s="4">
        <v>1069600</v>
      </c>
      <c r="CG152" s="19">
        <v>5490696</v>
      </c>
      <c r="CH152" s="8">
        <v>1.1739110504342977E-3</v>
      </c>
      <c r="CI152" s="4">
        <v>438900</v>
      </c>
      <c r="CJ152" s="4">
        <v>546500</v>
      </c>
      <c r="CK152" s="19">
        <v>988733</v>
      </c>
      <c r="CL152" s="8">
        <v>2.8631087532020733E-3</v>
      </c>
      <c r="CM152" s="4">
        <v>913500</v>
      </c>
      <c r="CN152" s="4">
        <v>1458300</v>
      </c>
      <c r="CO152" s="19">
        <v>2411469</v>
      </c>
    </row>
    <row r="153" spans="1:93" x14ac:dyDescent="0.2">
      <c r="F153" s="8"/>
      <c r="H153" s="4"/>
      <c r="I153" s="4"/>
    </row>
  </sheetData>
  <mergeCells count="27">
    <mergeCell ref="A1:A2"/>
    <mergeCell ref="B1:B2"/>
    <mergeCell ref="C1:C2"/>
    <mergeCell ref="D1:D2"/>
    <mergeCell ref="E1:E2"/>
    <mergeCell ref="CL1:CO1"/>
    <mergeCell ref="CH1:CK1"/>
    <mergeCell ref="CD1:CG1"/>
    <mergeCell ref="BZ1:CC1"/>
    <mergeCell ref="BV1:BY1"/>
    <mergeCell ref="BR1:BU1"/>
    <mergeCell ref="BN1:BQ1"/>
    <mergeCell ref="BF1:BI1"/>
    <mergeCell ref="BJ1:BM1"/>
    <mergeCell ref="BB1:BE1"/>
    <mergeCell ref="AX1:BA1"/>
    <mergeCell ref="AT1:AW1"/>
    <mergeCell ref="AP1:AS1"/>
    <mergeCell ref="AL1:AO1"/>
    <mergeCell ref="AH1:AK1"/>
    <mergeCell ref="J1:M1"/>
    <mergeCell ref="F1:I1"/>
    <mergeCell ref="AD1:AG1"/>
    <mergeCell ref="Z1:AC1"/>
    <mergeCell ref="R1:U1"/>
    <mergeCell ref="V1:Y1"/>
    <mergeCell ref="N1:Q1"/>
  </mergeCells>
  <conditionalFormatting sqref="Z140:Z141">
    <cfRule type="cellIs" dxfId="504" priority="925" operator="greaterThan">
      <formula>AVERAGE($Z140:Z152)+AVERAGE($Z140:Z152)*0.2</formula>
    </cfRule>
  </conditionalFormatting>
  <conditionalFormatting sqref="V140:V141">
    <cfRule type="cellIs" dxfId="503" priority="926" operator="greaterThan">
      <formula>AVERAGE($V140:V152)+AVERAGE($V140:V152)*0.2</formula>
    </cfRule>
  </conditionalFormatting>
  <conditionalFormatting sqref="R140:R141">
    <cfRule type="cellIs" dxfId="502" priority="927" operator="greaterThan">
      <formula>AVERAGE($R140:R152)+AVERAGE($R140:R152)*0.2</formula>
    </cfRule>
  </conditionalFormatting>
  <conditionalFormatting sqref="N140:N141">
    <cfRule type="cellIs" dxfId="501" priority="928" operator="greaterThan">
      <formula>AVERAGE($N140:N152)+AVERAGE($N140:N152)*0.2</formula>
    </cfRule>
  </conditionalFormatting>
  <conditionalFormatting sqref="F140:F141">
    <cfRule type="cellIs" dxfId="500" priority="930" operator="greaterThan">
      <formula>AVERAGE($F140:F152)+AVERAGE($F140:F152)*0.2</formula>
    </cfRule>
  </conditionalFormatting>
  <conditionalFormatting sqref="Z139">
    <cfRule type="cellIs" dxfId="499" priority="940" operator="greaterThan">
      <formula>AVERAGE($Z139:Z150)+AVERAGE($Z139:Z150)*0.2</formula>
    </cfRule>
  </conditionalFormatting>
  <conditionalFormatting sqref="V139">
    <cfRule type="cellIs" dxfId="498" priority="941" operator="greaterThan">
      <formula>AVERAGE($V139:V150)+AVERAGE($V139:V150)*0.2</formula>
    </cfRule>
  </conditionalFormatting>
  <conditionalFormatting sqref="R139">
    <cfRule type="cellIs" dxfId="497" priority="942" operator="greaterThan">
      <formula>AVERAGE($R139:R150)+AVERAGE($R139:R150)*0.2</formula>
    </cfRule>
  </conditionalFormatting>
  <conditionalFormatting sqref="N139">
    <cfRule type="cellIs" dxfId="496" priority="943" operator="greaterThan">
      <formula>AVERAGE($N139:N150)+AVERAGE($N139:N150)*0.2</formula>
    </cfRule>
  </conditionalFormatting>
  <conditionalFormatting sqref="F86:F102 F114:F115">
    <cfRule type="cellIs" dxfId="495" priority="961" operator="greaterThan">
      <formula>AVERAGE($F86:F102)+AVERAGE($F86:F102)*0.2</formula>
    </cfRule>
  </conditionalFormatting>
  <conditionalFormatting sqref="F92:F102 F120:F121">
    <cfRule type="cellIs" dxfId="494" priority="988" operator="greaterThan">
      <formula>AVERAGE($F92:F102)+AVERAGE($F92:F102)*0.2</formula>
    </cfRule>
  </conditionalFormatting>
  <conditionalFormatting sqref="R86:R102 R114:R115">
    <cfRule type="cellIs" dxfId="493" priority="996" operator="greaterThan">
      <formula>AVERAGE($R86:R102)+AVERAGE($R86:R102)*0.2</formula>
    </cfRule>
  </conditionalFormatting>
  <conditionalFormatting sqref="V86:V102 V114:V115">
    <cfRule type="cellIs" dxfId="492" priority="1000" operator="greaterThan">
      <formula>AVERAGE($V86:V102)+AVERAGE($V86:V102)*0.2</formula>
    </cfRule>
  </conditionalFormatting>
  <conditionalFormatting sqref="Z86:Z102 Z114:Z115">
    <cfRule type="cellIs" dxfId="491" priority="1004" operator="greaterThan">
      <formula>AVERAGE($Z86:Z102)+AVERAGE($Z86:Z102)*0.2</formula>
    </cfRule>
  </conditionalFormatting>
  <conditionalFormatting sqref="Z116:Z130">
    <cfRule type="cellIs" dxfId="490" priority="1027" operator="greaterThan">
      <formula>AVERAGE($Z116:Z131)+AVERAGE($Z116:Z131)*0.2</formula>
    </cfRule>
  </conditionalFormatting>
  <conditionalFormatting sqref="V116:V130">
    <cfRule type="cellIs" dxfId="489" priority="1030" operator="greaterThan">
      <formula>AVERAGE($V116:V131)+AVERAGE($V116:V131)*0.2</formula>
    </cfRule>
  </conditionalFormatting>
  <conditionalFormatting sqref="R116:R130">
    <cfRule type="cellIs" dxfId="488" priority="1033" operator="greaterThan">
      <formula>AVERAGE($R116:R131)+AVERAGE($R116:R131)*0.2</formula>
    </cfRule>
  </conditionalFormatting>
  <conditionalFormatting sqref="N116:N130">
    <cfRule type="cellIs" dxfId="487" priority="1036" operator="greaterThan">
      <formula>AVERAGE($N116:N131)+AVERAGE($N116:N131)*0.2</formula>
    </cfRule>
  </conditionalFormatting>
  <conditionalFormatting sqref="F116:F130">
    <cfRule type="cellIs" dxfId="486" priority="1044" operator="greaterThan">
      <formula>AVERAGE($F116:F131)+AVERAGE($F116:F131)*0.2</formula>
    </cfRule>
  </conditionalFormatting>
  <conditionalFormatting sqref="F122:F130">
    <cfRule type="cellIs" dxfId="485" priority="1082" operator="greaterThan">
      <formula>AVERAGE($F122:F131)+AVERAGE($F122:F131)*0.2</formula>
    </cfRule>
  </conditionalFormatting>
  <conditionalFormatting sqref="Z38:Z152">
    <cfRule type="cellIs" dxfId="484" priority="865" operator="greaterThan">
      <formula>AVERAGE($Z38:Z57)+AVERAGE($Z38:Z57)*0.2</formula>
    </cfRule>
    <cfRule type="cellIs" dxfId="483" priority="866" operator="lessThan">
      <formula>AVERAGE($Z38:Z57)-AVERAGE($Z38:Z57)*0.2</formula>
    </cfRule>
  </conditionalFormatting>
  <conditionalFormatting sqref="V38:V152">
    <cfRule type="cellIs" dxfId="482" priority="863" operator="lessThan">
      <formula>AVERAGE($V38:V57)-AVERAGE($V38:V57)*0.2</formula>
    </cfRule>
    <cfRule type="cellIs" dxfId="481" priority="864" operator="greaterThan">
      <formula>AVERAGE($V38:V57)+AVERAGE($V38:V57)*0.2</formula>
    </cfRule>
  </conditionalFormatting>
  <conditionalFormatting sqref="R38:R152">
    <cfRule type="cellIs" dxfId="480" priority="861" operator="greaterThan">
      <formula>AVERAGE($R38:R57)+AVERAGE($R38:R57)*0.2</formula>
    </cfRule>
    <cfRule type="cellIs" dxfId="479" priority="862" operator="lessThan">
      <formula>AVERAGE($R38:R57)-AVERAGE($R38:R57)*0.2</formula>
    </cfRule>
  </conditionalFormatting>
  <conditionalFormatting sqref="N17:N152">
    <cfRule type="cellIs" dxfId="478" priority="859" operator="lessThan">
      <formula>AVERAGE($N18:N28)-AVERAGE($N18:N28)*0.2</formula>
    </cfRule>
    <cfRule type="cellIs" dxfId="477" priority="860" operator="greaterThan">
      <formula>AVERAGE($N18:N28)+AVERAGE($N18:N28)*0.2</formula>
    </cfRule>
  </conditionalFormatting>
  <conditionalFormatting sqref="F38:F153">
    <cfRule type="cellIs" dxfId="476" priority="855" operator="lessThan">
      <formula>AVERAGE($F38:F57)-AVERAGE($F38:F57)*0.2</formula>
    </cfRule>
    <cfRule type="cellIs" dxfId="475" priority="856" operator="greaterThan">
      <formula>AVERAGE($F38:F57)+AVERAGE($F38:F57)*0.2</formula>
    </cfRule>
  </conditionalFormatting>
  <conditionalFormatting sqref="P94:P97 P37:P89 L37:L135">
    <cfRule type="cellIs" dxfId="474" priority="846" operator="greaterThan">
      <formula>K37+(K37*0.25)</formula>
    </cfRule>
  </conditionalFormatting>
  <conditionalFormatting sqref="O36:O88 O94:O96 K37:K133">
    <cfRule type="cellIs" dxfId="473" priority="845" operator="greaterThan">
      <formula>L36+(L36*0.25)</formula>
    </cfRule>
  </conditionalFormatting>
  <conditionalFormatting sqref="G37:G74">
    <cfRule type="cellIs" dxfId="472" priority="844" operator="greaterThan">
      <formula>H37+(H37*0.25)</formula>
    </cfRule>
  </conditionalFormatting>
  <conditionalFormatting sqref="T37:T134">
    <cfRule type="cellIs" dxfId="471" priority="839" operator="greaterThan">
      <formula>S37+(S37*0.25)</formula>
    </cfRule>
  </conditionalFormatting>
  <conditionalFormatting sqref="W36:W131">
    <cfRule type="cellIs" dxfId="470" priority="838" operator="greaterThan">
      <formula>X36+(X36*0.25)</formula>
    </cfRule>
  </conditionalFormatting>
  <conditionalFormatting sqref="X37:X131">
    <cfRule type="cellIs" dxfId="469" priority="837" operator="greaterThan">
      <formula>W37+(W37*0.25)</formula>
    </cfRule>
  </conditionalFormatting>
  <conditionalFormatting sqref="BR53:BR54">
    <cfRule type="cellIs" dxfId="468" priority="808" operator="greaterThan">
      <formula>AVERAGE($BR54:BR73)+AVERAGE($BR54:BR73)*0.2</formula>
    </cfRule>
  </conditionalFormatting>
  <conditionalFormatting sqref="R25:R36">
    <cfRule type="cellIs" dxfId="467" priority="803" operator="greaterThan">
      <formula>AVERAGE($R25:R44)+AVERAGE($R25:R44)*0.2</formula>
    </cfRule>
    <cfRule type="cellIs" dxfId="466" priority="804" operator="lessThan">
      <formula>AVERAGE($R25:R44)-AVERAGE($R25:R44)*0.2</formula>
    </cfRule>
  </conditionalFormatting>
  <conditionalFormatting sqref="V36">
    <cfRule type="cellIs" dxfId="465" priority="799" operator="lessThan">
      <formula>AVERAGE($V36:V55)-AVERAGE($V36:V55)*0.2</formula>
    </cfRule>
    <cfRule type="cellIs" dxfId="464" priority="800" operator="greaterThan">
      <formula>AVERAGE($V36:V55)+AVERAGE($V36:V55)*0.2</formula>
    </cfRule>
  </conditionalFormatting>
  <conditionalFormatting sqref="F14:F36">
    <cfRule type="cellIs" dxfId="463" priority="779" operator="lessThan">
      <formula>AVERAGE($F15:F25)-AVERAGE($F15:F25)*0.2</formula>
    </cfRule>
    <cfRule type="cellIs" dxfId="462" priority="780" operator="greaterThan">
      <formula>AVERAGE($F15:F25)+AVERAGE($F15:F25)*0.2</formula>
    </cfRule>
  </conditionalFormatting>
  <conditionalFormatting sqref="Z36">
    <cfRule type="cellIs" dxfId="461" priority="777" operator="greaterThan">
      <formula>AVERAGE($Z36:Z55)+AVERAGE($Z36:Z55)*0.2</formula>
    </cfRule>
    <cfRule type="cellIs" dxfId="460" priority="778" operator="lessThan">
      <formula>AVERAGE($Z36:Z55)-AVERAGE($Z36:Z55)*0.2</formula>
    </cfRule>
  </conditionalFormatting>
  <conditionalFormatting sqref="L33:L35">
    <cfRule type="cellIs" dxfId="459" priority="774" operator="greaterThan">
      <formula>K33+(K33*0.25)</formula>
    </cfRule>
  </conditionalFormatting>
  <conditionalFormatting sqref="P33:P35">
    <cfRule type="cellIs" dxfId="458" priority="773" operator="greaterThan">
      <formula>O33+(O33*0.25)</formula>
    </cfRule>
  </conditionalFormatting>
  <conditionalFormatting sqref="S35">
    <cfRule type="cellIs" dxfId="457" priority="772" operator="greaterThan">
      <formula>T35+(T35*0.25)</formula>
    </cfRule>
  </conditionalFormatting>
  <conditionalFormatting sqref="V35">
    <cfRule type="cellIs" dxfId="456" priority="770" operator="lessThan">
      <formula>AVERAGE($V35:V54)-AVERAGE($V35:V54)*0.2</formula>
    </cfRule>
    <cfRule type="cellIs" dxfId="455" priority="771" operator="greaterThan">
      <formula>AVERAGE($V35:V54)+AVERAGE($V35:V54)*0.2</formula>
    </cfRule>
  </conditionalFormatting>
  <conditionalFormatting sqref="Z35">
    <cfRule type="cellIs" dxfId="454" priority="768" operator="greaterThan">
      <formula>AVERAGE($Z35:Z54)+AVERAGE($Z35:Z54)*0.2</formula>
    </cfRule>
    <cfRule type="cellIs" dxfId="453" priority="769" operator="lessThan">
      <formula>AVERAGE($Z35:Z54)-AVERAGE($Z35:Z54)*0.2</formula>
    </cfRule>
  </conditionalFormatting>
  <conditionalFormatting sqref="O34">
    <cfRule type="cellIs" dxfId="452" priority="759" operator="greaterThan">
      <formula>P34+(P34*0.25)</formula>
    </cfRule>
  </conditionalFormatting>
  <conditionalFormatting sqref="R34">
    <cfRule type="cellIs" dxfId="451" priority="757" operator="greaterThan">
      <formula>AVERAGE($R34:R53)+AVERAGE($R34:R53)*0.2</formula>
    </cfRule>
    <cfRule type="cellIs" dxfId="450" priority="758" operator="lessThan">
      <formula>AVERAGE($R34:R53)-AVERAGE($R34:R53)*0.2</formula>
    </cfRule>
  </conditionalFormatting>
  <conditionalFormatting sqref="V33:V34">
    <cfRule type="cellIs" dxfId="449" priority="755" operator="lessThan">
      <formula>AVERAGE($V33:V52)-AVERAGE($V33:V52)*0.2</formula>
    </cfRule>
    <cfRule type="cellIs" dxfId="448" priority="756" operator="greaterThan">
      <formula>AVERAGE($V33:V52)+AVERAGE($V33:V52)*0.2</formula>
    </cfRule>
  </conditionalFormatting>
  <conditionalFormatting sqref="X33:X35">
    <cfRule type="cellIs" dxfId="447" priority="754" operator="greaterThan">
      <formula>W33+(W33*0.25)</formula>
    </cfRule>
  </conditionalFormatting>
  <conditionalFormatting sqref="Z34">
    <cfRule type="cellIs" dxfId="446" priority="742" operator="greaterThan">
      <formula>AVERAGE($Z34:Z53)+AVERAGE($Z34:Z53)*0.2</formula>
    </cfRule>
    <cfRule type="cellIs" dxfId="445" priority="743" operator="lessThan">
      <formula>AVERAGE($Z34:Z53)-AVERAGE($Z34:Z53)*0.2</formula>
    </cfRule>
  </conditionalFormatting>
  <conditionalFormatting sqref="Z30:Z33">
    <cfRule type="cellIs" dxfId="444" priority="738" operator="greaterThan">
      <formula>AVERAGE($Z30:Z49)+AVERAGE($Z30:Z49)*0.2</formula>
    </cfRule>
    <cfRule type="cellIs" dxfId="443" priority="739" operator="lessThan">
      <formula>AVERAGE($Z30:Z49)-AVERAGE($Z30:Z49)*0.2</formula>
    </cfRule>
  </conditionalFormatting>
  <conditionalFormatting sqref="P90:P93">
    <cfRule type="cellIs" dxfId="442" priority="1138" operator="greaterThan">
      <formula>O89+(O89*0.25)</formula>
    </cfRule>
  </conditionalFormatting>
  <conditionalFormatting sqref="O89:O92">
    <cfRule type="cellIs" dxfId="441" priority="1141" operator="greaterThan">
      <formula>P90+(P90*0.25)</formula>
    </cfRule>
  </conditionalFormatting>
  <conditionalFormatting sqref="O93">
    <cfRule type="cellIs" dxfId="440" priority="1142" operator="greaterThan">
      <formula>#REF!+(#REF!*0.25)</formula>
    </cfRule>
  </conditionalFormatting>
  <conditionalFormatting sqref="B32">
    <cfRule type="cellIs" dxfId="439" priority="719" operator="greaterThan">
      <formula>AVERAGE($B32:B51)+AVERAGE($B32:B51)*0.2</formula>
    </cfRule>
    <cfRule type="cellIs" dxfId="438" priority="720" operator="lessThan">
      <formula>AVERAGE($B32:B51)-AVERAGE($B32:B51)*0.2</formula>
    </cfRule>
  </conditionalFormatting>
  <conditionalFormatting sqref="G32">
    <cfRule type="cellIs" dxfId="437" priority="718" operator="greaterThan">
      <formula>H32+(H32*0.25)</formula>
    </cfRule>
  </conditionalFormatting>
  <conditionalFormatting sqref="T32">
    <cfRule type="cellIs" dxfId="436" priority="717" operator="greaterThan">
      <formula>S32+(S32*0.25)</formula>
    </cfRule>
  </conditionalFormatting>
  <conditionalFormatting sqref="B29:B31">
    <cfRule type="cellIs" dxfId="435" priority="712" operator="greaterThan">
      <formula>AVERAGE($B29:B48)+AVERAGE($B29:B48)*0.2</formula>
    </cfRule>
    <cfRule type="cellIs" dxfId="434" priority="713" operator="lessThan">
      <formula>AVERAGE($B29:B48)-AVERAGE($B29:B48)*0.2</formula>
    </cfRule>
  </conditionalFormatting>
  <conditionalFormatting sqref="G30:G31">
    <cfRule type="cellIs" dxfId="433" priority="711" operator="greaterThan">
      <formula>H30+(H30*0.25)</formula>
    </cfRule>
  </conditionalFormatting>
  <conditionalFormatting sqref="O31">
    <cfRule type="cellIs" dxfId="432" priority="710" operator="greaterThan">
      <formula>P31+(P31*0.25)</formula>
    </cfRule>
  </conditionalFormatting>
  <conditionalFormatting sqref="V17:V31">
    <cfRule type="cellIs" dxfId="431" priority="708" operator="lessThan">
      <formula>AVERAGE($V18:V28)-AVERAGE($V18:V28)*0.2</formula>
    </cfRule>
    <cfRule type="cellIs" dxfId="430" priority="709" operator="greaterThan">
      <formula>AVERAGE($V18:V28)+AVERAGE($V18:V28)*0.2</formula>
    </cfRule>
  </conditionalFormatting>
  <conditionalFormatting sqref="W31">
    <cfRule type="cellIs" dxfId="429" priority="707" operator="greaterThan">
      <formula>X31+(X31*0.25)</formula>
    </cfRule>
  </conditionalFormatting>
  <conditionalFormatting sqref="B30">
    <cfRule type="cellIs" dxfId="428" priority="697" operator="greaterThan">
      <formula>AVERAGE($B30:B49)+AVERAGE($B30:B49)*0.2</formula>
    </cfRule>
    <cfRule type="cellIs" dxfId="427" priority="698" operator="lessThan">
      <formula>AVERAGE($B30:B49)-AVERAGE($B30:B49)*0.2</formula>
    </cfRule>
  </conditionalFormatting>
  <conditionalFormatting sqref="L30">
    <cfRule type="cellIs" dxfId="426" priority="696" operator="greaterThan">
      <formula>K30+(K30*0.25)</formula>
    </cfRule>
  </conditionalFormatting>
  <conditionalFormatting sqref="P25:P30">
    <cfRule type="cellIs" dxfId="425" priority="695" operator="greaterThan">
      <formula>O25+(O25*0.25)</formula>
    </cfRule>
  </conditionalFormatting>
  <conditionalFormatting sqref="T29">
    <cfRule type="cellIs" dxfId="424" priority="684" operator="greaterThan">
      <formula>S29+(S29*0.25)</formula>
    </cfRule>
  </conditionalFormatting>
  <conditionalFormatting sqref="X27:X29">
    <cfRule type="cellIs" dxfId="423" priority="683" operator="greaterThan">
      <formula>W27+(W27*0.25)</formula>
    </cfRule>
  </conditionalFormatting>
  <conditionalFormatting sqref="L25:L28">
    <cfRule type="cellIs" dxfId="422" priority="664" operator="greaterThan">
      <formula>K25+(K25*0.25)</formula>
    </cfRule>
  </conditionalFormatting>
  <conditionalFormatting sqref="AA28">
    <cfRule type="cellIs" dxfId="421" priority="663" operator="greaterThan">
      <formula>AB28+(AB28*0.25)</formula>
    </cfRule>
  </conditionalFormatting>
  <conditionalFormatting sqref="Z28">
    <cfRule type="cellIs" dxfId="420" priority="661" operator="greaterThan">
      <formula>AVERAGE($Z28:Z47)+AVERAGE($Z28:Z47)*0.2</formula>
    </cfRule>
    <cfRule type="cellIs" dxfId="419" priority="662" operator="lessThan">
      <formula>AVERAGE($Z28:Z47)-AVERAGE($Z28:Z47)*0.2</formula>
    </cfRule>
  </conditionalFormatting>
  <conditionalFormatting sqref="T27">
    <cfRule type="cellIs" dxfId="418" priority="651" operator="greaterThan">
      <formula>S27+(S27*0.25)</formula>
    </cfRule>
  </conditionalFormatting>
  <conditionalFormatting sqref="Z17:Z27">
    <cfRule type="cellIs" dxfId="417" priority="649" operator="greaterThan">
      <formula>AVERAGE($Z17:Z36)+AVERAGE($Z17:Z36)*0.2</formula>
    </cfRule>
    <cfRule type="cellIs" dxfId="416" priority="650" operator="lessThan">
      <formula>AVERAGE($Z17:Z36)-AVERAGE($Z17:Z36)*0.2</formula>
    </cfRule>
  </conditionalFormatting>
  <conditionalFormatting sqref="G26">
    <cfRule type="cellIs" dxfId="415" priority="641" operator="greaterThan">
      <formula>H26+(H26*0.25)</formula>
    </cfRule>
  </conditionalFormatting>
  <conditionalFormatting sqref="K26">
    <cfRule type="cellIs" dxfId="414" priority="640" operator="greaterThan">
      <formula>L26+(L26*0.25)</formula>
    </cfRule>
  </conditionalFormatting>
  <conditionalFormatting sqref="S26">
    <cfRule type="cellIs" dxfId="413" priority="639" operator="greaterThan">
      <formula>T26+(T26*0.25)</formula>
    </cfRule>
  </conditionalFormatting>
  <conditionalFormatting sqref="H25">
    <cfRule type="cellIs" dxfId="412" priority="632" operator="greaterThan">
      <formula>G25+(G25*0.25)</formula>
    </cfRule>
  </conditionalFormatting>
  <conditionalFormatting sqref="T9:T25">
    <cfRule type="expression" dxfId="411" priority="631">
      <formula>AND(T9&gt;AVERAGE(T10:T20),T9&gt;S9+(S9*0.2))</formula>
    </cfRule>
  </conditionalFormatting>
  <conditionalFormatting sqref="H24">
    <cfRule type="cellIs" dxfId="410" priority="621" operator="greaterThan">
      <formula>G24+(G24*0.25)</formula>
    </cfRule>
  </conditionalFormatting>
  <conditionalFormatting sqref="K24">
    <cfRule type="cellIs" dxfId="409" priority="620" operator="greaterThan">
      <formula>L24+(L24*0.25)</formula>
    </cfRule>
  </conditionalFormatting>
  <conditionalFormatting sqref="X21:X24">
    <cfRule type="cellIs" dxfId="408" priority="618" operator="greaterThan">
      <formula>AND(X21&gt;AVERAGE(X22:X32),X21&gt;W21+(W21*0.2))</formula>
    </cfRule>
  </conditionalFormatting>
  <conditionalFormatting sqref="O24:O25">
    <cfRule type="cellIs" dxfId="407" priority="613" operator="greaterThan">
      <formula>P24+(P24*0.25)</formula>
    </cfRule>
  </conditionalFormatting>
  <conditionalFormatting sqref="H23">
    <cfRule type="cellIs" dxfId="406" priority="612" operator="greaterThan">
      <formula>G23+(G23*0.25)</formula>
    </cfRule>
  </conditionalFormatting>
  <conditionalFormatting sqref="L21:L23">
    <cfRule type="cellIs" dxfId="405" priority="611" operator="greaterThan">
      <formula>AND(L21&gt;AVERAGE(L22:L32),L21&gt;K21+(K21*0.2))</formula>
    </cfRule>
  </conditionalFormatting>
  <conditionalFormatting sqref="P9:P23">
    <cfRule type="expression" dxfId="404" priority="610">
      <formula>AND(P9&gt;AVERAGE(P10:P20),P9&gt;O9+(O9*0.2))</formula>
    </cfRule>
  </conditionalFormatting>
  <conditionalFormatting sqref="R23">
    <cfRule type="cellIs" dxfId="403" priority="602" operator="greaterThan">
      <formula>AVERAGE($R23:R42)+AVERAGE($R23:R42)*0.2</formula>
    </cfRule>
    <cfRule type="cellIs" dxfId="402" priority="603" operator="lessThan">
      <formula>AVERAGE($R23:R42)-AVERAGE($R23:R42)*0.2</formula>
    </cfRule>
  </conditionalFormatting>
  <conditionalFormatting sqref="B3:B152">
    <cfRule type="cellIs" dxfId="401" priority="600" operator="lessThan">
      <formula>0.32</formula>
    </cfRule>
    <cfRule type="cellIs" dxfId="400" priority="601" operator="greaterThan">
      <formula>0.35</formula>
    </cfRule>
  </conditionalFormatting>
  <conditionalFormatting sqref="R17:R22">
    <cfRule type="cellIs" dxfId="399" priority="598" operator="greaterThan">
      <formula>AVERAGE($R18:R28)+AVERAGE($R18:R28)*0.2</formula>
    </cfRule>
    <cfRule type="cellIs" dxfId="398" priority="599" operator="lessThan">
      <formula>AVERAGE($R18:R28)-AVERAGE($R18:R28)*0.2</formula>
    </cfRule>
  </conditionalFormatting>
  <conditionalFormatting sqref="G20:G21">
    <cfRule type="expression" dxfId="397" priority="592">
      <formula>AND(G20&gt;AVERAGE(G21:G31),G20&gt;H20+(H20*0.2))</formula>
    </cfRule>
  </conditionalFormatting>
  <conditionalFormatting sqref="H21:H139">
    <cfRule type="expression" dxfId="396" priority="591">
      <formula>AND(H21&gt;AVERAGE(H22:H32),H21&gt;G21+(G21*0.2))</formula>
    </cfRule>
  </conditionalFormatting>
  <conditionalFormatting sqref="J21">
    <cfRule type="cellIs" dxfId="395" priority="589" operator="lessThan">
      <formula>AVERAGE($J22:J32)-AVERAGE($J22:J32)*0.2</formula>
    </cfRule>
    <cfRule type="cellIs" dxfId="394" priority="590" operator="greaterThan">
      <formula>AVERAGE($J22:J32)+AVERAGE($J22:J32)*0.2</formula>
    </cfRule>
  </conditionalFormatting>
  <conditionalFormatting sqref="K21">
    <cfRule type="cellIs" dxfId="393" priority="588" operator="greaterThan">
      <formula>AND(K21&gt;AVERAJE(K22:K32),K21&gt;L21+(L21*0.2))</formula>
    </cfRule>
  </conditionalFormatting>
  <conditionalFormatting sqref="O21">
    <cfRule type="expression" dxfId="392" priority="586">
      <formula>AND(O21&gt;AVERAME(O22:O32),O21&gt;P21+(P21*0.2))</formula>
    </cfRule>
  </conditionalFormatting>
  <conditionalFormatting sqref="S21:S141">
    <cfRule type="expression" dxfId="391" priority="585">
      <formula>AND(S21&gt;AVERAPE(S22:S32),S21&gt;T21+(T21*0.2))</formula>
    </cfRule>
  </conditionalFormatting>
  <conditionalFormatting sqref="W21">
    <cfRule type="expression" dxfId="390" priority="584">
      <formula>AND(W21&gt;AVERASE(W22:W32),W21&gt;X21+(X21*0.2))</formula>
    </cfRule>
  </conditionalFormatting>
  <conditionalFormatting sqref="AD13:AD141">
    <cfRule type="cellIs" dxfId="389" priority="581" operator="greaterThan">
      <formula>AVERAGE($AD14:AD24)+AVERAGE($AD14:AD24)*0.2</formula>
    </cfRule>
    <cfRule type="cellIs" dxfId="388" priority="582" operator="lessThan">
      <formula>AVERAGE($AD14:AD24)-AVERAGE($AD14:AD24)*0.2</formula>
    </cfRule>
  </conditionalFormatting>
  <conditionalFormatting sqref="AH14:AH140">
    <cfRule type="cellIs" dxfId="387" priority="578" operator="lessThan">
      <formula>AVERAGE($AH15:AH25)-AVERAGE($AH15:AH25)*0.2</formula>
    </cfRule>
    <cfRule type="cellIs" dxfId="386" priority="579" operator="greaterThan">
      <formula>AVERAGE($AH15:AH25)+AVERAGE($AH15:AH25)*0.2</formula>
    </cfRule>
  </conditionalFormatting>
  <conditionalFormatting sqref="AL8:AL139">
    <cfRule type="cellIs" dxfId="385" priority="576" operator="lessThan">
      <formula>AVERAGE($AL9:AL19)-AVERAGE($AL9:AL19)*0.2</formula>
    </cfRule>
    <cfRule type="cellIs" dxfId="384" priority="577" operator="greaterThan">
      <formula>AVERAGE($AL9:AL19)+AVERAGE($AL9:AL19)*0.2</formula>
    </cfRule>
  </conditionalFormatting>
  <conditionalFormatting sqref="AP14:AP140">
    <cfRule type="cellIs" dxfId="383" priority="574" operator="lessThan">
      <formula>AVERAGE($AP15:AP25)-AVERAGE($AP15:AP25)*0.2</formula>
    </cfRule>
    <cfRule type="cellIs" dxfId="382" priority="575" operator="greaterThan">
      <formula>AVERAGE($AP15:AP25)+AVERAGE($AP15:AP25)*0.2</formula>
    </cfRule>
  </conditionalFormatting>
  <conditionalFormatting sqref="AT14:AT138">
    <cfRule type="cellIs" dxfId="381" priority="572" operator="lessThan">
      <formula>AVERAGE($AT15:AT25)-AVERAGE($AT15:AT25)*0.2</formula>
    </cfRule>
    <cfRule type="cellIs" dxfId="380" priority="573" operator="greaterThan">
      <formula>AVERAGE($AT15:AT25)+AVERAGE($AT15:AT25)*0.2</formula>
    </cfRule>
  </conditionalFormatting>
  <conditionalFormatting sqref="AX14:AX139">
    <cfRule type="cellIs" dxfId="379" priority="570" operator="lessThan">
      <formula>AVERAGE($AX15:AX25)-AVERAGE($AX15:AX25)*0.2</formula>
    </cfRule>
    <cfRule type="cellIs" dxfId="378" priority="571" operator="greaterThan">
      <formula>AVERAGE($AX15:AX25)+AVERAGE($AX15:AX25)*0.2</formula>
    </cfRule>
  </conditionalFormatting>
  <conditionalFormatting sqref="BB14:BB138">
    <cfRule type="cellIs" dxfId="377" priority="568" operator="lessThan">
      <formula>AVERAGE($BB15:BB25)-AVERAGE($BB15:BB25)*0.2</formula>
    </cfRule>
    <cfRule type="cellIs" dxfId="376" priority="569" operator="greaterThan">
      <formula>AVERAGE($BB15:BB25)+AVERAGE($BB15:BB25)*0.2</formula>
    </cfRule>
  </conditionalFormatting>
  <conditionalFormatting sqref="BF14:BF138">
    <cfRule type="cellIs" dxfId="375" priority="566" operator="lessThan">
      <formula>AVERAGE($BF15:BF25)-AVERAGE($BF15:BF25)*0.2</formula>
    </cfRule>
    <cfRule type="cellIs" dxfId="374" priority="567" operator="greaterThan">
      <formula>AVERAGE($BF15:BF25)+AVERAGE($BF15:BF25)*0.2</formula>
    </cfRule>
  </conditionalFormatting>
  <conditionalFormatting sqref="BJ14:BJ139">
    <cfRule type="cellIs" dxfId="373" priority="564" operator="lessThan">
      <formula>AVERAGE($BJ15:BJ25)-AVERAGE($BJ15:BJ25)*0.2</formula>
    </cfRule>
    <cfRule type="cellIs" dxfId="372" priority="565" operator="greaterThan">
      <formula>AVERAGE($BJ15:BJ25)+AVERAGE($BJ15:BJ25)*0.2</formula>
    </cfRule>
  </conditionalFormatting>
  <conditionalFormatting sqref="BN17:BN139">
    <cfRule type="cellIs" dxfId="371" priority="562" operator="lessThan">
      <formula>AVERAGE($BN18:BN28)-AVERAGE($BN18:BN28)*0.2</formula>
    </cfRule>
    <cfRule type="cellIs" dxfId="370" priority="563" operator="greaterThan">
      <formula>AVERAGE($BN18:BN28)+AVERAGE($BN18:BN28)*0.2</formula>
    </cfRule>
  </conditionalFormatting>
  <conditionalFormatting sqref="BR14:BR40">
    <cfRule type="cellIs" dxfId="369" priority="560" operator="lessThan">
      <formula>AVERAGE($BR15:BR25)-AVERAGE($BR15:BR25)*0.2</formula>
    </cfRule>
    <cfRule type="cellIs" dxfId="368" priority="561" operator="greaterThan">
      <formula>AVERAGE($BR15:BR25)+AVERAGE($BR15:BR25)*0.2</formula>
    </cfRule>
  </conditionalFormatting>
  <conditionalFormatting sqref="BV13:BV41">
    <cfRule type="cellIs" dxfId="367" priority="558" operator="lessThan">
      <formula>AVERAGE($BV14:BV24)-AVERAGE($BV14:BV24)*0.2</formula>
    </cfRule>
    <cfRule type="cellIs" dxfId="366" priority="559" operator="greaterThan">
      <formula>AVERAGE($BV14:BV24)+AVERAGE($BV14:BV24)*0.2</formula>
    </cfRule>
  </conditionalFormatting>
  <conditionalFormatting sqref="BZ13:BZ140">
    <cfRule type="cellIs" dxfId="365" priority="556" operator="lessThan">
      <formula>AVERAGE($BZ14:BZ24)-AVERAGE($BZ14:BZ24)*0.2</formula>
    </cfRule>
    <cfRule type="cellIs" dxfId="364" priority="557" operator="greaterThan">
      <formula>AVERAGE($BZ14:BZ24)+AVERAGE($BZ14:BZ24)*0.2</formula>
    </cfRule>
  </conditionalFormatting>
  <conditionalFormatting sqref="CD21:CD141">
    <cfRule type="cellIs" dxfId="363" priority="554" operator="lessThan">
      <formula>AVERAGE($CD22:CD32)-AVERAGE($CD22:CD32)*0.2</formula>
    </cfRule>
    <cfRule type="cellIs" dxfId="362" priority="555" operator="greaterThan">
      <formula>AVERAGE($CD22:CD32)+AVERAGE($CD22:CD32)*0.2</formula>
    </cfRule>
  </conditionalFormatting>
  <conditionalFormatting sqref="CH19:CH141">
    <cfRule type="cellIs" dxfId="361" priority="552" operator="lessThan">
      <formula>AVERAGE($CH20:CH30)-AVERAGE($CH20:CH30)*0.2</formula>
    </cfRule>
    <cfRule type="cellIs" dxfId="360" priority="553" operator="greaterThan">
      <formula>AVERAGE($CH20:CH30)+AVERAGE($CH20:CH30)*0.2</formula>
    </cfRule>
  </conditionalFormatting>
  <conditionalFormatting sqref="AA21:AA140">
    <cfRule type="expression" dxfId="359" priority="550">
      <formula>AND(AA21&gt;AVERAGE(AA22:AA32),AA21&gt;AB21+(AB21*0.2))</formula>
    </cfRule>
  </conditionalFormatting>
  <conditionalFormatting sqref="AB14:AB141">
    <cfRule type="expression" dxfId="358" priority="549">
      <formula>AND(AB14&gt;AVERAGE(AB15:AB25),AB14&gt;AA14+(AA14*0.2))</formula>
    </cfRule>
  </conditionalFormatting>
  <conditionalFormatting sqref="AE21:AE131">
    <cfRule type="expression" dxfId="357" priority="548">
      <formula>AND(AE21&gt;AVERAGE(AE22:AE32),AE21&gt;AF21+(AF21*0.2))</formula>
    </cfRule>
  </conditionalFormatting>
  <conditionalFormatting sqref="AF16:AF140">
    <cfRule type="expression" dxfId="356" priority="547">
      <formula>AND(AF16&gt;AVERAGE(AF17:AF27),AF16&gt;AE16+(AE16*0.2))</formula>
    </cfRule>
  </conditionalFormatting>
  <conditionalFormatting sqref="AI21:AI138">
    <cfRule type="expression" dxfId="355" priority="546">
      <formula>AND(AI21&gt;AVERAGE(AI22:AI32),AI21&gt;AJ21+(AJ21*0.2))</formula>
    </cfRule>
  </conditionalFormatting>
  <conditionalFormatting sqref="AJ14:AJ139">
    <cfRule type="expression" dxfId="354" priority="545">
      <formula>AND(AJ14&gt;AVERAGE(AJ15:AJ25),AJ14&gt;AI14+(AI14*0.2))</formula>
    </cfRule>
  </conditionalFormatting>
  <conditionalFormatting sqref="AM21:AM138">
    <cfRule type="expression" dxfId="353" priority="544">
      <formula>AND(AM21&gt;AVERAGE(AM22:AM32),AM21&gt;AN21+(AN21*0.2))</formula>
    </cfRule>
  </conditionalFormatting>
  <conditionalFormatting sqref="AN16:AN138">
    <cfRule type="expression" dxfId="352" priority="543">
      <formula>AND(AN16&gt;AVERAGE(AN17:AN27),AN16&gt;AM16+(AM16*0.2))</formula>
    </cfRule>
  </conditionalFormatting>
  <conditionalFormatting sqref="AQ21:AQ138">
    <cfRule type="expression" dxfId="351" priority="542">
      <formula>AND(AQ21&gt;AVERAGE(AQ22:AQ32),AQ21&gt;AR21+(AR21*0.2))</formula>
    </cfRule>
  </conditionalFormatting>
  <conditionalFormatting sqref="AR19:AR138">
    <cfRule type="expression" dxfId="350" priority="541">
      <formula>AND(AR19&gt;AVERAGE(AR20:AR30),AR19&gt;AQ19+(AQ19*0.2))</formula>
    </cfRule>
  </conditionalFormatting>
  <conditionalFormatting sqref="AU21:AU138">
    <cfRule type="expression" dxfId="349" priority="540">
      <formula>AND(AU21&gt;AVERAGE(AU22:AU32),AU21&gt;AV21+(AV21*0.2))</formula>
    </cfRule>
  </conditionalFormatting>
  <conditionalFormatting sqref="AV11:AV138">
    <cfRule type="expression" dxfId="348" priority="539">
      <formula>AND(AV11&gt;AVERAGE(AV12:AV22),AV11&gt;AU11+(AU11*0.2))</formula>
    </cfRule>
  </conditionalFormatting>
  <conditionalFormatting sqref="AY21:AY138">
    <cfRule type="expression" dxfId="347" priority="538">
      <formula>AND(AY21&gt;AVERAGE(AY22:AY32),AY21&gt;AZ21+(AZ21*0.2))</formula>
    </cfRule>
  </conditionalFormatting>
  <conditionalFormatting sqref="AZ20:AZ138">
    <cfRule type="expression" dxfId="346" priority="537">
      <formula>AND(AZ20&gt;AVERAGE(AZ21:AZ31),AZ20&gt;AY20+(AY20*0.2))</formula>
    </cfRule>
  </conditionalFormatting>
  <conditionalFormatting sqref="BC21:BC138">
    <cfRule type="expression" dxfId="345" priority="536">
      <formula>AND(BC21&gt;AVERAGE(BC22:BC32),BC21&gt;BD21+(BD21*0.2))</formula>
    </cfRule>
  </conditionalFormatting>
  <conditionalFormatting sqref="BD16:BD138">
    <cfRule type="expression" dxfId="344" priority="535">
      <formula>AND(BD16&gt;AVERAGE(BD17:BD27),BD16&gt;BC16+(BC16*0.2))</formula>
    </cfRule>
  </conditionalFormatting>
  <conditionalFormatting sqref="BG21:BG138">
    <cfRule type="expression" dxfId="343" priority="534">
      <formula>AND(BG21&gt;AVERAGE(BG22:BG32),BG21&gt;BH21+(BH21*0.2))</formula>
    </cfRule>
  </conditionalFormatting>
  <conditionalFormatting sqref="BH16:BH138">
    <cfRule type="expression" dxfId="342" priority="533">
      <formula>AND(BH16&gt;AVERAGE(BH17:BH27),BH16&gt;BG16+(BG16*0.2))</formula>
    </cfRule>
  </conditionalFormatting>
  <conditionalFormatting sqref="BK21:BK139">
    <cfRule type="expression" dxfId="341" priority="532">
      <formula>AND(BK21&gt;AVERAGE(BK22:BK32),BK21&gt;BL21+(BL21*0.2))</formula>
    </cfRule>
  </conditionalFormatting>
  <conditionalFormatting sqref="BL16:BL139">
    <cfRule type="expression" dxfId="340" priority="531">
      <formula>AND(BL16&gt;AVERAGE(BL17:BL27),BL16&gt;BK16+(BK16*0.2))</formula>
    </cfRule>
  </conditionalFormatting>
  <conditionalFormatting sqref="BO21:BO139">
    <cfRule type="expression" dxfId="339" priority="530">
      <formula>AND(BO21&gt;AVERAGE(BO22:BO32),BO21&gt;BP21+(BP21*0.2))</formula>
    </cfRule>
  </conditionalFormatting>
  <conditionalFormatting sqref="BP20:BP140">
    <cfRule type="expression" dxfId="338" priority="529">
      <formula>AND(BP20&gt;AVERAGE(BP21:BP31),BP20&gt;BO20+(BO20*0.2))</formula>
    </cfRule>
  </conditionalFormatting>
  <conditionalFormatting sqref="BS21:BS42">
    <cfRule type="expression" dxfId="337" priority="528">
      <formula>AND(BS21&gt;AVERAGE(BS22:BS32),BS21&gt;BT21+(BT21*0.2))</formula>
    </cfRule>
  </conditionalFormatting>
  <conditionalFormatting sqref="BT15:BT37">
    <cfRule type="expression" dxfId="336" priority="527">
      <formula>AND(BT15&gt;AVERAGE(BT16:BT26),BT15&gt;BS15+(BS15*0.2))</formula>
    </cfRule>
  </conditionalFormatting>
  <conditionalFormatting sqref="BW21:BW40">
    <cfRule type="expression" dxfId="335" priority="526">
      <formula>AND(BW21&gt;AVERAGE(BW22:BW32),BW21&gt;BX21+(BX21*0.2))</formula>
    </cfRule>
  </conditionalFormatting>
  <conditionalFormatting sqref="BX20:BX40">
    <cfRule type="expression" dxfId="334" priority="525">
      <formula>AND(BX20&gt;AVERAGE(BX21:BX31),BX20&gt;BW20+(BW20*0.2))</formula>
    </cfRule>
  </conditionalFormatting>
  <conditionalFormatting sqref="CA21:CA141">
    <cfRule type="expression" dxfId="333" priority="524">
      <formula>AND(CA21&gt;AVERAGE(CA22:CA32),CA21&gt;CB21+(CB21*0.2))</formula>
    </cfRule>
  </conditionalFormatting>
  <conditionalFormatting sqref="CB20:CB141">
    <cfRule type="expression" dxfId="332" priority="523">
      <formula>AND(CB20&gt;AVERAGE(CB21:CB31),CB20&gt;CA20+(CA20*0.2))</formula>
    </cfRule>
  </conditionalFormatting>
  <conditionalFormatting sqref="L14:L20">
    <cfRule type="cellIs" dxfId="331" priority="522" operator="greaterThan">
      <formula>K14+(K14*0.25)</formula>
    </cfRule>
  </conditionalFormatting>
  <conditionalFormatting sqref="O20">
    <cfRule type="cellIs" dxfId="330" priority="521" operator="greaterThan">
      <formula>P20+(P20*0.25)</formula>
    </cfRule>
  </conditionalFormatting>
  <conditionalFormatting sqref="J17:J133">
    <cfRule type="cellIs" dxfId="329" priority="519" operator="lessThan">
      <formula>AVERAGE($J18:J28)-AVERAGE($J18:J28)*0.2</formula>
    </cfRule>
    <cfRule type="cellIs" dxfId="328" priority="520" operator="greaterThan">
      <formula>AVERAGE($J18:J28)+AVERAGE($J18:J28)*0.2</formula>
    </cfRule>
  </conditionalFormatting>
  <conditionalFormatting sqref="X14:X20">
    <cfRule type="cellIs" dxfId="327" priority="518" operator="greaterThan">
      <formula>W14+(W14*0.25)</formula>
    </cfRule>
  </conditionalFormatting>
  <conditionalFormatting sqref="H19">
    <cfRule type="expression" dxfId="326" priority="517">
      <formula>AND(H19&gt;AVERAGE(H20:H30),H19&gt;G19+(G19*0.2))</formula>
    </cfRule>
  </conditionalFormatting>
  <conditionalFormatting sqref="AY19">
    <cfRule type="expression" dxfId="325" priority="516">
      <formula>AND(AY19&gt;AVERAGE(AY20:AY30),AY19&gt;AZ19+(AZ19*0.2))</formula>
    </cfRule>
  </conditionalFormatting>
  <conditionalFormatting sqref="CA19">
    <cfRule type="expression" dxfId="324" priority="515">
      <formula>AND(CA19&gt;AVERAGE(CA20:CA30),CA19&gt;CB19+(CB19*0.2))</formula>
    </cfRule>
  </conditionalFormatting>
  <conditionalFormatting sqref="CD3:CD19">
    <cfRule type="cellIs" dxfId="323" priority="513" operator="lessThan">
      <formula>AVERAGE($CD4:CD14)-AVERAGE($CD4:CD14)*0.2</formula>
    </cfRule>
    <cfRule type="cellIs" dxfId="322" priority="514" operator="greaterThan">
      <formula>AVERAGE($CD4:CD14)+AVERAGE($CD4:CD14)*0.2</formula>
    </cfRule>
  </conditionalFormatting>
  <conditionalFormatting sqref="G18">
    <cfRule type="expression" dxfId="321" priority="512">
      <formula>AND(G18&gt;AVERAGE(G19:G29),G18&gt;H18+(H18*0.2))</formula>
    </cfRule>
  </conditionalFormatting>
  <conditionalFormatting sqref="AQ18">
    <cfRule type="expression" dxfId="320" priority="511">
      <formula>AND(AQ18&gt;AVERAGE(AQ19:AQ29),AQ18&gt;AR18+(AR18*0.2))</formula>
    </cfRule>
  </conditionalFormatting>
  <conditionalFormatting sqref="BP18">
    <cfRule type="expression" dxfId="319" priority="510">
      <formula>AND(BP18&gt;AVERAGE(BP19:BP29),BP18&gt;BO18+(BO18*0.2))</formula>
    </cfRule>
  </conditionalFormatting>
  <conditionalFormatting sqref="CB18">
    <cfRule type="expression" dxfId="318" priority="508">
      <formula>AND(CB18&gt;AVERAGE(CB19:CB29),CB18&gt;CA18+(CA18*0.2))</formula>
    </cfRule>
  </conditionalFormatting>
  <conditionalFormatting sqref="AR17">
    <cfRule type="expression" dxfId="317" priority="506">
      <formula>AND(AR17&gt;AVERAGE(AR18:AR28),AR17&gt;AQ17+(AQ17*0.2))</formula>
    </cfRule>
  </conditionalFormatting>
  <conditionalFormatting sqref="AZ16:AZ17">
    <cfRule type="expression" dxfId="316" priority="505">
      <formula>AND(AZ16&gt;AVERAGE(AZ17:AZ27),AZ16&gt;AY16+(AY16*0.2))</formula>
    </cfRule>
  </conditionalFormatting>
  <conditionalFormatting sqref="BP16:BP17">
    <cfRule type="expression" dxfId="315" priority="504">
      <formula>AND(BP16&gt;AVERAGE(BP17:BP27),BP16&gt;BO16+(BO16*0.2))</formula>
    </cfRule>
  </conditionalFormatting>
  <conditionalFormatting sqref="BW16:BW17">
    <cfRule type="expression" dxfId="314" priority="503">
      <formula>AND(BW16&gt;AVERAGE(BW17:BW27),BW16&gt;BX16+(BX16*0.2))</formula>
    </cfRule>
  </conditionalFormatting>
  <conditionalFormatting sqref="BX18">
    <cfRule type="expression" dxfId="313" priority="502">
      <formula>AND(BX18&gt;AVERAGE(BX19:BX29),BX18&gt;BW18+(BW18*0.2))</formula>
    </cfRule>
  </conditionalFormatting>
  <conditionalFormatting sqref="CB16:CB17">
    <cfRule type="expression" dxfId="312" priority="501">
      <formula>AND(CB16&gt;AVERAGE(CB17:CB27),CB16&gt;CA16+(CA16*0.2))</formula>
    </cfRule>
  </conditionalFormatting>
  <conditionalFormatting sqref="CH3:CH17">
    <cfRule type="cellIs" dxfId="311" priority="499" operator="lessThan">
      <formula>AVERAGE($CH4:CH14)-AVERAGE($CH4:CH14)*0.2</formula>
    </cfRule>
    <cfRule type="cellIs" dxfId="310" priority="500" operator="greaterThan">
      <formula>AVERAGE($CH4:CH14)+AVERAGE($CH4:CH14)*0.2</formula>
    </cfRule>
  </conditionalFormatting>
  <conditionalFormatting sqref="CA17">
    <cfRule type="expression" dxfId="309" priority="498">
      <formula>AND(CA17&gt;AVERAGE(CA18:CA28),CA17&gt;CB17+(CB17*0.2))</formula>
    </cfRule>
  </conditionalFormatting>
  <conditionalFormatting sqref="CE17:CE137">
    <cfRule type="expression" dxfId="308" priority="497">
      <formula>AND(CE17&gt;AVERAGE(CE18:CE28),CE17&gt;CF17+(CF17*0.2))</formula>
    </cfRule>
  </conditionalFormatting>
  <conditionalFormatting sqref="CF16:CF131">
    <cfRule type="expression" dxfId="307" priority="496">
      <formula>AND(CF16&gt;AVERAGE(CF17:CF27),CF16&gt;CE16+(CE16*0.2))</formula>
    </cfRule>
  </conditionalFormatting>
  <conditionalFormatting sqref="CI17:CI140">
    <cfRule type="expression" dxfId="306" priority="495">
      <formula>AND(CI17&gt;AVERAGE(CI18:CI28),CI17&gt;CJ17+(CJ17*0.2))</formula>
    </cfRule>
  </conditionalFormatting>
  <conditionalFormatting sqref="CJ16:CJ136">
    <cfRule type="expression" dxfId="305" priority="494">
      <formula>AND(CJ16&gt;AVERAGE(CJ17:CJ27),CJ16&gt;CI16+(CI16*0.2))</formula>
    </cfRule>
  </conditionalFormatting>
  <conditionalFormatting sqref="G17">
    <cfRule type="expression" dxfId="304" priority="493">
      <formula>AND(G17&gt;AVERAGE(G18:G28),G17&gt;H17+(H17*0.2))</formula>
    </cfRule>
  </conditionalFormatting>
  <conditionalFormatting sqref="H16">
    <cfRule type="expression" dxfId="303" priority="492">
      <formula>AND(H16&gt;AVERAGE(H17:H27),H16&gt;G16+(G16*0.2))</formula>
    </cfRule>
  </conditionalFormatting>
  <conditionalFormatting sqref="P16">
    <cfRule type="expression" dxfId="302" priority="491">
      <formula>AND(P16&gt;AVERAGE(P17:P27),P16&gt;O16+(O16*0.2))</formula>
    </cfRule>
  </conditionalFormatting>
  <conditionalFormatting sqref="AR16">
    <cfRule type="expression" dxfId="301" priority="490">
      <formula>AND(AR16&gt;AVERAGE(AR17:AR27),AR16&gt;AQ16+(AQ16*0.2))</formula>
    </cfRule>
  </conditionalFormatting>
  <conditionalFormatting sqref="J14:J15">
    <cfRule type="cellIs" dxfId="300" priority="488" operator="lessThan">
      <formula>AVERAGE($J15:J25)-AVERAGE($J15:J25)*0.2</formula>
    </cfRule>
    <cfRule type="cellIs" dxfId="299" priority="489" operator="greaterThan">
      <formula>AVERAGE($J15:J25)+AVERAGE($J15:J25)*0.2</formula>
    </cfRule>
  </conditionalFormatting>
  <conditionalFormatting sqref="AQ14:AQ15">
    <cfRule type="expression" dxfId="298" priority="478">
      <formula>AND(AQ14&gt;AVERAGE(AQ15:AQ25),AQ14&gt;AR14+(AR14*0.2))</formula>
    </cfRule>
  </conditionalFormatting>
  <conditionalFormatting sqref="BN15">
    <cfRule type="cellIs" dxfId="297" priority="476" operator="lessThan">
      <formula>AVERAGE($BN16:BN26)-AVERAGE($BN16:BN26)*0.2</formula>
    </cfRule>
    <cfRule type="cellIs" dxfId="296" priority="477" operator="greaterThan">
      <formula>AVERAGE($BN16:BN26)+AVERAGE($BN16:BN26)*0.2</formula>
    </cfRule>
  </conditionalFormatting>
  <conditionalFormatting sqref="BO14:BO15">
    <cfRule type="expression" dxfId="295" priority="475">
      <formula>AND(BO14&gt;AVERAGE(BO15:BO25),BO14&gt;BP14+(BP14*0.2))</formula>
    </cfRule>
  </conditionalFormatting>
  <conditionalFormatting sqref="BW15">
    <cfRule type="expression" dxfId="294" priority="474">
      <formula>AND(BW15&gt;AVERAGE(BW16:BW26),BW15&gt;BX15+(BX15*0.2))</formula>
    </cfRule>
  </conditionalFormatting>
  <conditionalFormatting sqref="O15:O16">
    <cfRule type="cellIs" dxfId="293" priority="473" operator="greaterThan">
      <formula>P15+(P15*0.25)</formula>
    </cfRule>
  </conditionalFormatting>
  <conditionalFormatting sqref="N15">
    <cfRule type="cellIs" dxfId="292" priority="471" operator="lessThan">
      <formula>AVERAGE($N16:N26)-AVERAGE($N16:N26)*0.2</formula>
    </cfRule>
    <cfRule type="cellIs" dxfId="291" priority="472" operator="greaterThan">
      <formula>AVERAGE($N16:N26)+AVERAGE($N16:N26)*0.2</formula>
    </cfRule>
  </conditionalFormatting>
  <conditionalFormatting sqref="R15">
    <cfRule type="cellIs" dxfId="290" priority="469" operator="greaterThan">
      <formula>AVERAGE($R16:R26)+AVERAGE($R16:R26)*0.2</formula>
    </cfRule>
    <cfRule type="cellIs" dxfId="289" priority="470" operator="lessThan">
      <formula>AVERAGE($R16:R26)-AVERAGE($R16:R26)*0.2</formula>
    </cfRule>
  </conditionalFormatting>
  <conditionalFormatting sqref="V15">
    <cfRule type="cellIs" dxfId="288" priority="467" operator="lessThan">
      <formula>AVERAGE($V16:V26)-AVERAGE($V16:V26)*0.2</formula>
    </cfRule>
    <cfRule type="cellIs" dxfId="287" priority="468" operator="greaterThan">
      <formula>AVERAGE($V16:V26)+AVERAGE($V16:V26)*0.2</formula>
    </cfRule>
  </conditionalFormatting>
  <conditionalFormatting sqref="H14">
    <cfRule type="expression" dxfId="286" priority="464">
      <formula>AND(H14&gt;AVERAGE(H15:H25),H14&gt;G14+(G14*0.2))</formula>
    </cfRule>
  </conditionalFormatting>
  <conditionalFormatting sqref="N14">
    <cfRule type="cellIs" dxfId="285" priority="462" operator="lessThan">
      <formula>AVERAGE($N15:N25)-AVERAGE($N15:N25)*0.2</formula>
    </cfRule>
    <cfRule type="cellIs" dxfId="284" priority="463" operator="greaterThan">
      <formula>AVERAGE($N15:N25)+AVERAGE($N15:N25)*0.2</formula>
    </cfRule>
  </conditionalFormatting>
  <conditionalFormatting sqref="V14">
    <cfRule type="cellIs" dxfId="283" priority="458" operator="lessThan">
      <formula>AVERAGE($V15:V25)-AVERAGE($V15:V25)*0.2</formula>
    </cfRule>
    <cfRule type="cellIs" dxfId="282" priority="459" operator="greaterThan">
      <formula>AVERAGE($V15:V25)+AVERAGE($V15:V25)*0.2</formula>
    </cfRule>
  </conditionalFormatting>
  <conditionalFormatting sqref="Z14">
    <cfRule type="cellIs" dxfId="281" priority="456" operator="greaterThan">
      <formula>AVERAGE($Z14:Z33)+AVERAGE($Z14:Z33)*0.2</formula>
    </cfRule>
    <cfRule type="cellIs" dxfId="280" priority="457" operator="lessThan">
      <formula>AVERAGE($Z14:Z33)-AVERAGE($Z14:Z33)*0.2</formula>
    </cfRule>
  </conditionalFormatting>
  <conditionalFormatting sqref="AF14">
    <cfRule type="expression" dxfId="279" priority="455">
      <formula>AND(AF14&gt;AVERAGE(AF15:AF25),AF14&gt;AE14+(AE14*0.2))</formula>
    </cfRule>
  </conditionalFormatting>
  <conditionalFormatting sqref="AZ14">
    <cfRule type="expression" dxfId="278" priority="454">
      <formula>AND(AZ14&gt;AVERAGE(AZ15:AZ25),AZ14&gt;AY14+(AY14*0.2))</formula>
    </cfRule>
  </conditionalFormatting>
  <conditionalFormatting sqref="BH14">
    <cfRule type="expression" dxfId="277" priority="453">
      <formula>AND(BH14&gt;AVERAGE(BH15:BH25),BH14&gt;BG14+(BG14*0.2))</formula>
    </cfRule>
  </conditionalFormatting>
  <conditionalFormatting sqref="BL14">
    <cfRule type="expression" dxfId="276" priority="452">
      <formula>AND(BL14&gt;AVERAGE(BL15:BL25),BL14&gt;BK14+(BK14*0.2))</formula>
    </cfRule>
  </conditionalFormatting>
  <conditionalFormatting sqref="BN14">
    <cfRule type="cellIs" dxfId="275" priority="450" operator="lessThan">
      <formula>AVERAGE($BN15:BN25)-AVERAGE($BN15:BN25)*0.2</formula>
    </cfRule>
    <cfRule type="cellIs" dxfId="274" priority="451" operator="greaterThan">
      <formula>AVERAGE($BN15:BN25)+AVERAGE($BN15:BN25)*0.2</formula>
    </cfRule>
  </conditionalFormatting>
  <conditionalFormatting sqref="BX14">
    <cfRule type="expression" dxfId="273" priority="449">
      <formula>AND(BX14&gt;AVERAGE(BX15:BX25),BX14&gt;BW14+(BW14*0.2))</formula>
    </cfRule>
  </conditionalFormatting>
  <conditionalFormatting sqref="CB14">
    <cfRule type="expression" dxfId="272" priority="448">
      <formula>AND(CB14&gt;AVERAGE(CB15:CB25),CB14&gt;CA14+(CA14*0.2))</formula>
    </cfRule>
  </conditionalFormatting>
  <conditionalFormatting sqref="P14">
    <cfRule type="expression" dxfId="271" priority="447">
      <formula>AND(P14&gt;AVERAGE(P15:P25),P14&gt;O14+(O14*0.2))</formula>
    </cfRule>
  </conditionalFormatting>
  <conditionalFormatting sqref="T14">
    <cfRule type="expression" dxfId="270" priority="446">
      <formula>AND(T14&gt;AVERAGE(T15:T25),T14&gt;S14+(S14*0.2))</formula>
    </cfRule>
  </conditionalFormatting>
  <conditionalFormatting sqref="R14">
    <cfRule type="cellIs" dxfId="269" priority="444" operator="greaterThan">
      <formula>AVERAGE($R15:R25)+AVERAGE($R15:R25)*0.2</formula>
    </cfRule>
    <cfRule type="cellIs" dxfId="268" priority="445" operator="lessThan">
      <formula>AVERAGE($R15:R25)-AVERAGE($R15:R25)*0.2</formula>
    </cfRule>
  </conditionalFormatting>
  <conditionalFormatting sqref="G14">
    <cfRule type="expression" dxfId="267" priority="443">
      <formula>AND(G14&gt;AVERAGE(G15:G25),G14&gt;H14+(H14*0.2))</formula>
    </cfRule>
  </conditionalFormatting>
  <conditionalFormatting sqref="H13">
    <cfRule type="expression" dxfId="266" priority="302">
      <formula>AND(H13&gt;AVERAGE(H14:H24),H13&gt;G13+(G13*0.2))</formula>
    </cfRule>
  </conditionalFormatting>
  <conditionalFormatting sqref="I3:I131">
    <cfRule type="cellIs" dxfId="265" priority="301" operator="greaterThan">
      <formula>AVERAGE(I4:I14)</formula>
    </cfRule>
  </conditionalFormatting>
  <conditionalFormatting sqref="M3:M131">
    <cfRule type="cellIs" dxfId="264" priority="279" operator="greaterThan">
      <formula>AVERAGE(M4:M14)</formula>
    </cfRule>
  </conditionalFormatting>
  <conditionalFormatting sqref="Q3:Q131">
    <cfRule type="cellIs" dxfId="263" priority="278" operator="greaterThan">
      <formula>AVERAGE(Q4:Q14)</formula>
    </cfRule>
  </conditionalFormatting>
  <conditionalFormatting sqref="U3:U131">
    <cfRule type="cellIs" dxfId="262" priority="277" operator="greaterThan">
      <formula>AVERAGE(U4:U14)</formula>
    </cfRule>
  </conditionalFormatting>
  <conditionalFormatting sqref="Y3:Y131">
    <cfRule type="cellIs" dxfId="261" priority="276" operator="greaterThan">
      <formula>AVERAGE(Y4:Y14)</formula>
    </cfRule>
  </conditionalFormatting>
  <conditionalFormatting sqref="AC13:AC131">
    <cfRule type="cellIs" dxfId="260" priority="275" operator="greaterThan">
      <formula>AVERAGE(AC14:AC24)</formula>
    </cfRule>
  </conditionalFormatting>
  <conditionalFormatting sqref="AG12:AG131">
    <cfRule type="cellIs" dxfId="259" priority="274" operator="greaterThan">
      <formula>AVERAGE(AG13:AG23)</formula>
    </cfRule>
  </conditionalFormatting>
  <conditionalFormatting sqref="AK3:AK131">
    <cfRule type="cellIs" dxfId="258" priority="273" operator="greaterThan">
      <formula>AVERAGE(AK4:AK14)</formula>
    </cfRule>
  </conditionalFormatting>
  <conditionalFormatting sqref="AO12:AO131">
    <cfRule type="cellIs" dxfId="257" priority="272" operator="greaterThan">
      <formula>AVERAGE(AO13:AO23)</formula>
    </cfRule>
  </conditionalFormatting>
  <conditionalFormatting sqref="AS12:AS131">
    <cfRule type="cellIs" dxfId="256" priority="271" operator="greaterThan">
      <formula>AVERAGE(AS13:AS23)</formula>
    </cfRule>
  </conditionalFormatting>
  <conditionalFormatting sqref="AW11:AW131">
    <cfRule type="cellIs" dxfId="255" priority="270" operator="greaterThan">
      <formula>AVERAGE(AW12:AW22)</formula>
    </cfRule>
  </conditionalFormatting>
  <conditionalFormatting sqref="BA12:BA131">
    <cfRule type="cellIs" dxfId="254" priority="269" operator="greaterThan">
      <formula>AVERAGE(BA13:BA23)</formula>
    </cfRule>
  </conditionalFormatting>
  <conditionalFormatting sqref="BE12:BE131">
    <cfRule type="cellIs" dxfId="253" priority="268" operator="greaterThan">
      <formula>AVERAGE(BE13:BE23)</formula>
    </cfRule>
  </conditionalFormatting>
  <conditionalFormatting sqref="BI3:BI131">
    <cfRule type="cellIs" dxfId="252" priority="267" operator="greaterThan">
      <formula>AVERAGE(BI4:BI14)</formula>
    </cfRule>
  </conditionalFormatting>
  <conditionalFormatting sqref="BM6:BM131">
    <cfRule type="cellIs" dxfId="251" priority="266" operator="greaterThan">
      <formula>AVERAGE(BM7:BM17)</formula>
    </cfRule>
  </conditionalFormatting>
  <conditionalFormatting sqref="BQ3:BQ131">
    <cfRule type="cellIs" dxfId="250" priority="265" operator="greaterThan">
      <formula>AVERAGE(BQ4:BQ14)</formula>
    </cfRule>
  </conditionalFormatting>
  <conditionalFormatting sqref="BU3:BU131">
    <cfRule type="cellIs" dxfId="249" priority="264" operator="greaterThan">
      <formula>AVERAGE(BU4:BU14)</formula>
    </cfRule>
  </conditionalFormatting>
  <conditionalFormatting sqref="BY10:BY131">
    <cfRule type="cellIs" dxfId="248" priority="263" operator="greaterThan">
      <formula>AVERAGE(BY11:BY21)</formula>
    </cfRule>
  </conditionalFormatting>
  <conditionalFormatting sqref="CC13:CC131">
    <cfRule type="cellIs" dxfId="247" priority="262" operator="greaterThan">
      <formula>AVERAGE(CC14:CC24)</formula>
    </cfRule>
  </conditionalFormatting>
  <conditionalFormatting sqref="CG13:CG131">
    <cfRule type="cellIs" dxfId="246" priority="261" operator="greaterThan">
      <formula>AVERAGE(CG14:CG24)</formula>
    </cfRule>
  </conditionalFormatting>
  <conditionalFormatting sqref="CK12:CK131">
    <cfRule type="cellIs" dxfId="245" priority="260" operator="greaterThan">
      <formula>AVERAGE(CK13:CK23)</formula>
    </cfRule>
  </conditionalFormatting>
  <conditionalFormatting sqref="CO12:CO131">
    <cfRule type="cellIs" dxfId="244" priority="259" operator="greaterThan">
      <formula>AVERAGE(CO13:CO23)</formula>
    </cfRule>
  </conditionalFormatting>
  <conditionalFormatting sqref="F8:F12">
    <cfRule type="cellIs" dxfId="243" priority="257" operator="lessThan">
      <formula>AVERAGE($F9:F19)-AVERAGE($F9:F19)*0.2</formula>
    </cfRule>
    <cfRule type="cellIs" dxfId="242" priority="258" operator="greaterThan">
      <formula>AVERAGE($F9:F19)+AVERAGE($F9:F19)*0.2</formula>
    </cfRule>
  </conditionalFormatting>
  <conditionalFormatting sqref="H12">
    <cfRule type="expression" dxfId="241" priority="256">
      <formula>AND(H12&gt;AVERAGE(H13:H23),H12&gt;G12+(G12*0.2))</formula>
    </cfRule>
  </conditionalFormatting>
  <conditionalFormatting sqref="J12">
    <cfRule type="cellIs" dxfId="240" priority="254" operator="lessThan">
      <formula>AVERAGE($J13:J23)-AVERAGE($J13:J23)*0.2</formula>
    </cfRule>
    <cfRule type="cellIs" dxfId="239" priority="255" operator="greaterThan">
      <formula>AVERAGE($J13:J23)+AVERAGE($J13:J23)*0.2</formula>
    </cfRule>
  </conditionalFormatting>
  <conditionalFormatting sqref="L9:L12">
    <cfRule type="cellIs" dxfId="238" priority="253" operator="greaterThan">
      <formula>K9+(K9*0.25)</formula>
    </cfRule>
  </conditionalFormatting>
  <conditionalFormatting sqref="N12">
    <cfRule type="cellIs" dxfId="237" priority="251" operator="lessThan">
      <formula>AVERAGE($N13:N23)-AVERAGE($N13:N23)*0.2</formula>
    </cfRule>
    <cfRule type="cellIs" dxfId="236" priority="252" operator="greaterThan">
      <formula>AVERAGE($N13:N23)+AVERAGE($N13:N23)*0.2</formula>
    </cfRule>
  </conditionalFormatting>
  <conditionalFormatting sqref="P12">
    <cfRule type="expression" dxfId="235" priority="250">
      <formula>AND(P12&gt;AVERAGE(P13:P23),P12&gt;O12+(O12*0.2))</formula>
    </cfRule>
  </conditionalFormatting>
  <conditionalFormatting sqref="R3:R12">
    <cfRule type="cellIs" dxfId="234" priority="248" operator="greaterThan">
      <formula>AVERAGE($R4:R14)+AVERAGE($R4:R14)*0.2</formula>
    </cfRule>
    <cfRule type="cellIs" dxfId="233" priority="249" operator="lessThan">
      <formula>AVERAGE($R4:R14)-AVERAGE($R4:R14)*0.2</formula>
    </cfRule>
  </conditionalFormatting>
  <conditionalFormatting sqref="V5:V12">
    <cfRule type="cellIs" dxfId="232" priority="245" operator="lessThan">
      <formula>AVERAGE($V6:V16)-AVERAGE($V6:V16)*0.2</formula>
    </cfRule>
    <cfRule type="cellIs" dxfId="231" priority="246" operator="greaterThan">
      <formula>AVERAGE($V6:V16)+AVERAGE($V6:V16)*0.2</formula>
    </cfRule>
  </conditionalFormatting>
  <conditionalFormatting sqref="W12">
    <cfRule type="cellIs" dxfId="230" priority="244" operator="greaterThan">
      <formula>X12+(X12*0.25)</formula>
    </cfRule>
  </conditionalFormatting>
  <conditionalFormatting sqref="Z3:Z13">
    <cfRule type="cellIs" dxfId="229" priority="242" operator="greaterThan">
      <formula>AVERAGE($Z3:Z22)+AVERAGE($Z3:Z22)*0.2</formula>
    </cfRule>
    <cfRule type="cellIs" dxfId="228" priority="243" operator="lessThan">
      <formula>AVERAGE($Z3:Z22)-AVERAGE($Z3:Z22)*0.2</formula>
    </cfRule>
  </conditionalFormatting>
  <conditionalFormatting sqref="Z15">
    <cfRule type="cellIs" dxfId="227" priority="240" operator="greaterThan">
      <formula>AVERAGE($Z15:Z34)+AVERAGE($Z15:Z34)*0.2</formula>
    </cfRule>
    <cfRule type="cellIs" dxfId="226" priority="241" operator="lessThan">
      <formula>AVERAGE($Z15:Z34)-AVERAGE($Z15:Z34)*0.2</formula>
    </cfRule>
  </conditionalFormatting>
  <conditionalFormatting sqref="AA10:AA13">
    <cfRule type="cellIs" dxfId="225" priority="239" operator="greaterThan">
      <formula>AB10+(AB10*0.25)</formula>
    </cfRule>
  </conditionalFormatting>
  <conditionalFormatting sqref="AA10:AA13">
    <cfRule type="expression" dxfId="224" priority="238">
      <formula>AND(AA10&gt;AVERAGE(AA11:AA21),AA10&gt;AB10+(AB10*0.2))</formula>
    </cfRule>
  </conditionalFormatting>
  <conditionalFormatting sqref="AH12">
    <cfRule type="cellIs" dxfId="223" priority="235" operator="lessThan">
      <formula>AVERAGE($AH13:AH23)-AVERAGE($AH13:AH23)*0.2</formula>
    </cfRule>
    <cfRule type="cellIs" dxfId="222" priority="236" operator="greaterThan">
      <formula>AVERAGE($AH13:AH23)+AVERAGE($AH13:AH23)*0.2</formula>
    </cfRule>
  </conditionalFormatting>
  <conditionalFormatting sqref="AJ12">
    <cfRule type="expression" dxfId="221" priority="234">
      <formula>AND(AJ12&gt;AVERAGE(AJ13:AJ23),AJ12&gt;AI12+(AI12*0.2))</formula>
    </cfRule>
  </conditionalFormatting>
  <conditionalFormatting sqref="AL12">
    <cfRule type="cellIs" dxfId="220" priority="232" operator="lessThan">
      <formula>AVERAGE($AL13:AL23)-AVERAGE($AL13:AL23)*0.2</formula>
    </cfRule>
    <cfRule type="cellIs" dxfId="219" priority="233" operator="greaterThan">
      <formula>AVERAGE($AL13:AL23)+AVERAGE($AL13:AL23)*0.2</formula>
    </cfRule>
  </conditionalFormatting>
  <conditionalFormatting sqref="AN12">
    <cfRule type="expression" dxfId="218" priority="231">
      <formula>AND(AN12&gt;AVERAGE(AN13:AN23),AN12&gt;AM12+(AM12*0.2))</formula>
    </cfRule>
  </conditionalFormatting>
  <conditionalFormatting sqref="AP8:AP12">
    <cfRule type="cellIs" dxfId="217" priority="229" operator="lessThan">
      <formula>AVERAGE($AP9:AP19)-AVERAGE($AP9:AP19)*0.2</formula>
    </cfRule>
    <cfRule type="cellIs" dxfId="216" priority="230" operator="greaterThan">
      <formula>AVERAGE($AP9:AP19)+AVERAGE($AP9:AP19)*0.2</formula>
    </cfRule>
  </conditionalFormatting>
  <conditionalFormatting sqref="AQ12">
    <cfRule type="expression" dxfId="215" priority="228">
      <formula>AND(AQ12&gt;AVERAGE(AQ13:AQ23),AQ12&gt;AR12+(AR12*0.2))</formula>
    </cfRule>
  </conditionalFormatting>
  <conditionalFormatting sqref="AT8:AT12">
    <cfRule type="cellIs" dxfId="214" priority="226" operator="lessThan">
      <formula>AVERAGE($AT9:AT19)-AVERAGE($AT9:AT19)*0.2</formula>
    </cfRule>
    <cfRule type="cellIs" dxfId="213" priority="227" operator="greaterThan">
      <formula>AVERAGE($AT9:AT19)+AVERAGE($AT9:AT19)*0.2</formula>
    </cfRule>
  </conditionalFormatting>
  <conditionalFormatting sqref="AX12">
    <cfRule type="cellIs" dxfId="212" priority="224" operator="lessThan">
      <formula>AVERAGE($AX13:AX23)-AVERAGE($AX13:AX23)*0.2</formula>
    </cfRule>
    <cfRule type="cellIs" dxfId="211" priority="225" operator="greaterThan">
      <formula>AVERAGE($AX13:AX23)+AVERAGE($AX13:AX23)*0.2</formula>
    </cfRule>
  </conditionalFormatting>
  <conditionalFormatting sqref="AZ12">
    <cfRule type="expression" dxfId="210" priority="223">
      <formula>AND(AZ12&gt;AVERAGE(AZ13:AZ23),AZ12&gt;AY12+(AY12*0.2))</formula>
    </cfRule>
  </conditionalFormatting>
  <conditionalFormatting sqref="BB8:BB12">
    <cfRule type="cellIs" dxfId="209" priority="221" operator="lessThan">
      <formula>AVERAGE($BB9:BB19)-AVERAGE($BB9:BB19)*0.2</formula>
    </cfRule>
    <cfRule type="cellIs" dxfId="208" priority="222" operator="greaterThan">
      <formula>AVERAGE($BB9:BB19)+AVERAGE($BB9:BB19)*0.2</formula>
    </cfRule>
  </conditionalFormatting>
  <conditionalFormatting sqref="BD12">
    <cfRule type="expression" dxfId="207" priority="220">
      <formula>AND(BD12&gt;AVERAGE(BD13:BD23),BD12&gt;BC12+(BC12*0.2))</formula>
    </cfRule>
  </conditionalFormatting>
  <conditionalFormatting sqref="BF8:BF12">
    <cfRule type="cellIs" dxfId="206" priority="218" operator="lessThan">
      <formula>AVERAGE($BF9:BF19)-AVERAGE($BF9:BF19)*0.2</formula>
    </cfRule>
    <cfRule type="cellIs" dxfId="205" priority="219" operator="greaterThan">
      <formula>AVERAGE($BF9:BF19)+AVERAGE($BF9:BF19)*0.2</formula>
    </cfRule>
  </conditionalFormatting>
  <conditionalFormatting sqref="BJ8:BJ12">
    <cfRule type="cellIs" dxfId="204" priority="215" operator="lessThan">
      <formula>AVERAGE($BJ9:BJ19)-AVERAGE($BJ9:BJ19)*0.2</formula>
    </cfRule>
    <cfRule type="cellIs" dxfId="203" priority="216" operator="greaterThan">
      <formula>AVERAGE($BJ9:BJ19)+AVERAGE($BJ9:BJ19)*0.2</formula>
    </cfRule>
  </conditionalFormatting>
  <conditionalFormatting sqref="BN8:BN12">
    <cfRule type="cellIs" dxfId="202" priority="212" operator="lessThan">
      <formula>AVERAGE($BN9:BN19)-AVERAGE($BN9:BN19)*0.2</formula>
    </cfRule>
    <cfRule type="cellIs" dxfId="201" priority="213" operator="greaterThan">
      <formula>AVERAGE($BN9:BN19)+AVERAGE($BN9:BN19)*0.2</formula>
    </cfRule>
  </conditionalFormatting>
  <conditionalFormatting sqref="BO12">
    <cfRule type="expression" dxfId="200" priority="211">
      <formula>AND(BO12&gt;AVERAGE(BO13:BO23),BO12&gt;BP12+(BP12*0.2))</formula>
    </cfRule>
  </conditionalFormatting>
  <conditionalFormatting sqref="BR12">
    <cfRule type="cellIs" dxfId="199" priority="209" operator="lessThan">
      <formula>AVERAGE($BR13:BR23)-AVERAGE($BR13:BR23)*0.2</formula>
    </cfRule>
    <cfRule type="cellIs" dxfId="198" priority="210" operator="greaterThan">
      <formula>AVERAGE($BR13:BR23)+AVERAGE($BR13:BR23)*0.2</formula>
    </cfRule>
  </conditionalFormatting>
  <conditionalFormatting sqref="BT12">
    <cfRule type="expression" dxfId="197" priority="208">
      <formula>AND(BT12&gt;AVERAGE(BT13:BT23),BT12&gt;BS12+(BS12*0.2))</formula>
    </cfRule>
  </conditionalFormatting>
  <conditionalFormatting sqref="BV8:BV12">
    <cfRule type="cellIs" dxfId="196" priority="206" operator="lessThan">
      <formula>AVERAGE($BV9:BV19)-AVERAGE($BV9:BV19)*0.2</formula>
    </cfRule>
    <cfRule type="cellIs" dxfId="195" priority="207" operator="greaterThan">
      <formula>AVERAGE($BV9:BV19)+AVERAGE($BV9:BV19)*0.2</formula>
    </cfRule>
  </conditionalFormatting>
  <conditionalFormatting sqref="BZ8:BZ12">
    <cfRule type="cellIs" dxfId="194" priority="204" operator="lessThan">
      <formula>AVERAGE($BZ9:BZ19)-AVERAGE($BZ9:BZ19)*0.2</formula>
    </cfRule>
    <cfRule type="cellIs" dxfId="193" priority="205" operator="greaterThan">
      <formula>AVERAGE($BZ9:BZ19)+AVERAGE($BZ9:BZ19)*0.2</formula>
    </cfRule>
  </conditionalFormatting>
  <conditionalFormatting sqref="CJ12">
    <cfRule type="expression" dxfId="192" priority="203">
      <formula>AND(CJ12&gt;AVERAGE(CJ13:CJ23),CJ12&gt;CI12+(CI12*0.2))</formula>
    </cfRule>
  </conditionalFormatting>
  <conditionalFormatting sqref="CI13">
    <cfRule type="expression" dxfId="191" priority="202">
      <formula>AND(CI13&gt;AVERAGE(CI14:CI24),CI13&gt;CJ13+(CJ13*0.2))</formula>
    </cfRule>
  </conditionalFormatting>
  <conditionalFormatting sqref="T12">
    <cfRule type="expression" dxfId="190" priority="201">
      <formula>AND(T12&gt;AVERAGE(T13:T23),T12&gt;S12+(S12*0.2))</formula>
    </cfRule>
  </conditionalFormatting>
  <conditionalFormatting sqref="BK12">
    <cfRule type="expression" dxfId="189" priority="200">
      <formula>AND(BK12&gt;AVERAGE(BK13:BK23),BK12&gt;BL12+(BL12*0.2))</formula>
    </cfRule>
  </conditionalFormatting>
  <conditionalFormatting sqref="J11">
    <cfRule type="cellIs" dxfId="188" priority="198" operator="lessThan">
      <formula>AVERAGE($J12:J22)-AVERAGE($J12:J22)*0.2</formula>
    </cfRule>
    <cfRule type="cellIs" dxfId="187" priority="199" operator="greaterThan">
      <formula>AVERAGE($J12:J22)+AVERAGE($J12:J22)*0.2</formula>
    </cfRule>
  </conditionalFormatting>
  <conditionalFormatting sqref="N11">
    <cfRule type="cellIs" dxfId="186" priority="196" operator="lessThan">
      <formula>AVERAGE($N12:N22)-AVERAGE($N12:N22)*0.2</formula>
    </cfRule>
    <cfRule type="cellIs" dxfId="185" priority="197" operator="greaterThan">
      <formula>AVERAGE($N12:N22)+AVERAGE($N12:N22)*0.2</formula>
    </cfRule>
  </conditionalFormatting>
  <conditionalFormatting sqref="T11">
    <cfRule type="expression" dxfId="184" priority="194">
      <formula>AND(T11&gt;AVERAGE(T12:T22),T11&gt;S11+(S11*0.2))</formula>
    </cfRule>
  </conditionalFormatting>
  <conditionalFormatting sqref="X11">
    <cfRule type="cellIs" dxfId="183" priority="193" operator="greaterThan">
      <formula>W11+(W11*0.25)</formula>
    </cfRule>
  </conditionalFormatting>
  <conditionalFormatting sqref="AD3:AD11">
    <cfRule type="cellIs" dxfId="182" priority="191" operator="greaterThan">
      <formula>AVERAGE($AD4:AD14)+AVERAGE($AD4:AD14)*0.2</formula>
    </cfRule>
    <cfRule type="cellIs" dxfId="181" priority="192" operator="lessThan">
      <formula>AVERAGE($AD4:AD14)-AVERAGE($AD4:AD14)*0.2</formula>
    </cfRule>
  </conditionalFormatting>
  <conditionalFormatting sqref="AF11:AF12">
    <cfRule type="expression" dxfId="180" priority="190">
      <formula>AND(AF11&gt;AVERAGE(AF12:AF22),AF11&gt;AE11+(AE11*0.2))</formula>
    </cfRule>
  </conditionalFormatting>
  <conditionalFormatting sqref="AH11">
    <cfRule type="cellIs" dxfId="179" priority="188" operator="lessThan">
      <formula>AVERAGE($AH12:AH22)-AVERAGE($AH12:AH22)*0.2</formula>
    </cfRule>
    <cfRule type="cellIs" dxfId="178" priority="189" operator="greaterThan">
      <formula>AVERAGE($AH12:AH22)+AVERAGE($AH12:AH22)*0.2</formula>
    </cfRule>
  </conditionalFormatting>
  <conditionalFormatting sqref="BD11">
    <cfRule type="expression" dxfId="177" priority="187">
      <formula>AND(BD11&gt;AVERAGE(BD12:BD22),BD11&gt;BC11+(BC11*0.2))</formula>
    </cfRule>
  </conditionalFormatting>
  <conditionalFormatting sqref="BH11:BH12">
    <cfRule type="expression" dxfId="176" priority="186">
      <formula>AND(BH11&gt;AVERAGE(BH12:BH22),BH11&gt;BG11+(BG11*0.2))</formula>
    </cfRule>
  </conditionalFormatting>
  <conditionalFormatting sqref="BN13">
    <cfRule type="cellIs" dxfId="175" priority="184" operator="lessThan">
      <formula>AVERAGE($BN14:BN24)-AVERAGE($BN14:BN24)*0.2</formula>
    </cfRule>
    <cfRule type="cellIs" dxfId="174" priority="185" operator="greaterThan">
      <formula>AVERAGE($BN14:BN24)+AVERAGE($BN14:BN24)*0.2</formula>
    </cfRule>
  </conditionalFormatting>
  <conditionalFormatting sqref="BP11">
    <cfRule type="expression" dxfId="173" priority="183">
      <formula>AND(BP11&gt;AVERAGE(BP12:BP22),BP11&gt;BO11+(BO11*0.2))</formula>
    </cfRule>
  </conditionalFormatting>
  <conditionalFormatting sqref="BR8:BR11">
    <cfRule type="cellIs" dxfId="172" priority="181" operator="lessThan">
      <formula>AVERAGE($BR9:BR19)-AVERAGE($BR9:BR19)*0.2</formula>
    </cfRule>
    <cfRule type="cellIs" dxfId="171" priority="182" operator="greaterThan">
      <formula>AVERAGE($BR9:BR19)+AVERAGE($BR9:BR19)*0.2</formula>
    </cfRule>
  </conditionalFormatting>
  <conditionalFormatting sqref="CC11">
    <cfRule type="cellIs" dxfId="170" priority="180" operator="greaterThan">
      <formula>AVERAGE(CC12:CC22)</formula>
    </cfRule>
  </conditionalFormatting>
  <conditionalFormatting sqref="CG11">
    <cfRule type="cellIs" dxfId="169" priority="179" operator="greaterThan">
      <formula>AVERAGE(CG12:CG22)</formula>
    </cfRule>
  </conditionalFormatting>
  <conditionalFormatting sqref="CF11">
    <cfRule type="expression" dxfId="168" priority="178">
      <formula>AND(CF11&gt;AVERAGE(CF12:CF22),CF11&gt;CE11+(CE11*0.2))</formula>
    </cfRule>
  </conditionalFormatting>
  <conditionalFormatting sqref="CJ11">
    <cfRule type="expression" dxfId="167" priority="177">
      <formula>AND(CJ11&gt;AVERAGE(CJ12:CJ22),CJ11&gt;CI11+(CI11*0.2))</formula>
    </cfRule>
  </conditionalFormatting>
  <conditionalFormatting sqref="P11">
    <cfRule type="expression" dxfId="166" priority="176">
      <formula>AND(P11&gt;AVERAGE(P12:P22),P11&gt;O11+(O11*0.2))</formula>
    </cfRule>
  </conditionalFormatting>
  <conditionalFormatting sqref="G10">
    <cfRule type="expression" dxfId="165" priority="175">
      <formula>AND(G10&gt;AVERAGE(G11:G21),G10&gt;H10+(H10*0.2))</formula>
    </cfRule>
  </conditionalFormatting>
  <conditionalFormatting sqref="H10">
    <cfRule type="expression" dxfId="164" priority="172">
      <formula>AND(H10&gt;AVERAGE(H11:H21),H10&gt;G10+(G10*0.2))</formula>
    </cfRule>
  </conditionalFormatting>
  <conditionalFormatting sqref="J10">
    <cfRule type="cellIs" dxfId="163" priority="170" operator="lessThan">
      <formula>AVERAGE($J11:J21)-AVERAGE($J11:J21)*0.2</formula>
    </cfRule>
    <cfRule type="cellIs" dxfId="162" priority="171" operator="greaterThan">
      <formula>AVERAGE($J11:J21)+AVERAGE($J11:J21)*0.2</formula>
    </cfRule>
  </conditionalFormatting>
  <conditionalFormatting sqref="N10">
    <cfRule type="cellIs" dxfId="161" priority="168" operator="lessThan">
      <formula>AVERAGE($N11:N21)-AVERAGE($N11:N21)*0.2</formula>
    </cfRule>
    <cfRule type="cellIs" dxfId="160" priority="169" operator="greaterThan">
      <formula>AVERAGE($N11:N21)+AVERAGE($N11:N21)*0.2</formula>
    </cfRule>
  </conditionalFormatting>
  <conditionalFormatting sqref="X9:X10">
    <cfRule type="cellIs" dxfId="159" priority="167" operator="greaterThan">
      <formula>W9+(W9*0.25)</formula>
    </cfRule>
  </conditionalFormatting>
  <conditionalFormatting sqref="AC3:AC10">
    <cfRule type="cellIs" dxfId="158" priority="166" operator="greaterThan">
      <formula>AVERAGE(AC4:AC14)</formula>
    </cfRule>
  </conditionalFormatting>
  <conditionalFormatting sqref="AB10">
    <cfRule type="expression" dxfId="157" priority="165">
      <formula>AND(AB10&gt;AVERAGE(AB11:AB21),AB10&gt;AA10+(AA10*0.2))</formula>
    </cfRule>
  </conditionalFormatting>
  <conditionalFormatting sqref="AG3:AG10">
    <cfRule type="cellIs" dxfId="156" priority="164" operator="greaterThan">
      <formula>AVERAGE(AG4:AG14)</formula>
    </cfRule>
  </conditionalFormatting>
  <conditionalFormatting sqref="AE10">
    <cfRule type="expression" dxfId="155" priority="163">
      <formula>AND(AE10&gt;AVERAGE(AE11:AE21),AE10&gt;AF10+(AF10*0.2))</formula>
    </cfRule>
  </conditionalFormatting>
  <conditionalFormatting sqref="AF10">
    <cfRule type="expression" dxfId="154" priority="162">
      <formula>AND(AF10&gt;AVERAGE(AF11:AF21),AF10&gt;AE10+(AE10*0.2))</formula>
    </cfRule>
  </conditionalFormatting>
  <conditionalFormatting sqref="AH3:AH10">
    <cfRule type="cellIs" dxfId="153" priority="160" operator="lessThan">
      <formula>AVERAGE($AH4:AH14)-AVERAGE($AH4:AH14)*0.2</formula>
    </cfRule>
    <cfRule type="cellIs" dxfId="152" priority="161" operator="greaterThan">
      <formula>AVERAGE($AH4:AH14)+AVERAGE($AH4:AH14)*0.2</formula>
    </cfRule>
  </conditionalFormatting>
  <conditionalFormatting sqref="AN10">
    <cfRule type="expression" dxfId="151" priority="158">
      <formula>AND(AN10&gt;AVERAGE(AN11:AN21),AN10&gt;AM10+(AM10*0.2))</formula>
    </cfRule>
  </conditionalFormatting>
  <conditionalFormatting sqref="AS10">
    <cfRule type="cellIs" dxfId="150" priority="157" operator="greaterThan">
      <formula>AVERAGE(AS11:AS21)</formula>
    </cfRule>
  </conditionalFormatting>
  <conditionalFormatting sqref="AR10">
    <cfRule type="expression" dxfId="149" priority="156">
      <formula>AND(AR10&gt;AVERAGE(AR11:AR21),AR10&gt;AQ10+(AQ10*0.2))</formula>
    </cfRule>
  </conditionalFormatting>
  <conditionalFormatting sqref="AX8:AX10">
    <cfRule type="cellIs" dxfId="148" priority="154" operator="lessThan">
      <formula>AVERAGE($AX9:AX19)-AVERAGE($AX9:AX19)*0.2</formula>
    </cfRule>
    <cfRule type="cellIs" dxfId="147" priority="155" operator="greaterThan">
      <formula>AVERAGE($AX9:AX19)+AVERAGE($AX9:AX19)*0.2</formula>
    </cfRule>
  </conditionalFormatting>
  <conditionalFormatting sqref="AZ7:AZ10">
    <cfRule type="expression" dxfId="146" priority="153">
      <formula>AND(AZ7&gt;AVERAGE(AZ8:AZ18),AZ7&gt;AY7+(AY7*0.2))</formula>
    </cfRule>
  </conditionalFormatting>
  <conditionalFormatting sqref="BA3:BA10">
    <cfRule type="cellIs" dxfId="145" priority="152" operator="greaterThan">
      <formula>AVERAGE(BA4:BA14)</formula>
    </cfRule>
  </conditionalFormatting>
  <conditionalFormatting sqref="BH9:BH10">
    <cfRule type="expression" dxfId="144" priority="151">
      <formula>AND(BH9&gt;AVERAGE(BH10:BH20),BH9&gt;BG9+(BG9*0.2))</formula>
    </cfRule>
  </conditionalFormatting>
  <conditionalFormatting sqref="CB9:CB11">
    <cfRule type="expression" dxfId="143" priority="150">
      <formula>AND(CB9&gt;AVERAGE(CB10:CB20),CB9&gt;CA9+(CA9*0.2))</formula>
    </cfRule>
  </conditionalFormatting>
  <conditionalFormatting sqref="AJ10">
    <cfRule type="expression" dxfId="142" priority="149">
      <formula>AND(AJ10&gt;AVERAGE(AJ11:AJ21),AJ10&gt;AI10+(AI10*0.2))</formula>
    </cfRule>
  </conditionalFormatting>
  <conditionalFormatting sqref="H9">
    <cfRule type="expression" dxfId="141" priority="148">
      <formula>AND(H9&gt;AVERAGE(H10:H20),H9&gt;G9+(G9*0.2))</formula>
    </cfRule>
  </conditionalFormatting>
  <conditionalFormatting sqref="J7:J9">
    <cfRule type="cellIs" dxfId="140" priority="146" operator="lessThan">
      <formula>AVERAGE($J8:J18)-AVERAGE($J8:J18)*0.2</formula>
    </cfRule>
    <cfRule type="cellIs" dxfId="139" priority="147" operator="greaterThan">
      <formula>AVERAGE($J8:J18)+AVERAGE($J8:J18)*0.2</formula>
    </cfRule>
  </conditionalFormatting>
  <conditionalFormatting sqref="N9">
    <cfRule type="cellIs" dxfId="138" priority="144" operator="lessThan">
      <formula>AVERAGE($N10:N20)-AVERAGE($N10:N20)*0.2</formula>
    </cfRule>
    <cfRule type="cellIs" dxfId="137" priority="145" operator="greaterThan">
      <formula>AVERAGE($N10:N20)+AVERAGE($N10:N20)*0.2</formula>
    </cfRule>
  </conditionalFormatting>
  <conditionalFormatting sqref="AB9">
    <cfRule type="expression" dxfId="136" priority="143">
      <formula>AND(AB9&gt;AVERAGE(AB10:AB20),AB9&gt;AA9+(AA9*0.2))</formula>
    </cfRule>
  </conditionalFormatting>
  <conditionalFormatting sqref="AF9">
    <cfRule type="expression" dxfId="135" priority="142">
      <formula>AND(AF9&gt;AVERAGE(AF10:AF20),AF9&gt;AE9+(AE9*0.2))</formula>
    </cfRule>
  </conditionalFormatting>
  <conditionalFormatting sqref="AO3:AO9">
    <cfRule type="cellIs" dxfId="134" priority="141" operator="greaterThan">
      <formula>AVERAGE(AO4:AO14)</formula>
    </cfRule>
  </conditionalFormatting>
  <conditionalFormatting sqref="AN9">
    <cfRule type="expression" dxfId="133" priority="140">
      <formula>AND(AN9&gt;AVERAGE(AN10:AN20),AN9&gt;AM9+(AM9*0.2))</formula>
    </cfRule>
  </conditionalFormatting>
  <conditionalFormatting sqref="AS4:AS9">
    <cfRule type="cellIs" dxfId="132" priority="139" operator="greaterThan">
      <formula>AVERAGE(AS5:AS15)</formula>
    </cfRule>
  </conditionalFormatting>
  <conditionalFormatting sqref="AR9">
    <cfRule type="expression" dxfId="131" priority="138">
      <formula>AND(AR9&gt;AVERAGE(AR10:AR20),AR9&gt;AQ9+(AQ9*0.2))</formula>
    </cfRule>
  </conditionalFormatting>
  <conditionalFormatting sqref="AW4:AW9">
    <cfRule type="cellIs" dxfId="130" priority="137" operator="greaterThan">
      <formula>AVERAGE(AW5:AW15)</formula>
    </cfRule>
  </conditionalFormatting>
  <conditionalFormatting sqref="AV9">
    <cfRule type="expression" dxfId="129" priority="136">
      <formula>AND(AV9&gt;AVERAGE(AV10:AV20),AV9&gt;AU9+(AU9*0.2))</formula>
    </cfRule>
  </conditionalFormatting>
  <conditionalFormatting sqref="BE6:BE9">
    <cfRule type="cellIs" dxfId="128" priority="135" operator="greaterThan">
      <formula>AVERAGE(BE7:BE17)</formula>
    </cfRule>
  </conditionalFormatting>
  <conditionalFormatting sqref="BD9">
    <cfRule type="expression" dxfId="127" priority="134">
      <formula>AND(BD9&gt;AVERAGE(BD10:BD20),BD9&gt;BC9+(BC9*0.2))</formula>
    </cfRule>
  </conditionalFormatting>
  <conditionalFormatting sqref="BL9">
    <cfRule type="expression" dxfId="126" priority="133">
      <formula>AND(BL9&gt;AVERAGE(BL10:BL20),BL9&gt;BK9+(BK9*0.2))</formula>
    </cfRule>
  </conditionalFormatting>
  <conditionalFormatting sqref="BP9">
    <cfRule type="expression" dxfId="125" priority="132">
      <formula>AND(BP9&gt;AVERAGE(BP10:BP20),BP9&gt;BO9+(BO9*0.2))</formula>
    </cfRule>
  </conditionalFormatting>
  <conditionalFormatting sqref="CC9">
    <cfRule type="cellIs" dxfId="124" priority="131" operator="greaterThan">
      <formula>AVERAGE(CC10:CC20)</formula>
    </cfRule>
  </conditionalFormatting>
  <conditionalFormatting sqref="CG3:CG9">
    <cfRule type="cellIs" dxfId="123" priority="130" operator="greaterThan">
      <formula>AVERAGE(CG4:CG14)</formula>
    </cfRule>
  </conditionalFormatting>
  <conditionalFormatting sqref="CF7:CF9">
    <cfRule type="expression" dxfId="122" priority="129">
      <formula>AND(CF7&gt;AVERAGE(CF8:CF18),CF7&gt;CE7+(CE7*0.2))</formula>
    </cfRule>
  </conditionalFormatting>
  <conditionalFormatting sqref="CK9">
    <cfRule type="cellIs" dxfId="121" priority="128" operator="greaterThan">
      <formula>AVERAGE(CK10:CK20)</formula>
    </cfRule>
  </conditionalFormatting>
  <conditionalFormatting sqref="CJ9">
    <cfRule type="expression" dxfId="120" priority="127">
      <formula>AND(CJ9&gt;AVERAGE(CJ10:CJ20),CJ9&gt;CI9+(CI9*0.2))</formula>
    </cfRule>
  </conditionalFormatting>
  <conditionalFormatting sqref="K9">
    <cfRule type="cellIs" dxfId="119" priority="125" operator="greaterThan">
      <formula>L9+(L9*0.25)</formula>
    </cfRule>
  </conditionalFormatting>
  <conditionalFormatting sqref="CL3:CL140">
    <cfRule type="cellIs" dxfId="118" priority="123" operator="greaterThan">
      <formula>AVERAGE($CL4:CL14)+AVERAGE($CL4:CL14)*0.2</formula>
    </cfRule>
    <cfRule type="cellIs" dxfId="117" priority="124" operator="lessThan">
      <formula>AVERAGE($CL4:CL14)-AVERAGE($CL4:CL14)*0.2</formula>
    </cfRule>
  </conditionalFormatting>
  <conditionalFormatting sqref="CI9">
    <cfRule type="expression" dxfId="116" priority="122">
      <formula>AND(CI9&gt;AVERAGE(CI10:CI20),CI9&gt;CJ9+(CJ9*0.2))</formula>
    </cfRule>
  </conditionalFormatting>
  <conditionalFormatting sqref="CM9:CM140">
    <cfRule type="expression" dxfId="115" priority="121">
      <formula>AND(CM9&gt;AVERAGE(CM10:CM20),CM9&gt;CN9+(CN9*0.2))</formula>
    </cfRule>
  </conditionalFormatting>
  <conditionalFormatting sqref="CN9:CN140">
    <cfRule type="expression" dxfId="114" priority="120">
      <formula>AND(CN9&gt;AVERAGE(CN10:CN20),CN9&gt;CM9+(CM9*0.2))</formula>
    </cfRule>
  </conditionalFormatting>
  <conditionalFormatting sqref="K8">
    <cfRule type="cellIs" dxfId="113" priority="119" operator="greaterThan">
      <formula>L8+(L8*0.25)</formula>
    </cfRule>
  </conditionalFormatting>
  <conditionalFormatting sqref="N8">
    <cfRule type="cellIs" dxfId="112" priority="117" operator="lessThan">
      <formula>AVERAGE($N9:N19)-AVERAGE($N9:N19)*0.2</formula>
    </cfRule>
    <cfRule type="cellIs" dxfId="111" priority="118" operator="greaterThan">
      <formula>AVERAGE($N9:N19)+AVERAGE($N9:N19)*0.2</formula>
    </cfRule>
  </conditionalFormatting>
  <conditionalFormatting sqref="AA8">
    <cfRule type="cellIs" dxfId="110" priority="116" operator="greaterThan">
      <formula>AB8+(AB8*0.25)</formula>
    </cfRule>
  </conditionalFormatting>
  <conditionalFormatting sqref="AA8">
    <cfRule type="expression" dxfId="109" priority="115">
      <formula>AND(AA8&gt;AVERAGE(AA9:AA19),AA8&gt;AB8+(AB8*0.2))</formula>
    </cfRule>
  </conditionalFormatting>
  <conditionalFormatting sqref="AE8">
    <cfRule type="expression" dxfId="108" priority="114">
      <formula>AND(AE8&gt;AVERAGE(AE9:AE19),AE8&gt;AF8+(AF8*0.2))</formula>
    </cfRule>
  </conditionalFormatting>
  <conditionalFormatting sqref="BK8">
    <cfRule type="expression" dxfId="107" priority="113">
      <formula>AND(BK8&gt;AVERAGE(BK9:BK19),BK8&gt;BL8+(BL8*0.2))</formula>
    </cfRule>
  </conditionalFormatting>
  <conditionalFormatting sqref="BO8">
    <cfRule type="expression" dxfId="106" priority="112">
      <formula>AND(BO8&gt;AVERAGE(BO9:BO19),BO8&gt;BP8+(BP8*0.2))</formula>
    </cfRule>
  </conditionalFormatting>
  <conditionalFormatting sqref="BY8">
    <cfRule type="cellIs" dxfId="105" priority="111" operator="greaterThan">
      <formula>AVERAGE(BY9:BY19)</formula>
    </cfRule>
  </conditionalFormatting>
  <conditionalFormatting sqref="H7">
    <cfRule type="expression" dxfId="104" priority="109">
      <formula>AND(H7&gt;AVERAGE(H8:H18),H7&gt;G7+(G7*0.2))</formula>
    </cfRule>
  </conditionalFormatting>
  <conditionalFormatting sqref="L7">
    <cfRule type="cellIs" dxfId="103" priority="108" operator="greaterThan">
      <formula>K7+(K7*0.25)</formula>
    </cfRule>
  </conditionalFormatting>
  <conditionalFormatting sqref="P7">
    <cfRule type="expression" dxfId="102" priority="107">
      <formula>AND(P7&gt;AVERAGE(P8:P18),P7&gt;O7+(O7*0.2))</formula>
    </cfRule>
  </conditionalFormatting>
  <conditionalFormatting sqref="T7">
    <cfRule type="expression" dxfId="101" priority="106">
      <formula>AND(T7&gt;AVERAGE(T8:T18),T7&gt;S7+(S7*0.2))</formula>
    </cfRule>
  </conditionalFormatting>
  <conditionalFormatting sqref="N7">
    <cfRule type="cellIs" dxfId="100" priority="104" operator="lessThan">
      <formula>AVERAGE($N8:N18)-AVERAGE($N8:N18)*0.2</formula>
    </cfRule>
    <cfRule type="cellIs" dxfId="99" priority="105" operator="greaterThan">
      <formula>AVERAGE($N8:N18)+AVERAGE($N8:N18)*0.2</formula>
    </cfRule>
  </conditionalFormatting>
  <conditionalFormatting sqref="AB7">
    <cfRule type="expression" dxfId="98" priority="103">
      <formula>AND(AB7&gt;AVERAGE(AB8:AB18),AB7&gt;AA7+(AA7*0.2))</formula>
    </cfRule>
  </conditionalFormatting>
  <conditionalFormatting sqref="AJ7">
    <cfRule type="expression" dxfId="97" priority="102">
      <formula>AND(AJ7&gt;AVERAGE(AJ8:AJ18),AJ7&gt;AI7+(AI7*0.2))</formula>
    </cfRule>
  </conditionalFormatting>
  <conditionalFormatting sqref="AN7">
    <cfRule type="expression" dxfId="96" priority="101">
      <formula>AND(AN7&gt;AVERAGE(AN8:AN18),AN7&gt;AM7+(AM7*0.2))</formula>
    </cfRule>
  </conditionalFormatting>
  <conditionalFormatting sqref="AR7">
    <cfRule type="expression" dxfId="95" priority="100">
      <formula>AND(AR7&gt;AVERAGE(AR8:AR18),AR7&gt;AQ7+(AQ7*0.2))</formula>
    </cfRule>
  </conditionalFormatting>
  <conditionalFormatting sqref="AV7">
    <cfRule type="expression" dxfId="94" priority="99">
      <formula>AND(AV7&gt;AVERAGE(AV8:AV18),AV7&gt;AU7+(AU7*0.2))</formula>
    </cfRule>
  </conditionalFormatting>
  <conditionalFormatting sqref="BD7">
    <cfRule type="expression" dxfId="93" priority="98">
      <formula>AND(BD7&gt;AVERAGE(BD8:BD18),BD7&gt;BC7+(BC7*0.2))</formula>
    </cfRule>
  </conditionalFormatting>
  <conditionalFormatting sqref="BH6:BH7">
    <cfRule type="expression" dxfId="92" priority="97">
      <formula>AND(BH6&gt;AVERAGE(BH7:BH17),BH6&gt;BG6+(BG6*0.2))</formula>
    </cfRule>
  </conditionalFormatting>
  <conditionalFormatting sqref="BL7">
    <cfRule type="expression" dxfId="91" priority="96">
      <formula>AND(BL7&gt;AVERAGE(BL8:BL18),BL7&gt;BK7+(BK7*0.2))</formula>
    </cfRule>
  </conditionalFormatting>
  <conditionalFormatting sqref="BP7">
    <cfRule type="expression" dxfId="90" priority="95">
      <formula>AND(BP7&gt;AVERAGE(BP8:BP18),BP7&gt;BO7+(BO7*0.2))</formula>
    </cfRule>
  </conditionalFormatting>
  <conditionalFormatting sqref="BY3:BY7">
    <cfRule type="cellIs" dxfId="89" priority="94" operator="greaterThan">
      <formula>AVERAGE(BY4:BY14)</formula>
    </cfRule>
  </conditionalFormatting>
  <conditionalFormatting sqref="BX7">
    <cfRule type="expression" dxfId="88" priority="93">
      <formula>AND(BX7&gt;AVERAGE(BX8:BX18),BX7&gt;BW7+(BW7*0.2))</formula>
    </cfRule>
  </conditionalFormatting>
  <conditionalFormatting sqref="BT7">
    <cfRule type="expression" dxfId="87" priority="92">
      <formula>AND(BT7&gt;AVERAGE(BT8:BT18),BT7&gt;BS7+(BS7*0.2))</formula>
    </cfRule>
  </conditionalFormatting>
  <conditionalFormatting sqref="CC3:CC7">
    <cfRule type="cellIs" dxfId="86" priority="91" operator="greaterThan">
      <formula>AVERAGE(CC4:CC14)</formula>
    </cfRule>
  </conditionalFormatting>
  <conditionalFormatting sqref="CB7">
    <cfRule type="expression" dxfId="85" priority="90">
      <formula>AND(CB7&gt;AVERAGE(CB8:CB18),CB7&gt;CA7+(CA7*0.2))</formula>
    </cfRule>
  </conditionalFormatting>
  <conditionalFormatting sqref="CK4:CK7">
    <cfRule type="cellIs" dxfId="84" priority="89" operator="greaterThan">
      <formula>AVERAGE(CK5:CK15)</formula>
    </cfRule>
  </conditionalFormatting>
  <conditionalFormatting sqref="CJ7">
    <cfRule type="expression" dxfId="83" priority="88">
      <formula>AND(CJ7&gt;AVERAGE(CJ8:CJ18),CJ7&gt;CI7+(CI7*0.2))</formula>
    </cfRule>
  </conditionalFormatting>
  <conditionalFormatting sqref="CO7">
    <cfRule type="cellIs" dxfId="82" priority="87" operator="greaterThan">
      <formula>AVERAGE(CO8:CO18)</formula>
    </cfRule>
  </conditionalFormatting>
  <conditionalFormatting sqref="CO9">
    <cfRule type="cellIs" dxfId="81" priority="86" operator="greaterThan">
      <formula>AVERAGE(CO10:CO20)</formula>
    </cfRule>
  </conditionalFormatting>
  <conditionalFormatting sqref="CN6:CN7">
    <cfRule type="expression" dxfId="80" priority="85">
      <formula>AND(CN6&gt;AVERAGE(CN7:CN17),CN6&gt;CM6+(CM6*0.2))</formula>
    </cfRule>
  </conditionalFormatting>
  <conditionalFormatting sqref="K6">
    <cfRule type="cellIs" dxfId="79" priority="84" operator="greaterThan">
      <formula>L6+(L6*0.25)</formula>
    </cfRule>
  </conditionalFormatting>
  <conditionalFormatting sqref="O5:O6">
    <cfRule type="cellIs" dxfId="78" priority="82" operator="greaterThan">
      <formula>P5+(P5*0.25)</formula>
    </cfRule>
  </conditionalFormatting>
  <conditionalFormatting sqref="S6">
    <cfRule type="expression" dxfId="77" priority="81">
      <formula>AND(S6&gt;AVERAPE(S7:S17),S6&gt;T6+(T6*0.2))</formula>
    </cfRule>
  </conditionalFormatting>
  <conditionalFormatting sqref="W6">
    <cfRule type="cellIs" dxfId="76" priority="80" operator="greaterThan">
      <formula>X6+(X6*0.25)</formula>
    </cfRule>
  </conditionalFormatting>
  <conditionalFormatting sqref="AA5:AA6">
    <cfRule type="cellIs" dxfId="75" priority="79" operator="greaterThan">
      <formula>AB5+(AB5*0.25)</formula>
    </cfRule>
  </conditionalFormatting>
  <conditionalFormatting sqref="AA5:AA6">
    <cfRule type="expression" dxfId="74" priority="78">
      <formula>AND(AA5&gt;AVERAGE(AA6:AA16),AA5&gt;AB5+(AB5*0.2))</formula>
    </cfRule>
  </conditionalFormatting>
  <conditionalFormatting sqref="AI6">
    <cfRule type="expression" dxfId="73" priority="77">
      <formula>AND(AI6&gt;AVERAGE(AI7:AI17),AI6&gt;AJ6+(AJ6*0.2))</formula>
    </cfRule>
  </conditionalFormatting>
  <conditionalFormatting sqref="AL6">
    <cfRule type="cellIs" dxfId="72" priority="75" operator="lessThan">
      <formula>AVERAGE($AL7:AL17)-AVERAGE($AL7:AL17)*0.2</formula>
    </cfRule>
    <cfRule type="cellIs" dxfId="71" priority="76" operator="greaterThan">
      <formula>AVERAGE($AL7:AL17)+AVERAGE($AL7:AL17)*0.2</formula>
    </cfRule>
  </conditionalFormatting>
  <conditionalFormatting sqref="AQ6">
    <cfRule type="expression" dxfId="70" priority="74">
      <formula>AND(AQ6&gt;AVERAGE(AQ7:AQ17),AQ6&gt;AR6+(AR6*0.2))</formula>
    </cfRule>
  </conditionalFormatting>
  <conditionalFormatting sqref="AP6">
    <cfRule type="cellIs" dxfId="69" priority="72" operator="lessThan">
      <formula>AVERAGE($AP7:AP17)-AVERAGE($AP7:AP17)*0.2</formula>
    </cfRule>
    <cfRule type="cellIs" dxfId="68" priority="73" operator="greaterThan">
      <formula>AVERAGE($AP7:AP17)+AVERAGE($AP7:AP17)*0.2</formula>
    </cfRule>
  </conditionalFormatting>
  <conditionalFormatting sqref="AU6:AU7">
    <cfRule type="expression" dxfId="67" priority="71">
      <formula>AND(AU6&gt;AVERAGE(AU7:AU17),AU6&gt;AV6+(AV6*0.2))</formula>
    </cfRule>
  </conditionalFormatting>
  <conditionalFormatting sqref="AT3:AT6">
    <cfRule type="cellIs" dxfId="66" priority="69" operator="lessThan">
      <formula>AVERAGE($AT4:AT14)-AVERAGE($AT4:AT14)*0.2</formula>
    </cfRule>
    <cfRule type="cellIs" dxfId="65" priority="70" operator="greaterThan">
      <formula>AVERAGE($AT4:AT14)+AVERAGE($AT4:AT14)*0.2</formula>
    </cfRule>
  </conditionalFormatting>
  <conditionalFormatting sqref="AX6">
    <cfRule type="cellIs" dxfId="64" priority="67" operator="lessThan">
      <formula>AVERAGE($AX7:AX17)-AVERAGE($AX7:AX17)*0.2</formula>
    </cfRule>
    <cfRule type="cellIs" dxfId="63" priority="68" operator="greaterThan">
      <formula>AVERAGE($AX7:AX17)+AVERAGE($AX7:AX17)*0.2</formula>
    </cfRule>
  </conditionalFormatting>
  <conditionalFormatting sqref="BB6">
    <cfRule type="cellIs" dxfId="62" priority="65" operator="lessThan">
      <formula>AVERAGE($BB7:BB17)-AVERAGE($BB7:BB17)*0.2</formula>
    </cfRule>
    <cfRule type="cellIs" dxfId="61" priority="66" operator="greaterThan">
      <formula>AVERAGE($BB7:BB17)+AVERAGE($BB7:BB17)*0.2</formula>
    </cfRule>
  </conditionalFormatting>
  <conditionalFormatting sqref="BF6">
    <cfRule type="cellIs" dxfId="60" priority="63" operator="lessThan">
      <formula>AVERAGE($BF7:BF17)-AVERAGE($BF7:BF17)*0.2</formula>
    </cfRule>
    <cfRule type="cellIs" dxfId="59" priority="64" operator="greaterThan">
      <formula>AVERAGE($BF7:BF17)+AVERAGE($BF7:BF17)*0.2</formula>
    </cfRule>
  </conditionalFormatting>
  <conditionalFormatting sqref="BK6">
    <cfRule type="expression" dxfId="58" priority="62">
      <formula>AND(BK6&gt;AVERAGE(BK7:BK17),BK6&gt;BL6+(BL6*0.2))</formula>
    </cfRule>
  </conditionalFormatting>
  <conditionalFormatting sqref="BJ3:BJ6">
    <cfRule type="cellIs" dxfId="57" priority="60" operator="lessThan">
      <formula>AVERAGE($BJ4:BJ14)-AVERAGE($BJ4:BJ14)*0.2</formula>
    </cfRule>
    <cfRule type="cellIs" dxfId="56" priority="61" operator="greaterThan">
      <formula>AVERAGE($BJ4:BJ14)+AVERAGE($BJ4:BJ14)*0.2</formula>
    </cfRule>
  </conditionalFormatting>
  <conditionalFormatting sqref="BO6">
    <cfRule type="expression" dxfId="55" priority="57">
      <formula>AND(BO6&gt;AVERAGE(BO7:BO17),BO6&gt;BP6+(BP6*0.2))</formula>
    </cfRule>
  </conditionalFormatting>
  <conditionalFormatting sqref="BR3:BR6">
    <cfRule type="cellIs" dxfId="54" priority="55" operator="lessThan">
      <formula>AVERAGE($BR4:BR14)-AVERAGE($BR4:BR14)*0.2</formula>
    </cfRule>
    <cfRule type="cellIs" dxfId="53" priority="56" operator="greaterThan">
      <formula>AVERAGE($BR4:BR14)+AVERAGE($BR4:BR14)*0.2</formula>
    </cfRule>
  </conditionalFormatting>
  <conditionalFormatting sqref="BV3:BV6">
    <cfRule type="cellIs" dxfId="52" priority="53" operator="lessThan">
      <formula>AVERAGE($BV4:BV14)-AVERAGE($BV4:BV14)*0.2</formula>
    </cfRule>
    <cfRule type="cellIs" dxfId="51" priority="54" operator="greaterThan">
      <formula>AVERAGE($BV4:BV14)+AVERAGE($BV4:BV14)*0.2</formula>
    </cfRule>
  </conditionalFormatting>
  <conditionalFormatting sqref="BZ3:BZ6">
    <cfRule type="cellIs" dxfId="50" priority="51" operator="lessThan">
      <formula>AVERAGE($BZ4:BZ14)-AVERAGE($BZ4:BZ14)*0.2</formula>
    </cfRule>
    <cfRule type="cellIs" dxfId="49" priority="52" operator="greaterThan">
      <formula>AVERAGE($BZ4:BZ14)+AVERAGE($BZ4:BZ14)*0.2</formula>
    </cfRule>
  </conditionalFormatting>
  <conditionalFormatting sqref="H5">
    <cfRule type="expression" dxfId="48" priority="50">
      <formula>AND(H5&gt;AVERAGE(H6:H16),H5&gt;G5+(G5*0.2))</formula>
    </cfRule>
  </conditionalFormatting>
  <conditionalFormatting sqref="G6">
    <cfRule type="expression" dxfId="47" priority="49">
      <formula>AND(G6&gt;AVERAGE(G7:G17),G6&gt;H6+(H6*0.2))</formula>
    </cfRule>
  </conditionalFormatting>
  <conditionalFormatting sqref="F3:F5">
    <cfRule type="cellIs" dxfId="46" priority="47" operator="lessThan">
      <formula>AVERAGE($F4:F14)-AVERAGE($F4:F14)*0.2</formula>
    </cfRule>
    <cfRule type="cellIs" dxfId="45" priority="48" operator="greaterThan">
      <formula>AVERAGE($F4:F14)+AVERAGE($F4:F14)*0.2</formula>
    </cfRule>
  </conditionalFormatting>
  <conditionalFormatting sqref="J3:J5">
    <cfRule type="cellIs" dxfId="44" priority="45" operator="lessThan">
      <formula>AVERAGE($J4:J14)-AVERAGE($J4:J14)*0.2</formula>
    </cfRule>
    <cfRule type="cellIs" dxfId="43" priority="46" operator="greaterThan">
      <formula>AVERAGE($J4:J14)+AVERAGE($J4:J14)*0.2</formula>
    </cfRule>
  </conditionalFormatting>
  <conditionalFormatting sqref="L4:L5">
    <cfRule type="cellIs" dxfId="42" priority="44" operator="greaterThan">
      <formula>K4+(K4*0.25)</formula>
    </cfRule>
  </conditionalFormatting>
  <conditionalFormatting sqref="X4:X5">
    <cfRule type="cellIs" dxfId="41" priority="43" operator="greaterThan">
      <formula>W4+(W4*0.25)</formula>
    </cfRule>
  </conditionalFormatting>
  <conditionalFormatting sqref="AL3:AL5">
    <cfRule type="cellIs" dxfId="40" priority="41" operator="lessThan">
      <formula>AVERAGE($AL4:AL14)-AVERAGE($AL4:AL14)*0.2</formula>
    </cfRule>
    <cfRule type="cellIs" dxfId="39" priority="42" operator="greaterThan">
      <formula>AVERAGE($AL4:AL14)+AVERAGE($AL4:AL14)*0.2</formula>
    </cfRule>
  </conditionalFormatting>
  <conditionalFormatting sqref="AP3:AP5">
    <cfRule type="cellIs" dxfId="38" priority="39" operator="lessThan">
      <formula>AVERAGE($AP4:AP14)-AVERAGE($AP4:AP14)*0.2</formula>
    </cfRule>
    <cfRule type="cellIs" dxfId="37" priority="40" operator="greaterThan">
      <formula>AVERAGE($AP4:AP14)+AVERAGE($AP4:AP14)*0.2</formula>
    </cfRule>
  </conditionalFormatting>
  <conditionalFormatting sqref="AR5">
    <cfRule type="expression" dxfId="36" priority="38">
      <formula>AND(AR5&gt;AVERAGE(AR6:AR16),AR5&gt;AQ5+(AQ5*0.2))</formula>
    </cfRule>
  </conditionalFormatting>
  <conditionalFormatting sqref="AX3:AX5">
    <cfRule type="cellIs" dxfId="35" priority="36" operator="lessThan">
      <formula>AVERAGE($AX4:AX14)-AVERAGE($AX4:AX14)*0.2</formula>
    </cfRule>
    <cfRule type="cellIs" dxfId="34" priority="37" operator="greaterThan">
      <formula>AVERAGE($AX4:AX14)+AVERAGE($AX4:AX14)*0.2</formula>
    </cfRule>
  </conditionalFormatting>
  <conditionalFormatting sqref="BB3:BB5">
    <cfRule type="cellIs" dxfId="33" priority="34" operator="lessThan">
      <formula>AVERAGE($BB4:BB14)-AVERAGE($BB4:BB14)*0.2</formula>
    </cfRule>
    <cfRule type="cellIs" dxfId="32" priority="35" operator="greaterThan">
      <formula>AVERAGE($BB4:BB14)+AVERAGE($BB4:BB14)*0.2</formula>
    </cfRule>
  </conditionalFormatting>
  <conditionalFormatting sqref="BF3:BF5">
    <cfRule type="cellIs" dxfId="31" priority="32" operator="lessThan">
      <formula>AVERAGE($BF4:BF14)-AVERAGE($BF4:BF14)*0.2</formula>
    </cfRule>
    <cfRule type="cellIs" dxfId="30" priority="33" operator="greaterThan">
      <formula>AVERAGE($BF4:BF14)+AVERAGE($BF4:BF14)*0.2</formula>
    </cfRule>
  </conditionalFormatting>
  <conditionalFormatting sqref="BN6">
    <cfRule type="cellIs" dxfId="29" priority="30" operator="lessThan">
      <formula>AVERAGE($BN7:BN17)-AVERAGE($BN7:BN17)*0.2</formula>
    </cfRule>
    <cfRule type="cellIs" dxfId="28" priority="31" operator="greaterThan">
      <formula>AVERAGE($BN7:BN17)+AVERAGE($BN7:BN17)*0.2</formula>
    </cfRule>
  </conditionalFormatting>
  <conditionalFormatting sqref="BT5">
    <cfRule type="expression" dxfId="27" priority="29">
      <formula>AND(BT5&gt;AVERAGE(BT6:BT16),BT5&gt;BS5+(BS5*0.2))</formula>
    </cfRule>
  </conditionalFormatting>
  <conditionalFormatting sqref="CO5">
    <cfRule type="cellIs" dxfId="26" priority="28" operator="greaterThan">
      <formula>AVERAGE(CO6:CO16)</formula>
    </cfRule>
  </conditionalFormatting>
  <conditionalFormatting sqref="H4">
    <cfRule type="expression" dxfId="25" priority="27">
      <formula>AND(H4&gt;AVERAGE(H5:H15),H4&gt;G4+(G4*0.2))</formula>
    </cfRule>
  </conditionalFormatting>
  <conditionalFormatting sqref="N4">
    <cfRule type="cellIs" dxfId="24" priority="25" operator="lessThan">
      <formula>AVERAGE($N5:N15)-AVERAGE($N5:N15)*0.2</formula>
    </cfRule>
    <cfRule type="cellIs" dxfId="23" priority="26" operator="greaterThan">
      <formula>AVERAGE($N5:N15)+AVERAGE($N5:N15)*0.2</formula>
    </cfRule>
  </conditionalFormatting>
  <conditionalFormatting sqref="N6">
    <cfRule type="cellIs" dxfId="22" priority="23" operator="lessThan">
      <formula>AVERAGE($N7:N17)-AVERAGE($N7:N17)*0.2</formula>
    </cfRule>
    <cfRule type="cellIs" dxfId="21" priority="24" operator="greaterThan">
      <formula>AVERAGE($N7:N17)+AVERAGE($N7:N17)*0.2</formula>
    </cfRule>
  </conditionalFormatting>
  <conditionalFormatting sqref="P3:P4">
    <cfRule type="expression" dxfId="20" priority="22">
      <formula>AND(P3&gt;AVERAGE(P4:P14),P3&gt;O3+(O3*0.2))</formula>
    </cfRule>
  </conditionalFormatting>
  <conditionalFormatting sqref="T3:T4">
    <cfRule type="expression" dxfId="19" priority="21">
      <formula>AND(T3&gt;AVERAGE(T4:T14),T3&gt;S3+(S3*0.2))</formula>
    </cfRule>
  </conditionalFormatting>
  <conditionalFormatting sqref="AI4">
    <cfRule type="expression" dxfId="18" priority="20">
      <formula>AND(AI4&gt;AVERAGE(AI5:AI15),AI4&gt;AJ4+(AJ4*0.2))</formula>
    </cfRule>
  </conditionalFormatting>
  <conditionalFormatting sqref="BE4">
    <cfRule type="cellIs" dxfId="17" priority="19" operator="greaterThan">
      <formula>AVERAGE(BE5:BE15)</formula>
    </cfRule>
  </conditionalFormatting>
  <conditionalFormatting sqref="BH4">
    <cfRule type="expression" dxfId="16" priority="18">
      <formula>AND(BH4&gt;AVERAGE(BH5:BH15),BH4&gt;BG4+(BG4*0.2))</formula>
    </cfRule>
  </conditionalFormatting>
  <conditionalFormatting sqref="BM4">
    <cfRule type="cellIs" dxfId="15" priority="17" operator="greaterThan">
      <formula>AVERAGE(BM5:BM15)</formula>
    </cfRule>
  </conditionalFormatting>
  <conditionalFormatting sqref="BP4">
    <cfRule type="expression" dxfId="14" priority="16">
      <formula>AND(BP4&gt;AVERAGE(BP5:BP15),BP4&gt;BO4+(BO4*0.2))</formula>
    </cfRule>
  </conditionalFormatting>
  <conditionalFormatting sqref="BN3:BN4">
    <cfRule type="cellIs" dxfId="13" priority="14" operator="lessThan">
      <formula>AVERAGE($BN4:BN14)-AVERAGE($BN4:BN14)*0.2</formula>
    </cfRule>
    <cfRule type="cellIs" dxfId="12" priority="15" operator="greaterThan">
      <formula>AVERAGE($BN4:BN14)+AVERAGE($BN4:BN14)*0.2</formula>
    </cfRule>
  </conditionalFormatting>
  <conditionalFormatting sqref="CB4">
    <cfRule type="expression" dxfId="11" priority="13">
      <formula>AND(CB4&gt;AVERAGE(CB5:CB15),CB4&gt;CA4+(CA4*0.2))</formula>
    </cfRule>
  </conditionalFormatting>
  <conditionalFormatting sqref="CN4">
    <cfRule type="expression" dxfId="10" priority="12">
      <formula>AND(CN4&gt;AVERAGE(CN5:CN15),CN4&gt;CM4+(CM4*0.2))</formula>
    </cfRule>
  </conditionalFormatting>
  <conditionalFormatting sqref="CO4">
    <cfRule type="cellIs" dxfId="9" priority="11" operator="greaterThan">
      <formula>AVERAGE(CO5:CO15)</formula>
    </cfRule>
  </conditionalFormatting>
  <conditionalFormatting sqref="K3">
    <cfRule type="cellIs" dxfId="8" priority="10" operator="greaterThan">
      <formula>L3+(L3*0.25)</formula>
    </cfRule>
  </conditionalFormatting>
  <conditionalFormatting sqref="N3">
    <cfRule type="cellIs" dxfId="7" priority="8" operator="lessThan">
      <formula>AVERAGE($N4:N14)-AVERAGE($N4:N14)*0.2</formula>
    </cfRule>
    <cfRule type="cellIs" dxfId="6" priority="9" operator="greaterThan">
      <formula>AVERAGE($N4:N14)+AVERAGE($N4:N14)*0.2</formula>
    </cfRule>
  </conditionalFormatting>
  <conditionalFormatting sqref="V3">
    <cfRule type="cellIs" dxfId="5" priority="6" operator="lessThan">
      <formula>AVERAGE($V4:V14)-AVERAGE($V4:V14)*0.2</formula>
    </cfRule>
    <cfRule type="cellIs" dxfId="4" priority="7" operator="greaterThan">
      <formula>AVERAGE($V4:V14)+AVERAGE($V4:V14)*0.2</formula>
    </cfRule>
  </conditionalFormatting>
  <conditionalFormatting sqref="AA3">
    <cfRule type="cellIs" dxfId="3" priority="5" operator="greaterThan">
      <formula>AB3+(AB3*0.25)</formula>
    </cfRule>
  </conditionalFormatting>
  <conditionalFormatting sqref="AA3">
    <cfRule type="expression" dxfId="2" priority="4">
      <formula>AND(AA3&gt;AVERAGE(AA4:AA14),AA3&gt;AB3+(AB3*0.2))</formula>
    </cfRule>
  </conditionalFormatting>
  <conditionalFormatting sqref="BX3">
    <cfRule type="expression" dxfId="1" priority="3">
      <formula>AND(BX3&gt;AVERAGE(BX4:BX14),BX3&gt;BW3+(BW3*0.2))</formula>
    </cfRule>
  </conditionalFormatting>
  <conditionalFormatting sqref="G3">
    <cfRule type="expression" dxfId="0" priority="1">
      <formula>AND(G3&gt;AVERAGE(G4:G14),G3&gt;H3+(H3*0.2))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71365-D247-FD4C-87C7-6C6F3B1D7CA1}">
  <dimension ref="A1:Z305"/>
  <sheetViews>
    <sheetView workbookViewId="0">
      <selection activeCell="B7" sqref="B7"/>
    </sheetView>
  </sheetViews>
  <sheetFormatPr baseColWidth="10" defaultRowHeight="16" x14ac:dyDescent="0.2"/>
  <cols>
    <col min="2" max="6" width="14.6640625" bestFit="1" customWidth="1"/>
    <col min="7" max="13" width="13.6640625" bestFit="1" customWidth="1"/>
    <col min="15" max="25" width="14.6640625" bestFit="1" customWidth="1"/>
    <col min="26" max="26" width="13.6640625" bestFit="1" customWidth="1"/>
  </cols>
  <sheetData>
    <row r="1" spans="1:26" x14ac:dyDescent="0.2">
      <c r="A1" s="40" t="s">
        <v>105</v>
      </c>
      <c r="B1" s="1494" t="s">
        <v>369</v>
      </c>
      <c r="C1" s="1494"/>
      <c r="D1" s="1494"/>
      <c r="E1" s="1494"/>
      <c r="F1" s="1494"/>
      <c r="G1" s="1494"/>
      <c r="H1" s="1494"/>
      <c r="I1" s="1494"/>
      <c r="J1" s="1494"/>
      <c r="K1" s="1494"/>
      <c r="L1" s="1494"/>
      <c r="M1" s="1494"/>
      <c r="N1" s="41" t="s">
        <v>371</v>
      </c>
      <c r="O1" s="1494" t="s">
        <v>370</v>
      </c>
      <c r="P1" s="1494"/>
      <c r="Q1" s="1494"/>
      <c r="R1" s="1494"/>
      <c r="S1" s="1494"/>
      <c r="T1" s="1494"/>
      <c r="U1" s="1494"/>
      <c r="V1" s="1494"/>
      <c r="W1" s="1494"/>
      <c r="X1" s="1494"/>
      <c r="Y1" s="1494"/>
      <c r="Z1" s="1494"/>
    </row>
    <row r="2" spans="1:26" x14ac:dyDescent="0.2">
      <c r="A2" s="1493" t="s">
        <v>508</v>
      </c>
      <c r="B2" s="21" t="s">
        <v>33</v>
      </c>
      <c r="C2" s="21" t="s">
        <v>17</v>
      </c>
      <c r="D2" s="21" t="s">
        <v>18</v>
      </c>
      <c r="E2" s="21" t="s">
        <v>9</v>
      </c>
      <c r="F2" s="21" t="s">
        <v>21</v>
      </c>
      <c r="G2" s="21" t="s">
        <v>5</v>
      </c>
      <c r="H2" s="21" t="s">
        <v>313</v>
      </c>
      <c r="I2" s="21" t="s">
        <v>23</v>
      </c>
      <c r="J2" s="21" t="s">
        <v>25</v>
      </c>
      <c r="K2" s="21" t="s">
        <v>99</v>
      </c>
      <c r="L2" s="21" t="s">
        <v>70</v>
      </c>
      <c r="M2" s="21" t="s">
        <v>37</v>
      </c>
      <c r="N2" s="1493" t="s">
        <v>509</v>
      </c>
      <c r="O2" s="21" t="s">
        <v>21</v>
      </c>
      <c r="P2" s="21" t="s">
        <v>59</v>
      </c>
      <c r="Q2" s="21" t="s">
        <v>23</v>
      </c>
      <c r="R2" s="21" t="s">
        <v>9</v>
      </c>
      <c r="S2" s="21" t="s">
        <v>171</v>
      </c>
      <c r="T2" s="21" t="s">
        <v>265</v>
      </c>
      <c r="U2" s="21" t="s">
        <v>30</v>
      </c>
      <c r="V2" s="21" t="s">
        <v>25</v>
      </c>
      <c r="W2" s="21" t="s">
        <v>20</v>
      </c>
      <c r="X2" s="21" t="s">
        <v>66</v>
      </c>
      <c r="Y2" s="21" t="s">
        <v>61</v>
      </c>
      <c r="Z2" s="21" t="s">
        <v>18</v>
      </c>
    </row>
    <row r="3" spans="1:26" x14ac:dyDescent="0.2">
      <c r="A3" s="1493" t="s">
        <v>508</v>
      </c>
      <c r="B3" s="4">
        <v>159491380000</v>
      </c>
      <c r="C3" s="4">
        <v>144771710000</v>
      </c>
      <c r="D3" s="4">
        <v>122758110000</v>
      </c>
      <c r="E3" s="4">
        <v>59855900000</v>
      </c>
      <c r="F3" s="4">
        <v>48798110000</v>
      </c>
      <c r="G3" s="4">
        <v>41925870000</v>
      </c>
      <c r="H3" s="4">
        <v>36497600000</v>
      </c>
      <c r="I3" s="4">
        <v>35391400000</v>
      </c>
      <c r="J3" s="4">
        <v>30655710000</v>
      </c>
      <c r="K3" s="4">
        <v>16777300000</v>
      </c>
      <c r="L3" s="4">
        <v>16675680000</v>
      </c>
      <c r="M3" s="4">
        <v>15765820000</v>
      </c>
      <c r="N3" s="1493" t="s">
        <v>509</v>
      </c>
      <c r="O3" s="4">
        <v>731978760000</v>
      </c>
      <c r="P3" s="4">
        <v>196618690000</v>
      </c>
      <c r="Q3" s="4">
        <v>171503280000</v>
      </c>
      <c r="R3" s="4">
        <v>91571830000</v>
      </c>
      <c r="S3" s="4">
        <v>82005740000</v>
      </c>
      <c r="T3" s="4">
        <v>72145840000</v>
      </c>
      <c r="U3" s="4">
        <v>60532050000</v>
      </c>
      <c r="V3" s="4">
        <v>53093090000</v>
      </c>
      <c r="W3" s="4">
        <v>46148252811</v>
      </c>
      <c r="X3" s="4">
        <v>37110580000</v>
      </c>
      <c r="Y3" s="4">
        <v>35452480000</v>
      </c>
      <c r="Z3" s="4">
        <v>25308200000</v>
      </c>
    </row>
    <row r="4" spans="1:26" x14ac:dyDescent="0.2">
      <c r="A4" s="1493" t="s">
        <v>505</v>
      </c>
      <c r="B4" s="21" t="s">
        <v>59</v>
      </c>
      <c r="C4" s="21" t="s">
        <v>21</v>
      </c>
      <c r="D4" s="21" t="s">
        <v>23</v>
      </c>
      <c r="E4" s="21" t="s">
        <v>30</v>
      </c>
      <c r="F4" s="21" t="s">
        <v>28</v>
      </c>
      <c r="G4" s="21" t="s">
        <v>202</v>
      </c>
      <c r="H4" s="21" t="s">
        <v>61</v>
      </c>
      <c r="I4" s="21" t="s">
        <v>66</v>
      </c>
      <c r="J4" s="21" t="s">
        <v>171</v>
      </c>
      <c r="K4" s="21" t="s">
        <v>20</v>
      </c>
      <c r="L4" s="21" t="s">
        <v>9</v>
      </c>
      <c r="M4" s="21" t="s">
        <v>159</v>
      </c>
    </row>
    <row r="5" spans="1:26" x14ac:dyDescent="0.2">
      <c r="A5" s="1493" t="s">
        <v>505</v>
      </c>
      <c r="B5" s="4">
        <v>324051550000</v>
      </c>
      <c r="C5" s="4">
        <v>78192560000</v>
      </c>
      <c r="D5" s="4">
        <v>77000610000</v>
      </c>
      <c r="E5" s="1463">
        <v>53108350000</v>
      </c>
      <c r="F5" s="4">
        <v>29049900000</v>
      </c>
      <c r="G5" s="4">
        <v>15675176765</v>
      </c>
      <c r="H5" s="4">
        <v>15222270000</v>
      </c>
      <c r="I5" s="4">
        <v>14751130000</v>
      </c>
      <c r="J5" s="4">
        <v>14604240000</v>
      </c>
      <c r="K5" s="4">
        <v>12349057149</v>
      </c>
      <c r="L5" s="4">
        <v>10938340000</v>
      </c>
      <c r="M5" s="4">
        <v>8113160000</v>
      </c>
    </row>
    <row r="6" spans="1:26" x14ac:dyDescent="0.2">
      <c r="A6" s="1493" t="s">
        <v>503</v>
      </c>
      <c r="B6" s="21" t="s">
        <v>21</v>
      </c>
      <c r="C6" s="21" t="s">
        <v>33</v>
      </c>
      <c r="D6" s="21" t="s">
        <v>28</v>
      </c>
      <c r="E6" s="21" t="s">
        <v>186</v>
      </c>
      <c r="F6" s="21" t="s">
        <v>66</v>
      </c>
      <c r="G6" s="21" t="s">
        <v>9</v>
      </c>
      <c r="H6" s="21" t="s">
        <v>171</v>
      </c>
      <c r="I6" s="21" t="s">
        <v>30</v>
      </c>
      <c r="J6" s="21" t="s">
        <v>29</v>
      </c>
      <c r="K6" s="21" t="s">
        <v>41</v>
      </c>
      <c r="L6" s="21" t="s">
        <v>42</v>
      </c>
      <c r="M6" s="21" t="s">
        <v>67</v>
      </c>
    </row>
    <row r="7" spans="1:26" x14ac:dyDescent="0.2">
      <c r="A7" s="1493" t="s">
        <v>503</v>
      </c>
      <c r="B7" s="4">
        <v>209682930000</v>
      </c>
      <c r="C7" s="4">
        <v>36969590000</v>
      </c>
      <c r="D7" s="4">
        <v>29896680000</v>
      </c>
      <c r="E7" s="4">
        <v>21054070000</v>
      </c>
      <c r="F7" s="4">
        <v>20130320000</v>
      </c>
      <c r="G7" s="4">
        <v>18576630000</v>
      </c>
      <c r="H7" s="4">
        <v>18573760000</v>
      </c>
      <c r="I7" s="4">
        <v>14990070000</v>
      </c>
      <c r="J7" s="4">
        <v>14095733604</v>
      </c>
      <c r="K7" s="4">
        <v>11569220000</v>
      </c>
      <c r="L7" s="4">
        <v>8489580000</v>
      </c>
      <c r="M7" s="4">
        <v>7691110000</v>
      </c>
    </row>
    <row r="8" spans="1:26" x14ac:dyDescent="0.2">
      <c r="A8" s="1493" t="s">
        <v>500</v>
      </c>
      <c r="B8" s="21" t="s">
        <v>21</v>
      </c>
      <c r="C8" s="21" t="s">
        <v>25</v>
      </c>
      <c r="D8" s="21" t="s">
        <v>23</v>
      </c>
      <c r="E8" s="21" t="s">
        <v>265</v>
      </c>
      <c r="F8" s="21" t="s">
        <v>27</v>
      </c>
      <c r="G8" s="21" t="s">
        <v>171</v>
      </c>
      <c r="H8" s="21" t="s">
        <v>9</v>
      </c>
      <c r="I8" s="21" t="s">
        <v>20</v>
      </c>
      <c r="J8" s="21" t="s">
        <v>279</v>
      </c>
      <c r="K8" s="21" t="s">
        <v>61</v>
      </c>
      <c r="L8" s="21" t="s">
        <v>29</v>
      </c>
      <c r="M8" s="21" t="s">
        <v>65</v>
      </c>
    </row>
    <row r="9" spans="1:26" x14ac:dyDescent="0.2">
      <c r="A9" s="1493" t="s">
        <v>500</v>
      </c>
      <c r="B9" s="4">
        <v>203209600000</v>
      </c>
      <c r="C9" s="4">
        <v>50866340000</v>
      </c>
      <c r="D9" s="4">
        <v>42572070000</v>
      </c>
      <c r="E9" s="4">
        <v>38436490000</v>
      </c>
      <c r="F9" s="4">
        <v>32004450000</v>
      </c>
      <c r="G9" s="4">
        <v>26299460000</v>
      </c>
      <c r="H9" s="4">
        <v>22470960000</v>
      </c>
      <c r="I9" s="4">
        <v>21931523153</v>
      </c>
      <c r="J9" s="4">
        <v>20830300000</v>
      </c>
      <c r="K9" s="4">
        <v>17680990000</v>
      </c>
      <c r="L9" s="4">
        <v>16649108756</v>
      </c>
      <c r="M9" s="4">
        <v>14618090000</v>
      </c>
    </row>
    <row r="10" spans="1:26" x14ac:dyDescent="0.2">
      <c r="A10" s="1493" t="s">
        <v>497</v>
      </c>
      <c r="B10" s="21" t="s">
        <v>21</v>
      </c>
      <c r="C10" s="21" t="s">
        <v>12</v>
      </c>
      <c r="D10" s="21" t="s">
        <v>265</v>
      </c>
      <c r="E10" s="21" t="s">
        <v>23</v>
      </c>
      <c r="F10" s="21" t="s">
        <v>171</v>
      </c>
      <c r="G10" s="21" t="s">
        <v>163</v>
      </c>
      <c r="H10" s="21" t="s">
        <v>25</v>
      </c>
      <c r="I10" s="21" t="s">
        <v>313</v>
      </c>
      <c r="J10" s="21" t="s">
        <v>194</v>
      </c>
      <c r="K10" s="21" t="s">
        <v>67</v>
      </c>
      <c r="L10" s="21" t="s">
        <v>188</v>
      </c>
      <c r="M10" s="21" t="s">
        <v>20</v>
      </c>
    </row>
    <row r="11" spans="1:26" x14ac:dyDescent="0.2">
      <c r="A11" s="1493" t="s">
        <v>497</v>
      </c>
      <c r="B11" s="4">
        <v>192095560000</v>
      </c>
      <c r="C11" s="4">
        <v>94076280000</v>
      </c>
      <c r="D11" s="1446">
        <v>62261110000</v>
      </c>
      <c r="E11" s="4">
        <v>48333590000</v>
      </c>
      <c r="F11" s="4">
        <v>26098690000</v>
      </c>
      <c r="G11" s="4">
        <v>19149100000</v>
      </c>
      <c r="H11" s="4">
        <v>17774840000</v>
      </c>
      <c r="I11" s="4">
        <v>16380970000</v>
      </c>
      <c r="J11" s="4">
        <v>14698120000</v>
      </c>
      <c r="K11" s="4">
        <v>14138020000</v>
      </c>
      <c r="L11" s="4">
        <v>11211770000</v>
      </c>
      <c r="M11" s="4">
        <v>8441557919</v>
      </c>
    </row>
    <row r="12" spans="1:26" x14ac:dyDescent="0.2">
      <c r="A12" s="1493" t="s">
        <v>494</v>
      </c>
      <c r="B12" s="21" t="s">
        <v>21</v>
      </c>
      <c r="C12" s="21" t="s">
        <v>23</v>
      </c>
      <c r="D12" s="21" t="s">
        <v>25</v>
      </c>
      <c r="E12" s="21" t="s">
        <v>14</v>
      </c>
      <c r="F12" s="21" t="s">
        <v>5</v>
      </c>
      <c r="G12" s="21" t="s">
        <v>17</v>
      </c>
      <c r="H12" s="21" t="s">
        <v>79</v>
      </c>
      <c r="I12" s="21" t="s">
        <v>163</v>
      </c>
      <c r="J12" s="21" t="s">
        <v>61</v>
      </c>
      <c r="K12" s="21" t="s">
        <v>33</v>
      </c>
      <c r="L12" s="21" t="s">
        <v>42</v>
      </c>
      <c r="M12" s="21" t="s">
        <v>313</v>
      </c>
      <c r="N12" s="1493" t="s">
        <v>495</v>
      </c>
      <c r="O12" s="21" t="s">
        <v>21</v>
      </c>
      <c r="P12" s="21" t="s">
        <v>17</v>
      </c>
      <c r="Q12" s="21" t="s">
        <v>23</v>
      </c>
      <c r="R12" s="21" t="s">
        <v>12</v>
      </c>
      <c r="S12" s="21" t="s">
        <v>163</v>
      </c>
      <c r="T12" s="21" t="s">
        <v>25</v>
      </c>
      <c r="U12" s="21" t="s">
        <v>171</v>
      </c>
      <c r="V12" s="21" t="s">
        <v>36</v>
      </c>
      <c r="W12" s="21" t="s">
        <v>61</v>
      </c>
      <c r="X12" s="21" t="s">
        <v>14</v>
      </c>
      <c r="Y12" s="21" t="s">
        <v>38</v>
      </c>
      <c r="Z12" s="21" t="s">
        <v>448</v>
      </c>
    </row>
    <row r="13" spans="1:26" x14ac:dyDescent="0.2">
      <c r="A13" s="1493" t="s">
        <v>494</v>
      </c>
      <c r="B13" s="4">
        <v>299840730000</v>
      </c>
      <c r="C13" s="4">
        <v>61144540000</v>
      </c>
      <c r="D13" s="4">
        <v>58765500000</v>
      </c>
      <c r="E13" s="4">
        <v>58380680000</v>
      </c>
      <c r="F13" s="4">
        <v>50320590000</v>
      </c>
      <c r="G13" s="4">
        <v>46677430000</v>
      </c>
      <c r="H13" s="4">
        <v>42875980000</v>
      </c>
      <c r="I13" s="4">
        <v>35573750000</v>
      </c>
      <c r="J13" s="4">
        <v>35168470000</v>
      </c>
      <c r="K13" s="4">
        <v>31668300000</v>
      </c>
      <c r="L13" s="4">
        <v>26638740000</v>
      </c>
      <c r="M13" s="4">
        <v>16834910000</v>
      </c>
      <c r="N13" s="1493" t="s">
        <v>495</v>
      </c>
      <c r="O13" s="4">
        <v>990255640000</v>
      </c>
      <c r="P13" s="4">
        <v>259576840000</v>
      </c>
      <c r="Q13" s="4">
        <v>227649910000</v>
      </c>
      <c r="R13" s="4">
        <v>197138690000</v>
      </c>
      <c r="S13" s="4">
        <v>103809130000</v>
      </c>
      <c r="T13" s="4">
        <v>86668660000</v>
      </c>
      <c r="U13" s="4">
        <v>69673640000</v>
      </c>
      <c r="V13" s="4">
        <v>62171180000</v>
      </c>
      <c r="W13" s="4">
        <v>44612530000</v>
      </c>
      <c r="X13" s="4">
        <v>39332740000</v>
      </c>
      <c r="Y13" s="4">
        <v>35710070000</v>
      </c>
      <c r="Z13" s="4">
        <v>34166852549</v>
      </c>
    </row>
    <row r="14" spans="1:26" x14ac:dyDescent="0.2">
      <c r="A14" s="1493" t="s">
        <v>492</v>
      </c>
      <c r="B14" s="21" t="s">
        <v>12</v>
      </c>
      <c r="C14" s="21" t="s">
        <v>21</v>
      </c>
      <c r="D14" s="21" t="s">
        <v>17</v>
      </c>
      <c r="E14" s="21" t="s">
        <v>23</v>
      </c>
      <c r="F14" s="21" t="s">
        <v>71</v>
      </c>
      <c r="G14" s="21" t="s">
        <v>163</v>
      </c>
      <c r="H14" s="21" t="s">
        <v>36</v>
      </c>
      <c r="I14" s="21" t="s">
        <v>61</v>
      </c>
      <c r="J14" s="21" t="s">
        <v>70</v>
      </c>
      <c r="K14" s="21" t="s">
        <v>9</v>
      </c>
      <c r="L14" s="21" t="s">
        <v>448</v>
      </c>
      <c r="M14" s="21" t="s">
        <v>38</v>
      </c>
    </row>
    <row r="15" spans="1:26" x14ac:dyDescent="0.2">
      <c r="A15" s="1493" t="s">
        <v>492</v>
      </c>
      <c r="B15" s="1418">
        <v>191861290000</v>
      </c>
      <c r="C15" s="4">
        <v>159040570000</v>
      </c>
      <c r="D15" s="4">
        <v>109839830000</v>
      </c>
      <c r="E15" s="4">
        <v>83515980000</v>
      </c>
      <c r="F15" s="4">
        <v>56447590000</v>
      </c>
      <c r="G15" s="4">
        <v>38879170000</v>
      </c>
      <c r="H15" s="4">
        <v>26531620000</v>
      </c>
      <c r="I15" s="4">
        <v>25057060000</v>
      </c>
      <c r="J15" s="4">
        <v>23623310000</v>
      </c>
      <c r="K15" s="4">
        <v>20298090000</v>
      </c>
      <c r="L15" s="1419">
        <v>15928875422</v>
      </c>
      <c r="M15" s="4">
        <v>12636410000</v>
      </c>
    </row>
    <row r="16" spans="1:26" x14ac:dyDescent="0.2">
      <c r="A16" s="1493" t="s">
        <v>491</v>
      </c>
      <c r="B16" s="21" t="s">
        <v>21</v>
      </c>
      <c r="C16" s="21" t="s">
        <v>17</v>
      </c>
      <c r="D16" s="21" t="s">
        <v>33</v>
      </c>
      <c r="E16" s="21" t="s">
        <v>15</v>
      </c>
      <c r="F16" s="21" t="s">
        <v>59</v>
      </c>
      <c r="G16" s="21" t="s">
        <v>12</v>
      </c>
      <c r="H16" s="21" t="s">
        <v>38</v>
      </c>
      <c r="I16" s="21" t="s">
        <v>28</v>
      </c>
      <c r="J16" s="21" t="s">
        <v>25</v>
      </c>
      <c r="K16" s="21" t="s">
        <v>67</v>
      </c>
      <c r="L16" s="21" t="s">
        <v>36</v>
      </c>
      <c r="M16" s="21" t="s">
        <v>171</v>
      </c>
    </row>
    <row r="17" spans="1:26" x14ac:dyDescent="0.2">
      <c r="A17" s="1493" t="s">
        <v>491</v>
      </c>
      <c r="B17" s="1408">
        <v>369893580000</v>
      </c>
      <c r="C17" s="4">
        <v>100580280000</v>
      </c>
      <c r="D17" s="4">
        <v>86025190000</v>
      </c>
      <c r="E17" s="4">
        <v>50389210000</v>
      </c>
      <c r="F17" s="4">
        <v>36293020000</v>
      </c>
      <c r="G17" s="4">
        <v>26243630000</v>
      </c>
      <c r="H17" s="4">
        <v>25919780000</v>
      </c>
      <c r="I17" s="4">
        <v>22683720000</v>
      </c>
      <c r="J17" s="4">
        <v>13656580000</v>
      </c>
      <c r="K17" s="4">
        <v>12812950000</v>
      </c>
      <c r="L17" s="4">
        <v>12535160000</v>
      </c>
      <c r="M17" s="4">
        <v>12309170000</v>
      </c>
    </row>
    <row r="18" spans="1:26" x14ac:dyDescent="0.2">
      <c r="A18" s="1493" t="s">
        <v>485</v>
      </c>
      <c r="B18" s="21" t="s">
        <v>21</v>
      </c>
      <c r="C18" s="21" t="s">
        <v>23</v>
      </c>
      <c r="D18" s="21" t="s">
        <v>17</v>
      </c>
      <c r="E18" s="21" t="s">
        <v>171</v>
      </c>
      <c r="F18" s="21" t="s">
        <v>79</v>
      </c>
      <c r="G18" s="21" t="s">
        <v>77</v>
      </c>
      <c r="H18" s="21" t="s">
        <v>36</v>
      </c>
      <c r="I18" s="21" t="s">
        <v>25</v>
      </c>
      <c r="J18" s="21" t="s">
        <v>8</v>
      </c>
      <c r="K18" s="21" t="s">
        <v>163</v>
      </c>
      <c r="L18" s="21" t="s">
        <v>33</v>
      </c>
      <c r="M18" s="21" t="s">
        <v>448</v>
      </c>
    </row>
    <row r="19" spans="1:26" x14ac:dyDescent="0.2">
      <c r="A19" s="1493" t="s">
        <v>485</v>
      </c>
      <c r="B19" s="4">
        <v>124230090000</v>
      </c>
      <c r="C19" s="4">
        <v>66893530000</v>
      </c>
      <c r="D19" s="4">
        <v>29452360000</v>
      </c>
      <c r="E19" s="4">
        <v>22767320000</v>
      </c>
      <c r="F19" s="4">
        <v>22414170000</v>
      </c>
      <c r="G19" s="4">
        <v>14096070000</v>
      </c>
      <c r="H19" s="4">
        <v>12679460000</v>
      </c>
      <c r="I19" s="4">
        <v>10597390000</v>
      </c>
      <c r="J19" s="4">
        <v>8713310000</v>
      </c>
      <c r="K19" s="4">
        <v>8355720000</v>
      </c>
      <c r="L19" s="4">
        <v>6507950000</v>
      </c>
      <c r="M19" s="798">
        <v>5870633059</v>
      </c>
    </row>
    <row r="20" spans="1:26" x14ac:dyDescent="0.2">
      <c r="A20" s="1493" t="s">
        <v>483</v>
      </c>
      <c r="B20" s="21" t="s">
        <v>11</v>
      </c>
      <c r="C20" s="21" t="s">
        <v>33</v>
      </c>
      <c r="D20" s="21" t="s">
        <v>21</v>
      </c>
      <c r="E20" s="21" t="s">
        <v>171</v>
      </c>
      <c r="F20" s="21" t="s">
        <v>14</v>
      </c>
      <c r="G20" s="21" t="s">
        <v>163</v>
      </c>
      <c r="H20" s="21" t="s">
        <v>457</v>
      </c>
      <c r="I20" s="21" t="s">
        <v>287</v>
      </c>
      <c r="J20" s="21" t="s">
        <v>23</v>
      </c>
      <c r="K20" s="21" t="s">
        <v>72</v>
      </c>
      <c r="L20" s="21" t="s">
        <v>159</v>
      </c>
      <c r="M20" s="21" t="s">
        <v>13</v>
      </c>
    </row>
    <row r="21" spans="1:26" x14ac:dyDescent="0.2">
      <c r="A21" s="1493" t="s">
        <v>483</v>
      </c>
      <c r="B21" s="4">
        <v>63223310000</v>
      </c>
      <c r="C21" s="4">
        <v>52389690000</v>
      </c>
      <c r="D21" s="4">
        <v>37250670000</v>
      </c>
      <c r="E21" s="4">
        <v>18686620000</v>
      </c>
      <c r="F21" s="4">
        <v>12126810000</v>
      </c>
      <c r="G21" s="4">
        <v>11154840000</v>
      </c>
      <c r="H21" s="796">
        <v>10958920000</v>
      </c>
      <c r="I21" s="4">
        <v>10731940000</v>
      </c>
      <c r="J21" s="4">
        <v>9663400000</v>
      </c>
      <c r="K21" s="4">
        <v>8641410000</v>
      </c>
      <c r="L21" s="4">
        <v>8058110000</v>
      </c>
      <c r="M21" s="4">
        <v>7212250000</v>
      </c>
    </row>
    <row r="22" spans="1:26" x14ac:dyDescent="0.2">
      <c r="A22" s="1493" t="s">
        <v>477</v>
      </c>
      <c r="B22" s="21" t="s">
        <v>12</v>
      </c>
      <c r="C22" s="21" t="s">
        <v>163</v>
      </c>
      <c r="D22" s="21" t="s">
        <v>23</v>
      </c>
      <c r="E22" s="21" t="s">
        <v>33</v>
      </c>
      <c r="F22" s="21" t="s">
        <v>21</v>
      </c>
      <c r="G22" s="21" t="s">
        <v>171</v>
      </c>
      <c r="H22" s="21" t="s">
        <v>27</v>
      </c>
      <c r="I22" s="21" t="s">
        <v>36</v>
      </c>
      <c r="J22" s="21" t="s">
        <v>18</v>
      </c>
      <c r="K22" s="21" t="s">
        <v>279</v>
      </c>
      <c r="L22" s="21" t="s">
        <v>165</v>
      </c>
      <c r="M22" s="21" t="s">
        <v>59</v>
      </c>
      <c r="N22" s="1493" t="s">
        <v>478</v>
      </c>
      <c r="O22" s="21" t="s">
        <v>165</v>
      </c>
      <c r="P22" s="21" t="s">
        <v>21</v>
      </c>
      <c r="Q22" s="21" t="s">
        <v>23</v>
      </c>
      <c r="R22" s="21" t="s">
        <v>171</v>
      </c>
      <c r="S22" s="21" t="s">
        <v>12</v>
      </c>
      <c r="T22" s="21" t="s">
        <v>163</v>
      </c>
      <c r="U22" s="21" t="s">
        <v>33</v>
      </c>
      <c r="V22" s="21" t="s">
        <v>28</v>
      </c>
      <c r="W22" s="21" t="s">
        <v>99</v>
      </c>
      <c r="X22" s="21" t="s">
        <v>13</v>
      </c>
      <c r="Y22" s="21" t="s">
        <v>61</v>
      </c>
      <c r="Z22" s="21" t="s">
        <v>69</v>
      </c>
    </row>
    <row r="23" spans="1:26" x14ac:dyDescent="0.2">
      <c r="A23" s="1493" t="s">
        <v>477</v>
      </c>
      <c r="B23" s="4">
        <v>104639360000</v>
      </c>
      <c r="C23" s="4">
        <v>68022070000</v>
      </c>
      <c r="D23" s="4">
        <v>67035570000</v>
      </c>
      <c r="E23" s="4">
        <v>45576990000</v>
      </c>
      <c r="F23" s="4">
        <v>34917280000</v>
      </c>
      <c r="G23" s="4">
        <v>32352230000</v>
      </c>
      <c r="H23" s="4">
        <v>27842630000</v>
      </c>
      <c r="I23" s="4">
        <v>18756590000</v>
      </c>
      <c r="J23" s="4">
        <v>16912650000</v>
      </c>
      <c r="K23" s="4">
        <v>15959800000</v>
      </c>
      <c r="L23" s="4">
        <v>15588460000</v>
      </c>
      <c r="M23" s="4">
        <v>13726990000</v>
      </c>
      <c r="N23" s="1493" t="s">
        <v>478</v>
      </c>
      <c r="O23" s="4">
        <v>438369300000</v>
      </c>
      <c r="P23" s="4">
        <v>232378420000</v>
      </c>
      <c r="Q23" s="4">
        <v>111637560000</v>
      </c>
      <c r="R23" s="4">
        <v>106597890000</v>
      </c>
      <c r="S23" s="4">
        <v>96946400000</v>
      </c>
      <c r="T23" s="4">
        <v>66450740000</v>
      </c>
      <c r="U23" s="4">
        <v>58273630000</v>
      </c>
      <c r="V23" s="4">
        <v>53946640000</v>
      </c>
      <c r="W23" s="4">
        <v>44547830000</v>
      </c>
      <c r="X23" s="4">
        <v>41666990000</v>
      </c>
      <c r="Y23" s="4">
        <v>40691740000</v>
      </c>
      <c r="Z23" s="4">
        <v>40323880000</v>
      </c>
    </row>
    <row r="24" spans="1:26" x14ac:dyDescent="0.2">
      <c r="A24" s="1493" t="s">
        <v>473</v>
      </c>
      <c r="B24" s="21" t="s">
        <v>165</v>
      </c>
      <c r="C24" s="21" t="s">
        <v>33</v>
      </c>
      <c r="D24" s="21" t="s">
        <v>163</v>
      </c>
      <c r="E24" s="21" t="s">
        <v>29</v>
      </c>
      <c r="F24" s="21" t="s">
        <v>28</v>
      </c>
      <c r="G24" s="21" t="s">
        <v>166</v>
      </c>
      <c r="H24" s="21" t="s">
        <v>171</v>
      </c>
      <c r="I24" s="21" t="s">
        <v>25</v>
      </c>
      <c r="J24" s="21" t="s">
        <v>271</v>
      </c>
      <c r="K24" s="21" t="s">
        <v>57</v>
      </c>
      <c r="L24" s="21" t="s">
        <v>190</v>
      </c>
      <c r="M24" s="21" t="s">
        <v>90</v>
      </c>
    </row>
    <row r="25" spans="1:26" x14ac:dyDescent="0.2">
      <c r="A25" s="1493" t="s">
        <v>473</v>
      </c>
      <c r="B25" s="4">
        <v>72170770000</v>
      </c>
      <c r="C25" s="4">
        <v>24703720000</v>
      </c>
      <c r="D25" s="4">
        <v>18049360000</v>
      </c>
      <c r="E25" s="4">
        <v>14161450403</v>
      </c>
      <c r="F25" s="4">
        <v>13850690000</v>
      </c>
      <c r="G25" s="4">
        <v>11228290000</v>
      </c>
      <c r="H25" s="4">
        <v>10374950000</v>
      </c>
      <c r="I25" s="4">
        <v>9343380000</v>
      </c>
      <c r="J25" s="4">
        <v>7223660000</v>
      </c>
      <c r="K25" s="4">
        <v>7199148292</v>
      </c>
      <c r="L25" s="4">
        <v>7182400000</v>
      </c>
      <c r="M25" s="4">
        <v>6588070000</v>
      </c>
    </row>
    <row r="26" spans="1:26" x14ac:dyDescent="0.2">
      <c r="A26" s="1493" t="s">
        <v>472</v>
      </c>
      <c r="B26" s="21" t="s">
        <v>21</v>
      </c>
      <c r="C26" s="21" t="s">
        <v>14</v>
      </c>
      <c r="D26" s="21" t="s">
        <v>13</v>
      </c>
      <c r="E26" s="21" t="s">
        <v>26</v>
      </c>
      <c r="F26" s="21" t="s">
        <v>71</v>
      </c>
      <c r="G26" s="21" t="s">
        <v>99</v>
      </c>
      <c r="H26" s="21" t="s">
        <v>23</v>
      </c>
      <c r="I26" s="21" t="s">
        <v>29</v>
      </c>
      <c r="J26" s="21" t="s">
        <v>42</v>
      </c>
      <c r="K26" s="21" t="s">
        <v>287</v>
      </c>
      <c r="L26" s="21" t="s">
        <v>186</v>
      </c>
      <c r="M26" s="21" t="s">
        <v>28</v>
      </c>
    </row>
    <row r="27" spans="1:26" x14ac:dyDescent="0.2">
      <c r="A27" s="1493" t="s">
        <v>472</v>
      </c>
      <c r="B27" s="4">
        <v>81402430000</v>
      </c>
      <c r="C27" s="4">
        <v>65288360000</v>
      </c>
      <c r="D27" s="4">
        <v>39756500000</v>
      </c>
      <c r="E27" s="793">
        <v>37503920000</v>
      </c>
      <c r="F27" s="4">
        <v>36089020000</v>
      </c>
      <c r="G27" s="4">
        <v>34300810000</v>
      </c>
      <c r="H27" s="4">
        <v>32222560000</v>
      </c>
      <c r="I27" s="4">
        <v>32065036641</v>
      </c>
      <c r="J27" s="4">
        <v>25355820000</v>
      </c>
      <c r="K27" s="4">
        <v>24791640000</v>
      </c>
      <c r="L27" s="4">
        <v>23839970000</v>
      </c>
      <c r="M27" s="4">
        <v>22050700000</v>
      </c>
    </row>
    <row r="28" spans="1:26" x14ac:dyDescent="0.2">
      <c r="A28" s="1493" t="s">
        <v>428</v>
      </c>
      <c r="B28" s="21" t="s">
        <v>21</v>
      </c>
      <c r="C28" s="21" t="s">
        <v>12</v>
      </c>
      <c r="D28" s="21" t="s">
        <v>171</v>
      </c>
      <c r="E28" s="21" t="s">
        <v>163</v>
      </c>
      <c r="F28" s="21" t="s">
        <v>70</v>
      </c>
      <c r="G28" s="21" t="s">
        <v>61</v>
      </c>
      <c r="H28" s="21" t="s">
        <v>11</v>
      </c>
      <c r="I28" s="21" t="s">
        <v>5</v>
      </c>
      <c r="J28" s="21" t="s">
        <v>38</v>
      </c>
      <c r="K28" s="21" t="s">
        <v>28</v>
      </c>
      <c r="L28" s="21" t="s">
        <v>7</v>
      </c>
      <c r="M28" s="21" t="s">
        <v>17</v>
      </c>
    </row>
    <row r="29" spans="1:26" x14ac:dyDescent="0.2">
      <c r="A29" s="1493" t="s">
        <v>428</v>
      </c>
      <c r="B29" s="4">
        <v>99558020000</v>
      </c>
      <c r="C29" s="4">
        <v>40511640000</v>
      </c>
      <c r="D29" s="4">
        <v>32879900000</v>
      </c>
      <c r="E29" s="4">
        <v>26596370000</v>
      </c>
      <c r="F29" s="4">
        <v>17535210000</v>
      </c>
      <c r="G29" s="4">
        <v>17442720000</v>
      </c>
      <c r="H29" s="4">
        <v>13475790000</v>
      </c>
      <c r="I29" s="4">
        <v>12597570000</v>
      </c>
      <c r="J29" s="4">
        <v>12387920000</v>
      </c>
      <c r="K29" s="4">
        <v>12217790000</v>
      </c>
      <c r="L29" s="4">
        <v>10930388853</v>
      </c>
      <c r="M29" s="4">
        <v>9827370000</v>
      </c>
    </row>
    <row r="30" spans="1:26" x14ac:dyDescent="0.2">
      <c r="A30" s="1493" t="s">
        <v>427</v>
      </c>
      <c r="B30" s="21" t="s">
        <v>165</v>
      </c>
      <c r="C30" s="21" t="s">
        <v>33</v>
      </c>
      <c r="D30" s="21" t="s">
        <v>6</v>
      </c>
      <c r="E30" s="21" t="s">
        <v>5</v>
      </c>
      <c r="F30" s="21" t="s">
        <v>37</v>
      </c>
      <c r="G30" s="21" t="s">
        <v>23</v>
      </c>
      <c r="H30" s="21" t="s">
        <v>188</v>
      </c>
      <c r="I30" s="21" t="s">
        <v>14</v>
      </c>
      <c r="J30" s="21" t="s">
        <v>61</v>
      </c>
      <c r="K30" s="21" t="s">
        <v>86</v>
      </c>
      <c r="L30" s="21" t="s">
        <v>28</v>
      </c>
      <c r="M30" s="21" t="s">
        <v>313</v>
      </c>
    </row>
    <row r="31" spans="1:26" x14ac:dyDescent="0.2">
      <c r="A31" s="1493" t="s">
        <v>427</v>
      </c>
      <c r="B31" s="4">
        <v>354317710000</v>
      </c>
      <c r="C31" s="4">
        <v>61321430000</v>
      </c>
      <c r="D31" s="4">
        <v>30883680000</v>
      </c>
      <c r="E31" s="4">
        <v>28820200000</v>
      </c>
      <c r="F31" s="4">
        <v>27219790000</v>
      </c>
      <c r="G31" s="4">
        <v>25126940000</v>
      </c>
      <c r="H31" s="4">
        <v>24418420000</v>
      </c>
      <c r="I31" s="4">
        <v>21041110000</v>
      </c>
      <c r="J31" s="4">
        <v>20464430000</v>
      </c>
      <c r="K31" s="4">
        <v>20231990000</v>
      </c>
      <c r="L31" s="4">
        <v>19150530000</v>
      </c>
      <c r="M31" s="4">
        <v>18565790000</v>
      </c>
    </row>
    <row r="32" spans="1:26" x14ac:dyDescent="0.2">
      <c r="A32" s="1493" t="s">
        <v>425</v>
      </c>
      <c r="B32" s="21" t="s">
        <v>165</v>
      </c>
      <c r="C32" s="21" t="s">
        <v>17</v>
      </c>
      <c r="D32" s="21" t="s">
        <v>6</v>
      </c>
      <c r="E32" s="21" t="s">
        <v>29</v>
      </c>
      <c r="F32" s="21" t="s">
        <v>14</v>
      </c>
      <c r="G32" s="21" t="s">
        <v>296</v>
      </c>
      <c r="H32" s="21" t="s">
        <v>67</v>
      </c>
      <c r="I32" s="21" t="s">
        <v>38</v>
      </c>
      <c r="J32" s="21" t="s">
        <v>7</v>
      </c>
      <c r="K32" s="21" t="s">
        <v>171</v>
      </c>
      <c r="L32" s="21" t="s">
        <v>28</v>
      </c>
      <c r="M32" s="21" t="s">
        <v>263</v>
      </c>
      <c r="N32" s="1493" t="s">
        <v>426</v>
      </c>
      <c r="O32" s="21" t="s">
        <v>165</v>
      </c>
      <c r="P32" s="21" t="s">
        <v>17</v>
      </c>
      <c r="Q32" s="21" t="s">
        <v>58</v>
      </c>
      <c r="R32" s="21" t="s">
        <v>59</v>
      </c>
      <c r="S32" s="21" t="s">
        <v>18</v>
      </c>
      <c r="T32" s="21" t="s">
        <v>265</v>
      </c>
      <c r="U32" s="21" t="s">
        <v>38</v>
      </c>
      <c r="V32" s="21" t="s">
        <v>13</v>
      </c>
      <c r="W32" s="21" t="s">
        <v>61</v>
      </c>
      <c r="X32" s="21" t="s">
        <v>263</v>
      </c>
      <c r="Y32" s="21" t="s">
        <v>12</v>
      </c>
      <c r="Z32" s="21" t="s">
        <v>171</v>
      </c>
    </row>
    <row r="33" spans="1:26" x14ac:dyDescent="0.2">
      <c r="A33" s="1493" t="s">
        <v>425</v>
      </c>
      <c r="B33" s="788">
        <v>406909180000</v>
      </c>
      <c r="C33" s="4">
        <v>176522870000</v>
      </c>
      <c r="D33" s="4">
        <v>33860020000</v>
      </c>
      <c r="E33" s="4">
        <v>24104887946</v>
      </c>
      <c r="F33" s="4">
        <v>20023090000</v>
      </c>
      <c r="G33" s="4">
        <v>17596750000</v>
      </c>
      <c r="H33" s="4">
        <v>16645070000</v>
      </c>
      <c r="I33" s="4">
        <v>15183900000</v>
      </c>
      <c r="J33" s="4">
        <v>12909166295</v>
      </c>
      <c r="K33" s="4">
        <v>10400940000</v>
      </c>
      <c r="L33" s="4">
        <v>9800230000</v>
      </c>
      <c r="M33" s="4">
        <v>7708290751</v>
      </c>
      <c r="N33" s="1493" t="s">
        <v>426</v>
      </c>
      <c r="O33" s="4">
        <v>436850100000</v>
      </c>
      <c r="P33" s="4">
        <v>274332090000</v>
      </c>
      <c r="Q33" s="4">
        <v>165718510000</v>
      </c>
      <c r="R33" s="4">
        <v>110712790000</v>
      </c>
      <c r="S33" s="4">
        <v>100938370000</v>
      </c>
      <c r="T33" s="4">
        <v>88725530000</v>
      </c>
      <c r="U33" s="4">
        <v>88394220000</v>
      </c>
      <c r="V33" s="4">
        <v>70992280000</v>
      </c>
      <c r="W33" s="4">
        <v>57727090000</v>
      </c>
      <c r="X33" s="4">
        <v>54910799191</v>
      </c>
      <c r="Y33" s="4">
        <v>52809940000</v>
      </c>
      <c r="Z33" s="4">
        <v>51586220000</v>
      </c>
    </row>
    <row r="34" spans="1:26" x14ac:dyDescent="0.2">
      <c r="A34" s="1493" t="s">
        <v>424</v>
      </c>
      <c r="B34" s="21" t="s">
        <v>59</v>
      </c>
      <c r="C34" s="21" t="s">
        <v>13</v>
      </c>
      <c r="D34" s="21" t="s">
        <v>296</v>
      </c>
      <c r="E34" s="21" t="s">
        <v>17</v>
      </c>
      <c r="F34" s="21" t="s">
        <v>166</v>
      </c>
      <c r="G34" s="21" t="s">
        <v>14</v>
      </c>
      <c r="H34" s="21" t="s">
        <v>265</v>
      </c>
      <c r="I34" s="21" t="s">
        <v>18</v>
      </c>
      <c r="J34" s="21" t="s">
        <v>79</v>
      </c>
      <c r="K34" s="21" t="s">
        <v>61</v>
      </c>
      <c r="L34" s="21" t="s">
        <v>28</v>
      </c>
      <c r="M34" s="21" t="s">
        <v>165</v>
      </c>
    </row>
    <row r="35" spans="1:26" x14ac:dyDescent="0.2">
      <c r="A35" s="1493" t="s">
        <v>424</v>
      </c>
      <c r="B35" s="4">
        <v>466307260000</v>
      </c>
      <c r="C35" s="784">
        <v>322907990000</v>
      </c>
      <c r="D35" s="4">
        <v>161597900000</v>
      </c>
      <c r="E35" s="4">
        <v>130649250000</v>
      </c>
      <c r="F35" s="785">
        <v>106070860000</v>
      </c>
      <c r="G35" s="4">
        <v>53614440000</v>
      </c>
      <c r="H35" s="786">
        <v>48098160000</v>
      </c>
      <c r="I35" s="4">
        <v>30059950000</v>
      </c>
      <c r="J35" s="4">
        <v>28476440000</v>
      </c>
      <c r="K35" s="4">
        <v>24306450000</v>
      </c>
      <c r="L35" s="4">
        <v>23996040000</v>
      </c>
      <c r="M35" s="4">
        <v>21455620000</v>
      </c>
    </row>
    <row r="36" spans="1:26" x14ac:dyDescent="0.2">
      <c r="A36" s="1493" t="s">
        <v>423</v>
      </c>
      <c r="B36" s="21" t="s">
        <v>17</v>
      </c>
      <c r="C36" s="21" t="s">
        <v>33</v>
      </c>
      <c r="D36" s="21" t="s">
        <v>12</v>
      </c>
      <c r="E36" s="21" t="s">
        <v>79</v>
      </c>
      <c r="F36" s="21" t="s">
        <v>163</v>
      </c>
      <c r="G36" s="21" t="s">
        <v>18</v>
      </c>
      <c r="H36" s="21" t="s">
        <v>13</v>
      </c>
      <c r="I36" s="21" t="s">
        <v>265</v>
      </c>
      <c r="J36" s="21" t="s">
        <v>313</v>
      </c>
      <c r="K36" s="21" t="s">
        <v>27</v>
      </c>
      <c r="L36" s="21" t="s">
        <v>7</v>
      </c>
      <c r="M36" s="21" t="s">
        <v>67</v>
      </c>
    </row>
    <row r="37" spans="1:26" x14ac:dyDescent="0.2">
      <c r="A37" s="1493" t="s">
        <v>423</v>
      </c>
      <c r="B37" s="4">
        <v>162744660000</v>
      </c>
      <c r="C37" s="779">
        <v>161531120000</v>
      </c>
      <c r="D37" s="780">
        <v>128528010000</v>
      </c>
      <c r="E37" s="4">
        <v>102200360000</v>
      </c>
      <c r="F37" s="781">
        <v>85909470000</v>
      </c>
      <c r="G37" s="4">
        <v>60208460000</v>
      </c>
      <c r="H37" s="4">
        <v>36629710000</v>
      </c>
      <c r="I37" s="4">
        <v>33925830000</v>
      </c>
      <c r="J37" s="4">
        <v>27535880000</v>
      </c>
      <c r="K37" s="4">
        <v>20308100000</v>
      </c>
      <c r="L37" s="4">
        <v>19512268088</v>
      </c>
      <c r="M37" s="4">
        <v>18559430000</v>
      </c>
    </row>
    <row r="38" spans="1:26" x14ac:dyDescent="0.2">
      <c r="A38" s="1493" t="s">
        <v>422</v>
      </c>
      <c r="B38" s="21" t="s">
        <v>58</v>
      </c>
      <c r="C38" s="21" t="s">
        <v>33</v>
      </c>
      <c r="D38" s="21" t="s">
        <v>65</v>
      </c>
      <c r="E38" s="21" t="s">
        <v>36</v>
      </c>
      <c r="F38" s="21" t="s">
        <v>14</v>
      </c>
      <c r="G38" s="21" t="s">
        <v>59</v>
      </c>
      <c r="H38" s="21" t="s">
        <v>287</v>
      </c>
      <c r="I38" s="21" t="s">
        <v>186</v>
      </c>
      <c r="J38" s="21" t="s">
        <v>12</v>
      </c>
      <c r="K38" s="21" t="s">
        <v>13</v>
      </c>
      <c r="L38" s="21" t="s">
        <v>171</v>
      </c>
      <c r="M38" s="21" t="s">
        <v>18</v>
      </c>
    </row>
    <row r="39" spans="1:26" x14ac:dyDescent="0.2">
      <c r="A39" s="1493" t="s">
        <v>422</v>
      </c>
      <c r="B39" s="4">
        <v>81521440000</v>
      </c>
      <c r="C39" s="4">
        <v>61275960000</v>
      </c>
      <c r="D39" s="4">
        <v>39886520000</v>
      </c>
      <c r="E39" s="4">
        <v>28719410000</v>
      </c>
      <c r="F39" s="4">
        <v>27934320000</v>
      </c>
      <c r="G39" s="4">
        <v>27250300000</v>
      </c>
      <c r="H39" s="4">
        <v>24562620000</v>
      </c>
      <c r="I39" s="4">
        <v>24393660000</v>
      </c>
      <c r="J39" s="4">
        <v>22671630000</v>
      </c>
      <c r="K39" s="4">
        <v>19528770000</v>
      </c>
      <c r="L39" s="4">
        <v>15766560000</v>
      </c>
      <c r="M39" s="4">
        <v>13496320000</v>
      </c>
    </row>
    <row r="40" spans="1:26" x14ac:dyDescent="0.2">
      <c r="A40" s="1493" t="s">
        <v>420</v>
      </c>
      <c r="B40" s="21" t="s">
        <v>58</v>
      </c>
      <c r="C40" s="21" t="s">
        <v>38</v>
      </c>
      <c r="D40" s="21" t="s">
        <v>61</v>
      </c>
      <c r="E40" s="21" t="s">
        <v>171</v>
      </c>
      <c r="F40" s="21" t="s">
        <v>280</v>
      </c>
      <c r="G40" s="21" t="s">
        <v>291</v>
      </c>
      <c r="H40" s="21" t="s">
        <v>90</v>
      </c>
      <c r="I40" s="21" t="s">
        <v>89</v>
      </c>
      <c r="J40" s="21" t="s">
        <v>77</v>
      </c>
      <c r="K40" s="21" t="s">
        <v>183</v>
      </c>
      <c r="L40" s="21" t="s">
        <v>62</v>
      </c>
      <c r="M40" s="21" t="s">
        <v>63</v>
      </c>
    </row>
    <row r="41" spans="1:26" x14ac:dyDescent="0.2">
      <c r="A41" s="1493" t="s">
        <v>420</v>
      </c>
      <c r="B41" s="4">
        <v>76641390000</v>
      </c>
      <c r="C41" s="4">
        <v>48883650000</v>
      </c>
      <c r="D41" s="4">
        <v>27041500000</v>
      </c>
      <c r="E41" s="4">
        <v>14337700000</v>
      </c>
      <c r="F41" s="775">
        <v>12025234552</v>
      </c>
      <c r="G41" s="4">
        <v>10990310000</v>
      </c>
      <c r="H41" s="4">
        <v>10202250000</v>
      </c>
      <c r="I41" s="4">
        <v>8678340000</v>
      </c>
      <c r="J41" s="4">
        <v>6669150000</v>
      </c>
      <c r="K41" s="4">
        <v>6461680000</v>
      </c>
      <c r="L41" s="4">
        <v>6426320000</v>
      </c>
      <c r="M41" s="4">
        <v>6386776735</v>
      </c>
    </row>
    <row r="42" spans="1:26" x14ac:dyDescent="0.2">
      <c r="A42" s="1493" t="s">
        <v>418</v>
      </c>
      <c r="B42" s="21" t="s">
        <v>65</v>
      </c>
      <c r="C42" s="21" t="s">
        <v>25</v>
      </c>
      <c r="D42" s="21" t="s">
        <v>61</v>
      </c>
      <c r="E42" s="21" t="s">
        <v>26</v>
      </c>
      <c r="F42" s="21" t="s">
        <v>36</v>
      </c>
      <c r="G42" s="21" t="s">
        <v>163</v>
      </c>
      <c r="H42" s="21" t="s">
        <v>169</v>
      </c>
      <c r="I42" s="21" t="s">
        <v>170</v>
      </c>
      <c r="J42" s="21" t="s">
        <v>325</v>
      </c>
      <c r="K42" s="21" t="s">
        <v>302</v>
      </c>
      <c r="L42" s="21" t="s">
        <v>263</v>
      </c>
      <c r="M42" s="21" t="s">
        <v>77</v>
      </c>
      <c r="N42" s="1493" t="s">
        <v>419</v>
      </c>
      <c r="O42" s="21" t="s">
        <v>59</v>
      </c>
      <c r="P42" s="21" t="s">
        <v>38</v>
      </c>
      <c r="Q42" s="21" t="s">
        <v>36</v>
      </c>
      <c r="R42" s="21" t="s">
        <v>35</v>
      </c>
      <c r="S42" s="21" t="s">
        <v>25</v>
      </c>
      <c r="T42" s="21" t="s">
        <v>163</v>
      </c>
      <c r="U42" s="21" t="s">
        <v>263</v>
      </c>
      <c r="V42" s="21" t="s">
        <v>61</v>
      </c>
      <c r="W42" s="21" t="s">
        <v>65</v>
      </c>
      <c r="X42" s="21" t="s">
        <v>300</v>
      </c>
      <c r="Y42" s="21" t="s">
        <v>169</v>
      </c>
      <c r="Z42" s="21" t="s">
        <v>15</v>
      </c>
    </row>
    <row r="43" spans="1:26" x14ac:dyDescent="0.2">
      <c r="A43" s="1493" t="s">
        <v>418</v>
      </c>
      <c r="B43" s="4">
        <v>42214690000</v>
      </c>
      <c r="C43" s="4">
        <v>27174900000</v>
      </c>
      <c r="D43" s="4">
        <v>26109470000</v>
      </c>
      <c r="E43" s="4">
        <v>19420730000</v>
      </c>
      <c r="F43" s="4">
        <v>15960120000</v>
      </c>
      <c r="G43" s="4">
        <v>14327210000</v>
      </c>
      <c r="H43" s="4">
        <v>13674900000</v>
      </c>
      <c r="I43" s="4">
        <v>10793140000</v>
      </c>
      <c r="J43" s="4">
        <v>10179320000</v>
      </c>
      <c r="K43" s="4">
        <v>9405260000</v>
      </c>
      <c r="L43" s="4">
        <v>8964837633</v>
      </c>
      <c r="M43" s="4">
        <v>8545590000</v>
      </c>
      <c r="N43" s="1493" t="s">
        <v>419</v>
      </c>
      <c r="O43" s="4">
        <v>473408290000</v>
      </c>
      <c r="P43" s="4">
        <v>130440800000</v>
      </c>
      <c r="Q43" s="4">
        <v>112034070000</v>
      </c>
      <c r="R43" s="4">
        <v>104294230000</v>
      </c>
      <c r="S43" s="4">
        <v>101944340000</v>
      </c>
      <c r="T43" s="4">
        <v>87550980000</v>
      </c>
      <c r="U43" s="4">
        <v>84446983709</v>
      </c>
      <c r="V43" s="4">
        <v>82403660000</v>
      </c>
      <c r="W43" s="4">
        <v>75622890000</v>
      </c>
      <c r="X43" s="4">
        <v>49399640000</v>
      </c>
      <c r="Y43" s="4">
        <v>44685800000</v>
      </c>
      <c r="Z43" s="4">
        <v>42074770000</v>
      </c>
    </row>
    <row r="44" spans="1:26" x14ac:dyDescent="0.2">
      <c r="A44" s="1493" t="s">
        <v>417</v>
      </c>
      <c r="B44" s="21" t="s">
        <v>59</v>
      </c>
      <c r="C44" s="21" t="s">
        <v>13</v>
      </c>
      <c r="D44" s="21" t="s">
        <v>296</v>
      </c>
      <c r="E44" s="21" t="s">
        <v>166</v>
      </c>
      <c r="F44" s="21" t="s">
        <v>38</v>
      </c>
      <c r="G44" s="21" t="s">
        <v>61</v>
      </c>
      <c r="H44" s="21" t="s">
        <v>313</v>
      </c>
      <c r="I44" s="21" t="s">
        <v>72</v>
      </c>
      <c r="J44" s="21" t="s">
        <v>25</v>
      </c>
      <c r="K44" s="21" t="s">
        <v>64</v>
      </c>
      <c r="L44" s="21" t="s">
        <v>169</v>
      </c>
      <c r="M44" s="21" t="s">
        <v>9</v>
      </c>
    </row>
    <row r="45" spans="1:26" x14ac:dyDescent="0.2">
      <c r="A45" s="1493" t="s">
        <v>417</v>
      </c>
      <c r="B45" s="4">
        <v>412531850000</v>
      </c>
      <c r="C45" s="770">
        <v>314425630000</v>
      </c>
      <c r="D45" s="771">
        <v>163795610000</v>
      </c>
      <c r="E45" s="772">
        <v>101928420000</v>
      </c>
      <c r="F45" s="4">
        <v>61644950000</v>
      </c>
      <c r="G45" s="4">
        <v>40705930000</v>
      </c>
      <c r="H45" s="4">
        <v>32083410000</v>
      </c>
      <c r="I45" s="4">
        <v>30856410000</v>
      </c>
      <c r="J45" s="4">
        <v>28337920000</v>
      </c>
      <c r="K45" s="4">
        <v>26679400000</v>
      </c>
      <c r="L45" s="4">
        <v>24367730000</v>
      </c>
      <c r="M45" s="4">
        <v>23383530000</v>
      </c>
    </row>
    <row r="46" spans="1:26" x14ac:dyDescent="0.2">
      <c r="A46" s="1493" t="s">
        <v>416</v>
      </c>
      <c r="B46" s="21" t="s">
        <v>35</v>
      </c>
      <c r="C46" s="21" t="s">
        <v>14</v>
      </c>
      <c r="D46" s="21" t="s">
        <v>25</v>
      </c>
      <c r="E46" s="21" t="s">
        <v>300</v>
      </c>
      <c r="F46" s="21" t="s">
        <v>15</v>
      </c>
      <c r="G46" s="21" t="s">
        <v>38</v>
      </c>
      <c r="H46" s="21" t="s">
        <v>67</v>
      </c>
      <c r="I46" s="21" t="s">
        <v>36</v>
      </c>
      <c r="J46" s="21" t="s">
        <v>163</v>
      </c>
      <c r="K46" s="21" t="s">
        <v>186</v>
      </c>
      <c r="L46" s="21" t="s">
        <v>8</v>
      </c>
      <c r="M46" s="21" t="s">
        <v>77</v>
      </c>
    </row>
    <row r="47" spans="1:26" x14ac:dyDescent="0.2">
      <c r="A47" s="1493" t="s">
        <v>416</v>
      </c>
      <c r="B47" s="4">
        <v>109996820000</v>
      </c>
      <c r="C47" s="4">
        <v>36220060000</v>
      </c>
      <c r="D47" s="4">
        <v>30988180000</v>
      </c>
      <c r="E47" s="767">
        <v>30429660000</v>
      </c>
      <c r="F47" s="4">
        <v>28216560000</v>
      </c>
      <c r="G47" s="4">
        <v>28007620000</v>
      </c>
      <c r="H47" s="4">
        <v>26433650000</v>
      </c>
      <c r="I47" s="4">
        <v>22799310000</v>
      </c>
      <c r="J47" s="4">
        <v>21650350000</v>
      </c>
      <c r="K47" s="4">
        <v>11782040000</v>
      </c>
      <c r="L47" s="4">
        <v>11457360000</v>
      </c>
      <c r="M47" s="768">
        <v>10624080000</v>
      </c>
    </row>
    <row r="48" spans="1:26" x14ac:dyDescent="0.2">
      <c r="A48" s="1493" t="s">
        <v>414</v>
      </c>
      <c r="B48" s="21" t="s">
        <v>59</v>
      </c>
      <c r="C48" s="21" t="s">
        <v>15</v>
      </c>
      <c r="D48" s="21" t="s">
        <v>38</v>
      </c>
      <c r="E48" s="21" t="s">
        <v>163</v>
      </c>
      <c r="F48" s="21" t="s">
        <v>36</v>
      </c>
      <c r="G48" s="21" t="s">
        <v>296</v>
      </c>
      <c r="H48" s="21" t="s">
        <v>99</v>
      </c>
      <c r="I48" s="21" t="s">
        <v>186</v>
      </c>
      <c r="J48" s="21" t="s">
        <v>8</v>
      </c>
      <c r="K48" s="21" t="s">
        <v>86</v>
      </c>
      <c r="L48" s="21" t="s">
        <v>71</v>
      </c>
      <c r="M48" s="21" t="s">
        <v>24</v>
      </c>
    </row>
    <row r="49" spans="1:26" x14ac:dyDescent="0.2">
      <c r="A49" s="1493" t="s">
        <v>414</v>
      </c>
      <c r="B49" s="766">
        <v>576999690000</v>
      </c>
      <c r="C49" s="4">
        <v>69120040000</v>
      </c>
      <c r="D49" s="4">
        <v>50774480000</v>
      </c>
      <c r="E49" s="4">
        <v>45828570000</v>
      </c>
      <c r="F49" s="4">
        <v>41315770000</v>
      </c>
      <c r="G49" s="4">
        <v>33548130000</v>
      </c>
      <c r="H49" s="4">
        <v>19375730000</v>
      </c>
      <c r="I49" s="4">
        <v>15449270000</v>
      </c>
      <c r="J49" s="4">
        <v>13300340000</v>
      </c>
      <c r="K49" s="4">
        <v>13042180000</v>
      </c>
      <c r="L49" s="4">
        <v>12988150000</v>
      </c>
      <c r="M49" s="4">
        <v>11900810000</v>
      </c>
    </row>
    <row r="50" spans="1:26" x14ac:dyDescent="0.2">
      <c r="A50" s="1493" t="s">
        <v>413</v>
      </c>
      <c r="B50" s="21" t="s">
        <v>21</v>
      </c>
      <c r="C50" s="21" t="s">
        <v>69</v>
      </c>
      <c r="D50" s="21" t="s">
        <v>263</v>
      </c>
      <c r="E50" s="21" t="s">
        <v>58</v>
      </c>
      <c r="F50" s="21" t="s">
        <v>28</v>
      </c>
      <c r="G50" s="21" t="s">
        <v>65</v>
      </c>
      <c r="H50" s="21" t="s">
        <v>163</v>
      </c>
      <c r="I50" s="21" t="s">
        <v>36</v>
      </c>
      <c r="J50" s="21" t="s">
        <v>61</v>
      </c>
      <c r="K50" s="21" t="s">
        <v>25</v>
      </c>
      <c r="L50" s="21" t="s">
        <v>15</v>
      </c>
      <c r="M50" s="21" t="s">
        <v>87</v>
      </c>
    </row>
    <row r="51" spans="1:26" x14ac:dyDescent="0.2">
      <c r="A51" s="1493" t="s">
        <v>413</v>
      </c>
      <c r="B51" s="4">
        <v>116688750000</v>
      </c>
      <c r="C51" s="761">
        <v>81957450000</v>
      </c>
      <c r="D51" s="4">
        <v>42724032887</v>
      </c>
      <c r="E51" s="4">
        <v>36583720000</v>
      </c>
      <c r="F51" s="4">
        <v>34272590000</v>
      </c>
      <c r="G51" s="4">
        <v>25935860000</v>
      </c>
      <c r="H51" s="4">
        <v>16054920000</v>
      </c>
      <c r="I51" s="4">
        <v>13476740000</v>
      </c>
      <c r="J51" s="4">
        <v>12809700000</v>
      </c>
      <c r="K51" s="4">
        <v>12736550000</v>
      </c>
      <c r="L51" s="4">
        <v>10652510000</v>
      </c>
      <c r="M51" s="4">
        <v>9970580000</v>
      </c>
    </row>
    <row r="52" spans="1:26" x14ac:dyDescent="0.2">
      <c r="A52" s="1493" t="s">
        <v>367</v>
      </c>
      <c r="B52" s="21" t="s">
        <v>58</v>
      </c>
      <c r="C52" s="21" t="s">
        <v>5</v>
      </c>
      <c r="D52" s="21" t="s">
        <v>163</v>
      </c>
      <c r="E52" s="21" t="s">
        <v>29</v>
      </c>
      <c r="F52" s="21" t="s">
        <v>265</v>
      </c>
      <c r="G52" s="21" t="s">
        <v>36</v>
      </c>
      <c r="H52" s="21" t="s">
        <v>12</v>
      </c>
      <c r="I52" s="21" t="s">
        <v>13</v>
      </c>
      <c r="J52" s="21" t="s">
        <v>25</v>
      </c>
      <c r="K52" s="21" t="s">
        <v>71</v>
      </c>
      <c r="L52" s="21" t="s">
        <v>263</v>
      </c>
      <c r="M52" s="21" t="s">
        <v>21</v>
      </c>
      <c r="N52" s="1493" t="s">
        <v>398</v>
      </c>
      <c r="O52" s="21" t="s">
        <v>58</v>
      </c>
      <c r="P52" s="21" t="s">
        <v>163</v>
      </c>
      <c r="Q52" s="21" t="s">
        <v>29</v>
      </c>
      <c r="R52" s="21" t="s">
        <v>263</v>
      </c>
      <c r="S52" s="21" t="s">
        <v>265</v>
      </c>
      <c r="T52" s="21" t="s">
        <v>38</v>
      </c>
      <c r="U52" s="21" t="s">
        <v>9</v>
      </c>
      <c r="V52" s="21" t="s">
        <v>62</v>
      </c>
      <c r="W52" s="21" t="s">
        <v>159</v>
      </c>
      <c r="X52" s="21" t="s">
        <v>65</v>
      </c>
      <c r="Y52" s="21" t="s">
        <v>87</v>
      </c>
      <c r="Z52" s="21" t="s">
        <v>313</v>
      </c>
    </row>
    <row r="53" spans="1:26" x14ac:dyDescent="0.2">
      <c r="A53" s="1493" t="s">
        <v>367</v>
      </c>
      <c r="B53" s="4">
        <v>98287450000</v>
      </c>
      <c r="C53" s="4">
        <v>64484530000</v>
      </c>
      <c r="D53" s="4">
        <v>56805690000</v>
      </c>
      <c r="E53" s="4">
        <v>48556327041</v>
      </c>
      <c r="F53" s="4">
        <v>39753130000</v>
      </c>
      <c r="G53" s="4">
        <v>35176920000</v>
      </c>
      <c r="H53" s="4">
        <v>32783170000</v>
      </c>
      <c r="I53" s="4">
        <v>22057440000</v>
      </c>
      <c r="J53" s="4">
        <v>20984420000</v>
      </c>
      <c r="K53" s="4">
        <v>19868570000</v>
      </c>
      <c r="L53" s="4">
        <v>17971288897</v>
      </c>
      <c r="M53" s="4">
        <v>16424960000</v>
      </c>
      <c r="N53" s="1493" t="s">
        <v>398</v>
      </c>
      <c r="O53" s="4">
        <v>194472510000</v>
      </c>
      <c r="P53" s="4">
        <v>188206150000</v>
      </c>
      <c r="Q53" s="4">
        <v>114131145340</v>
      </c>
      <c r="R53" s="4">
        <v>92237212474</v>
      </c>
      <c r="S53" s="4">
        <v>56255840000</v>
      </c>
      <c r="T53" s="4">
        <v>54028180000</v>
      </c>
      <c r="U53" s="4">
        <v>44072000000</v>
      </c>
      <c r="V53" s="4">
        <v>37746010000</v>
      </c>
      <c r="W53" s="4">
        <v>28355950000</v>
      </c>
      <c r="X53" s="4">
        <v>27300420000</v>
      </c>
      <c r="Y53" s="4">
        <v>27198150000</v>
      </c>
      <c r="Z53" s="4">
        <v>27161200000</v>
      </c>
    </row>
    <row r="54" spans="1:26" x14ac:dyDescent="0.2">
      <c r="A54" s="1493" t="s">
        <v>365</v>
      </c>
      <c r="B54" s="21" t="s">
        <v>58</v>
      </c>
      <c r="C54" s="21" t="s">
        <v>33</v>
      </c>
      <c r="D54" s="21" t="s">
        <v>29</v>
      </c>
      <c r="E54" s="21" t="s">
        <v>59</v>
      </c>
      <c r="F54" s="21" t="s">
        <v>6</v>
      </c>
      <c r="G54" s="21" t="s">
        <v>38</v>
      </c>
      <c r="H54" s="21" t="s">
        <v>67</v>
      </c>
      <c r="I54" s="21" t="s">
        <v>163</v>
      </c>
      <c r="J54" s="21" t="s">
        <v>263</v>
      </c>
      <c r="K54" s="21" t="s">
        <v>63</v>
      </c>
      <c r="L54" s="21" t="s">
        <v>99</v>
      </c>
      <c r="M54" s="21" t="s">
        <v>20</v>
      </c>
    </row>
    <row r="55" spans="1:26" x14ac:dyDescent="0.2">
      <c r="A55" s="1493" t="s">
        <v>365</v>
      </c>
      <c r="B55" s="4">
        <v>40784520000</v>
      </c>
      <c r="C55" s="4">
        <v>22308220000</v>
      </c>
      <c r="D55" s="4">
        <v>17103440088</v>
      </c>
      <c r="E55" s="4">
        <v>16955370000</v>
      </c>
      <c r="F55" s="4">
        <v>16549960000</v>
      </c>
      <c r="G55" s="4">
        <v>16493920000</v>
      </c>
      <c r="H55" s="4">
        <v>15825850000</v>
      </c>
      <c r="I55" s="4">
        <v>15347100000</v>
      </c>
      <c r="J55" s="4">
        <v>10566329749</v>
      </c>
      <c r="K55" s="4">
        <v>8262338078</v>
      </c>
      <c r="L55" s="4">
        <v>6805700000</v>
      </c>
      <c r="M55" s="4">
        <v>6332649369</v>
      </c>
    </row>
    <row r="56" spans="1:26" x14ac:dyDescent="0.2">
      <c r="A56" s="1493" t="s">
        <v>364</v>
      </c>
      <c r="B56" s="21" t="s">
        <v>163</v>
      </c>
      <c r="C56" s="21" t="s">
        <v>59</v>
      </c>
      <c r="D56" s="21" t="s">
        <v>15</v>
      </c>
      <c r="E56" s="21" t="s">
        <v>263</v>
      </c>
      <c r="F56" s="21" t="s">
        <v>29</v>
      </c>
      <c r="G56" s="21" t="s">
        <v>23</v>
      </c>
      <c r="H56" s="21" t="s">
        <v>287</v>
      </c>
      <c r="I56" s="21" t="s">
        <v>62</v>
      </c>
      <c r="J56" s="21" t="s">
        <v>38</v>
      </c>
      <c r="K56" s="21" t="s">
        <v>36</v>
      </c>
      <c r="L56" s="21" t="s">
        <v>58</v>
      </c>
      <c r="M56" s="21" t="s">
        <v>76</v>
      </c>
    </row>
    <row r="57" spans="1:26" x14ac:dyDescent="0.2">
      <c r="A57" s="1493" t="s">
        <v>364</v>
      </c>
      <c r="B57" s="754">
        <v>76998500000</v>
      </c>
      <c r="C57" s="4">
        <v>36801220000</v>
      </c>
      <c r="D57" s="4">
        <v>33968670000</v>
      </c>
      <c r="E57" s="4">
        <v>25621866406</v>
      </c>
      <c r="F57" s="4">
        <v>24931400921</v>
      </c>
      <c r="G57" s="4">
        <v>19485940000</v>
      </c>
      <c r="H57" s="4">
        <v>18929100000</v>
      </c>
      <c r="I57" s="4">
        <v>18483080000</v>
      </c>
      <c r="J57" s="4">
        <v>17898690000</v>
      </c>
      <c r="K57" s="4">
        <v>16891180000</v>
      </c>
      <c r="L57" s="4">
        <v>16227120000</v>
      </c>
      <c r="M57" s="4">
        <v>15953650000</v>
      </c>
    </row>
    <row r="58" spans="1:26" x14ac:dyDescent="0.2">
      <c r="A58" s="1493" t="s">
        <v>363</v>
      </c>
      <c r="B58" s="21" t="s">
        <v>58</v>
      </c>
      <c r="C58" s="21" t="s">
        <v>163</v>
      </c>
      <c r="D58" s="21" t="s">
        <v>33</v>
      </c>
      <c r="E58" s="21" t="s">
        <v>14</v>
      </c>
      <c r="F58" s="21" t="s">
        <v>27</v>
      </c>
      <c r="G58" s="21" t="s">
        <v>29</v>
      </c>
      <c r="H58" s="21" t="s">
        <v>59</v>
      </c>
      <c r="I58" s="21" t="s">
        <v>38</v>
      </c>
      <c r="J58" s="21" t="s">
        <v>87</v>
      </c>
      <c r="K58" s="21" t="s">
        <v>23</v>
      </c>
      <c r="L58" s="21" t="s">
        <v>263</v>
      </c>
      <c r="M58" s="21" t="s">
        <v>12</v>
      </c>
    </row>
    <row r="59" spans="1:26" x14ac:dyDescent="0.2">
      <c r="A59" s="1493" t="s">
        <v>363</v>
      </c>
      <c r="B59" s="4">
        <v>48638700000</v>
      </c>
      <c r="C59" s="4">
        <v>46591290000</v>
      </c>
      <c r="D59" s="4">
        <v>46265740000</v>
      </c>
      <c r="E59" s="4">
        <v>33844560000</v>
      </c>
      <c r="F59" s="4">
        <v>25851680000</v>
      </c>
      <c r="G59" s="4">
        <v>24606288732</v>
      </c>
      <c r="H59" s="4">
        <v>19454510000</v>
      </c>
      <c r="I59" s="4">
        <v>15723980000</v>
      </c>
      <c r="J59" s="4">
        <v>14408580000</v>
      </c>
      <c r="K59" s="4">
        <v>13620290000</v>
      </c>
      <c r="L59" s="4">
        <v>12826024318</v>
      </c>
      <c r="M59" s="4">
        <v>8996070000</v>
      </c>
    </row>
    <row r="60" spans="1:26" x14ac:dyDescent="0.2">
      <c r="A60" s="1493" t="s">
        <v>362</v>
      </c>
      <c r="B60" s="21" t="s">
        <v>15</v>
      </c>
      <c r="C60" s="21" t="s">
        <v>9</v>
      </c>
      <c r="D60" s="21" t="s">
        <v>263</v>
      </c>
      <c r="E60" s="21" t="s">
        <v>42</v>
      </c>
      <c r="F60" s="21" t="s">
        <v>68</v>
      </c>
      <c r="G60" s="21" t="s">
        <v>265</v>
      </c>
      <c r="H60" s="21" t="s">
        <v>62</v>
      </c>
      <c r="I60" s="21" t="s">
        <v>26</v>
      </c>
      <c r="J60" s="21" t="s">
        <v>20</v>
      </c>
      <c r="K60" s="21" t="s">
        <v>169</v>
      </c>
      <c r="L60" s="21" t="s">
        <v>207</v>
      </c>
      <c r="M60" s="21" t="s">
        <v>87</v>
      </c>
    </row>
    <row r="61" spans="1:26" x14ac:dyDescent="0.2">
      <c r="A61" s="1493" t="s">
        <v>362</v>
      </c>
      <c r="B61" s="4">
        <v>73712390000</v>
      </c>
      <c r="C61" s="4">
        <v>38845310000</v>
      </c>
      <c r="D61" s="4">
        <v>25251703104</v>
      </c>
      <c r="E61" s="4">
        <v>21132010000</v>
      </c>
      <c r="F61" s="4">
        <v>16768700000</v>
      </c>
      <c r="G61" s="4">
        <v>14761850000</v>
      </c>
      <c r="H61" s="4">
        <v>14414200000</v>
      </c>
      <c r="I61" s="4">
        <v>11747270000</v>
      </c>
      <c r="J61" s="4">
        <v>10857071575</v>
      </c>
      <c r="K61" s="4">
        <v>10593770000</v>
      </c>
      <c r="L61" s="4">
        <v>8747150000</v>
      </c>
      <c r="M61" s="4">
        <v>8612260000</v>
      </c>
    </row>
    <row r="62" spans="1:26" x14ac:dyDescent="0.2">
      <c r="A62" s="1493" t="s">
        <v>358</v>
      </c>
      <c r="B62" s="21" t="s">
        <v>25</v>
      </c>
      <c r="C62" s="21" t="s">
        <v>67</v>
      </c>
      <c r="D62" s="21" t="s">
        <v>263</v>
      </c>
      <c r="E62" s="21" t="s">
        <v>38</v>
      </c>
      <c r="F62" s="21" t="s">
        <v>28</v>
      </c>
      <c r="G62" s="21" t="s">
        <v>21</v>
      </c>
      <c r="H62" s="21" t="s">
        <v>313</v>
      </c>
      <c r="I62" s="21" t="s">
        <v>186</v>
      </c>
      <c r="J62" s="21" t="s">
        <v>7</v>
      </c>
      <c r="K62" s="21" t="s">
        <v>29</v>
      </c>
      <c r="L62" s="21" t="s">
        <v>20</v>
      </c>
      <c r="M62" s="21" t="s">
        <v>90</v>
      </c>
      <c r="N62" s="1493" t="s">
        <v>397</v>
      </c>
      <c r="O62" s="21" t="s">
        <v>67</v>
      </c>
      <c r="P62" s="21" t="s">
        <v>25</v>
      </c>
      <c r="Q62" s="21" t="s">
        <v>38</v>
      </c>
      <c r="R62" s="21" t="s">
        <v>9</v>
      </c>
      <c r="S62" s="21" t="s">
        <v>29</v>
      </c>
      <c r="T62" s="21" t="s">
        <v>28</v>
      </c>
      <c r="U62" s="21" t="s">
        <v>23</v>
      </c>
      <c r="V62" s="21" t="s">
        <v>263</v>
      </c>
      <c r="W62" s="21" t="s">
        <v>20</v>
      </c>
      <c r="X62" s="21" t="s">
        <v>313</v>
      </c>
      <c r="Y62" s="21" t="s">
        <v>61</v>
      </c>
      <c r="Z62" s="21" t="s">
        <v>296</v>
      </c>
    </row>
    <row r="63" spans="1:26" x14ac:dyDescent="0.2">
      <c r="A63" s="1493" t="s">
        <v>358</v>
      </c>
      <c r="B63" s="4">
        <v>42872690000</v>
      </c>
      <c r="C63" s="4">
        <v>39077650000</v>
      </c>
      <c r="D63" s="4">
        <v>31721431019</v>
      </c>
      <c r="E63" s="4">
        <v>31531660000</v>
      </c>
      <c r="F63" s="4">
        <v>26652690000</v>
      </c>
      <c r="G63" s="4">
        <v>22283020000</v>
      </c>
      <c r="H63" s="4">
        <v>20805950000</v>
      </c>
      <c r="I63" s="4">
        <v>19781820000</v>
      </c>
      <c r="J63" s="4">
        <v>18054199608</v>
      </c>
      <c r="K63" s="4">
        <v>16687636065</v>
      </c>
      <c r="L63" s="4">
        <v>16311213324</v>
      </c>
      <c r="M63" s="4">
        <v>11912200000</v>
      </c>
      <c r="N63" s="1493" t="s">
        <v>397</v>
      </c>
      <c r="O63" s="4">
        <v>124575240000</v>
      </c>
      <c r="P63" s="4">
        <v>114105850000</v>
      </c>
      <c r="Q63" s="4">
        <v>86224610000</v>
      </c>
      <c r="R63" s="4">
        <v>80607400000</v>
      </c>
      <c r="S63" s="4">
        <v>78771875500</v>
      </c>
      <c r="T63" s="4">
        <v>73380520000</v>
      </c>
      <c r="U63" s="4">
        <v>70115370000</v>
      </c>
      <c r="V63" s="4">
        <v>70049554566</v>
      </c>
      <c r="W63" s="4">
        <v>54667381088</v>
      </c>
      <c r="X63" s="4">
        <v>46929480000</v>
      </c>
      <c r="Y63" s="4">
        <v>29992490000</v>
      </c>
      <c r="Z63" s="4">
        <v>28868750000</v>
      </c>
    </row>
    <row r="64" spans="1:26" x14ac:dyDescent="0.2">
      <c r="A64" s="1493" t="s">
        <v>354</v>
      </c>
      <c r="B64" s="21" t="s">
        <v>17</v>
      </c>
      <c r="C64" s="21" t="s">
        <v>38</v>
      </c>
      <c r="D64" s="21" t="s">
        <v>67</v>
      </c>
      <c r="E64" s="21" t="s">
        <v>25</v>
      </c>
      <c r="F64" s="21" t="s">
        <v>14</v>
      </c>
      <c r="G64" s="21" t="s">
        <v>28</v>
      </c>
      <c r="H64" s="21" t="s">
        <v>13</v>
      </c>
      <c r="I64" s="21" t="s">
        <v>168</v>
      </c>
      <c r="J64" s="21" t="s">
        <v>35</v>
      </c>
      <c r="K64" s="21" t="s">
        <v>42</v>
      </c>
      <c r="L64" s="21" t="s">
        <v>90</v>
      </c>
      <c r="M64" s="21" t="s">
        <v>190</v>
      </c>
    </row>
    <row r="65" spans="1:26" x14ac:dyDescent="0.2">
      <c r="A65" s="1493" t="s">
        <v>354</v>
      </c>
      <c r="B65" s="4">
        <v>105638310000</v>
      </c>
      <c r="C65" s="4">
        <v>51981640000</v>
      </c>
      <c r="D65" s="4">
        <v>42721330000</v>
      </c>
      <c r="E65" s="4">
        <v>28466980000</v>
      </c>
      <c r="F65" s="4">
        <v>26898790000</v>
      </c>
      <c r="G65" s="4">
        <v>23059950000</v>
      </c>
      <c r="H65" s="4">
        <v>20466560000</v>
      </c>
      <c r="I65" s="4">
        <v>16126560000</v>
      </c>
      <c r="J65" s="4">
        <v>14925580000</v>
      </c>
      <c r="K65" s="4">
        <v>13951610000</v>
      </c>
      <c r="L65" s="4">
        <v>13589980000</v>
      </c>
      <c r="M65" s="753">
        <v>11375620000</v>
      </c>
    </row>
    <row r="66" spans="1:26" x14ac:dyDescent="0.2">
      <c r="A66" s="1493" t="s">
        <v>353</v>
      </c>
      <c r="B66" s="21" t="s">
        <v>79</v>
      </c>
      <c r="C66" s="21" t="s">
        <v>71</v>
      </c>
      <c r="D66" s="21" t="s">
        <v>23</v>
      </c>
      <c r="E66" s="21" t="s">
        <v>13</v>
      </c>
      <c r="F66" s="21" t="s">
        <v>61</v>
      </c>
      <c r="G66" s="21" t="s">
        <v>29</v>
      </c>
      <c r="H66" s="21" t="s">
        <v>263</v>
      </c>
      <c r="I66" s="21" t="s">
        <v>279</v>
      </c>
      <c r="J66" s="21" t="s">
        <v>67</v>
      </c>
      <c r="K66" s="21" t="s">
        <v>38</v>
      </c>
      <c r="L66" s="21" t="s">
        <v>25</v>
      </c>
      <c r="M66" s="21" t="s">
        <v>36</v>
      </c>
    </row>
    <row r="67" spans="1:26" x14ac:dyDescent="0.2">
      <c r="A67" s="1493" t="s">
        <v>353</v>
      </c>
      <c r="B67" s="4">
        <v>79804570000</v>
      </c>
      <c r="C67" s="4">
        <v>42769050000</v>
      </c>
      <c r="D67" s="4">
        <v>36708130000</v>
      </c>
      <c r="E67" s="4">
        <v>33747920000</v>
      </c>
      <c r="F67" s="4">
        <v>33218140000</v>
      </c>
      <c r="G67" s="4">
        <v>25149114075</v>
      </c>
      <c r="H67" s="4">
        <v>16154402608</v>
      </c>
      <c r="I67" s="4">
        <v>16147560000</v>
      </c>
      <c r="J67" s="4">
        <v>15171020000</v>
      </c>
      <c r="K67" s="4">
        <v>14918970000</v>
      </c>
      <c r="L67" s="4">
        <v>13726700000</v>
      </c>
      <c r="M67" s="4">
        <v>13539210000</v>
      </c>
    </row>
    <row r="68" spans="1:26" x14ac:dyDescent="0.2">
      <c r="A68" s="1493" t="s">
        <v>352</v>
      </c>
      <c r="B68" s="21" t="s">
        <v>9</v>
      </c>
      <c r="C68" s="21" t="s">
        <v>271</v>
      </c>
      <c r="D68" s="21" t="s">
        <v>23</v>
      </c>
      <c r="E68" s="21" t="s">
        <v>265</v>
      </c>
      <c r="F68" s="21" t="s">
        <v>79</v>
      </c>
      <c r="G68" s="21" t="s">
        <v>25</v>
      </c>
      <c r="H68" s="21" t="s">
        <v>29</v>
      </c>
      <c r="I68" s="21" t="s">
        <v>42</v>
      </c>
      <c r="J68" s="21" t="s">
        <v>87</v>
      </c>
      <c r="K68" s="21" t="s">
        <v>15</v>
      </c>
      <c r="L68" s="21" t="s">
        <v>8</v>
      </c>
      <c r="M68" s="21" t="s">
        <v>67</v>
      </c>
    </row>
    <row r="69" spans="1:26" x14ac:dyDescent="0.2">
      <c r="A69" s="1493" t="s">
        <v>352</v>
      </c>
      <c r="B69" s="751">
        <v>86304280000</v>
      </c>
      <c r="C69" s="4">
        <v>40820580000</v>
      </c>
      <c r="D69" s="4">
        <v>36955340000</v>
      </c>
      <c r="E69" s="4">
        <v>35359590000</v>
      </c>
      <c r="F69" s="4">
        <v>35125830000</v>
      </c>
      <c r="G69" s="4">
        <v>30237930000</v>
      </c>
      <c r="H69" s="4">
        <v>25688301232</v>
      </c>
      <c r="I69" s="4">
        <v>24289080000</v>
      </c>
      <c r="J69" s="4">
        <v>19871280000</v>
      </c>
      <c r="K69" s="4">
        <v>19598880000</v>
      </c>
      <c r="L69" s="4">
        <v>17779430000</v>
      </c>
      <c r="M69" s="4">
        <v>17431030000</v>
      </c>
    </row>
    <row r="70" spans="1:26" x14ac:dyDescent="0.2">
      <c r="A70" s="1493" t="s">
        <v>347</v>
      </c>
      <c r="B70" s="21" t="s">
        <v>79</v>
      </c>
      <c r="C70" s="21" t="s">
        <v>21</v>
      </c>
      <c r="D70" s="21" t="s">
        <v>296</v>
      </c>
      <c r="E70" s="21" t="s">
        <v>23</v>
      </c>
      <c r="F70" s="21" t="s">
        <v>37</v>
      </c>
      <c r="G70" s="21" t="s">
        <v>12</v>
      </c>
      <c r="H70" s="21" t="s">
        <v>20</v>
      </c>
      <c r="I70" s="21" t="s">
        <v>263</v>
      </c>
      <c r="J70" s="21" t="s">
        <v>325</v>
      </c>
      <c r="K70" s="21" t="s">
        <v>99</v>
      </c>
      <c r="L70" s="21" t="s">
        <v>29</v>
      </c>
      <c r="M70" s="21" t="s">
        <v>85</v>
      </c>
    </row>
    <row r="71" spans="1:26" x14ac:dyDescent="0.2">
      <c r="A71" s="1493" t="s">
        <v>347</v>
      </c>
      <c r="B71" s="4">
        <v>57149660000</v>
      </c>
      <c r="C71" s="4">
        <v>46615540000</v>
      </c>
      <c r="D71" s="4">
        <v>42417110000</v>
      </c>
      <c r="E71" s="4">
        <v>30624870000</v>
      </c>
      <c r="F71" s="4">
        <v>26155550000</v>
      </c>
      <c r="G71" s="4">
        <v>25649900000</v>
      </c>
      <c r="H71" s="4">
        <v>23460846245</v>
      </c>
      <c r="I71" s="4">
        <v>22192791840</v>
      </c>
      <c r="J71" s="4">
        <v>17437730000</v>
      </c>
      <c r="K71" s="4">
        <v>16833950000</v>
      </c>
      <c r="L71" s="4">
        <v>15878263657</v>
      </c>
      <c r="M71" s="4">
        <v>15203800000</v>
      </c>
    </row>
    <row r="72" spans="1:26" x14ac:dyDescent="0.2">
      <c r="A72" s="1493" t="s">
        <v>346</v>
      </c>
      <c r="B72" s="21" t="s">
        <v>97</v>
      </c>
      <c r="C72" s="21" t="s">
        <v>279</v>
      </c>
      <c r="D72" s="21" t="s">
        <v>27</v>
      </c>
      <c r="E72" s="21" t="s">
        <v>37</v>
      </c>
      <c r="F72" s="21" t="s">
        <v>184</v>
      </c>
      <c r="G72" s="21" t="s">
        <v>38</v>
      </c>
      <c r="H72" s="21" t="s">
        <v>7</v>
      </c>
      <c r="I72" s="21" t="s">
        <v>8</v>
      </c>
      <c r="J72" s="21" t="s">
        <v>296</v>
      </c>
      <c r="K72" s="21" t="s">
        <v>263</v>
      </c>
      <c r="L72" s="21" t="s">
        <v>70</v>
      </c>
      <c r="M72" s="21" t="s">
        <v>61</v>
      </c>
      <c r="N72" s="1493" t="s">
        <v>396</v>
      </c>
      <c r="O72" s="21" t="s">
        <v>263</v>
      </c>
      <c r="P72" s="21" t="s">
        <v>37</v>
      </c>
      <c r="Q72" s="21" t="s">
        <v>279</v>
      </c>
      <c r="R72" s="21" t="s">
        <v>271</v>
      </c>
      <c r="S72" s="21" t="s">
        <v>38</v>
      </c>
      <c r="T72" s="21" t="s">
        <v>97</v>
      </c>
      <c r="U72" s="21" t="s">
        <v>296</v>
      </c>
      <c r="V72" s="21" t="s">
        <v>7</v>
      </c>
      <c r="W72" s="21" t="s">
        <v>325</v>
      </c>
      <c r="X72" s="21" t="s">
        <v>42</v>
      </c>
      <c r="Y72" s="21" t="s">
        <v>168</v>
      </c>
      <c r="Z72" s="21" t="s">
        <v>71</v>
      </c>
    </row>
    <row r="73" spans="1:26" x14ac:dyDescent="0.2">
      <c r="A73" s="1493" t="s">
        <v>346</v>
      </c>
      <c r="B73" s="4">
        <v>60661160000</v>
      </c>
      <c r="C73" s="746">
        <v>56368580000</v>
      </c>
      <c r="D73" s="747">
        <v>43053350000</v>
      </c>
      <c r="E73" s="4">
        <v>32027820000</v>
      </c>
      <c r="F73" s="748">
        <v>28999950000</v>
      </c>
      <c r="G73" s="4">
        <v>28407670000</v>
      </c>
      <c r="H73" s="4">
        <v>22577410619</v>
      </c>
      <c r="I73" s="4">
        <v>19576670000</v>
      </c>
      <c r="J73" s="4">
        <v>18939960000</v>
      </c>
      <c r="K73" s="4">
        <v>17689293582</v>
      </c>
      <c r="L73" s="4">
        <v>14695040000</v>
      </c>
      <c r="M73" s="4">
        <v>14660840000</v>
      </c>
      <c r="N73" s="1493" t="s">
        <v>396</v>
      </c>
      <c r="O73" s="4">
        <v>198699610867</v>
      </c>
      <c r="P73" s="4">
        <v>166271900000</v>
      </c>
      <c r="Q73" s="4">
        <v>159566710000</v>
      </c>
      <c r="R73" s="4">
        <v>116608690000</v>
      </c>
      <c r="S73" s="4">
        <v>98811010000</v>
      </c>
      <c r="T73" s="4">
        <v>97064060000</v>
      </c>
      <c r="U73" s="4">
        <v>95489330000</v>
      </c>
      <c r="V73" s="4">
        <v>77379522362</v>
      </c>
      <c r="W73" s="4">
        <v>76986890000</v>
      </c>
      <c r="X73" s="4">
        <v>60571130000</v>
      </c>
      <c r="Y73" s="4">
        <v>47374160000</v>
      </c>
      <c r="Z73" s="4">
        <v>36960720000</v>
      </c>
    </row>
    <row r="74" spans="1:26" x14ac:dyDescent="0.2">
      <c r="A74" s="1493" t="s">
        <v>345</v>
      </c>
      <c r="B74" s="21" t="s">
        <v>37</v>
      </c>
      <c r="C74" s="21" t="s">
        <v>21</v>
      </c>
      <c r="D74" s="21" t="s">
        <v>15</v>
      </c>
      <c r="E74" s="21" t="s">
        <v>38</v>
      </c>
      <c r="F74" s="21" t="s">
        <v>325</v>
      </c>
      <c r="G74" s="21" t="s">
        <v>28</v>
      </c>
      <c r="H74" s="21" t="s">
        <v>7</v>
      </c>
      <c r="I74" s="21" t="s">
        <v>263</v>
      </c>
      <c r="J74" s="21" t="s">
        <v>26</v>
      </c>
      <c r="K74" s="21" t="s">
        <v>23</v>
      </c>
      <c r="L74" s="21" t="s">
        <v>168</v>
      </c>
      <c r="M74" s="21" t="s">
        <v>17</v>
      </c>
    </row>
    <row r="75" spans="1:26" x14ac:dyDescent="0.2">
      <c r="A75" s="1493" t="s">
        <v>345</v>
      </c>
      <c r="B75" s="744">
        <v>108709280000</v>
      </c>
      <c r="C75" s="4">
        <v>49340200000</v>
      </c>
      <c r="D75" s="4">
        <v>41297840000</v>
      </c>
      <c r="E75" s="4">
        <v>37589860000</v>
      </c>
      <c r="F75" s="4">
        <v>27726090000</v>
      </c>
      <c r="G75" s="4">
        <v>21796800000</v>
      </c>
      <c r="H75" s="4">
        <v>21657610022</v>
      </c>
      <c r="I75" s="4">
        <v>20437207664</v>
      </c>
      <c r="J75" s="4">
        <v>16376830000</v>
      </c>
      <c r="K75" s="4">
        <v>14555700000</v>
      </c>
      <c r="L75" s="4">
        <v>13556850000</v>
      </c>
      <c r="M75" s="4">
        <v>11192650000</v>
      </c>
    </row>
    <row r="76" spans="1:26" x14ac:dyDescent="0.2">
      <c r="A76" s="1493" t="s">
        <v>344</v>
      </c>
      <c r="B76" s="21" t="s">
        <v>271</v>
      </c>
      <c r="C76" s="21" t="s">
        <v>17</v>
      </c>
      <c r="D76" s="21" t="s">
        <v>68</v>
      </c>
      <c r="E76" s="21" t="s">
        <v>263</v>
      </c>
      <c r="F76" s="21" t="s">
        <v>38</v>
      </c>
      <c r="G76" s="21" t="s">
        <v>279</v>
      </c>
      <c r="H76" s="21" t="s">
        <v>325</v>
      </c>
      <c r="I76" s="21" t="s">
        <v>69</v>
      </c>
      <c r="J76" s="21" t="s">
        <v>28</v>
      </c>
      <c r="K76" s="21" t="s">
        <v>7</v>
      </c>
      <c r="L76" s="21" t="s">
        <v>26</v>
      </c>
      <c r="M76" s="21" t="s">
        <v>20</v>
      </c>
    </row>
    <row r="77" spans="1:26" x14ac:dyDescent="0.2">
      <c r="A77" s="1493" t="s">
        <v>344</v>
      </c>
      <c r="B77" s="742">
        <v>70195610000</v>
      </c>
      <c r="C77" s="4">
        <v>61904620000</v>
      </c>
      <c r="D77" s="743">
        <v>53765870000</v>
      </c>
      <c r="E77" s="4">
        <v>47422677529</v>
      </c>
      <c r="F77" s="4">
        <v>37402430000</v>
      </c>
      <c r="G77" s="4">
        <v>28092470000</v>
      </c>
      <c r="H77" s="4">
        <v>26414280000</v>
      </c>
      <c r="I77" s="4">
        <v>20183180000</v>
      </c>
      <c r="J77" s="4">
        <v>18850250000</v>
      </c>
      <c r="K77" s="4">
        <v>14858252494</v>
      </c>
      <c r="L77" s="4">
        <v>7822310000</v>
      </c>
      <c r="M77" s="4">
        <v>7701557037</v>
      </c>
    </row>
    <row r="78" spans="1:26" x14ac:dyDescent="0.2">
      <c r="A78" s="1493" t="s">
        <v>343</v>
      </c>
      <c r="B78" s="21" t="s">
        <v>263</v>
      </c>
      <c r="C78" s="21" t="s">
        <v>71</v>
      </c>
      <c r="D78" s="21" t="s">
        <v>42</v>
      </c>
      <c r="E78" s="21" t="s">
        <v>279</v>
      </c>
      <c r="F78" s="21" t="s">
        <v>65</v>
      </c>
      <c r="G78" s="21" t="s">
        <v>271</v>
      </c>
      <c r="H78" s="21" t="s">
        <v>168</v>
      </c>
      <c r="I78" s="21" t="s">
        <v>262</v>
      </c>
      <c r="J78" s="21" t="s">
        <v>37</v>
      </c>
      <c r="K78" s="21" t="s">
        <v>7</v>
      </c>
      <c r="L78" s="21" t="s">
        <v>291</v>
      </c>
      <c r="M78" s="21" t="s">
        <v>325</v>
      </c>
    </row>
    <row r="79" spans="1:26" x14ac:dyDescent="0.2">
      <c r="A79" s="1493" t="s">
        <v>343</v>
      </c>
      <c r="B79" s="739">
        <v>101237567321</v>
      </c>
      <c r="C79" s="4">
        <v>47801330000</v>
      </c>
      <c r="D79" s="4">
        <v>46620880000</v>
      </c>
      <c r="E79" s="740">
        <v>37402010000</v>
      </c>
      <c r="F79" s="4">
        <v>35448840000</v>
      </c>
      <c r="G79" s="4">
        <v>30641990000</v>
      </c>
      <c r="H79" s="4">
        <v>22565510000</v>
      </c>
      <c r="I79" s="741">
        <v>20559600000</v>
      </c>
      <c r="J79" s="4">
        <v>20069150000</v>
      </c>
      <c r="K79" s="4">
        <v>18289610121</v>
      </c>
      <c r="L79" s="4">
        <v>17229870000</v>
      </c>
      <c r="M79" s="4">
        <v>15810730000</v>
      </c>
    </row>
    <row r="80" spans="1:26" x14ac:dyDescent="0.2">
      <c r="A80" s="1493" t="s">
        <v>341</v>
      </c>
      <c r="B80" s="21" t="s">
        <v>42</v>
      </c>
      <c r="C80" s="21" t="s">
        <v>296</v>
      </c>
      <c r="D80" s="21" t="s">
        <v>87</v>
      </c>
      <c r="E80" s="21" t="s">
        <v>97</v>
      </c>
      <c r="F80" s="21" t="s">
        <v>279</v>
      </c>
      <c r="G80" s="21" t="s">
        <v>66</v>
      </c>
      <c r="H80" s="21" t="s">
        <v>17</v>
      </c>
      <c r="I80" s="21" t="s">
        <v>25</v>
      </c>
      <c r="J80" s="21" t="s">
        <v>271</v>
      </c>
      <c r="K80" s="21" t="s">
        <v>76</v>
      </c>
      <c r="L80" s="21" t="s">
        <v>26</v>
      </c>
      <c r="M80" s="21" t="s">
        <v>36</v>
      </c>
    </row>
    <row r="81" spans="1:26" x14ac:dyDescent="0.2">
      <c r="A81" s="1493" t="s">
        <v>341</v>
      </c>
      <c r="B81" s="734">
        <v>106096210000</v>
      </c>
      <c r="C81" s="735">
        <v>90501320000</v>
      </c>
      <c r="D81" s="4">
        <v>45175040000</v>
      </c>
      <c r="E81" s="4">
        <v>41196700000</v>
      </c>
      <c r="F81" s="736">
        <v>37351250000</v>
      </c>
      <c r="G81" s="4">
        <v>31123960000</v>
      </c>
      <c r="H81" s="4">
        <v>29397520000</v>
      </c>
      <c r="I81" s="4">
        <v>28589110000</v>
      </c>
      <c r="J81" s="4">
        <v>27047120000</v>
      </c>
      <c r="K81" s="737">
        <v>24356180000</v>
      </c>
      <c r="L81" s="4">
        <v>23123640000</v>
      </c>
      <c r="M81" s="4">
        <v>21295660000</v>
      </c>
    </row>
    <row r="82" spans="1:26" x14ac:dyDescent="0.2">
      <c r="A82" s="1493" t="s">
        <v>340</v>
      </c>
      <c r="B82" s="21" t="s">
        <v>5</v>
      </c>
      <c r="C82" s="21" t="s">
        <v>23</v>
      </c>
      <c r="D82" s="21" t="s">
        <v>25</v>
      </c>
      <c r="E82" s="21" t="s">
        <v>271</v>
      </c>
      <c r="F82" s="21" t="s">
        <v>265</v>
      </c>
      <c r="G82" s="21" t="s">
        <v>68</v>
      </c>
      <c r="H82" s="21" t="s">
        <v>35</v>
      </c>
      <c r="I82" s="21" t="s">
        <v>20</v>
      </c>
      <c r="J82" s="21" t="s">
        <v>13</v>
      </c>
      <c r="K82" s="21" t="s">
        <v>86</v>
      </c>
      <c r="L82" s="21" t="s">
        <v>42</v>
      </c>
      <c r="M82" s="21" t="s">
        <v>7</v>
      </c>
      <c r="N82" s="1493" t="s">
        <v>395</v>
      </c>
      <c r="O82" s="21" t="s">
        <v>35</v>
      </c>
      <c r="P82" s="21" t="s">
        <v>271</v>
      </c>
      <c r="Q82" s="21" t="s">
        <v>23</v>
      </c>
      <c r="R82" s="21" t="s">
        <v>20</v>
      </c>
      <c r="S82" s="21" t="s">
        <v>28</v>
      </c>
      <c r="T82" s="21" t="s">
        <v>61</v>
      </c>
      <c r="U82" s="21" t="s">
        <v>265</v>
      </c>
      <c r="V82" s="21" t="s">
        <v>7</v>
      </c>
      <c r="W82" s="21" t="s">
        <v>42</v>
      </c>
      <c r="X82" s="21" t="s">
        <v>29</v>
      </c>
      <c r="Y82" s="21" t="s">
        <v>16</v>
      </c>
      <c r="Z82" s="21" t="s">
        <v>5</v>
      </c>
    </row>
    <row r="83" spans="1:26" x14ac:dyDescent="0.2">
      <c r="A83" s="1493" t="s">
        <v>340</v>
      </c>
      <c r="B83" s="4">
        <v>74435390000</v>
      </c>
      <c r="C83" s="4">
        <v>72455670000</v>
      </c>
      <c r="D83" s="4">
        <v>63260800000</v>
      </c>
      <c r="E83" s="4">
        <v>57257020000</v>
      </c>
      <c r="F83" s="731">
        <v>47945250000</v>
      </c>
      <c r="G83" s="732">
        <v>45482850000</v>
      </c>
      <c r="H83" s="4">
        <v>33080190000</v>
      </c>
      <c r="I83" s="4">
        <v>27472555256</v>
      </c>
      <c r="J83" s="4">
        <v>25310760000</v>
      </c>
      <c r="K83" s="4">
        <v>20589990000</v>
      </c>
      <c r="L83" s="4">
        <v>17710320000</v>
      </c>
      <c r="M83" s="4">
        <v>17581497153</v>
      </c>
      <c r="N83" s="1493" t="s">
        <v>395</v>
      </c>
      <c r="O83" s="4">
        <v>347609740000</v>
      </c>
      <c r="P83" s="4">
        <v>166590080000</v>
      </c>
      <c r="Q83" s="4">
        <v>160416030000</v>
      </c>
      <c r="R83" s="4">
        <v>111780872577</v>
      </c>
      <c r="S83" s="4">
        <v>100471160000</v>
      </c>
      <c r="T83" s="4">
        <v>67709150000</v>
      </c>
      <c r="U83" s="4">
        <v>61452310000</v>
      </c>
      <c r="V83" s="4">
        <v>59446976671</v>
      </c>
      <c r="W83" s="4">
        <v>58341680000</v>
      </c>
      <c r="X83" s="4">
        <v>47994930824</v>
      </c>
      <c r="Y83" s="4">
        <v>45610380000</v>
      </c>
      <c r="Z83" s="4">
        <v>45198210000</v>
      </c>
    </row>
    <row r="84" spans="1:26" x14ac:dyDescent="0.2">
      <c r="A84" s="1493" t="s">
        <v>338</v>
      </c>
      <c r="B84" s="21" t="s">
        <v>35</v>
      </c>
      <c r="C84" s="21" t="s">
        <v>23</v>
      </c>
      <c r="D84" s="21" t="s">
        <v>65</v>
      </c>
      <c r="E84" s="21" t="s">
        <v>20</v>
      </c>
      <c r="F84" s="21" t="s">
        <v>28</v>
      </c>
      <c r="G84" s="21" t="s">
        <v>16</v>
      </c>
      <c r="H84" s="21" t="s">
        <v>279</v>
      </c>
      <c r="I84" s="21" t="s">
        <v>58</v>
      </c>
      <c r="J84" s="21" t="s">
        <v>42</v>
      </c>
      <c r="K84" s="21" t="s">
        <v>9</v>
      </c>
      <c r="L84" s="21" t="s">
        <v>13</v>
      </c>
      <c r="M84" s="21" t="s">
        <v>27</v>
      </c>
    </row>
    <row r="85" spans="1:26" x14ac:dyDescent="0.2">
      <c r="A85" s="1493" t="s">
        <v>338</v>
      </c>
      <c r="B85" s="4">
        <v>153919130000</v>
      </c>
      <c r="C85" s="4">
        <v>84184480000</v>
      </c>
      <c r="D85" s="4">
        <v>49051460000</v>
      </c>
      <c r="E85" s="4">
        <v>40110875824</v>
      </c>
      <c r="F85" s="4">
        <v>37622630000</v>
      </c>
      <c r="G85" s="4">
        <v>36370320000</v>
      </c>
      <c r="H85" s="729">
        <v>35042070000</v>
      </c>
      <c r="I85" s="4">
        <v>29060610000</v>
      </c>
      <c r="J85" s="4">
        <v>28499430000</v>
      </c>
      <c r="K85" s="4">
        <v>22275040000</v>
      </c>
      <c r="L85" s="4">
        <v>20272190000</v>
      </c>
      <c r="M85" s="4">
        <v>19229840000</v>
      </c>
    </row>
    <row r="86" spans="1:26" x14ac:dyDescent="0.2">
      <c r="A86" s="1493" t="s">
        <v>334</v>
      </c>
      <c r="B86" s="21" t="s">
        <v>35</v>
      </c>
      <c r="C86" s="21" t="s">
        <v>23</v>
      </c>
      <c r="D86" s="21" t="s">
        <v>5</v>
      </c>
      <c r="E86" s="21" t="s">
        <v>29</v>
      </c>
      <c r="F86" s="21" t="s">
        <v>20</v>
      </c>
      <c r="G86" s="21" t="s">
        <v>271</v>
      </c>
      <c r="H86" s="21" t="s">
        <v>67</v>
      </c>
      <c r="I86" s="21" t="s">
        <v>28</v>
      </c>
      <c r="J86" s="21" t="s">
        <v>16</v>
      </c>
      <c r="K86" s="21" t="s">
        <v>313</v>
      </c>
      <c r="L86" s="21" t="s">
        <v>42</v>
      </c>
      <c r="M86" s="21" t="s">
        <v>27</v>
      </c>
    </row>
    <row r="87" spans="1:26" x14ac:dyDescent="0.2">
      <c r="A87" s="1493" t="s">
        <v>334</v>
      </c>
      <c r="B87" s="4">
        <v>138603740000</v>
      </c>
      <c r="C87" s="4">
        <v>88785170000</v>
      </c>
      <c r="D87" s="4">
        <v>61180010000</v>
      </c>
      <c r="E87" s="4">
        <v>46631300519</v>
      </c>
      <c r="F87" s="4">
        <v>36717065134</v>
      </c>
      <c r="G87" s="4">
        <v>35228650000</v>
      </c>
      <c r="H87" s="4">
        <v>31756230000</v>
      </c>
      <c r="I87" s="4">
        <v>25046120000</v>
      </c>
      <c r="J87" s="4">
        <v>23171170000</v>
      </c>
      <c r="K87" s="4">
        <v>22288130000</v>
      </c>
      <c r="L87" s="4">
        <v>21645810000</v>
      </c>
      <c r="M87" s="4">
        <v>20308010000</v>
      </c>
    </row>
    <row r="88" spans="1:26" x14ac:dyDescent="0.2">
      <c r="A88" s="1493" t="s">
        <v>332</v>
      </c>
      <c r="B88" s="21" t="s">
        <v>61</v>
      </c>
      <c r="C88" s="21" t="s">
        <v>271</v>
      </c>
      <c r="D88" s="21" t="s">
        <v>296</v>
      </c>
      <c r="E88" s="21" t="s">
        <v>90</v>
      </c>
      <c r="F88" s="21" t="s">
        <v>36</v>
      </c>
      <c r="G88" s="21" t="s">
        <v>69</v>
      </c>
      <c r="H88" s="21" t="s">
        <v>333</v>
      </c>
      <c r="I88" s="21" t="s">
        <v>58</v>
      </c>
      <c r="J88" s="21" t="s">
        <v>41</v>
      </c>
      <c r="K88" s="21" t="s">
        <v>312</v>
      </c>
      <c r="L88" s="21" t="s">
        <v>7</v>
      </c>
      <c r="M88" s="21" t="s">
        <v>20</v>
      </c>
    </row>
    <row r="89" spans="1:26" x14ac:dyDescent="0.2">
      <c r="A89" s="1493" t="s">
        <v>332</v>
      </c>
      <c r="B89" s="4">
        <v>71237770000</v>
      </c>
      <c r="C89" s="4">
        <v>49053090000</v>
      </c>
      <c r="D89" s="4">
        <v>30282240000</v>
      </c>
      <c r="E89" s="4">
        <v>19327190000</v>
      </c>
      <c r="F89" s="4">
        <v>13260910000</v>
      </c>
      <c r="G89" s="4">
        <v>12919360000</v>
      </c>
      <c r="H89" s="4">
        <v>12089760000</v>
      </c>
      <c r="I89" s="4">
        <v>11332460000</v>
      </c>
      <c r="J89" s="4">
        <v>8590800000</v>
      </c>
      <c r="K89" s="4">
        <v>8056050000</v>
      </c>
      <c r="L89" s="4">
        <v>7953246985</v>
      </c>
      <c r="M89" s="4">
        <v>7942829500</v>
      </c>
    </row>
    <row r="90" spans="1:26" x14ac:dyDescent="0.2">
      <c r="A90" s="1493" t="s">
        <v>331</v>
      </c>
      <c r="B90" s="21" t="s">
        <v>28</v>
      </c>
      <c r="C90" s="21" t="s">
        <v>13</v>
      </c>
      <c r="D90" s="21" t="s">
        <v>186</v>
      </c>
      <c r="E90" s="21" t="s">
        <v>271</v>
      </c>
      <c r="F90" s="21" t="s">
        <v>40</v>
      </c>
      <c r="G90" s="21" t="s">
        <v>17</v>
      </c>
      <c r="H90" s="21" t="s">
        <v>35</v>
      </c>
      <c r="I90" s="21" t="s">
        <v>182</v>
      </c>
      <c r="J90" s="21" t="s">
        <v>325</v>
      </c>
      <c r="K90" s="21" t="s">
        <v>262</v>
      </c>
      <c r="L90" s="21" t="s">
        <v>61</v>
      </c>
      <c r="M90" s="21" t="s">
        <v>18</v>
      </c>
    </row>
    <row r="91" spans="1:26" x14ac:dyDescent="0.2">
      <c r="A91" s="1493" t="s">
        <v>331</v>
      </c>
      <c r="B91" s="4">
        <v>44818930000</v>
      </c>
      <c r="C91" s="4">
        <v>39465750000</v>
      </c>
      <c r="D91" s="4">
        <v>30813230000</v>
      </c>
      <c r="E91" s="4">
        <v>23268560000</v>
      </c>
      <c r="F91" s="4">
        <v>20372120000</v>
      </c>
      <c r="G91" s="4">
        <v>18066500000</v>
      </c>
      <c r="H91" s="4">
        <v>15490520000</v>
      </c>
      <c r="I91" s="724">
        <v>14730430000</v>
      </c>
      <c r="J91" s="4">
        <v>14329560000</v>
      </c>
      <c r="K91" s="4">
        <v>11346480000</v>
      </c>
      <c r="L91" s="4">
        <v>11165700000</v>
      </c>
      <c r="M91" s="4">
        <v>10515240000</v>
      </c>
    </row>
    <row r="92" spans="1:26" x14ac:dyDescent="0.2">
      <c r="A92" s="1493" t="s">
        <v>327</v>
      </c>
      <c r="B92" s="21" t="s">
        <v>271</v>
      </c>
      <c r="C92" s="21" t="s">
        <v>69</v>
      </c>
      <c r="D92" s="21" t="s">
        <v>21</v>
      </c>
      <c r="E92" s="21" t="s">
        <v>265</v>
      </c>
      <c r="F92" s="21" t="s">
        <v>20</v>
      </c>
      <c r="G92" s="21" t="s">
        <v>296</v>
      </c>
      <c r="H92" s="21" t="s">
        <v>66</v>
      </c>
      <c r="I92" s="21" t="s">
        <v>18</v>
      </c>
      <c r="J92" s="21" t="s">
        <v>86</v>
      </c>
      <c r="K92" s="21" t="s">
        <v>99</v>
      </c>
      <c r="L92" s="21" t="s">
        <v>23</v>
      </c>
      <c r="M92" s="21" t="s">
        <v>61</v>
      </c>
      <c r="N92" s="1493" t="s">
        <v>394</v>
      </c>
      <c r="O92" s="21" t="s">
        <v>23</v>
      </c>
      <c r="P92" s="21" t="s">
        <v>35</v>
      </c>
      <c r="Q92" s="21" t="s">
        <v>21</v>
      </c>
      <c r="R92" s="21" t="s">
        <v>66</v>
      </c>
      <c r="S92" s="21" t="s">
        <v>42</v>
      </c>
      <c r="T92" s="21" t="s">
        <v>271</v>
      </c>
      <c r="U92" s="21" t="s">
        <v>296</v>
      </c>
      <c r="V92" s="21" t="s">
        <v>99</v>
      </c>
      <c r="W92" s="21" t="s">
        <v>20</v>
      </c>
      <c r="X92" s="21" t="s">
        <v>60</v>
      </c>
      <c r="Y92" s="21" t="s">
        <v>18</v>
      </c>
      <c r="Z92" s="21" t="s">
        <v>41</v>
      </c>
    </row>
    <row r="93" spans="1:26" x14ac:dyDescent="0.2">
      <c r="A93" s="1493" t="s">
        <v>327</v>
      </c>
      <c r="B93" s="4">
        <v>64029050000</v>
      </c>
      <c r="C93" s="4">
        <v>43526790000</v>
      </c>
      <c r="D93" s="4">
        <v>24753150000</v>
      </c>
      <c r="E93" s="721">
        <v>23496270000</v>
      </c>
      <c r="F93" s="4">
        <v>20149424731</v>
      </c>
      <c r="G93" s="4">
        <v>17766670000</v>
      </c>
      <c r="H93" s="4">
        <v>13461340000</v>
      </c>
      <c r="I93" s="4">
        <v>12870570000</v>
      </c>
      <c r="J93" s="4">
        <v>11684540000</v>
      </c>
      <c r="K93" s="4">
        <v>10741010000</v>
      </c>
      <c r="L93" s="4">
        <v>10734860000</v>
      </c>
      <c r="M93" s="4">
        <v>8986030000</v>
      </c>
      <c r="N93" s="1493" t="s">
        <v>394</v>
      </c>
      <c r="O93" s="4">
        <v>276880819779</v>
      </c>
      <c r="P93" s="4">
        <v>146767650000</v>
      </c>
      <c r="Q93" s="4">
        <v>103088382778</v>
      </c>
      <c r="R93" s="4">
        <v>93385839632</v>
      </c>
      <c r="S93" s="4">
        <v>86195048284</v>
      </c>
      <c r="T93" s="4">
        <v>78017160000</v>
      </c>
      <c r="U93" s="4">
        <v>77181000000</v>
      </c>
      <c r="V93" s="4">
        <v>51760555233</v>
      </c>
      <c r="W93" s="4">
        <v>50181602353</v>
      </c>
      <c r="X93" s="4">
        <v>45884558377</v>
      </c>
      <c r="Y93" s="4">
        <v>42857347744</v>
      </c>
      <c r="Z93" s="4">
        <v>39621860000</v>
      </c>
    </row>
    <row r="94" spans="1:26" x14ac:dyDescent="0.2">
      <c r="A94" s="1493" t="s">
        <v>324</v>
      </c>
      <c r="B94" s="21" t="s">
        <v>23</v>
      </c>
      <c r="C94" s="21" t="s">
        <v>40</v>
      </c>
      <c r="D94" s="21" t="s">
        <v>27</v>
      </c>
      <c r="E94" s="21" t="s">
        <v>87</v>
      </c>
      <c r="F94" s="21" t="s">
        <v>41</v>
      </c>
      <c r="G94" s="21" t="s">
        <v>325</v>
      </c>
      <c r="H94" s="21" t="s">
        <v>183</v>
      </c>
      <c r="I94" s="21" t="s">
        <v>29</v>
      </c>
      <c r="J94" s="21" t="s">
        <v>192</v>
      </c>
      <c r="K94" s="21" t="s">
        <v>71</v>
      </c>
      <c r="L94" s="21" t="s">
        <v>313</v>
      </c>
      <c r="M94" s="21" t="s">
        <v>42</v>
      </c>
    </row>
    <row r="95" spans="1:26" x14ac:dyDescent="0.2">
      <c r="A95" s="1493" t="s">
        <v>324</v>
      </c>
      <c r="B95" s="4">
        <v>64737439779</v>
      </c>
      <c r="C95" s="4">
        <v>42918423314</v>
      </c>
      <c r="D95" s="4">
        <v>25505799241</v>
      </c>
      <c r="E95" s="4">
        <v>25050762497</v>
      </c>
      <c r="F95" s="4">
        <v>23766750000</v>
      </c>
      <c r="G95" s="4">
        <v>18239496999</v>
      </c>
      <c r="H95" s="4">
        <v>16385610696</v>
      </c>
      <c r="I95" s="4">
        <v>14659480763</v>
      </c>
      <c r="J95" s="4">
        <v>13330160000</v>
      </c>
      <c r="K95" s="4">
        <v>12954050953</v>
      </c>
      <c r="L95" s="4">
        <v>10967460000</v>
      </c>
      <c r="M95" s="4">
        <v>10884768284</v>
      </c>
    </row>
    <row r="96" spans="1:26" x14ac:dyDescent="0.2">
      <c r="A96" s="1493" t="s">
        <v>323</v>
      </c>
      <c r="B96" s="21" t="s">
        <v>23</v>
      </c>
      <c r="C96" s="21" t="s">
        <v>21</v>
      </c>
      <c r="D96" s="21" t="s">
        <v>25</v>
      </c>
      <c r="E96" s="21" t="s">
        <v>36</v>
      </c>
      <c r="F96" s="21" t="s">
        <v>60</v>
      </c>
      <c r="G96" s="21" t="s">
        <v>66</v>
      </c>
      <c r="H96" s="21" t="s">
        <v>38</v>
      </c>
      <c r="I96" s="21" t="s">
        <v>42</v>
      </c>
      <c r="J96" s="21" t="s">
        <v>269</v>
      </c>
      <c r="K96" s="21" t="s">
        <v>14</v>
      </c>
      <c r="L96" s="21" t="s">
        <v>296</v>
      </c>
      <c r="M96" s="21" t="s">
        <v>287</v>
      </c>
    </row>
    <row r="97" spans="1:26" x14ac:dyDescent="0.2">
      <c r="A97" s="1493" t="s">
        <v>323</v>
      </c>
      <c r="B97" s="717">
        <v>138622680000</v>
      </c>
      <c r="C97" s="4">
        <v>121133470000</v>
      </c>
      <c r="D97" s="4">
        <v>38300430000</v>
      </c>
      <c r="E97" s="4">
        <v>30810070000</v>
      </c>
      <c r="F97" s="718">
        <v>29585200000</v>
      </c>
      <c r="G97" s="4">
        <v>26891510000</v>
      </c>
      <c r="H97" s="4">
        <v>25698850000</v>
      </c>
      <c r="I97" s="4">
        <v>24090100000</v>
      </c>
      <c r="J97" s="4">
        <v>18768370000</v>
      </c>
      <c r="K97" s="4">
        <v>18195400000</v>
      </c>
      <c r="L97" s="4">
        <v>17902770000</v>
      </c>
      <c r="M97" s="4">
        <v>15614280000</v>
      </c>
    </row>
    <row r="98" spans="1:26" x14ac:dyDescent="0.2">
      <c r="A98" s="1493" t="s">
        <v>321</v>
      </c>
      <c r="B98" s="21" t="s">
        <v>33</v>
      </c>
      <c r="C98" s="21" t="s">
        <v>42</v>
      </c>
      <c r="D98" s="21" t="s">
        <v>87</v>
      </c>
      <c r="E98" s="21" t="s">
        <v>14</v>
      </c>
      <c r="F98" s="21" t="s">
        <v>97</v>
      </c>
      <c r="G98" s="21" t="s">
        <v>35</v>
      </c>
      <c r="H98" s="21" t="s">
        <v>18</v>
      </c>
      <c r="I98" s="21" t="s">
        <v>296</v>
      </c>
      <c r="J98" s="21" t="s">
        <v>58</v>
      </c>
      <c r="K98" s="21" t="s">
        <v>25</v>
      </c>
      <c r="L98" s="21" t="s">
        <v>40</v>
      </c>
      <c r="M98" s="21" t="s">
        <v>263</v>
      </c>
    </row>
    <row r="99" spans="1:26" x14ac:dyDescent="0.2">
      <c r="A99" s="1493" t="s">
        <v>321</v>
      </c>
      <c r="B99" s="4">
        <v>98540190000</v>
      </c>
      <c r="C99" s="4">
        <v>64505520000</v>
      </c>
      <c r="D99" s="4">
        <v>44021360000</v>
      </c>
      <c r="E99" s="4">
        <v>41771180000</v>
      </c>
      <c r="F99" s="4">
        <v>32265490000</v>
      </c>
      <c r="G99" s="4">
        <v>28075360000</v>
      </c>
      <c r="H99" s="4">
        <v>27834080000</v>
      </c>
      <c r="I99" s="4">
        <v>27788220000</v>
      </c>
      <c r="J99" s="4">
        <v>25060480000</v>
      </c>
      <c r="K99" s="4">
        <v>25008150000</v>
      </c>
      <c r="L99" s="4">
        <v>23003940000</v>
      </c>
      <c r="M99" s="4">
        <v>17822038991</v>
      </c>
    </row>
    <row r="100" spans="1:26" x14ac:dyDescent="0.2">
      <c r="A100" s="1493" t="s">
        <v>317</v>
      </c>
      <c r="B100" s="21" t="s">
        <v>35</v>
      </c>
      <c r="C100" s="21" t="s">
        <v>14</v>
      </c>
      <c r="D100" s="21" t="s">
        <v>66</v>
      </c>
      <c r="E100" s="21" t="s">
        <v>13</v>
      </c>
      <c r="F100" s="21" t="s">
        <v>23</v>
      </c>
      <c r="G100" s="21" t="s">
        <v>59</v>
      </c>
      <c r="H100" s="21" t="s">
        <v>99</v>
      </c>
      <c r="I100" s="21" t="s">
        <v>15</v>
      </c>
      <c r="J100" s="21" t="s">
        <v>21</v>
      </c>
      <c r="K100" s="21" t="s">
        <v>20</v>
      </c>
      <c r="L100" s="21" t="s">
        <v>25</v>
      </c>
      <c r="M100" s="21" t="s">
        <v>76</v>
      </c>
    </row>
    <row r="101" spans="1:26" x14ac:dyDescent="0.2">
      <c r="A101" s="1493" t="s">
        <v>317</v>
      </c>
      <c r="B101" s="4">
        <v>139549190000</v>
      </c>
      <c r="C101" s="4">
        <v>68636670000</v>
      </c>
      <c r="D101" s="4">
        <v>50215420000</v>
      </c>
      <c r="E101" s="4">
        <v>47306310000</v>
      </c>
      <c r="F101" s="4">
        <v>45879600000</v>
      </c>
      <c r="G101" s="4">
        <v>36094040000</v>
      </c>
      <c r="H101" s="4">
        <v>34776890000</v>
      </c>
      <c r="I101" s="4">
        <v>30300910000</v>
      </c>
      <c r="J101" s="4">
        <v>24255540000</v>
      </c>
      <c r="K101" s="4">
        <v>21866895280</v>
      </c>
      <c r="L101" s="4">
        <v>20569840000</v>
      </c>
      <c r="M101" s="713">
        <v>18468730000</v>
      </c>
    </row>
    <row r="102" spans="1:26" x14ac:dyDescent="0.2">
      <c r="A102" s="1493" t="s">
        <v>309</v>
      </c>
      <c r="B102" s="21" t="s">
        <v>79</v>
      </c>
      <c r="C102" s="21" t="s">
        <v>23</v>
      </c>
      <c r="D102" s="21" t="s">
        <v>33</v>
      </c>
      <c r="E102" s="21" t="s">
        <v>14</v>
      </c>
      <c r="F102" s="21" t="s">
        <v>25</v>
      </c>
      <c r="G102" s="21" t="s">
        <v>72</v>
      </c>
      <c r="H102" s="21" t="s">
        <v>262</v>
      </c>
      <c r="I102" s="21" t="s">
        <v>85</v>
      </c>
      <c r="J102" s="21" t="s">
        <v>202</v>
      </c>
      <c r="K102" s="21" t="s">
        <v>41</v>
      </c>
      <c r="L102" s="21" t="s">
        <v>180</v>
      </c>
      <c r="M102" s="21" t="s">
        <v>67</v>
      </c>
      <c r="N102" s="1493" t="s">
        <v>393</v>
      </c>
      <c r="O102" s="21" t="s">
        <v>79</v>
      </c>
      <c r="P102" s="21" t="s">
        <v>33</v>
      </c>
      <c r="Q102" s="21" t="s">
        <v>183</v>
      </c>
      <c r="R102" s="21" t="s">
        <v>37</v>
      </c>
      <c r="S102" s="21" t="s">
        <v>41</v>
      </c>
      <c r="T102" s="21" t="s">
        <v>84</v>
      </c>
      <c r="U102" s="21" t="s">
        <v>28</v>
      </c>
      <c r="V102" s="21" t="s">
        <v>72</v>
      </c>
      <c r="W102" s="21" t="s">
        <v>99</v>
      </c>
      <c r="X102" s="21" t="s">
        <v>325</v>
      </c>
      <c r="Y102" s="21" t="s">
        <v>39</v>
      </c>
      <c r="Z102" s="21" t="s">
        <v>279</v>
      </c>
    </row>
    <row r="103" spans="1:26" x14ac:dyDescent="0.2">
      <c r="A103" s="1493" t="s">
        <v>309</v>
      </c>
      <c r="B103" s="4">
        <v>62934030000</v>
      </c>
      <c r="C103" s="4">
        <v>53230990000</v>
      </c>
      <c r="D103" s="4">
        <v>47677400000</v>
      </c>
      <c r="E103" s="4">
        <v>21562410000</v>
      </c>
      <c r="F103" s="4">
        <v>18494360000</v>
      </c>
      <c r="G103" s="4">
        <v>14602110000</v>
      </c>
      <c r="H103" s="4">
        <v>14403030000</v>
      </c>
      <c r="I103" s="4">
        <v>14366420000</v>
      </c>
      <c r="J103" s="4">
        <v>14025956959</v>
      </c>
      <c r="K103" s="4">
        <v>13412750000</v>
      </c>
      <c r="L103" s="4">
        <v>13274260000</v>
      </c>
      <c r="M103" s="4">
        <v>12297310000</v>
      </c>
      <c r="N103" s="1493" t="s">
        <v>393</v>
      </c>
      <c r="O103" s="4">
        <v>161319270000</v>
      </c>
      <c r="P103" s="4">
        <v>123441830000</v>
      </c>
      <c r="Q103" s="4">
        <v>63978390000</v>
      </c>
      <c r="R103" s="4">
        <v>59340450000</v>
      </c>
      <c r="S103" s="4">
        <v>46805570000</v>
      </c>
      <c r="T103" s="4">
        <v>37323800000</v>
      </c>
      <c r="U103" s="4">
        <v>36743550000</v>
      </c>
      <c r="V103" s="4">
        <v>33899530000</v>
      </c>
      <c r="W103" s="4">
        <v>33285930000</v>
      </c>
      <c r="X103" s="4">
        <v>31361310000</v>
      </c>
      <c r="Y103" s="4">
        <v>29916380000</v>
      </c>
      <c r="Z103" s="4">
        <v>26600510000</v>
      </c>
    </row>
    <row r="104" spans="1:26" x14ac:dyDescent="0.2">
      <c r="A104" s="1493" t="s">
        <v>305</v>
      </c>
      <c r="B104" s="21" t="s">
        <v>183</v>
      </c>
      <c r="C104" s="21" t="s">
        <v>79</v>
      </c>
      <c r="D104" s="21" t="s">
        <v>71</v>
      </c>
      <c r="E104" s="21" t="s">
        <v>84</v>
      </c>
      <c r="F104" s="21" t="s">
        <v>41</v>
      </c>
      <c r="G104" s="21" t="s">
        <v>20</v>
      </c>
      <c r="H104" s="21" t="s">
        <v>186</v>
      </c>
      <c r="I104" s="21" t="s">
        <v>29</v>
      </c>
      <c r="J104" s="21" t="s">
        <v>86</v>
      </c>
      <c r="K104" s="21" t="s">
        <v>67</v>
      </c>
      <c r="L104" s="21" t="s">
        <v>70</v>
      </c>
      <c r="M104" s="21" t="s">
        <v>88</v>
      </c>
    </row>
    <row r="105" spans="1:26" x14ac:dyDescent="0.2">
      <c r="A105" s="1493" t="s">
        <v>305</v>
      </c>
      <c r="B105" s="4">
        <v>45219620000</v>
      </c>
      <c r="C105" s="4">
        <v>42318950000</v>
      </c>
      <c r="D105" s="4">
        <v>36760940000</v>
      </c>
      <c r="E105" s="4">
        <v>27819680000</v>
      </c>
      <c r="F105" s="707">
        <v>24342580000</v>
      </c>
      <c r="G105" s="4">
        <v>23232946041</v>
      </c>
      <c r="H105" s="4">
        <v>21469380000</v>
      </c>
      <c r="I105" s="4">
        <v>19524331405</v>
      </c>
      <c r="J105" s="4">
        <v>19493570000</v>
      </c>
      <c r="K105" s="4">
        <v>18065170000</v>
      </c>
      <c r="L105" s="4">
        <v>15994930000</v>
      </c>
      <c r="M105" s="4">
        <v>14660580000</v>
      </c>
    </row>
    <row r="106" spans="1:26" x14ac:dyDescent="0.2">
      <c r="A106" s="1493" t="s">
        <v>260</v>
      </c>
      <c r="B106" s="21" t="s">
        <v>33</v>
      </c>
      <c r="C106" s="21" t="s">
        <v>37</v>
      </c>
      <c r="D106" s="21" t="s">
        <v>79</v>
      </c>
      <c r="E106" s="21" t="s">
        <v>183</v>
      </c>
      <c r="F106" s="21" t="s">
        <v>58</v>
      </c>
      <c r="G106" s="21" t="s">
        <v>19</v>
      </c>
      <c r="H106" s="21" t="s">
        <v>39</v>
      </c>
      <c r="I106" s="21" t="s">
        <v>99</v>
      </c>
      <c r="J106" s="21" t="s">
        <v>28</v>
      </c>
      <c r="K106" s="21" t="s">
        <v>263</v>
      </c>
      <c r="L106" s="21" t="s">
        <v>325</v>
      </c>
      <c r="M106" s="21" t="s">
        <v>264</v>
      </c>
    </row>
    <row r="107" spans="1:26" x14ac:dyDescent="0.2">
      <c r="A107" s="1493" t="s">
        <v>260</v>
      </c>
      <c r="B107" s="704">
        <v>136073680000</v>
      </c>
      <c r="C107" s="4">
        <v>44226590000</v>
      </c>
      <c r="D107" s="4">
        <v>42344040000</v>
      </c>
      <c r="E107" s="4">
        <v>27502840000</v>
      </c>
      <c r="F107" s="4">
        <v>22848400000</v>
      </c>
      <c r="G107" s="4">
        <v>22770570000</v>
      </c>
      <c r="H107" s="4">
        <v>22460430000</v>
      </c>
      <c r="I107" s="4">
        <v>20195210000</v>
      </c>
      <c r="J107" s="4">
        <v>16566870000</v>
      </c>
      <c r="K107" s="4">
        <v>15425151192</v>
      </c>
      <c r="L107" s="4">
        <v>10287530000</v>
      </c>
      <c r="M107" s="4">
        <v>9727130000</v>
      </c>
    </row>
    <row r="108" spans="1:26" x14ac:dyDescent="0.2">
      <c r="A108" s="1493" t="s">
        <v>259</v>
      </c>
      <c r="B108" s="21" t="s">
        <v>33</v>
      </c>
      <c r="C108" s="21" t="s">
        <v>27</v>
      </c>
      <c r="D108" s="21" t="s">
        <v>7</v>
      </c>
      <c r="E108" s="21" t="s">
        <v>13</v>
      </c>
      <c r="F108" s="21" t="s">
        <v>267</v>
      </c>
      <c r="G108" s="21" t="s">
        <v>39</v>
      </c>
      <c r="H108" s="21" t="s">
        <v>279</v>
      </c>
      <c r="I108" s="21" t="s">
        <v>325</v>
      </c>
      <c r="J108" s="21" t="s">
        <v>35</v>
      </c>
      <c r="K108" s="21" t="s">
        <v>263</v>
      </c>
      <c r="L108" s="21" t="s">
        <v>72</v>
      </c>
      <c r="M108" s="21" t="s">
        <v>28</v>
      </c>
    </row>
    <row r="109" spans="1:26" x14ac:dyDescent="0.2">
      <c r="A109" s="1493" t="s">
        <v>259</v>
      </c>
      <c r="B109" s="700">
        <v>112514690000</v>
      </c>
      <c r="C109" s="701">
        <v>39872210000</v>
      </c>
      <c r="D109" s="702">
        <v>23759837130</v>
      </c>
      <c r="E109" s="4">
        <v>23450350000</v>
      </c>
      <c r="F109" s="4">
        <v>17496820000</v>
      </c>
      <c r="G109" s="4">
        <v>14295160000</v>
      </c>
      <c r="H109" s="4">
        <v>11656550000</v>
      </c>
      <c r="I109" s="4">
        <v>11551980000</v>
      </c>
      <c r="J109" s="4">
        <v>10793740000</v>
      </c>
      <c r="K109" s="4">
        <v>10579792960</v>
      </c>
      <c r="L109" s="4">
        <v>8656590000</v>
      </c>
      <c r="M109" s="4">
        <v>8023290000</v>
      </c>
    </row>
    <row r="110" spans="1:26" x14ac:dyDescent="0.2">
      <c r="A110" s="1493" t="s">
        <v>258</v>
      </c>
      <c r="B110" s="21" t="s">
        <v>37</v>
      </c>
      <c r="C110" s="21" t="s">
        <v>97</v>
      </c>
      <c r="D110" s="21" t="s">
        <v>33</v>
      </c>
      <c r="E110" s="21" t="s">
        <v>263</v>
      </c>
      <c r="F110" s="21" t="s">
        <v>12</v>
      </c>
      <c r="G110" s="21" t="s">
        <v>279</v>
      </c>
      <c r="H110" s="21" t="s">
        <v>28</v>
      </c>
      <c r="I110" s="21" t="s">
        <v>182</v>
      </c>
      <c r="J110" s="21" t="s">
        <v>79</v>
      </c>
      <c r="K110" s="21" t="s">
        <v>183</v>
      </c>
      <c r="L110" s="21" t="s">
        <v>23</v>
      </c>
      <c r="M110" s="21" t="s">
        <v>302</v>
      </c>
    </row>
    <row r="111" spans="1:26" x14ac:dyDescent="0.2">
      <c r="A111" s="1493" t="s">
        <v>258</v>
      </c>
      <c r="B111" s="4">
        <v>32580580000</v>
      </c>
      <c r="C111" s="4">
        <v>30532570000</v>
      </c>
      <c r="D111" s="4">
        <v>29823250000</v>
      </c>
      <c r="E111" s="4">
        <v>20194188097</v>
      </c>
      <c r="F111" s="4">
        <v>16922170000</v>
      </c>
      <c r="G111" s="4">
        <v>14988670000</v>
      </c>
      <c r="H111" s="4">
        <v>14974490000</v>
      </c>
      <c r="I111" s="4">
        <v>9689940000</v>
      </c>
      <c r="J111" s="4">
        <v>9498690000</v>
      </c>
      <c r="K111" s="4">
        <v>9182130000</v>
      </c>
      <c r="L111" s="4">
        <v>8474970000</v>
      </c>
      <c r="M111" s="4">
        <v>8391580000</v>
      </c>
    </row>
    <row r="112" spans="1:26" x14ac:dyDescent="0.2">
      <c r="A112" s="1493" t="s">
        <v>257</v>
      </c>
      <c r="B112" s="21" t="s">
        <v>20</v>
      </c>
      <c r="C112" s="21" t="s">
        <v>71</v>
      </c>
      <c r="D112" s="21" t="s">
        <v>79</v>
      </c>
      <c r="E112" s="21" t="s">
        <v>90</v>
      </c>
      <c r="F112" s="21" t="s">
        <v>38</v>
      </c>
      <c r="G112" s="21" t="s">
        <v>186</v>
      </c>
      <c r="H112" s="21" t="s">
        <v>86</v>
      </c>
      <c r="I112" s="21" t="s">
        <v>23</v>
      </c>
      <c r="J112" s="21" t="s">
        <v>168</v>
      </c>
      <c r="K112" s="21" t="s">
        <v>58</v>
      </c>
      <c r="L112" s="21" t="s">
        <v>163</v>
      </c>
      <c r="M112" s="21" t="s">
        <v>325</v>
      </c>
      <c r="N112" s="1493" t="s">
        <v>392</v>
      </c>
      <c r="O112" s="21" t="s">
        <v>71</v>
      </c>
      <c r="P112" s="21" t="s">
        <v>58</v>
      </c>
      <c r="Q112" s="21" t="s">
        <v>38</v>
      </c>
      <c r="R112" s="21" t="s">
        <v>8</v>
      </c>
      <c r="S112" s="21" t="s">
        <v>72</v>
      </c>
      <c r="T112" s="21" t="s">
        <v>26</v>
      </c>
      <c r="U112" s="21" t="s">
        <v>7</v>
      </c>
      <c r="V112" s="21" t="s">
        <v>291</v>
      </c>
      <c r="W112" s="21" t="s">
        <v>186</v>
      </c>
      <c r="X112" s="21" t="s">
        <v>168</v>
      </c>
      <c r="Y112" s="21" t="s">
        <v>20</v>
      </c>
      <c r="Z112" s="21" t="s">
        <v>90</v>
      </c>
    </row>
    <row r="113" spans="1:26" x14ac:dyDescent="0.2">
      <c r="A113" s="1493" t="s">
        <v>257</v>
      </c>
      <c r="B113" s="4">
        <v>47417972872</v>
      </c>
      <c r="C113" s="4">
        <v>33301510000</v>
      </c>
      <c r="D113" s="4">
        <v>32930560000</v>
      </c>
      <c r="E113" s="695">
        <v>26818920000</v>
      </c>
      <c r="F113" s="4">
        <v>19452410000</v>
      </c>
      <c r="G113" s="4">
        <v>18942750000</v>
      </c>
      <c r="H113" s="4">
        <v>17568800000</v>
      </c>
      <c r="I113" s="4">
        <v>16796970000</v>
      </c>
      <c r="J113" s="4">
        <v>16703890000</v>
      </c>
      <c r="K113" s="4">
        <v>15050570000</v>
      </c>
      <c r="L113" s="4">
        <v>13939940000</v>
      </c>
      <c r="M113" s="4">
        <v>13643710000</v>
      </c>
      <c r="N113" s="1493" t="s">
        <v>392</v>
      </c>
      <c r="O113" s="4">
        <v>627146690000</v>
      </c>
      <c r="P113" s="4">
        <v>134672170000</v>
      </c>
      <c r="Q113" s="4">
        <v>91863120000</v>
      </c>
      <c r="R113" s="4">
        <v>54163470000</v>
      </c>
      <c r="S113" s="4">
        <v>45453940000</v>
      </c>
      <c r="T113" s="4">
        <v>36853170000</v>
      </c>
      <c r="U113" s="4">
        <v>36439890425</v>
      </c>
      <c r="V113" s="4">
        <v>32187720000</v>
      </c>
      <c r="W113" s="4">
        <v>27412010000</v>
      </c>
      <c r="X113" s="4">
        <v>27314600000</v>
      </c>
      <c r="Y113" s="4">
        <v>27276043647</v>
      </c>
      <c r="Z113" s="4">
        <v>26749350000</v>
      </c>
    </row>
    <row r="114" spans="1:26" x14ac:dyDescent="0.2">
      <c r="A114" s="1493" t="s">
        <v>256</v>
      </c>
      <c r="B114" s="21" t="s">
        <v>71</v>
      </c>
      <c r="C114" s="21" t="s">
        <v>17</v>
      </c>
      <c r="D114" s="21" t="s">
        <v>14</v>
      </c>
      <c r="E114" s="21" t="s">
        <v>38</v>
      </c>
      <c r="F114" s="21" t="s">
        <v>58</v>
      </c>
      <c r="G114" s="21" t="s">
        <v>40</v>
      </c>
      <c r="H114" s="21" t="s">
        <v>86</v>
      </c>
      <c r="I114" s="21" t="s">
        <v>15</v>
      </c>
      <c r="J114" s="21" t="s">
        <v>295</v>
      </c>
      <c r="K114" s="21" t="s">
        <v>5</v>
      </c>
      <c r="L114" s="21" t="s">
        <v>85</v>
      </c>
      <c r="M114" s="21" t="s">
        <v>67</v>
      </c>
    </row>
    <row r="115" spans="1:26" x14ac:dyDescent="0.2">
      <c r="A115" s="1493" t="s">
        <v>256</v>
      </c>
      <c r="B115" s="4">
        <v>99421180000</v>
      </c>
      <c r="C115" s="4">
        <v>81249230000</v>
      </c>
      <c r="D115" s="4">
        <v>80159280000</v>
      </c>
      <c r="E115" s="4">
        <v>77769940000</v>
      </c>
      <c r="F115" s="4">
        <v>40069270000</v>
      </c>
      <c r="G115" s="4">
        <v>30091860000</v>
      </c>
      <c r="H115" s="4">
        <v>27768980000</v>
      </c>
      <c r="I115" s="4">
        <v>21586440000</v>
      </c>
      <c r="J115" s="692">
        <v>19966351962</v>
      </c>
      <c r="K115" s="4">
        <v>19704750000</v>
      </c>
      <c r="L115" s="4">
        <v>19256190000</v>
      </c>
      <c r="M115" s="4">
        <v>17463360000</v>
      </c>
    </row>
    <row r="116" spans="1:26" x14ac:dyDescent="0.2">
      <c r="A116" s="1493" t="s">
        <v>255</v>
      </c>
      <c r="B116" s="21" t="s">
        <v>58</v>
      </c>
      <c r="C116" s="21" t="s">
        <v>8</v>
      </c>
      <c r="D116" s="21" t="s">
        <v>71</v>
      </c>
      <c r="E116" s="21" t="s">
        <v>180</v>
      </c>
      <c r="F116" s="21" t="s">
        <v>72</v>
      </c>
      <c r="G116" s="21" t="s">
        <v>263</v>
      </c>
      <c r="H116" s="21" t="s">
        <v>25</v>
      </c>
      <c r="I116" s="21" t="s">
        <v>287</v>
      </c>
      <c r="J116" s="21" t="s">
        <v>20</v>
      </c>
      <c r="K116" s="21" t="s">
        <v>83</v>
      </c>
      <c r="L116" s="21" t="s">
        <v>35</v>
      </c>
      <c r="M116" s="21" t="s">
        <v>27</v>
      </c>
    </row>
    <row r="117" spans="1:26" x14ac:dyDescent="0.2">
      <c r="A117" s="1493" t="s">
        <v>255</v>
      </c>
      <c r="B117" s="4">
        <v>60669220000</v>
      </c>
      <c r="C117" s="4">
        <v>48677070000</v>
      </c>
      <c r="D117" s="4">
        <v>40769830000</v>
      </c>
      <c r="E117" s="4">
        <v>40269870000</v>
      </c>
      <c r="F117" s="4">
        <v>38193450000</v>
      </c>
      <c r="G117" s="4">
        <v>28754533655</v>
      </c>
      <c r="H117" s="4">
        <v>20974700000</v>
      </c>
      <c r="I117" s="4">
        <v>16166400000</v>
      </c>
      <c r="J117" s="4">
        <v>12295623947</v>
      </c>
      <c r="K117" s="4">
        <v>10689545794</v>
      </c>
      <c r="L117" s="4">
        <v>10120630000</v>
      </c>
      <c r="M117" s="689">
        <v>9547950000</v>
      </c>
    </row>
    <row r="118" spans="1:26" x14ac:dyDescent="0.2">
      <c r="A118" s="1493" t="s">
        <v>254</v>
      </c>
      <c r="B118" s="21" t="s">
        <v>71</v>
      </c>
      <c r="C118" s="21" t="s">
        <v>14</v>
      </c>
      <c r="D118" s="21" t="s">
        <v>69</v>
      </c>
      <c r="E118" s="21" t="s">
        <v>263</v>
      </c>
      <c r="F118" s="21" t="s">
        <v>85</v>
      </c>
      <c r="G118" s="21" t="s">
        <v>72</v>
      </c>
      <c r="H118" s="21" t="s">
        <v>37</v>
      </c>
      <c r="I118" s="21" t="s">
        <v>26</v>
      </c>
      <c r="J118" s="21" t="s">
        <v>35</v>
      </c>
      <c r="K118" s="21" t="s">
        <v>7</v>
      </c>
      <c r="L118" s="21" t="s">
        <v>291</v>
      </c>
      <c r="M118" s="21" t="s">
        <v>93</v>
      </c>
    </row>
    <row r="119" spans="1:26" x14ac:dyDescent="0.2">
      <c r="A119" s="1493" t="s">
        <v>254</v>
      </c>
      <c r="B119" s="684">
        <v>288572790000</v>
      </c>
      <c r="C119" s="4">
        <v>83369090000</v>
      </c>
      <c r="D119" s="4">
        <v>40920830000</v>
      </c>
      <c r="E119" s="685">
        <v>32537151941</v>
      </c>
      <c r="F119" s="4">
        <v>26374990000</v>
      </c>
      <c r="G119" s="4">
        <v>19077510000</v>
      </c>
      <c r="H119" s="4">
        <v>15794450000</v>
      </c>
      <c r="I119" s="4">
        <v>13127100000</v>
      </c>
      <c r="J119" s="4">
        <v>12746290000</v>
      </c>
      <c r="K119" s="4">
        <v>12238142207</v>
      </c>
      <c r="L119" s="4">
        <v>10069580000</v>
      </c>
      <c r="M119" s="4">
        <v>9243183744</v>
      </c>
    </row>
    <row r="120" spans="1:26" x14ac:dyDescent="0.2">
      <c r="A120" s="1493" t="s">
        <v>253</v>
      </c>
      <c r="B120" s="21" t="s">
        <v>71</v>
      </c>
      <c r="C120" s="21" t="s">
        <v>19</v>
      </c>
      <c r="D120" s="21" t="s">
        <v>87</v>
      </c>
      <c r="E120" s="21" t="s">
        <v>26</v>
      </c>
      <c r="F120" s="21" t="s">
        <v>58</v>
      </c>
      <c r="G120" s="21" t="s">
        <v>35</v>
      </c>
      <c r="H120" s="21" t="s">
        <v>85</v>
      </c>
      <c r="I120" s="21" t="s">
        <v>264</v>
      </c>
      <c r="J120" s="21" t="s">
        <v>67</v>
      </c>
      <c r="K120" s="21" t="s">
        <v>269</v>
      </c>
      <c r="L120" s="21" t="s">
        <v>289</v>
      </c>
      <c r="M120" s="21" t="s">
        <v>7</v>
      </c>
    </row>
    <row r="121" spans="1:26" x14ac:dyDescent="0.2">
      <c r="A121" s="1493" t="s">
        <v>253</v>
      </c>
      <c r="B121" s="679">
        <v>165081380000</v>
      </c>
      <c r="C121" s="4">
        <v>44566710000</v>
      </c>
      <c r="D121" s="4">
        <v>40549350000</v>
      </c>
      <c r="E121" s="680">
        <v>31713300000</v>
      </c>
      <c r="F121" s="4">
        <v>23039020000</v>
      </c>
      <c r="G121" s="4">
        <v>17684110000</v>
      </c>
      <c r="H121" s="4">
        <v>17048500000</v>
      </c>
      <c r="I121" s="4">
        <v>16605040000</v>
      </c>
      <c r="J121" s="4">
        <v>13339810000</v>
      </c>
      <c r="K121" s="4">
        <v>9072020000</v>
      </c>
      <c r="L121" s="681">
        <v>8171840000</v>
      </c>
      <c r="M121" s="4">
        <v>7670038085</v>
      </c>
    </row>
    <row r="122" spans="1:26" x14ac:dyDescent="0.2">
      <c r="A122" s="1493" t="s">
        <v>252</v>
      </c>
      <c r="B122" s="21" t="s">
        <v>71</v>
      </c>
      <c r="C122" s="21" t="s">
        <v>85</v>
      </c>
      <c r="D122" s="21" t="s">
        <v>58</v>
      </c>
      <c r="E122" s="21" t="s">
        <v>313</v>
      </c>
      <c r="F122" s="21" t="s">
        <v>23</v>
      </c>
      <c r="G122" s="21" t="s">
        <v>72</v>
      </c>
      <c r="H122" s="21" t="s">
        <v>42</v>
      </c>
      <c r="I122" s="21" t="s">
        <v>13</v>
      </c>
      <c r="J122" s="21" t="s">
        <v>194</v>
      </c>
      <c r="K122" s="21" t="s">
        <v>7</v>
      </c>
      <c r="L122" s="21" t="s">
        <v>291</v>
      </c>
      <c r="M122" s="21" t="s">
        <v>34</v>
      </c>
      <c r="N122" s="1493" t="s">
        <v>391</v>
      </c>
      <c r="O122" s="21" t="s">
        <v>17</v>
      </c>
      <c r="P122" s="21" t="s">
        <v>58</v>
      </c>
      <c r="Q122" s="21" t="s">
        <v>72</v>
      </c>
      <c r="R122" s="21" t="s">
        <v>14</v>
      </c>
      <c r="S122" s="21" t="s">
        <v>71</v>
      </c>
      <c r="T122" s="21" t="s">
        <v>20</v>
      </c>
      <c r="U122" s="21" t="s">
        <v>69</v>
      </c>
      <c r="V122" s="21" t="s">
        <v>42</v>
      </c>
      <c r="W122" s="21" t="s">
        <v>87</v>
      </c>
      <c r="X122" s="21" t="s">
        <v>7</v>
      </c>
      <c r="Y122" s="21" t="s">
        <v>194</v>
      </c>
      <c r="Z122" s="21" t="s">
        <v>84</v>
      </c>
    </row>
    <row r="123" spans="1:26" x14ac:dyDescent="0.2">
      <c r="A123" s="1493" t="s">
        <v>252</v>
      </c>
      <c r="B123" s="4">
        <v>47921520000</v>
      </c>
      <c r="C123" s="677">
        <v>42286920000</v>
      </c>
      <c r="D123" s="4">
        <v>38832560000</v>
      </c>
      <c r="E123" s="4">
        <v>37695790000</v>
      </c>
      <c r="F123" s="4">
        <v>37000190000</v>
      </c>
      <c r="G123" s="4">
        <v>33018920000</v>
      </c>
      <c r="H123" s="4">
        <v>28626690000</v>
      </c>
      <c r="I123" s="4">
        <v>24875130000</v>
      </c>
      <c r="J123" s="4">
        <v>19870280000</v>
      </c>
      <c r="K123" s="4">
        <v>17681441211</v>
      </c>
      <c r="L123" s="4">
        <v>10836260000</v>
      </c>
      <c r="M123" s="4">
        <v>10829250000</v>
      </c>
      <c r="N123" s="1493" t="s">
        <v>391</v>
      </c>
      <c r="O123" s="4">
        <v>768288241163</v>
      </c>
      <c r="P123" s="4">
        <v>152545030000</v>
      </c>
      <c r="Q123" s="4">
        <v>148797501979</v>
      </c>
      <c r="R123" s="4">
        <v>91338523146</v>
      </c>
      <c r="S123" s="4">
        <v>87055480322</v>
      </c>
      <c r="T123" s="4">
        <v>85271230350</v>
      </c>
      <c r="U123" s="4">
        <v>75056028036</v>
      </c>
      <c r="V123" s="4">
        <v>69544100477</v>
      </c>
      <c r="W123" s="4">
        <v>62375346903</v>
      </c>
      <c r="X123" s="4">
        <v>50324994896</v>
      </c>
      <c r="Y123" s="4">
        <v>40933139867</v>
      </c>
      <c r="Z123" s="4">
        <v>38599537535</v>
      </c>
    </row>
    <row r="124" spans="1:26" x14ac:dyDescent="0.2">
      <c r="A124" s="1493" t="s">
        <v>251</v>
      </c>
      <c r="B124" s="21" t="s">
        <v>17</v>
      </c>
      <c r="C124" s="21" t="s">
        <v>58</v>
      </c>
      <c r="D124" s="21" t="s">
        <v>13</v>
      </c>
      <c r="E124" s="21" t="s">
        <v>163</v>
      </c>
      <c r="F124" s="21" t="s">
        <v>79</v>
      </c>
      <c r="G124" s="21" t="s">
        <v>20</v>
      </c>
      <c r="H124" s="21" t="s">
        <v>14</v>
      </c>
      <c r="I124" s="21" t="s">
        <v>28</v>
      </c>
      <c r="J124" s="21" t="s">
        <v>21</v>
      </c>
      <c r="K124" s="21" t="s">
        <v>88</v>
      </c>
      <c r="L124" s="21" t="s">
        <v>42</v>
      </c>
      <c r="M124" s="21" t="s">
        <v>194</v>
      </c>
    </row>
    <row r="125" spans="1:26" x14ac:dyDescent="0.2">
      <c r="A125" s="1493" t="s">
        <v>251</v>
      </c>
      <c r="B125" s="4">
        <v>210975290415</v>
      </c>
      <c r="C125" s="673">
        <v>111059600000</v>
      </c>
      <c r="D125" s="4">
        <v>56173906297</v>
      </c>
      <c r="E125" s="4">
        <v>46613797164</v>
      </c>
      <c r="F125" s="4">
        <v>43838090363</v>
      </c>
      <c r="G125" s="4">
        <v>42502841381</v>
      </c>
      <c r="H125" s="4">
        <v>41917250000</v>
      </c>
      <c r="I125" s="4">
        <v>41098570000</v>
      </c>
      <c r="J125" s="4">
        <v>37992637716</v>
      </c>
      <c r="K125" s="4">
        <v>30262701617</v>
      </c>
      <c r="L125" s="4">
        <v>29800332484</v>
      </c>
      <c r="M125" s="674">
        <v>29251765359</v>
      </c>
    </row>
    <row r="126" spans="1:26" x14ac:dyDescent="0.2">
      <c r="A126" s="1493" t="s">
        <v>250</v>
      </c>
      <c r="B126" s="21" t="s">
        <v>17</v>
      </c>
      <c r="C126" s="21" t="s">
        <v>14</v>
      </c>
      <c r="D126" s="21" t="s">
        <v>72</v>
      </c>
      <c r="E126" s="21" t="s">
        <v>69</v>
      </c>
      <c r="F126" s="21" t="s">
        <v>21</v>
      </c>
      <c r="G126" s="21" t="s">
        <v>33</v>
      </c>
      <c r="H126" s="21" t="s">
        <v>13</v>
      </c>
      <c r="I126" s="21" t="s">
        <v>87</v>
      </c>
      <c r="J126" s="21" t="s">
        <v>279</v>
      </c>
      <c r="K126" s="21" t="s">
        <v>67</v>
      </c>
      <c r="L126" s="21" t="s">
        <v>37</v>
      </c>
      <c r="M126" s="21" t="s">
        <v>42</v>
      </c>
    </row>
    <row r="127" spans="1:26" x14ac:dyDescent="0.2">
      <c r="A127" s="1493" t="s">
        <v>250</v>
      </c>
      <c r="B127" s="4">
        <v>271644430000</v>
      </c>
      <c r="C127" s="4">
        <v>176277630000</v>
      </c>
      <c r="D127" s="4">
        <v>78606310000</v>
      </c>
      <c r="E127" s="670">
        <v>59582570000</v>
      </c>
      <c r="F127" s="4">
        <v>51724120000</v>
      </c>
      <c r="G127" s="671">
        <v>50997860000</v>
      </c>
      <c r="H127" s="4">
        <v>45433550000</v>
      </c>
      <c r="I127" s="4">
        <v>36841100000</v>
      </c>
      <c r="J127" s="672">
        <v>32754480000</v>
      </c>
      <c r="K127" s="4">
        <v>31078780000</v>
      </c>
      <c r="L127" s="4">
        <v>29201870000</v>
      </c>
      <c r="M127" s="4">
        <v>25118300000</v>
      </c>
    </row>
    <row r="128" spans="1:26" x14ac:dyDescent="0.2">
      <c r="A128" s="1493" t="s">
        <v>249</v>
      </c>
      <c r="B128" s="21" t="s">
        <v>17</v>
      </c>
      <c r="C128" s="21" t="s">
        <v>21</v>
      </c>
      <c r="D128" s="21" t="s">
        <v>71</v>
      </c>
      <c r="E128" s="21" t="s">
        <v>20</v>
      </c>
      <c r="F128" s="21" t="s">
        <v>183</v>
      </c>
      <c r="G128" s="21" t="s">
        <v>10</v>
      </c>
      <c r="H128" s="21" t="s">
        <v>72</v>
      </c>
      <c r="I128" s="21" t="s">
        <v>88</v>
      </c>
      <c r="J128" s="21" t="s">
        <v>8</v>
      </c>
      <c r="K128" s="21" t="s">
        <v>89</v>
      </c>
      <c r="L128" s="21" t="s">
        <v>27</v>
      </c>
      <c r="M128" s="21" t="s">
        <v>267</v>
      </c>
    </row>
    <row r="129" spans="1:26" x14ac:dyDescent="0.2">
      <c r="A129" s="1493" t="s">
        <v>249</v>
      </c>
      <c r="B129" s="4">
        <v>220913684724</v>
      </c>
      <c r="C129" s="4">
        <v>37438480103</v>
      </c>
      <c r="D129" s="4">
        <v>34198048341</v>
      </c>
      <c r="E129" s="4">
        <v>22264377363</v>
      </c>
      <c r="F129" s="4">
        <v>19264472070</v>
      </c>
      <c r="G129" s="4">
        <v>17732829122</v>
      </c>
      <c r="H129" s="4">
        <v>15467210000</v>
      </c>
      <c r="I129" s="4">
        <v>15054480000</v>
      </c>
      <c r="J129" s="4">
        <v>11780670000</v>
      </c>
      <c r="K129" s="4">
        <v>11066960000</v>
      </c>
      <c r="L129" s="4">
        <v>9331910000</v>
      </c>
      <c r="M129" s="4">
        <v>8652420000</v>
      </c>
    </row>
    <row r="130" spans="1:26" x14ac:dyDescent="0.2">
      <c r="A130" s="1493" t="s">
        <v>248</v>
      </c>
      <c r="B130" s="21" t="s">
        <v>17</v>
      </c>
      <c r="C130" s="21" t="s">
        <v>84</v>
      </c>
      <c r="D130" s="21" t="s">
        <v>87</v>
      </c>
      <c r="E130" s="21" t="s">
        <v>85</v>
      </c>
      <c r="F130" s="21" t="s">
        <v>183</v>
      </c>
      <c r="G130" s="21" t="s">
        <v>79</v>
      </c>
      <c r="H130" s="21" t="s">
        <v>180</v>
      </c>
      <c r="I130" s="21" t="s">
        <v>20</v>
      </c>
      <c r="J130" s="21" t="s">
        <v>168</v>
      </c>
      <c r="K130" s="21" t="s">
        <v>72</v>
      </c>
      <c r="L130" s="21" t="s">
        <v>41</v>
      </c>
      <c r="M130" s="21" t="s">
        <v>83</v>
      </c>
    </row>
    <row r="131" spans="1:26" x14ac:dyDescent="0.2">
      <c r="A131" s="1493" t="s">
        <v>248</v>
      </c>
      <c r="B131" s="4">
        <v>122997256024</v>
      </c>
      <c r="C131" s="668">
        <v>51969160858</v>
      </c>
      <c r="D131" s="4">
        <v>19966810000</v>
      </c>
      <c r="E131" s="4">
        <v>15913152157</v>
      </c>
      <c r="F131" s="4">
        <v>15027027521</v>
      </c>
      <c r="G131" s="4">
        <v>13917068935</v>
      </c>
      <c r="H131" s="4">
        <v>11299086716</v>
      </c>
      <c r="I131" s="4">
        <v>8824443411</v>
      </c>
      <c r="J131" s="4">
        <v>4916722609</v>
      </c>
      <c r="K131" s="4">
        <v>4549855851</v>
      </c>
      <c r="L131" s="4">
        <v>4361118732</v>
      </c>
      <c r="M131" s="4">
        <v>4315820995</v>
      </c>
    </row>
    <row r="132" spans="1:26" x14ac:dyDescent="0.2">
      <c r="A132" s="1493" t="s">
        <v>247</v>
      </c>
      <c r="B132" s="21" t="s">
        <v>17</v>
      </c>
      <c r="C132" s="21" t="s">
        <v>79</v>
      </c>
      <c r="D132" s="21" t="s">
        <v>183</v>
      </c>
      <c r="E132" s="21" t="s">
        <v>89</v>
      </c>
      <c r="F132" s="21" t="s">
        <v>69</v>
      </c>
      <c r="G132" s="21" t="s">
        <v>67</v>
      </c>
      <c r="H132" s="21" t="s">
        <v>71</v>
      </c>
      <c r="I132" s="21" t="s">
        <v>35</v>
      </c>
      <c r="J132" s="21" t="s">
        <v>10</v>
      </c>
      <c r="K132" s="21" t="s">
        <v>29</v>
      </c>
      <c r="L132" s="21" t="s">
        <v>5</v>
      </c>
      <c r="M132" s="21" t="s">
        <v>61</v>
      </c>
      <c r="N132" s="1493" t="s">
        <v>390</v>
      </c>
      <c r="O132" s="21" t="s">
        <v>17</v>
      </c>
      <c r="P132" s="21" t="s">
        <v>14</v>
      </c>
      <c r="Q132" s="21" t="s">
        <v>20</v>
      </c>
      <c r="R132" s="21" t="s">
        <v>21</v>
      </c>
      <c r="S132" s="21" t="s">
        <v>183</v>
      </c>
      <c r="T132" s="21" t="s">
        <v>37</v>
      </c>
      <c r="U132" s="21" t="s">
        <v>69</v>
      </c>
      <c r="V132" s="21" t="s">
        <v>89</v>
      </c>
      <c r="W132" s="21" t="s">
        <v>67</v>
      </c>
      <c r="X132" s="21" t="s">
        <v>23</v>
      </c>
      <c r="Y132" s="21" t="s">
        <v>7</v>
      </c>
      <c r="Z132" s="21" t="s">
        <v>58</v>
      </c>
    </row>
    <row r="133" spans="1:26" x14ac:dyDescent="0.2">
      <c r="A133" s="1493" t="s">
        <v>247</v>
      </c>
      <c r="B133" s="4">
        <v>70963300000</v>
      </c>
      <c r="C133" s="4">
        <v>61481100000</v>
      </c>
      <c r="D133" s="666">
        <v>48765430000</v>
      </c>
      <c r="E133" s="4">
        <v>30809520000</v>
      </c>
      <c r="F133" s="4">
        <v>19776950000</v>
      </c>
      <c r="G133" s="4">
        <v>19611000000</v>
      </c>
      <c r="H133" s="4">
        <v>18346010000</v>
      </c>
      <c r="I133" s="4">
        <v>16976680000</v>
      </c>
      <c r="J133" s="4">
        <v>14163700426</v>
      </c>
      <c r="K133" s="4">
        <v>11811757333</v>
      </c>
      <c r="L133" s="4">
        <v>11763780000</v>
      </c>
      <c r="M133" s="4">
        <v>11489100000</v>
      </c>
      <c r="N133" s="1493" t="s">
        <v>390</v>
      </c>
      <c r="O133" s="4">
        <v>474514970000</v>
      </c>
      <c r="P133" s="4">
        <v>381924920000</v>
      </c>
      <c r="Q133" s="4">
        <v>171997924282</v>
      </c>
      <c r="R133" s="4">
        <v>116827410000</v>
      </c>
      <c r="S133" s="4">
        <v>98304260000</v>
      </c>
      <c r="T133" s="4">
        <v>84675230000</v>
      </c>
      <c r="U133" s="4">
        <v>75739930000</v>
      </c>
      <c r="V133" s="4">
        <v>66480470000</v>
      </c>
      <c r="W133" s="4">
        <v>60967180000</v>
      </c>
      <c r="X133" s="4">
        <v>57031560000</v>
      </c>
      <c r="Y133" s="4">
        <v>53264266068</v>
      </c>
      <c r="Z133" s="4">
        <v>50841630000</v>
      </c>
    </row>
    <row r="134" spans="1:26" x14ac:dyDescent="0.2">
      <c r="A134" s="1493" t="s">
        <v>243</v>
      </c>
      <c r="B134" s="21" t="s">
        <v>17</v>
      </c>
      <c r="C134" s="21" t="s">
        <v>14</v>
      </c>
      <c r="D134" s="21" t="s">
        <v>20</v>
      </c>
      <c r="E134" s="21" t="s">
        <v>183</v>
      </c>
      <c r="F134" s="21" t="s">
        <v>37</v>
      </c>
      <c r="G134" s="21" t="s">
        <v>58</v>
      </c>
      <c r="H134" s="21" t="s">
        <v>67</v>
      </c>
      <c r="I134" s="21" t="s">
        <v>68</v>
      </c>
      <c r="J134" s="21" t="s">
        <v>61</v>
      </c>
      <c r="K134" s="21" t="s">
        <v>271</v>
      </c>
      <c r="L134" s="21" t="s">
        <v>69</v>
      </c>
      <c r="M134" s="21" t="s">
        <v>7</v>
      </c>
    </row>
    <row r="135" spans="1:26" x14ac:dyDescent="0.2">
      <c r="A135" s="1493" t="s">
        <v>243</v>
      </c>
      <c r="B135" s="4">
        <v>110173800000</v>
      </c>
      <c r="C135" s="4">
        <v>86887130000</v>
      </c>
      <c r="D135" s="4">
        <v>54750764400</v>
      </c>
      <c r="E135" s="661">
        <v>43875220000</v>
      </c>
      <c r="F135" s="4">
        <v>33132700000</v>
      </c>
      <c r="G135" s="4">
        <v>20626610000</v>
      </c>
      <c r="H135" s="4">
        <v>18006950000</v>
      </c>
      <c r="I135" s="662">
        <v>16174500000</v>
      </c>
      <c r="J135" s="4">
        <v>16015860000</v>
      </c>
      <c r="K135" s="4">
        <v>14946970000</v>
      </c>
      <c r="L135" s="4">
        <v>11159040000</v>
      </c>
      <c r="M135" s="4">
        <v>11093968412</v>
      </c>
    </row>
    <row r="136" spans="1:26" x14ac:dyDescent="0.2">
      <c r="A136" s="1493" t="s">
        <v>242</v>
      </c>
      <c r="B136" s="21" t="s">
        <v>14</v>
      </c>
      <c r="C136" s="21" t="s">
        <v>20</v>
      </c>
      <c r="D136" s="21" t="s">
        <v>17</v>
      </c>
      <c r="E136" s="21" t="s">
        <v>37</v>
      </c>
      <c r="F136" s="21" t="s">
        <v>23</v>
      </c>
      <c r="G136" s="21" t="s">
        <v>69</v>
      </c>
      <c r="H136" s="21" t="s">
        <v>89</v>
      </c>
      <c r="I136" s="21" t="s">
        <v>64</v>
      </c>
      <c r="J136" s="21" t="s">
        <v>12</v>
      </c>
      <c r="K136" s="21" t="s">
        <v>21</v>
      </c>
      <c r="L136" s="21" t="s">
        <v>7</v>
      </c>
      <c r="M136" s="21" t="s">
        <v>25</v>
      </c>
    </row>
    <row r="137" spans="1:26" x14ac:dyDescent="0.2">
      <c r="A137" s="1493" t="s">
        <v>242</v>
      </c>
      <c r="B137" s="4">
        <v>82083370000</v>
      </c>
      <c r="C137" s="657">
        <v>74508187214</v>
      </c>
      <c r="D137" s="4">
        <v>68115850000</v>
      </c>
      <c r="E137" s="4">
        <v>55207440000</v>
      </c>
      <c r="F137" s="4">
        <v>45678000000</v>
      </c>
      <c r="G137" s="4">
        <v>36544540000</v>
      </c>
      <c r="H137" s="4">
        <v>31919710000</v>
      </c>
      <c r="I137" s="4">
        <v>24986880000</v>
      </c>
      <c r="J137" s="4">
        <v>23008110000</v>
      </c>
      <c r="K137" s="4">
        <v>16989730000</v>
      </c>
      <c r="L137" s="4">
        <v>15589757683</v>
      </c>
      <c r="M137" s="4">
        <v>11169160000</v>
      </c>
    </row>
    <row r="138" spans="1:26" x14ac:dyDescent="0.2">
      <c r="A138" s="1493" t="s">
        <v>241</v>
      </c>
      <c r="B138" s="21" t="s">
        <v>14</v>
      </c>
      <c r="C138" s="21" t="s">
        <v>17</v>
      </c>
      <c r="D138" s="21" t="s">
        <v>21</v>
      </c>
      <c r="E138" s="21" t="s">
        <v>23</v>
      </c>
      <c r="F138" s="21" t="s">
        <v>67</v>
      </c>
      <c r="G138" s="21" t="s">
        <v>12</v>
      </c>
      <c r="H138" s="21" t="s">
        <v>86</v>
      </c>
      <c r="I138" s="21" t="s">
        <v>29</v>
      </c>
      <c r="J138" s="21" t="s">
        <v>169</v>
      </c>
      <c r="K138" s="21" t="s">
        <v>7</v>
      </c>
      <c r="L138" s="21" t="s">
        <v>61</v>
      </c>
      <c r="M138" s="21" t="s">
        <v>20</v>
      </c>
    </row>
    <row r="139" spans="1:26" x14ac:dyDescent="0.2">
      <c r="A139" s="1493" t="s">
        <v>241</v>
      </c>
      <c r="B139" s="4">
        <v>219699410000</v>
      </c>
      <c r="C139" s="4">
        <v>123763290000</v>
      </c>
      <c r="D139" s="4">
        <v>115585850000</v>
      </c>
      <c r="E139" s="4">
        <v>42892810000</v>
      </c>
      <c r="F139" s="4">
        <v>21674870000</v>
      </c>
      <c r="G139" s="4">
        <v>19908490000</v>
      </c>
      <c r="H139" s="4">
        <v>18621600000</v>
      </c>
      <c r="I139" s="4">
        <v>16052850091</v>
      </c>
      <c r="J139" s="4">
        <v>15295470000</v>
      </c>
      <c r="K139" s="4">
        <v>14753190953</v>
      </c>
      <c r="L139" s="4">
        <v>13291380000</v>
      </c>
      <c r="M139" s="4">
        <v>11358653867</v>
      </c>
    </row>
    <row r="140" spans="1:26" x14ac:dyDescent="0.2">
      <c r="A140" s="1493" t="s">
        <v>240</v>
      </c>
      <c r="B140" s="21" t="s">
        <v>17</v>
      </c>
      <c r="C140" s="21" t="s">
        <v>89</v>
      </c>
      <c r="D140" s="21" t="s">
        <v>180</v>
      </c>
      <c r="E140" s="21" t="s">
        <v>6</v>
      </c>
      <c r="F140" s="21" t="s">
        <v>71</v>
      </c>
      <c r="G140" s="21" t="s">
        <v>11</v>
      </c>
      <c r="H140" s="21" t="s">
        <v>186</v>
      </c>
      <c r="I140" s="21" t="s">
        <v>294</v>
      </c>
      <c r="J140" s="21" t="s">
        <v>20</v>
      </c>
      <c r="K140" s="21" t="s">
        <v>97</v>
      </c>
      <c r="L140" s="21" t="s">
        <v>188</v>
      </c>
      <c r="M140" s="21" t="s">
        <v>88</v>
      </c>
    </row>
    <row r="141" spans="1:26" x14ac:dyDescent="0.2">
      <c r="A141" s="1493" t="s">
        <v>240</v>
      </c>
      <c r="B141" s="4">
        <v>101498730000</v>
      </c>
      <c r="C141" s="4">
        <v>44803450000</v>
      </c>
      <c r="D141" s="4">
        <v>40821090000</v>
      </c>
      <c r="E141" s="4">
        <v>39801600000</v>
      </c>
      <c r="F141" s="4">
        <v>33938630000</v>
      </c>
      <c r="G141" s="4">
        <v>31600500000</v>
      </c>
      <c r="H141" s="4">
        <v>27199920000</v>
      </c>
      <c r="I141" s="4">
        <v>26079170000</v>
      </c>
      <c r="J141" s="4">
        <v>26038722201</v>
      </c>
      <c r="K141" s="4">
        <v>24926650000</v>
      </c>
      <c r="L141" s="4">
        <v>24801780000</v>
      </c>
      <c r="M141" s="4">
        <v>24045160000</v>
      </c>
    </row>
    <row r="142" spans="1:26" x14ac:dyDescent="0.2">
      <c r="A142" s="1493" t="s">
        <v>239</v>
      </c>
      <c r="B142" s="21" t="s">
        <v>17</v>
      </c>
      <c r="C142" s="21" t="s">
        <v>180</v>
      </c>
      <c r="D142" s="21" t="s">
        <v>22</v>
      </c>
      <c r="E142" s="21" t="s">
        <v>12</v>
      </c>
      <c r="F142" s="21" t="s">
        <v>23</v>
      </c>
      <c r="G142" s="21" t="s">
        <v>14</v>
      </c>
      <c r="H142" s="21" t="s">
        <v>42</v>
      </c>
      <c r="I142" s="21" t="s">
        <v>20</v>
      </c>
      <c r="J142" s="21" t="s">
        <v>99</v>
      </c>
      <c r="K142" s="21" t="s">
        <v>65</v>
      </c>
      <c r="L142" s="21" t="s">
        <v>21</v>
      </c>
      <c r="M142" s="21" t="s">
        <v>62</v>
      </c>
      <c r="N142" s="1493" t="s">
        <v>389</v>
      </c>
      <c r="O142" s="21" t="s">
        <v>17</v>
      </c>
      <c r="P142" s="21" t="s">
        <v>180</v>
      </c>
      <c r="Q142" s="21" t="s">
        <v>12</v>
      </c>
      <c r="R142" s="21" t="s">
        <v>23</v>
      </c>
      <c r="S142" s="21" t="s">
        <v>21</v>
      </c>
      <c r="T142" s="21" t="s">
        <v>163</v>
      </c>
      <c r="U142" s="21" t="s">
        <v>14</v>
      </c>
      <c r="V142" s="21" t="s">
        <v>20</v>
      </c>
      <c r="W142" s="21" t="s">
        <v>64</v>
      </c>
      <c r="X142" s="21" t="s">
        <v>65</v>
      </c>
      <c r="Y142" s="21" t="s">
        <v>42</v>
      </c>
      <c r="Z142" s="21" t="s">
        <v>99</v>
      </c>
    </row>
    <row r="143" spans="1:26" x14ac:dyDescent="0.2">
      <c r="A143" s="1493" t="s">
        <v>239</v>
      </c>
      <c r="B143" s="650">
        <v>545488620000</v>
      </c>
      <c r="C143" s="4">
        <v>84355080000</v>
      </c>
      <c r="D143" s="4">
        <v>59676690000</v>
      </c>
      <c r="E143" s="4">
        <v>51893840000</v>
      </c>
      <c r="F143" s="4">
        <v>48507030000</v>
      </c>
      <c r="G143" s="4">
        <v>42962210000</v>
      </c>
      <c r="H143" s="4">
        <v>25227010000</v>
      </c>
      <c r="I143" s="4">
        <v>24082715561</v>
      </c>
      <c r="J143" s="4">
        <v>18905350000</v>
      </c>
      <c r="K143" s="4">
        <v>18870560000</v>
      </c>
      <c r="L143" s="4">
        <v>14800240000</v>
      </c>
      <c r="M143" s="4">
        <v>11149470000</v>
      </c>
      <c r="N143" s="1493" t="s">
        <v>389</v>
      </c>
      <c r="O143" s="4">
        <v>785142790000</v>
      </c>
      <c r="P143" s="4">
        <v>76987170000</v>
      </c>
      <c r="Q143" s="4">
        <v>69761070000</v>
      </c>
      <c r="R143" s="4">
        <v>62081370000</v>
      </c>
      <c r="S143" s="4">
        <v>59764170000</v>
      </c>
      <c r="T143" s="4">
        <v>51589270000</v>
      </c>
      <c r="U143" s="4">
        <v>48455230000</v>
      </c>
      <c r="V143" s="4">
        <v>33203110116</v>
      </c>
      <c r="W143" s="4">
        <v>21692030000</v>
      </c>
      <c r="X143" s="4">
        <v>17970960000</v>
      </c>
      <c r="Y143" s="4">
        <v>17311650000</v>
      </c>
      <c r="Z143" s="4">
        <v>14798320000</v>
      </c>
    </row>
    <row r="144" spans="1:26" x14ac:dyDescent="0.2">
      <c r="A144" s="1493" t="s">
        <v>238</v>
      </c>
      <c r="B144" s="21" t="s">
        <v>17</v>
      </c>
      <c r="C144" s="21" t="s">
        <v>163</v>
      </c>
      <c r="D144" s="21" t="s">
        <v>21</v>
      </c>
      <c r="E144" s="21" t="s">
        <v>24</v>
      </c>
      <c r="F144" s="21" t="s">
        <v>12</v>
      </c>
      <c r="G144" s="21" t="s">
        <v>64</v>
      </c>
      <c r="H144" s="21" t="s">
        <v>23</v>
      </c>
      <c r="I144" s="21" t="s">
        <v>20</v>
      </c>
      <c r="J144" s="21" t="s">
        <v>78</v>
      </c>
      <c r="K144" s="21" t="s">
        <v>69</v>
      </c>
      <c r="L144" s="21" t="s">
        <v>14</v>
      </c>
      <c r="M144" s="21" t="s">
        <v>279</v>
      </c>
    </row>
    <row r="145" spans="1:26" x14ac:dyDescent="0.2">
      <c r="A145" s="1493" t="s">
        <v>238</v>
      </c>
      <c r="B145" s="4">
        <v>239654170000</v>
      </c>
      <c r="C145" s="648">
        <v>54782470000</v>
      </c>
      <c r="D145" s="4">
        <v>44963930000</v>
      </c>
      <c r="E145" s="4">
        <v>24799900000</v>
      </c>
      <c r="F145" s="4">
        <v>17867230000</v>
      </c>
      <c r="G145" s="4">
        <v>14410800000</v>
      </c>
      <c r="H145" s="4">
        <v>13574340000</v>
      </c>
      <c r="I145" s="4">
        <v>9120394555</v>
      </c>
      <c r="J145" s="4">
        <v>9018210000</v>
      </c>
      <c r="K145" s="4">
        <v>8156550000</v>
      </c>
      <c r="L145" s="4">
        <v>5493020000</v>
      </c>
      <c r="M145" s="4">
        <v>4689360000</v>
      </c>
    </row>
    <row r="146" spans="1:26" x14ac:dyDescent="0.2">
      <c r="A146" s="1493" t="s">
        <v>237</v>
      </c>
      <c r="B146" s="21" t="s">
        <v>17</v>
      </c>
      <c r="C146" s="21" t="s">
        <v>29</v>
      </c>
      <c r="D146" s="21" t="s">
        <v>12</v>
      </c>
      <c r="E146" s="21" t="s">
        <v>23</v>
      </c>
      <c r="F146" s="21" t="s">
        <v>67</v>
      </c>
      <c r="G146" s="21" t="s">
        <v>64</v>
      </c>
      <c r="H146" s="21" t="s">
        <v>21</v>
      </c>
      <c r="I146" s="21" t="s">
        <v>5</v>
      </c>
      <c r="J146" s="21" t="s">
        <v>9</v>
      </c>
      <c r="K146" s="21" t="s">
        <v>36</v>
      </c>
      <c r="L146" s="21" t="s">
        <v>8</v>
      </c>
      <c r="M146" s="21" t="s">
        <v>65</v>
      </c>
      <c r="N146" s="1493" t="s">
        <v>388</v>
      </c>
      <c r="O146" s="21" t="s">
        <v>17</v>
      </c>
      <c r="P146" s="21" t="s">
        <v>29</v>
      </c>
      <c r="Q146" s="21" t="s">
        <v>14</v>
      </c>
      <c r="R146" s="21" t="s">
        <v>6</v>
      </c>
      <c r="S146" s="21" t="s">
        <v>5</v>
      </c>
      <c r="T146" s="21" t="s">
        <v>65</v>
      </c>
      <c r="U146" s="21" t="s">
        <v>67</v>
      </c>
      <c r="V146" s="21" t="s">
        <v>12</v>
      </c>
      <c r="W146" s="21" t="s">
        <v>313</v>
      </c>
      <c r="X146" s="21" t="s">
        <v>25</v>
      </c>
      <c r="Y146" s="21" t="s">
        <v>9</v>
      </c>
      <c r="Z146" s="21" t="s">
        <v>95</v>
      </c>
    </row>
    <row r="147" spans="1:26" x14ac:dyDescent="0.2">
      <c r="A147" s="1493" t="s">
        <v>237</v>
      </c>
      <c r="B147" s="4">
        <v>274502380000</v>
      </c>
      <c r="C147" s="4">
        <v>95173849503</v>
      </c>
      <c r="D147" s="4">
        <v>68822170000</v>
      </c>
      <c r="E147" s="4">
        <v>49809100000</v>
      </c>
      <c r="F147" s="4">
        <v>47954760000</v>
      </c>
      <c r="G147" s="4">
        <v>43194780000</v>
      </c>
      <c r="H147" s="4">
        <v>42966390000</v>
      </c>
      <c r="I147" s="4">
        <v>36160350000</v>
      </c>
      <c r="J147" s="4">
        <v>28076030000</v>
      </c>
      <c r="K147" s="4">
        <v>24822170000</v>
      </c>
      <c r="L147" s="4">
        <v>16077370000</v>
      </c>
      <c r="M147" s="4">
        <v>15403530000</v>
      </c>
      <c r="N147" s="1493" t="s">
        <v>388</v>
      </c>
      <c r="O147" s="4">
        <v>648100870000</v>
      </c>
      <c r="P147" s="4">
        <v>313715204136</v>
      </c>
      <c r="Q147" s="4">
        <v>284842520000</v>
      </c>
      <c r="R147" s="4">
        <v>238841690000</v>
      </c>
      <c r="S147" s="4">
        <v>227077600000</v>
      </c>
      <c r="T147" s="4">
        <v>151297090000</v>
      </c>
      <c r="U147" s="4">
        <v>125119440000</v>
      </c>
      <c r="V147" s="4">
        <v>83118510000</v>
      </c>
      <c r="W147" s="4">
        <v>77564700000</v>
      </c>
      <c r="X147" s="4">
        <v>69764040000</v>
      </c>
      <c r="Y147" s="4">
        <v>58397320000</v>
      </c>
      <c r="Z147" s="4">
        <v>56166780000</v>
      </c>
    </row>
    <row r="148" spans="1:26" x14ac:dyDescent="0.2">
      <c r="A148" s="1493" t="s">
        <v>236</v>
      </c>
      <c r="B148" s="21" t="s">
        <v>17</v>
      </c>
      <c r="C148" s="21" t="s">
        <v>29</v>
      </c>
      <c r="D148" s="21" t="s">
        <v>6</v>
      </c>
      <c r="E148" s="21" t="s">
        <v>65</v>
      </c>
      <c r="F148" s="21" t="s">
        <v>14</v>
      </c>
      <c r="G148" s="21" t="s">
        <v>67</v>
      </c>
      <c r="H148" s="21" t="s">
        <v>21</v>
      </c>
      <c r="I148" s="21" t="s">
        <v>75</v>
      </c>
      <c r="J148" s="21" t="s">
        <v>70</v>
      </c>
      <c r="K148" s="21" t="s">
        <v>12</v>
      </c>
      <c r="L148" s="21" t="s">
        <v>92</v>
      </c>
      <c r="M148" s="21" t="s">
        <v>25</v>
      </c>
    </row>
    <row r="149" spans="1:26" x14ac:dyDescent="0.2">
      <c r="A149" s="1493" t="s">
        <v>236</v>
      </c>
      <c r="B149" s="4">
        <v>210583440000</v>
      </c>
      <c r="C149" s="4">
        <v>79187531196</v>
      </c>
      <c r="D149" s="4">
        <v>45284800000</v>
      </c>
      <c r="E149" s="4">
        <v>42586530000</v>
      </c>
      <c r="F149" s="4">
        <v>40831670000</v>
      </c>
      <c r="G149" s="4">
        <v>28799250000</v>
      </c>
      <c r="H149" s="4">
        <v>21956530000</v>
      </c>
      <c r="I149" s="4">
        <v>20563360000</v>
      </c>
      <c r="J149" s="4">
        <v>18207710000</v>
      </c>
      <c r="K149" s="4">
        <v>17283080000</v>
      </c>
      <c r="L149" s="644">
        <v>16428906779</v>
      </c>
      <c r="M149" s="4">
        <v>14330200000</v>
      </c>
    </row>
    <row r="150" spans="1:26" x14ac:dyDescent="0.2">
      <c r="A150" s="1493" t="s">
        <v>235</v>
      </c>
      <c r="B150" s="21" t="s">
        <v>14</v>
      </c>
      <c r="C150" s="21" t="s">
        <v>17</v>
      </c>
      <c r="D150" s="21" t="s">
        <v>6</v>
      </c>
      <c r="E150" s="21" t="s">
        <v>29</v>
      </c>
      <c r="F150" s="21" t="s">
        <v>5</v>
      </c>
      <c r="G150" s="21" t="s">
        <v>65</v>
      </c>
      <c r="H150" s="21" t="s">
        <v>37</v>
      </c>
      <c r="I150" s="21" t="s">
        <v>313</v>
      </c>
      <c r="J150" s="21" t="s">
        <v>15</v>
      </c>
      <c r="K150" s="21" t="s">
        <v>89</v>
      </c>
      <c r="L150" s="21" t="s">
        <v>180</v>
      </c>
      <c r="M150" s="21" t="s">
        <v>70</v>
      </c>
    </row>
    <row r="151" spans="1:26" x14ac:dyDescent="0.2">
      <c r="A151" s="1493" t="s">
        <v>235</v>
      </c>
      <c r="B151" s="4">
        <v>163984090000</v>
      </c>
      <c r="C151" s="4">
        <v>160361570000</v>
      </c>
      <c r="D151" s="4">
        <v>91076780000</v>
      </c>
      <c r="E151" s="4">
        <v>79917759560</v>
      </c>
      <c r="F151" s="4">
        <v>72750560000</v>
      </c>
      <c r="G151" s="641">
        <v>60505710000</v>
      </c>
      <c r="H151" s="4">
        <v>49151280000</v>
      </c>
      <c r="I151" s="4">
        <v>47614990000</v>
      </c>
      <c r="J151" s="4">
        <v>39603600000</v>
      </c>
      <c r="K151" s="4">
        <v>37962390000</v>
      </c>
      <c r="L151" s="4">
        <v>31365020000</v>
      </c>
      <c r="M151" s="4">
        <v>28434870000</v>
      </c>
    </row>
    <row r="152" spans="1:26" x14ac:dyDescent="0.2">
      <c r="A152" s="1493" t="s">
        <v>234</v>
      </c>
      <c r="B152" s="21" t="s">
        <v>14</v>
      </c>
      <c r="C152" s="21" t="s">
        <v>17</v>
      </c>
      <c r="D152" s="21" t="s">
        <v>5</v>
      </c>
      <c r="E152" s="21" t="s">
        <v>163</v>
      </c>
      <c r="F152" s="21" t="s">
        <v>12</v>
      </c>
      <c r="G152" s="21" t="s">
        <v>67</v>
      </c>
      <c r="H152" s="21" t="s">
        <v>25</v>
      </c>
      <c r="I152" s="21" t="s">
        <v>29</v>
      </c>
      <c r="J152" s="21" t="s">
        <v>303</v>
      </c>
      <c r="K152" s="21" t="s">
        <v>325</v>
      </c>
      <c r="L152" s="21" t="s">
        <v>183</v>
      </c>
      <c r="M152" s="21" t="s">
        <v>70</v>
      </c>
    </row>
    <row r="153" spans="1:26" x14ac:dyDescent="0.2">
      <c r="A153" s="1493" t="s">
        <v>234</v>
      </c>
      <c r="B153" s="4">
        <v>102673120000</v>
      </c>
      <c r="C153" s="4">
        <v>91234370000</v>
      </c>
      <c r="D153" s="4">
        <v>44825670000</v>
      </c>
      <c r="E153" s="4">
        <v>42490610000</v>
      </c>
      <c r="F153" s="4">
        <v>33725560000</v>
      </c>
      <c r="G153" s="4">
        <v>32853150000</v>
      </c>
      <c r="H153" s="4">
        <v>30346090000</v>
      </c>
      <c r="I153" s="4">
        <v>28367751275</v>
      </c>
      <c r="J153" s="639">
        <v>21330840000</v>
      </c>
      <c r="K153" s="4">
        <v>17572310000</v>
      </c>
      <c r="L153" s="4">
        <v>12846940000</v>
      </c>
      <c r="M153" s="4">
        <v>10261880000</v>
      </c>
    </row>
    <row r="154" spans="1:26" x14ac:dyDescent="0.2">
      <c r="A154" s="1493" t="s">
        <v>233</v>
      </c>
      <c r="B154" s="21" t="s">
        <v>6</v>
      </c>
      <c r="C154" s="21" t="s">
        <v>5</v>
      </c>
      <c r="D154" s="21" t="s">
        <v>22</v>
      </c>
      <c r="E154" s="21" t="s">
        <v>9</v>
      </c>
      <c r="F154" s="21" t="s">
        <v>313</v>
      </c>
      <c r="G154" s="21" t="s">
        <v>95</v>
      </c>
      <c r="H154" s="21" t="s">
        <v>18</v>
      </c>
      <c r="I154" s="21" t="s">
        <v>29</v>
      </c>
      <c r="J154" s="21" t="s">
        <v>15</v>
      </c>
      <c r="K154" s="21" t="s">
        <v>99</v>
      </c>
      <c r="L154" s="21" t="s">
        <v>65</v>
      </c>
      <c r="M154" s="21" t="s">
        <v>71</v>
      </c>
    </row>
    <row r="155" spans="1:26" x14ac:dyDescent="0.2">
      <c r="A155" s="1493" t="s">
        <v>233</v>
      </c>
      <c r="B155" s="4">
        <v>141745820000</v>
      </c>
      <c r="C155" s="4">
        <v>62325510000</v>
      </c>
      <c r="D155" s="4">
        <v>50427120000</v>
      </c>
      <c r="E155" s="4">
        <v>47737230000</v>
      </c>
      <c r="F155" s="4">
        <v>41999800000</v>
      </c>
      <c r="G155" s="637">
        <v>36354310000</v>
      </c>
      <c r="H155" s="4">
        <v>31557530000</v>
      </c>
      <c r="I155" s="4">
        <v>31068312602</v>
      </c>
      <c r="J155" s="4">
        <v>28241380000</v>
      </c>
      <c r="K155" s="4">
        <v>28083920000</v>
      </c>
      <c r="L155" s="4">
        <v>26435470000</v>
      </c>
      <c r="M155" s="4">
        <v>24010520000</v>
      </c>
    </row>
    <row r="156" spans="1:26" x14ac:dyDescent="0.2">
      <c r="A156" s="1493" t="s">
        <v>232</v>
      </c>
      <c r="B156" s="21" t="s">
        <v>21</v>
      </c>
      <c r="C156" s="21" t="s">
        <v>89</v>
      </c>
      <c r="D156" s="21" t="s">
        <v>6</v>
      </c>
      <c r="E156" s="21" t="s">
        <v>14</v>
      </c>
      <c r="F156" s="21" t="s">
        <v>9</v>
      </c>
      <c r="G156" s="21" t="s">
        <v>86</v>
      </c>
      <c r="H156" s="21" t="s">
        <v>11</v>
      </c>
      <c r="I156" s="21" t="s">
        <v>188</v>
      </c>
      <c r="J156" s="21" t="s">
        <v>25</v>
      </c>
      <c r="K156" s="21" t="s">
        <v>13</v>
      </c>
      <c r="L156" s="21" t="s">
        <v>42</v>
      </c>
      <c r="M156" s="21" t="s">
        <v>8</v>
      </c>
      <c r="N156" s="1493" t="s">
        <v>387</v>
      </c>
      <c r="O156" s="21" t="s">
        <v>86</v>
      </c>
      <c r="P156" s="21" t="s">
        <v>17</v>
      </c>
      <c r="Q156" s="21" t="s">
        <v>36</v>
      </c>
      <c r="R156" s="21" t="s">
        <v>89</v>
      </c>
      <c r="S156" s="21" t="s">
        <v>6</v>
      </c>
      <c r="T156" s="21" t="s">
        <v>11</v>
      </c>
      <c r="U156" s="21" t="s">
        <v>25</v>
      </c>
      <c r="V156" s="21" t="s">
        <v>97</v>
      </c>
      <c r="W156" s="21" t="s">
        <v>188</v>
      </c>
      <c r="X156" s="21" t="s">
        <v>207</v>
      </c>
      <c r="Y156" s="21" t="s">
        <v>5</v>
      </c>
      <c r="Z156" s="21" t="s">
        <v>67</v>
      </c>
    </row>
    <row r="157" spans="1:26" x14ac:dyDescent="0.2">
      <c r="A157" s="1493" t="s">
        <v>232</v>
      </c>
      <c r="B157" s="4">
        <v>93564320000</v>
      </c>
      <c r="C157" s="4">
        <v>90782500000</v>
      </c>
      <c r="D157" s="4">
        <v>89399130000</v>
      </c>
      <c r="E157" s="4">
        <v>81910260000</v>
      </c>
      <c r="F157" s="4">
        <v>67094780000</v>
      </c>
      <c r="G157" s="4">
        <v>64931460000</v>
      </c>
      <c r="H157" s="4">
        <v>47917350000</v>
      </c>
      <c r="I157" s="4">
        <v>46714460000</v>
      </c>
      <c r="J157" s="4">
        <v>42447050000</v>
      </c>
      <c r="K157" s="4">
        <v>37412420000</v>
      </c>
      <c r="L157" s="4">
        <v>32931400000</v>
      </c>
      <c r="M157" s="4">
        <v>30248100000</v>
      </c>
      <c r="N157" s="1493" t="s">
        <v>387</v>
      </c>
      <c r="O157" s="4">
        <v>105371220000</v>
      </c>
      <c r="P157" s="4">
        <v>93565380000</v>
      </c>
      <c r="Q157" s="4">
        <v>92833740000</v>
      </c>
      <c r="R157" s="4">
        <v>89700160000</v>
      </c>
      <c r="S157" s="4">
        <v>83854350000</v>
      </c>
      <c r="T157" s="4">
        <v>82871650000</v>
      </c>
      <c r="U157" s="4">
        <v>74301770000</v>
      </c>
      <c r="V157" s="4">
        <v>67910960000</v>
      </c>
      <c r="W157" s="4">
        <v>60043490000</v>
      </c>
      <c r="X157" s="4">
        <v>56048000000</v>
      </c>
      <c r="Y157" s="4">
        <v>46863780000</v>
      </c>
      <c r="Z157" s="4">
        <v>44269080000</v>
      </c>
    </row>
    <row r="158" spans="1:26" x14ac:dyDescent="0.2">
      <c r="A158" s="1493" t="s">
        <v>231</v>
      </c>
      <c r="B158" s="21" t="s">
        <v>21</v>
      </c>
      <c r="C158" s="21" t="s">
        <v>36</v>
      </c>
      <c r="D158" s="21" t="s">
        <v>17</v>
      </c>
      <c r="E158" s="21" t="s">
        <v>5</v>
      </c>
      <c r="F158" s="21" t="s">
        <v>97</v>
      </c>
      <c r="G158" s="21" t="s">
        <v>78</v>
      </c>
      <c r="H158" s="21" t="s">
        <v>11</v>
      </c>
      <c r="I158" s="21" t="s">
        <v>302</v>
      </c>
      <c r="J158" s="21" t="s">
        <v>71</v>
      </c>
      <c r="K158" s="21" t="s">
        <v>92</v>
      </c>
      <c r="L158" s="21" t="s">
        <v>72</v>
      </c>
      <c r="M158" s="21" t="s">
        <v>311</v>
      </c>
    </row>
    <row r="159" spans="1:26" x14ac:dyDescent="0.2">
      <c r="A159" s="1493" t="s">
        <v>231</v>
      </c>
      <c r="B159" s="4">
        <v>106422050000</v>
      </c>
      <c r="C159" s="631">
        <v>62078060000</v>
      </c>
      <c r="D159" s="4">
        <v>28219830000</v>
      </c>
      <c r="E159" s="4">
        <v>22986940000</v>
      </c>
      <c r="F159" s="4">
        <v>16920630000</v>
      </c>
      <c r="G159" s="4">
        <v>11690820000</v>
      </c>
      <c r="H159" s="4">
        <v>11590810000</v>
      </c>
      <c r="I159" s="632">
        <v>10866700000</v>
      </c>
      <c r="J159" s="4">
        <v>5881860000</v>
      </c>
      <c r="K159" s="4">
        <v>5590656159</v>
      </c>
      <c r="L159" s="4">
        <v>5492720000</v>
      </c>
      <c r="M159" s="4">
        <v>4642819037</v>
      </c>
    </row>
    <row r="160" spans="1:26" x14ac:dyDescent="0.2">
      <c r="A160" s="1493" t="s">
        <v>230</v>
      </c>
      <c r="B160" s="21" t="s">
        <v>5</v>
      </c>
      <c r="C160" s="21" t="s">
        <v>17</v>
      </c>
      <c r="D160" s="21" t="s">
        <v>11</v>
      </c>
      <c r="E160" s="21" t="s">
        <v>25</v>
      </c>
      <c r="F160" s="21" t="s">
        <v>207</v>
      </c>
      <c r="G160" s="21" t="s">
        <v>97</v>
      </c>
      <c r="H160" s="21" t="s">
        <v>86</v>
      </c>
      <c r="I160" s="21" t="s">
        <v>67</v>
      </c>
      <c r="J160" s="21" t="s">
        <v>180</v>
      </c>
      <c r="K160" s="21" t="s">
        <v>89</v>
      </c>
      <c r="L160" s="21" t="s">
        <v>99</v>
      </c>
      <c r="M160" s="21" t="s">
        <v>15</v>
      </c>
    </row>
    <row r="161" spans="1:26" x14ac:dyDescent="0.2">
      <c r="A161" s="1493" t="s">
        <v>230</v>
      </c>
      <c r="B161" s="4">
        <v>90542080000</v>
      </c>
      <c r="C161" s="4">
        <v>57682310000</v>
      </c>
      <c r="D161" s="4">
        <v>55873620000</v>
      </c>
      <c r="E161" s="4">
        <v>52227660000</v>
      </c>
      <c r="F161" s="628">
        <v>50011340000</v>
      </c>
      <c r="G161" s="4">
        <v>45222010000</v>
      </c>
      <c r="H161" s="4">
        <v>42850670000</v>
      </c>
      <c r="I161" s="4">
        <v>39505120000</v>
      </c>
      <c r="J161" s="4">
        <v>37494840000</v>
      </c>
      <c r="K161" s="4">
        <v>30712550000</v>
      </c>
      <c r="L161" s="4">
        <v>30651250000</v>
      </c>
      <c r="M161" s="4">
        <v>30209090000</v>
      </c>
    </row>
    <row r="162" spans="1:26" x14ac:dyDescent="0.2">
      <c r="A162" s="1493" t="s">
        <v>229</v>
      </c>
      <c r="B162" s="21" t="s">
        <v>17</v>
      </c>
      <c r="C162" s="21" t="s">
        <v>37</v>
      </c>
      <c r="D162" s="21" t="s">
        <v>20</v>
      </c>
      <c r="E162" s="21" t="s">
        <v>10</v>
      </c>
      <c r="F162" s="21" t="s">
        <v>7</v>
      </c>
      <c r="G162" s="21" t="s">
        <v>8</v>
      </c>
      <c r="H162" s="21" t="s">
        <v>87</v>
      </c>
      <c r="I162" s="21" t="s">
        <v>291</v>
      </c>
      <c r="J162" s="21" t="s">
        <v>26</v>
      </c>
      <c r="K162" s="21" t="s">
        <v>262</v>
      </c>
      <c r="L162" s="21" t="s">
        <v>267</v>
      </c>
      <c r="M162" s="21" t="s">
        <v>94</v>
      </c>
    </row>
    <row r="163" spans="1:26" x14ac:dyDescent="0.2">
      <c r="A163" s="1493" t="s">
        <v>229</v>
      </c>
      <c r="B163" s="4">
        <v>105562810000</v>
      </c>
      <c r="C163" s="4">
        <v>30395810000</v>
      </c>
      <c r="D163" s="4">
        <v>25240925757</v>
      </c>
      <c r="E163" s="4">
        <v>24651519592</v>
      </c>
      <c r="F163" s="4">
        <v>17246547991</v>
      </c>
      <c r="G163" s="4">
        <v>16158690000</v>
      </c>
      <c r="H163" s="4">
        <v>15999880000</v>
      </c>
      <c r="I163" s="4">
        <v>11193990000</v>
      </c>
      <c r="J163" s="4">
        <v>9368690000</v>
      </c>
      <c r="K163" s="4">
        <v>7228620000</v>
      </c>
      <c r="L163" s="4">
        <v>6956030000</v>
      </c>
      <c r="M163" s="624">
        <v>6771424838</v>
      </c>
    </row>
    <row r="164" spans="1:26" x14ac:dyDescent="0.2">
      <c r="A164" s="1493" t="s">
        <v>228</v>
      </c>
      <c r="B164" s="21" t="s">
        <v>165</v>
      </c>
      <c r="C164" s="21" t="s">
        <v>75</v>
      </c>
      <c r="D164" s="21" t="s">
        <v>14</v>
      </c>
      <c r="E164" s="21" t="s">
        <v>8</v>
      </c>
      <c r="F164" s="21" t="s">
        <v>20</v>
      </c>
      <c r="G164" s="21" t="s">
        <v>18</v>
      </c>
      <c r="H164" s="21" t="s">
        <v>261</v>
      </c>
      <c r="I164" s="21" t="s">
        <v>15</v>
      </c>
      <c r="J164" s="21" t="s">
        <v>207</v>
      </c>
      <c r="K164" s="21" t="s">
        <v>17</v>
      </c>
      <c r="L164" s="21" t="s">
        <v>294</v>
      </c>
      <c r="M164" s="21" t="s">
        <v>303</v>
      </c>
      <c r="N164" s="1493" t="s">
        <v>386</v>
      </c>
      <c r="O164" s="21" t="s">
        <v>35</v>
      </c>
      <c r="P164" s="21" t="s">
        <v>17</v>
      </c>
      <c r="Q164" s="21" t="s">
        <v>165</v>
      </c>
      <c r="R164" s="21" t="s">
        <v>14</v>
      </c>
      <c r="S164" s="21" t="s">
        <v>29</v>
      </c>
      <c r="T164" s="21" t="s">
        <v>163</v>
      </c>
      <c r="U164" s="21" t="s">
        <v>8</v>
      </c>
      <c r="V164" s="21" t="s">
        <v>5</v>
      </c>
      <c r="W164" s="21" t="s">
        <v>207</v>
      </c>
      <c r="X164" s="21" t="s">
        <v>25</v>
      </c>
      <c r="Y164" s="21" t="s">
        <v>198</v>
      </c>
      <c r="Z164" s="21" t="s">
        <v>99</v>
      </c>
    </row>
    <row r="165" spans="1:26" x14ac:dyDescent="0.2">
      <c r="A165" s="1493" t="s">
        <v>228</v>
      </c>
      <c r="B165" s="621">
        <v>63809490000</v>
      </c>
      <c r="C165" s="4">
        <v>40423080000</v>
      </c>
      <c r="D165" s="4">
        <v>27232960000</v>
      </c>
      <c r="E165" s="4">
        <v>26908830000</v>
      </c>
      <c r="F165" s="4">
        <v>25049261529</v>
      </c>
      <c r="G165" s="4">
        <v>18460100000</v>
      </c>
      <c r="H165" s="4">
        <v>16220910000</v>
      </c>
      <c r="I165" s="4">
        <v>14637450000</v>
      </c>
      <c r="J165" s="4">
        <v>14051090000</v>
      </c>
      <c r="K165" s="4">
        <v>13300870000</v>
      </c>
      <c r="L165" s="4">
        <v>11290810000</v>
      </c>
      <c r="M165" s="4">
        <v>11000420000</v>
      </c>
      <c r="N165" s="1493" t="s">
        <v>386</v>
      </c>
      <c r="O165" s="4">
        <v>427750680000</v>
      </c>
      <c r="P165" s="4">
        <v>332038620105</v>
      </c>
      <c r="Q165" s="4">
        <v>239658710000</v>
      </c>
      <c r="R165" s="4">
        <v>151272260000</v>
      </c>
      <c r="S165" s="4">
        <v>136299020616</v>
      </c>
      <c r="T165" s="4">
        <v>104494320000</v>
      </c>
      <c r="U165" s="4">
        <v>89564457951</v>
      </c>
      <c r="V165" s="4">
        <v>76867120000</v>
      </c>
      <c r="W165" s="4">
        <v>65918131653</v>
      </c>
      <c r="X165" s="4">
        <v>63161070000</v>
      </c>
      <c r="Y165" s="4">
        <v>47232760000</v>
      </c>
      <c r="Z165" s="4">
        <v>44976930000</v>
      </c>
    </row>
    <row r="166" spans="1:26" x14ac:dyDescent="0.2">
      <c r="A166" s="1493" t="s">
        <v>227</v>
      </c>
      <c r="B166" s="21" t="s">
        <v>37</v>
      </c>
      <c r="C166" s="21" t="s">
        <v>5</v>
      </c>
      <c r="D166" s="21" t="s">
        <v>17</v>
      </c>
      <c r="E166" s="21" t="s">
        <v>29</v>
      </c>
      <c r="F166" s="21" t="s">
        <v>165</v>
      </c>
      <c r="G166" s="21" t="s">
        <v>99</v>
      </c>
      <c r="H166" s="21" t="s">
        <v>67</v>
      </c>
      <c r="I166" s="21" t="s">
        <v>87</v>
      </c>
      <c r="J166" s="21" t="s">
        <v>28</v>
      </c>
      <c r="K166" s="21" t="s">
        <v>25</v>
      </c>
      <c r="L166" s="21" t="s">
        <v>14</v>
      </c>
      <c r="M166" s="21" t="s">
        <v>8</v>
      </c>
    </row>
    <row r="167" spans="1:26" x14ac:dyDescent="0.2">
      <c r="A167" s="1493" t="s">
        <v>227</v>
      </c>
      <c r="B167" s="617">
        <v>94040600000</v>
      </c>
      <c r="C167" s="4">
        <v>85467050000</v>
      </c>
      <c r="D167" s="4">
        <v>74814430000</v>
      </c>
      <c r="E167" s="4">
        <v>64210784960</v>
      </c>
      <c r="F167" s="618">
        <v>59340490000</v>
      </c>
      <c r="G167" s="4">
        <v>55413350000</v>
      </c>
      <c r="H167" s="4">
        <v>34514800000</v>
      </c>
      <c r="I167" s="4">
        <v>33203570000</v>
      </c>
      <c r="J167" s="4">
        <v>30046210000</v>
      </c>
      <c r="K167" s="4">
        <v>25151280000</v>
      </c>
      <c r="L167" s="4">
        <v>22815450000</v>
      </c>
      <c r="M167" s="4">
        <v>15606170000</v>
      </c>
    </row>
    <row r="168" spans="1:26" x14ac:dyDescent="0.2">
      <c r="A168" s="1493" t="s">
        <v>226</v>
      </c>
      <c r="B168" s="21" t="s">
        <v>35</v>
      </c>
      <c r="C168" s="21" t="s">
        <v>64</v>
      </c>
      <c r="D168" s="21" t="s">
        <v>25</v>
      </c>
      <c r="E168" s="21" t="s">
        <v>163</v>
      </c>
      <c r="F168" s="21" t="s">
        <v>262</v>
      </c>
      <c r="G168" s="21" t="s">
        <v>84</v>
      </c>
      <c r="H168" s="21" t="s">
        <v>8</v>
      </c>
      <c r="I168" s="21" t="s">
        <v>207</v>
      </c>
      <c r="J168" s="21" t="s">
        <v>13</v>
      </c>
      <c r="K168" s="21" t="s">
        <v>78</v>
      </c>
      <c r="L168" s="21" t="s">
        <v>67</v>
      </c>
      <c r="M168" s="21" t="s">
        <v>159</v>
      </c>
    </row>
    <row r="169" spans="1:26" x14ac:dyDescent="0.2">
      <c r="A169" s="1493" t="s">
        <v>226</v>
      </c>
      <c r="B169" s="614">
        <v>427750610000</v>
      </c>
      <c r="C169" s="4">
        <v>29807542793</v>
      </c>
      <c r="D169" s="4">
        <v>28543420000</v>
      </c>
      <c r="E169" s="4">
        <v>14729970000</v>
      </c>
      <c r="F169" s="4">
        <v>13431680000</v>
      </c>
      <c r="G169" s="4">
        <v>13381946123</v>
      </c>
      <c r="H169" s="4">
        <v>13244597951</v>
      </c>
      <c r="I169" s="4">
        <v>13035001653</v>
      </c>
      <c r="J169" s="4">
        <v>11858910000</v>
      </c>
      <c r="K169" s="4">
        <v>10891130090</v>
      </c>
      <c r="L169" s="4">
        <v>9014550000</v>
      </c>
      <c r="M169" s="4">
        <v>8515050000</v>
      </c>
    </row>
    <row r="170" spans="1:26" x14ac:dyDescent="0.2">
      <c r="A170" s="1493" t="s">
        <v>225</v>
      </c>
      <c r="B170" s="21" t="s">
        <v>17</v>
      </c>
      <c r="C170" s="21" t="s">
        <v>165</v>
      </c>
      <c r="D170" s="21" t="s">
        <v>163</v>
      </c>
      <c r="E170" s="21" t="s">
        <v>23</v>
      </c>
      <c r="F170" s="21" t="s">
        <v>14</v>
      </c>
      <c r="G170" s="21" t="s">
        <v>22</v>
      </c>
      <c r="H170" s="21" t="s">
        <v>11</v>
      </c>
      <c r="I170" s="21" t="s">
        <v>198</v>
      </c>
      <c r="J170" s="21" t="s">
        <v>9</v>
      </c>
      <c r="K170" s="21" t="s">
        <v>8</v>
      </c>
      <c r="L170" s="21" t="s">
        <v>5</v>
      </c>
      <c r="M170" s="21" t="s">
        <v>65</v>
      </c>
    </row>
    <row r="171" spans="1:26" x14ac:dyDescent="0.2">
      <c r="A171" s="1493" t="s">
        <v>225</v>
      </c>
      <c r="B171" s="612">
        <v>276121530000</v>
      </c>
      <c r="C171" s="4">
        <v>56453680000</v>
      </c>
      <c r="D171" s="4">
        <v>48765340000</v>
      </c>
      <c r="E171" s="4">
        <v>46808880000</v>
      </c>
      <c r="F171" s="4">
        <v>44359010000</v>
      </c>
      <c r="G171" s="4">
        <v>36680920000</v>
      </c>
      <c r="H171" s="4">
        <v>35351290000</v>
      </c>
      <c r="I171" s="4">
        <v>28143000000</v>
      </c>
      <c r="J171" s="4">
        <v>27196200000</v>
      </c>
      <c r="K171" s="4">
        <v>24100840000</v>
      </c>
      <c r="L171" s="4">
        <v>21523140000</v>
      </c>
      <c r="M171" s="4">
        <v>20299690000</v>
      </c>
    </row>
    <row r="172" spans="1:26" x14ac:dyDescent="0.2">
      <c r="A172" s="1493" t="s">
        <v>224</v>
      </c>
      <c r="B172" s="21" t="s">
        <v>29</v>
      </c>
      <c r="C172" s="21" t="s">
        <v>165</v>
      </c>
      <c r="D172" s="21" t="s">
        <v>14</v>
      </c>
      <c r="E172" s="21" t="s">
        <v>163</v>
      </c>
      <c r="F172" s="21" t="s">
        <v>207</v>
      </c>
      <c r="G172" s="21" t="s">
        <v>18</v>
      </c>
      <c r="H172" s="21" t="s">
        <v>12</v>
      </c>
      <c r="I172" s="21" t="s">
        <v>25</v>
      </c>
      <c r="J172" s="21" t="s">
        <v>59</v>
      </c>
      <c r="K172" s="21" t="s">
        <v>58</v>
      </c>
      <c r="L172" s="21" t="s">
        <v>15</v>
      </c>
      <c r="M172" s="21" t="s">
        <v>99</v>
      </c>
    </row>
    <row r="173" spans="1:26" x14ac:dyDescent="0.2">
      <c r="A173" s="1493" t="s">
        <v>224</v>
      </c>
      <c r="B173" s="4">
        <v>64244168735</v>
      </c>
      <c r="C173" s="608">
        <v>56719100000</v>
      </c>
      <c r="D173" s="4">
        <v>54597370000</v>
      </c>
      <c r="E173" s="4">
        <v>42048840000</v>
      </c>
      <c r="F173" s="609">
        <v>36116770000</v>
      </c>
      <c r="G173" s="4">
        <v>35296590000</v>
      </c>
      <c r="H173" s="4">
        <v>32414800000</v>
      </c>
      <c r="I173" s="4">
        <v>32114280000</v>
      </c>
      <c r="J173" s="4">
        <v>29503890000</v>
      </c>
      <c r="K173" s="4">
        <v>28076860000</v>
      </c>
      <c r="L173" s="4">
        <v>25754560000</v>
      </c>
      <c r="M173" s="4">
        <v>20950040000</v>
      </c>
    </row>
    <row r="174" spans="1:26" x14ac:dyDescent="0.2">
      <c r="A174" s="1493" t="s">
        <v>223</v>
      </c>
      <c r="B174" s="21" t="s">
        <v>72</v>
      </c>
      <c r="C174" s="21" t="s">
        <v>17</v>
      </c>
      <c r="D174" s="21" t="s">
        <v>18</v>
      </c>
      <c r="E174" s="21" t="s">
        <v>165</v>
      </c>
      <c r="F174" s="21" t="s">
        <v>21</v>
      </c>
      <c r="G174" s="21" t="s">
        <v>15</v>
      </c>
      <c r="H174" s="21" t="s">
        <v>75</v>
      </c>
      <c r="I174" s="21" t="s">
        <v>13</v>
      </c>
      <c r="J174" s="21" t="s">
        <v>58</v>
      </c>
      <c r="K174" s="21" t="s">
        <v>67</v>
      </c>
      <c r="L174" s="21" t="s">
        <v>39</v>
      </c>
      <c r="M174" s="21" t="s">
        <v>28</v>
      </c>
      <c r="N174" s="1493" t="s">
        <v>385</v>
      </c>
      <c r="O174" s="21" t="s">
        <v>17</v>
      </c>
      <c r="P174" s="21" t="s">
        <v>29</v>
      </c>
      <c r="Q174" s="21" t="s">
        <v>72</v>
      </c>
      <c r="R174" s="21" t="s">
        <v>58</v>
      </c>
      <c r="S174" s="21" t="s">
        <v>79</v>
      </c>
      <c r="T174" s="21" t="s">
        <v>88</v>
      </c>
      <c r="U174" s="21" t="s">
        <v>89</v>
      </c>
      <c r="V174" s="21" t="s">
        <v>180</v>
      </c>
      <c r="W174" s="21" t="s">
        <v>12</v>
      </c>
      <c r="X174" s="21" t="s">
        <v>66</v>
      </c>
      <c r="Y174" s="21" t="s">
        <v>186</v>
      </c>
      <c r="Z174" s="21" t="s">
        <v>18</v>
      </c>
    </row>
    <row r="175" spans="1:26" x14ac:dyDescent="0.2">
      <c r="A175" s="1493" t="s">
        <v>223</v>
      </c>
      <c r="B175" s="4">
        <v>224222080000</v>
      </c>
      <c r="C175" s="4">
        <v>120952130000</v>
      </c>
      <c r="D175" s="4">
        <v>64256410000</v>
      </c>
      <c r="E175" s="605">
        <v>55393940000</v>
      </c>
      <c r="F175" s="4">
        <v>46587510000</v>
      </c>
      <c r="G175" s="4">
        <v>46360510000</v>
      </c>
      <c r="H175" s="4">
        <v>46132860000</v>
      </c>
      <c r="I175" s="4">
        <v>44949160000</v>
      </c>
      <c r="J175" s="4">
        <v>43939440000</v>
      </c>
      <c r="K175" s="4">
        <v>40110220000</v>
      </c>
      <c r="L175" s="4">
        <v>24452200000</v>
      </c>
      <c r="M175" s="4">
        <v>23481730000</v>
      </c>
      <c r="N175" s="1493" t="s">
        <v>385</v>
      </c>
      <c r="O175" s="4">
        <v>391653280000</v>
      </c>
      <c r="P175" s="4">
        <v>220434194428</v>
      </c>
      <c r="Q175" s="4">
        <v>201884310000</v>
      </c>
      <c r="R175" s="4">
        <v>191446970000</v>
      </c>
      <c r="S175" s="4">
        <v>189695840000</v>
      </c>
      <c r="T175" s="4">
        <v>170729480000</v>
      </c>
      <c r="U175" s="4">
        <v>120987620000</v>
      </c>
      <c r="V175" s="4">
        <v>108482450000</v>
      </c>
      <c r="W175" s="4">
        <v>84740060000</v>
      </c>
      <c r="X175" s="4">
        <v>75056860000</v>
      </c>
      <c r="Y175" s="4">
        <v>72194210000</v>
      </c>
      <c r="Z175" s="4">
        <v>66473860000</v>
      </c>
    </row>
    <row r="176" spans="1:26" x14ac:dyDescent="0.2">
      <c r="A176" s="1493" t="s">
        <v>222</v>
      </c>
      <c r="B176" s="21" t="s">
        <v>21</v>
      </c>
      <c r="C176" s="21" t="s">
        <v>17</v>
      </c>
      <c r="D176" s="21" t="s">
        <v>12</v>
      </c>
      <c r="E176" s="21" t="s">
        <v>37</v>
      </c>
      <c r="F176" s="21" t="s">
        <v>180</v>
      </c>
      <c r="G176" s="21" t="s">
        <v>71</v>
      </c>
      <c r="H176" s="21" t="s">
        <v>13</v>
      </c>
      <c r="I176" s="21" t="s">
        <v>88</v>
      </c>
      <c r="J176" s="21" t="s">
        <v>58</v>
      </c>
      <c r="K176" s="21" t="s">
        <v>28</v>
      </c>
      <c r="L176" s="21" t="s">
        <v>207</v>
      </c>
      <c r="M176" s="21" t="s">
        <v>65</v>
      </c>
    </row>
    <row r="177" spans="1:26" x14ac:dyDescent="0.2">
      <c r="A177" s="1493" t="s">
        <v>222</v>
      </c>
      <c r="B177" s="600">
        <v>135598370000</v>
      </c>
      <c r="C177" s="4">
        <v>110453300000</v>
      </c>
      <c r="D177" s="4">
        <v>84089480000</v>
      </c>
      <c r="E177" s="601">
        <v>78242590000</v>
      </c>
      <c r="F177" s="4">
        <v>72633460000</v>
      </c>
      <c r="G177" s="602">
        <v>66510550000</v>
      </c>
      <c r="H177" s="4">
        <v>48428820000</v>
      </c>
      <c r="I177" s="4">
        <v>46950050000</v>
      </c>
      <c r="J177" s="4">
        <v>43643020000</v>
      </c>
      <c r="K177" s="4">
        <v>39300030000</v>
      </c>
      <c r="L177" s="603">
        <v>33420160000</v>
      </c>
      <c r="M177" s="4">
        <v>30164570000</v>
      </c>
    </row>
    <row r="178" spans="1:26" x14ac:dyDescent="0.2">
      <c r="A178" s="1493" t="s">
        <v>221</v>
      </c>
      <c r="B178" s="21" t="s">
        <v>66</v>
      </c>
      <c r="C178" s="21" t="s">
        <v>58</v>
      </c>
      <c r="D178" s="21" t="s">
        <v>69</v>
      </c>
      <c r="E178" s="21" t="s">
        <v>88</v>
      </c>
      <c r="F178" s="21" t="s">
        <v>15</v>
      </c>
      <c r="G178" s="21" t="s">
        <v>170</v>
      </c>
      <c r="H178" s="21" t="s">
        <v>286</v>
      </c>
      <c r="I178" s="21" t="s">
        <v>207</v>
      </c>
      <c r="J178" s="21" t="s">
        <v>83</v>
      </c>
      <c r="K178" s="21" t="s">
        <v>186</v>
      </c>
      <c r="L178" s="21" t="s">
        <v>73</v>
      </c>
      <c r="M178" s="21" t="s">
        <v>82</v>
      </c>
    </row>
    <row r="179" spans="1:26" x14ac:dyDescent="0.2">
      <c r="A179" s="1493" t="s">
        <v>221</v>
      </c>
      <c r="B179" s="597">
        <v>74953220000</v>
      </c>
      <c r="C179" s="4">
        <v>54820000000</v>
      </c>
      <c r="D179" s="598">
        <v>51551070000</v>
      </c>
      <c r="E179" s="4">
        <v>29217820000</v>
      </c>
      <c r="F179" s="4">
        <v>22531680000</v>
      </c>
      <c r="G179" s="4">
        <v>22302040000</v>
      </c>
      <c r="H179" s="4">
        <v>19503350000</v>
      </c>
      <c r="I179" s="4">
        <v>16087890000</v>
      </c>
      <c r="J179" s="4">
        <v>15688784427</v>
      </c>
      <c r="K179" s="4">
        <v>15355030000</v>
      </c>
      <c r="L179" s="4">
        <v>9630290000</v>
      </c>
      <c r="M179" s="4">
        <v>8204196639</v>
      </c>
    </row>
    <row r="180" spans="1:26" x14ac:dyDescent="0.2">
      <c r="A180" s="1493" t="s">
        <v>220</v>
      </c>
      <c r="B180" s="21" t="s">
        <v>79</v>
      </c>
      <c r="C180" s="21" t="s">
        <v>29</v>
      </c>
      <c r="D180" s="21" t="s">
        <v>17</v>
      </c>
      <c r="E180" s="21" t="s">
        <v>186</v>
      </c>
      <c r="F180" s="21" t="s">
        <v>99</v>
      </c>
      <c r="G180" s="21" t="s">
        <v>88</v>
      </c>
      <c r="H180" s="21" t="s">
        <v>42</v>
      </c>
      <c r="I180" s="21" t="s">
        <v>70</v>
      </c>
      <c r="J180" s="21" t="s">
        <v>183</v>
      </c>
      <c r="K180" s="21" t="s">
        <v>38</v>
      </c>
      <c r="L180" s="21" t="s">
        <v>18</v>
      </c>
      <c r="M180" s="21" t="s">
        <v>20</v>
      </c>
    </row>
    <row r="181" spans="1:26" x14ac:dyDescent="0.2">
      <c r="A181" s="1493" t="s">
        <v>220</v>
      </c>
      <c r="B181" s="590">
        <v>189695840000</v>
      </c>
      <c r="C181" s="591">
        <v>162556294428</v>
      </c>
      <c r="D181" s="4">
        <v>70721320000</v>
      </c>
      <c r="E181" s="592">
        <v>65933640000</v>
      </c>
      <c r="F181" s="4">
        <v>63668980000</v>
      </c>
      <c r="G181" s="593">
        <v>58797140000</v>
      </c>
      <c r="H181" s="4">
        <v>52099560000</v>
      </c>
      <c r="I181" s="4">
        <v>49247490000</v>
      </c>
      <c r="J181" s="4">
        <v>33904930000</v>
      </c>
      <c r="K181" s="4">
        <v>32976830000</v>
      </c>
      <c r="L181" s="4">
        <v>32294300000</v>
      </c>
      <c r="M181" s="4">
        <v>22483224778</v>
      </c>
    </row>
    <row r="182" spans="1:26" x14ac:dyDescent="0.2">
      <c r="A182" s="1493" t="s">
        <v>219</v>
      </c>
      <c r="B182" s="21" t="s">
        <v>89</v>
      </c>
      <c r="C182" s="21" t="s">
        <v>17</v>
      </c>
      <c r="D182" s="21" t="s">
        <v>180</v>
      </c>
      <c r="E182" s="21" t="s">
        <v>29</v>
      </c>
      <c r="F182" s="21" t="s">
        <v>13</v>
      </c>
      <c r="G182" s="21" t="s">
        <v>72</v>
      </c>
      <c r="H182" s="21" t="s">
        <v>58</v>
      </c>
      <c r="I182" s="21" t="s">
        <v>70</v>
      </c>
      <c r="J182" s="21" t="s">
        <v>88</v>
      </c>
      <c r="K182" s="21" t="s">
        <v>78</v>
      </c>
      <c r="L182" s="21" t="s">
        <v>36</v>
      </c>
      <c r="M182" s="21" t="s">
        <v>336</v>
      </c>
    </row>
    <row r="183" spans="1:26" x14ac:dyDescent="0.2">
      <c r="A183" s="1493" t="s">
        <v>219</v>
      </c>
      <c r="B183" s="586">
        <v>165655590000</v>
      </c>
      <c r="C183" s="4">
        <v>129696930000</v>
      </c>
      <c r="D183" s="4">
        <v>86712210000</v>
      </c>
      <c r="E183" s="587">
        <v>70447947659</v>
      </c>
      <c r="F183" s="4">
        <v>47098690000</v>
      </c>
      <c r="G183" s="4">
        <v>29407990000</v>
      </c>
      <c r="H183" s="4">
        <v>28284700000</v>
      </c>
      <c r="I183" s="4">
        <v>24990200000</v>
      </c>
      <c r="J183" s="4">
        <v>24427990000</v>
      </c>
      <c r="K183" s="4">
        <v>21964270000</v>
      </c>
      <c r="L183" s="4">
        <v>19503560000</v>
      </c>
      <c r="M183" s="4">
        <v>13589200000</v>
      </c>
    </row>
    <row r="184" spans="1:26" x14ac:dyDescent="0.2">
      <c r="A184" s="1493" t="s">
        <v>218</v>
      </c>
      <c r="B184" s="21" t="s">
        <v>17</v>
      </c>
      <c r="C184" s="21" t="s">
        <v>15</v>
      </c>
      <c r="D184" s="21" t="s">
        <v>29</v>
      </c>
      <c r="E184" s="21" t="s">
        <v>5</v>
      </c>
      <c r="F184" s="21" t="s">
        <v>18</v>
      </c>
      <c r="G184" s="21" t="s">
        <v>91</v>
      </c>
      <c r="H184" s="21" t="s">
        <v>37</v>
      </c>
      <c r="I184" s="21" t="s">
        <v>28</v>
      </c>
      <c r="J184" s="21" t="s">
        <v>90</v>
      </c>
      <c r="K184" s="21" t="s">
        <v>99</v>
      </c>
      <c r="L184" s="21" t="s">
        <v>20</v>
      </c>
      <c r="M184" s="21" t="s">
        <v>95</v>
      </c>
      <c r="N184" s="1493" t="s">
        <v>384</v>
      </c>
      <c r="O184" s="21" t="s">
        <v>180</v>
      </c>
      <c r="P184" s="21" t="s">
        <v>15</v>
      </c>
      <c r="Q184" s="21" t="s">
        <v>5</v>
      </c>
      <c r="R184" s="21" t="s">
        <v>17</v>
      </c>
      <c r="S184" s="21" t="s">
        <v>8</v>
      </c>
      <c r="T184" s="21" t="s">
        <v>29</v>
      </c>
      <c r="U184" s="21" t="s">
        <v>99</v>
      </c>
      <c r="V184" s="21" t="s">
        <v>93</v>
      </c>
      <c r="W184" s="21" t="s">
        <v>192</v>
      </c>
      <c r="X184" s="21" t="s">
        <v>186</v>
      </c>
      <c r="Y184" s="21" t="s">
        <v>20</v>
      </c>
      <c r="Z184" s="21" t="s">
        <v>67</v>
      </c>
    </row>
    <row r="185" spans="1:26" x14ac:dyDescent="0.2">
      <c r="A185" s="1493" t="s">
        <v>218</v>
      </c>
      <c r="B185" s="4">
        <v>169745900000</v>
      </c>
      <c r="C185" s="4">
        <v>54704030000</v>
      </c>
      <c r="D185" s="4">
        <v>51280267066</v>
      </c>
      <c r="E185" s="4">
        <v>34805490000</v>
      </c>
      <c r="F185" s="4">
        <v>27315590000</v>
      </c>
      <c r="G185" s="4">
        <v>24022220000</v>
      </c>
      <c r="H185" s="4">
        <v>23909310000</v>
      </c>
      <c r="I185" s="4">
        <v>23848140000</v>
      </c>
      <c r="J185" s="584">
        <v>23567380000</v>
      </c>
      <c r="K185" s="4">
        <v>19946680000</v>
      </c>
      <c r="L185" s="4">
        <v>19105113334</v>
      </c>
      <c r="M185" s="4">
        <v>15429890000</v>
      </c>
      <c r="N185" s="1493" t="s">
        <v>384</v>
      </c>
      <c r="O185" s="4">
        <v>152740940000</v>
      </c>
      <c r="P185" s="4">
        <v>151668860000</v>
      </c>
      <c r="Q185" s="4">
        <v>151238110000</v>
      </c>
      <c r="R185" s="4">
        <v>95009155324</v>
      </c>
      <c r="S185" s="4">
        <v>68775941716</v>
      </c>
      <c r="T185" s="4">
        <v>64025072726</v>
      </c>
      <c r="U185" s="4">
        <v>60482231526</v>
      </c>
      <c r="V185" s="4">
        <v>59375612680</v>
      </c>
      <c r="W185" s="4">
        <v>46394818858</v>
      </c>
      <c r="X185" s="4">
        <v>43358390000</v>
      </c>
      <c r="Y185" s="4">
        <v>37544316447</v>
      </c>
      <c r="Z185" s="4">
        <v>36962600786</v>
      </c>
    </row>
    <row r="186" spans="1:26" x14ac:dyDescent="0.2">
      <c r="A186" s="1493" t="s">
        <v>217</v>
      </c>
      <c r="B186" s="21" t="s">
        <v>13</v>
      </c>
      <c r="C186" s="21" t="s">
        <v>5</v>
      </c>
      <c r="D186" s="21" t="s">
        <v>17</v>
      </c>
      <c r="E186" s="21" t="s">
        <v>188</v>
      </c>
      <c r="F186" s="21" t="s">
        <v>8</v>
      </c>
      <c r="G186" s="21" t="s">
        <v>15</v>
      </c>
      <c r="H186" s="21" t="s">
        <v>294</v>
      </c>
      <c r="I186" s="21" t="s">
        <v>28</v>
      </c>
      <c r="J186" s="21" t="s">
        <v>7</v>
      </c>
      <c r="K186" s="21" t="s">
        <v>180</v>
      </c>
      <c r="L186" s="21" t="s">
        <v>168</v>
      </c>
      <c r="M186" s="21" t="s">
        <v>75</v>
      </c>
    </row>
    <row r="187" spans="1:26" x14ac:dyDescent="0.2">
      <c r="A187" s="1493" t="s">
        <v>217</v>
      </c>
      <c r="B187" s="4">
        <v>182560220000</v>
      </c>
      <c r="C187" s="4">
        <v>45977320000</v>
      </c>
      <c r="D187" s="4">
        <v>34748415324</v>
      </c>
      <c r="E187" s="4">
        <v>31826516172</v>
      </c>
      <c r="F187" s="4">
        <v>31471871716</v>
      </c>
      <c r="G187" s="4">
        <v>30486850000</v>
      </c>
      <c r="H187" s="579">
        <v>26945945636</v>
      </c>
      <c r="I187" s="4">
        <v>21392468806</v>
      </c>
      <c r="J187" s="4">
        <v>18747265138</v>
      </c>
      <c r="K187" s="4">
        <v>18390960000</v>
      </c>
      <c r="L187" s="4">
        <v>13662425748</v>
      </c>
      <c r="M187" s="4">
        <v>13597237516</v>
      </c>
    </row>
    <row r="188" spans="1:26" x14ac:dyDescent="0.2">
      <c r="A188" s="1493" t="s">
        <v>216</v>
      </c>
      <c r="B188" s="21" t="s">
        <v>192</v>
      </c>
      <c r="C188" s="21" t="s">
        <v>42</v>
      </c>
      <c r="D188" s="21" t="s">
        <v>17</v>
      </c>
      <c r="E188" s="21" t="s">
        <v>65</v>
      </c>
      <c r="F188" s="21" t="s">
        <v>95</v>
      </c>
      <c r="G188" s="21" t="s">
        <v>207</v>
      </c>
      <c r="H188" s="21" t="s">
        <v>61</v>
      </c>
      <c r="I188" s="21" t="s">
        <v>67</v>
      </c>
      <c r="J188" s="21" t="s">
        <v>12</v>
      </c>
      <c r="K188" s="21" t="s">
        <v>58</v>
      </c>
      <c r="L188" s="21" t="s">
        <v>93</v>
      </c>
      <c r="M188" s="21" t="s">
        <v>84</v>
      </c>
    </row>
    <row r="189" spans="1:26" x14ac:dyDescent="0.2">
      <c r="A189" s="1493" t="s">
        <v>216</v>
      </c>
      <c r="B189" s="574">
        <v>45332240000</v>
      </c>
      <c r="C189" s="4">
        <v>32641190000</v>
      </c>
      <c r="D189" s="4">
        <v>29483140000</v>
      </c>
      <c r="E189" s="4">
        <v>17968760000</v>
      </c>
      <c r="F189" s="4">
        <v>17015590000</v>
      </c>
      <c r="G189" s="4">
        <v>14932150000</v>
      </c>
      <c r="H189" s="4">
        <v>13466190000</v>
      </c>
      <c r="I189" s="4">
        <v>12121100000</v>
      </c>
      <c r="J189" s="4">
        <v>10527480000</v>
      </c>
      <c r="K189" s="4">
        <v>10173340000</v>
      </c>
      <c r="L189" s="4">
        <v>9130080444</v>
      </c>
      <c r="M189" s="4">
        <v>8595130000</v>
      </c>
    </row>
    <row r="190" spans="1:26" x14ac:dyDescent="0.2">
      <c r="A190" s="1493" t="s">
        <v>215</v>
      </c>
      <c r="B190" s="21" t="s">
        <v>180</v>
      </c>
      <c r="C190" s="21" t="s">
        <v>15</v>
      </c>
      <c r="D190" s="21" t="s">
        <v>86</v>
      </c>
      <c r="E190" s="21" t="s">
        <v>11</v>
      </c>
      <c r="F190" s="21" t="s">
        <v>67</v>
      </c>
      <c r="G190" s="21" t="s">
        <v>99</v>
      </c>
      <c r="H190" s="21" t="s">
        <v>5</v>
      </c>
      <c r="I190" s="21" t="s">
        <v>37</v>
      </c>
      <c r="J190" s="21" t="s">
        <v>8</v>
      </c>
      <c r="K190" s="21" t="s">
        <v>186</v>
      </c>
      <c r="L190" s="21" t="s">
        <v>14</v>
      </c>
      <c r="M190" s="21" t="s">
        <v>12</v>
      </c>
    </row>
    <row r="191" spans="1:26" x14ac:dyDescent="0.2">
      <c r="A191" s="1493" t="s">
        <v>215</v>
      </c>
      <c r="B191" s="4">
        <v>121342210000</v>
      </c>
      <c r="C191" s="571">
        <v>94186580000</v>
      </c>
      <c r="D191" s="4">
        <v>82135410000</v>
      </c>
      <c r="E191" s="4">
        <v>57915710000</v>
      </c>
      <c r="F191" s="4">
        <v>50167100000</v>
      </c>
      <c r="G191" s="4">
        <v>45033290000</v>
      </c>
      <c r="H191" s="4">
        <v>42035620000</v>
      </c>
      <c r="I191" s="4">
        <v>34439110000</v>
      </c>
      <c r="J191" s="4">
        <v>27823800000</v>
      </c>
      <c r="K191" s="4">
        <v>23899780000</v>
      </c>
      <c r="L191" s="4">
        <v>23449050000</v>
      </c>
      <c r="M191" s="4">
        <v>22767180000</v>
      </c>
    </row>
    <row r="192" spans="1:26" x14ac:dyDescent="0.2">
      <c r="A192" s="1493" t="s">
        <v>214</v>
      </c>
      <c r="B192" s="21" t="s">
        <v>72</v>
      </c>
      <c r="C192" s="21" t="s">
        <v>180</v>
      </c>
      <c r="D192" s="21" t="s">
        <v>13</v>
      </c>
      <c r="E192" s="21" t="s">
        <v>12</v>
      </c>
      <c r="F192" s="21" t="s">
        <v>29</v>
      </c>
      <c r="G192" s="21" t="s">
        <v>5</v>
      </c>
      <c r="H192" s="21" t="s">
        <v>99</v>
      </c>
      <c r="I192" s="21" t="s">
        <v>336</v>
      </c>
      <c r="J192" s="21" t="s">
        <v>9</v>
      </c>
      <c r="K192" s="21" t="s">
        <v>59</v>
      </c>
      <c r="L192" s="21" t="s">
        <v>325</v>
      </c>
      <c r="M192" s="21" t="s">
        <v>93</v>
      </c>
    </row>
    <row r="193" spans="1:26" x14ac:dyDescent="0.2">
      <c r="A193" s="1493" t="s">
        <v>214</v>
      </c>
      <c r="B193" s="569">
        <v>237384840000</v>
      </c>
      <c r="C193" s="4">
        <v>61533010000</v>
      </c>
      <c r="D193" s="4">
        <v>40767410000</v>
      </c>
      <c r="E193" s="4">
        <v>37686790000</v>
      </c>
      <c r="F193" s="4">
        <v>32919770302</v>
      </c>
      <c r="G193" s="4">
        <v>30498880000</v>
      </c>
      <c r="H193" s="4">
        <v>25181310000</v>
      </c>
      <c r="I193" s="4">
        <v>17640830000</v>
      </c>
      <c r="J193" s="4">
        <v>15800550000</v>
      </c>
      <c r="K193" s="4">
        <v>15058690000</v>
      </c>
      <c r="L193" s="4">
        <v>14205600000</v>
      </c>
      <c r="M193" s="570">
        <v>14140059848</v>
      </c>
    </row>
    <row r="194" spans="1:26" x14ac:dyDescent="0.2">
      <c r="A194" s="1493" t="s">
        <v>213</v>
      </c>
      <c r="B194" s="21" t="s">
        <v>86</v>
      </c>
      <c r="C194" s="21" t="s">
        <v>99</v>
      </c>
      <c r="D194" s="21" t="s">
        <v>180</v>
      </c>
      <c r="E194" s="21" t="s">
        <v>12</v>
      </c>
      <c r="F194" s="21" t="s">
        <v>13</v>
      </c>
      <c r="G194" s="21" t="s">
        <v>17</v>
      </c>
      <c r="H194" s="21" t="s">
        <v>42</v>
      </c>
      <c r="I194" s="21" t="s">
        <v>186</v>
      </c>
      <c r="J194" s="21" t="s">
        <v>20</v>
      </c>
      <c r="K194" s="21" t="s">
        <v>18</v>
      </c>
      <c r="L194" s="21" t="s">
        <v>37</v>
      </c>
      <c r="M194" s="21" t="s">
        <v>25</v>
      </c>
      <c r="N194" s="1493" t="s">
        <v>383</v>
      </c>
      <c r="O194" s="21" t="s">
        <v>99</v>
      </c>
      <c r="P194" s="21" t="s">
        <v>86</v>
      </c>
      <c r="Q194" s="21" t="s">
        <v>13</v>
      </c>
      <c r="R194" s="21" t="s">
        <v>180</v>
      </c>
      <c r="S194" s="21" t="s">
        <v>17</v>
      </c>
      <c r="T194" s="21" t="s">
        <v>6</v>
      </c>
      <c r="U194" s="21" t="s">
        <v>61</v>
      </c>
      <c r="V194" s="21" t="s">
        <v>28</v>
      </c>
      <c r="W194" s="21" t="s">
        <v>12</v>
      </c>
      <c r="X194" s="21" t="s">
        <v>36</v>
      </c>
      <c r="Y194" s="21" t="s">
        <v>88</v>
      </c>
      <c r="Z194" s="21" t="s">
        <v>19</v>
      </c>
    </row>
    <row r="195" spans="1:26" x14ac:dyDescent="0.2">
      <c r="A195" s="1493" t="s">
        <v>213</v>
      </c>
      <c r="B195" s="566">
        <v>192843620000</v>
      </c>
      <c r="C195" s="4">
        <v>147682350000</v>
      </c>
      <c r="D195" s="4">
        <v>122182750000</v>
      </c>
      <c r="E195" s="4">
        <v>78849200000</v>
      </c>
      <c r="F195" s="4">
        <v>42039260000</v>
      </c>
      <c r="G195" s="4">
        <v>38997760000</v>
      </c>
      <c r="H195" s="4">
        <v>29788580000</v>
      </c>
      <c r="I195" s="4">
        <v>26286590000</v>
      </c>
      <c r="J195" s="4">
        <v>19989502486</v>
      </c>
      <c r="K195" s="4">
        <v>18525400000</v>
      </c>
      <c r="L195" s="4">
        <v>17948380000</v>
      </c>
      <c r="M195" s="4">
        <v>15849190000</v>
      </c>
      <c r="N195" s="1493" t="s">
        <v>383</v>
      </c>
      <c r="O195" s="4">
        <v>288731080000</v>
      </c>
      <c r="P195" s="4">
        <v>243054680000</v>
      </c>
      <c r="Q195" s="4">
        <v>240143820000</v>
      </c>
      <c r="R195" s="4">
        <v>173633600000</v>
      </c>
      <c r="S195" s="4">
        <v>124587180000</v>
      </c>
      <c r="T195" s="4">
        <v>119041070000</v>
      </c>
      <c r="U195" s="4">
        <v>103680410000</v>
      </c>
      <c r="V195" s="4">
        <v>91823400000</v>
      </c>
      <c r="W195" s="4">
        <v>89879910000</v>
      </c>
      <c r="X195" s="4">
        <v>78140680000</v>
      </c>
      <c r="Y195" s="4">
        <v>67358830000</v>
      </c>
      <c r="Z195" s="4">
        <v>66330000000</v>
      </c>
    </row>
    <row r="196" spans="1:26" x14ac:dyDescent="0.2">
      <c r="A196" s="1493" t="s">
        <v>211</v>
      </c>
      <c r="B196" s="21" t="s">
        <v>6</v>
      </c>
      <c r="C196" s="21" t="s">
        <v>99</v>
      </c>
      <c r="D196" s="21" t="s">
        <v>5</v>
      </c>
      <c r="E196" s="21" t="s">
        <v>13</v>
      </c>
      <c r="F196" s="21" t="s">
        <v>17</v>
      </c>
      <c r="G196" s="21" t="s">
        <v>25</v>
      </c>
      <c r="H196" s="21" t="s">
        <v>10</v>
      </c>
      <c r="I196" s="21" t="s">
        <v>88</v>
      </c>
      <c r="J196" s="21" t="s">
        <v>22</v>
      </c>
      <c r="K196" s="21" t="s">
        <v>12</v>
      </c>
      <c r="L196" s="21" t="s">
        <v>61</v>
      </c>
      <c r="M196" s="21" t="s">
        <v>313</v>
      </c>
    </row>
    <row r="197" spans="1:26" x14ac:dyDescent="0.2">
      <c r="A197" s="1493" t="s">
        <v>211</v>
      </c>
      <c r="B197" s="560">
        <v>187794580000</v>
      </c>
      <c r="C197" s="4">
        <v>148127540000</v>
      </c>
      <c r="D197" s="4">
        <v>114481230000</v>
      </c>
      <c r="E197" s="4">
        <v>63847550000</v>
      </c>
      <c r="F197" s="4">
        <v>51072770000</v>
      </c>
      <c r="G197" s="4">
        <v>43269660000</v>
      </c>
      <c r="H197" s="4">
        <v>41914383127</v>
      </c>
      <c r="I197" s="4">
        <v>37804480000</v>
      </c>
      <c r="J197" s="4">
        <v>33043210000</v>
      </c>
      <c r="K197" s="4">
        <v>29025640000</v>
      </c>
      <c r="L197" s="4">
        <v>23101250000</v>
      </c>
      <c r="M197" s="4">
        <v>20369100000</v>
      </c>
    </row>
    <row r="198" spans="1:26" x14ac:dyDescent="0.2">
      <c r="A198" s="1493" t="s">
        <v>210</v>
      </c>
      <c r="B198" s="21" t="s">
        <v>25</v>
      </c>
      <c r="C198" s="21" t="s">
        <v>13</v>
      </c>
      <c r="D198" s="21" t="s">
        <v>17</v>
      </c>
      <c r="E198" s="21" t="s">
        <v>85</v>
      </c>
      <c r="F198" s="21" t="s">
        <v>86</v>
      </c>
      <c r="G198" s="21" t="s">
        <v>37</v>
      </c>
      <c r="H198" s="21" t="s">
        <v>9</v>
      </c>
      <c r="I198" s="21" t="s">
        <v>99</v>
      </c>
      <c r="J198" s="21" t="s">
        <v>96</v>
      </c>
      <c r="K198" s="21" t="s">
        <v>36</v>
      </c>
      <c r="L198" s="21" t="s">
        <v>279</v>
      </c>
      <c r="M198" s="21" t="s">
        <v>313</v>
      </c>
    </row>
    <row r="199" spans="1:26" x14ac:dyDescent="0.2">
      <c r="A199" s="1493" t="s">
        <v>210</v>
      </c>
      <c r="B199" s="4">
        <v>102145700000</v>
      </c>
      <c r="C199" s="4">
        <v>101406880000</v>
      </c>
      <c r="D199" s="4">
        <v>59750170000</v>
      </c>
      <c r="E199" s="557">
        <v>41887560000</v>
      </c>
      <c r="F199" s="4">
        <v>40906410000</v>
      </c>
      <c r="G199" s="4">
        <v>36817100000</v>
      </c>
      <c r="H199" s="4">
        <v>35498760000</v>
      </c>
      <c r="I199" s="4">
        <v>29547970000</v>
      </c>
      <c r="J199" s="4">
        <v>29199700000</v>
      </c>
      <c r="K199" s="4">
        <v>17332400000</v>
      </c>
      <c r="L199" s="4">
        <v>14593300000</v>
      </c>
      <c r="M199" s="4">
        <v>12019440000</v>
      </c>
    </row>
    <row r="200" spans="1:26" x14ac:dyDescent="0.2">
      <c r="A200" s="1493" t="s">
        <v>209</v>
      </c>
      <c r="B200" s="21" t="s">
        <v>64</v>
      </c>
      <c r="C200" s="21" t="s">
        <v>87</v>
      </c>
      <c r="D200" s="21" t="s">
        <v>61</v>
      </c>
      <c r="E200" s="21" t="s">
        <v>96</v>
      </c>
      <c r="F200" s="21" t="s">
        <v>28</v>
      </c>
      <c r="G200" s="21" t="s">
        <v>25</v>
      </c>
      <c r="H200" s="21" t="s">
        <v>198</v>
      </c>
      <c r="I200" s="21" t="s">
        <v>186</v>
      </c>
      <c r="J200" s="21" t="s">
        <v>269</v>
      </c>
      <c r="K200" s="21" t="s">
        <v>169</v>
      </c>
      <c r="L200" s="21" t="s">
        <v>24</v>
      </c>
      <c r="M200" s="21" t="s">
        <v>58</v>
      </c>
    </row>
    <row r="201" spans="1:26" x14ac:dyDescent="0.2">
      <c r="A201" s="1493" t="s">
        <v>209</v>
      </c>
      <c r="B201" s="550">
        <v>195355660000</v>
      </c>
      <c r="C201" s="551">
        <v>88111540000</v>
      </c>
      <c r="D201" s="552">
        <v>73523700000</v>
      </c>
      <c r="E201" s="553">
        <v>45773470000</v>
      </c>
      <c r="F201" s="4">
        <v>42487330000</v>
      </c>
      <c r="G201" s="4">
        <v>42146980000</v>
      </c>
      <c r="H201" s="554">
        <v>34815010000</v>
      </c>
      <c r="I201" s="4">
        <v>30609800000</v>
      </c>
      <c r="J201" s="555">
        <v>27622070000</v>
      </c>
      <c r="K201" s="4">
        <v>20280930000</v>
      </c>
      <c r="L201" s="4">
        <v>19900620000</v>
      </c>
      <c r="M201" s="4">
        <v>19742530000</v>
      </c>
    </row>
    <row r="202" spans="1:26" x14ac:dyDescent="0.2">
      <c r="A202" s="1493" t="s">
        <v>208</v>
      </c>
      <c r="B202" s="21" t="s">
        <v>22</v>
      </c>
      <c r="C202" s="21" t="s">
        <v>89</v>
      </c>
      <c r="D202" s="21" t="s">
        <v>28</v>
      </c>
      <c r="E202" s="21" t="s">
        <v>19</v>
      </c>
      <c r="F202" s="21" t="s">
        <v>23</v>
      </c>
      <c r="G202" s="21" t="s">
        <v>64</v>
      </c>
      <c r="H202" s="21" t="s">
        <v>37</v>
      </c>
      <c r="I202" s="21" t="s">
        <v>180</v>
      </c>
      <c r="J202" s="21" t="s">
        <v>13</v>
      </c>
      <c r="K202" s="21" t="s">
        <v>36</v>
      </c>
      <c r="L202" s="21" t="s">
        <v>95</v>
      </c>
      <c r="M202" s="21" t="s">
        <v>67</v>
      </c>
    </row>
    <row r="203" spans="1:26" x14ac:dyDescent="0.2">
      <c r="A203" s="1493" t="s">
        <v>208</v>
      </c>
      <c r="B203" s="542">
        <v>141397000000</v>
      </c>
      <c r="C203" s="543">
        <v>132142220000</v>
      </c>
      <c r="D203" s="4">
        <v>93533160000</v>
      </c>
      <c r="E203" s="544">
        <v>80360940000</v>
      </c>
      <c r="F203" s="4">
        <v>77925100000</v>
      </c>
      <c r="G203" s="4">
        <v>72781430000</v>
      </c>
      <c r="H203" s="545">
        <v>63774350000</v>
      </c>
      <c r="I203" s="4">
        <v>63653000000</v>
      </c>
      <c r="J203" s="4">
        <v>62485620000</v>
      </c>
      <c r="K203" s="546">
        <v>41912460000</v>
      </c>
      <c r="L203" s="547">
        <v>35229420000</v>
      </c>
      <c r="M203" s="4">
        <v>32475580000</v>
      </c>
    </row>
    <row r="204" spans="1:26" x14ac:dyDescent="0.2">
      <c r="A204" s="1493" t="s">
        <v>206</v>
      </c>
      <c r="B204" s="21" t="s">
        <v>188</v>
      </c>
      <c r="C204" s="21" t="s">
        <v>89</v>
      </c>
      <c r="D204" s="21" t="s">
        <v>19</v>
      </c>
      <c r="E204" s="21" t="s">
        <v>313</v>
      </c>
      <c r="F204" s="21" t="s">
        <v>97</v>
      </c>
      <c r="G204" s="21" t="s">
        <v>36</v>
      </c>
      <c r="H204" s="21" t="s">
        <v>325</v>
      </c>
      <c r="I204" s="21" t="s">
        <v>18</v>
      </c>
      <c r="J204" s="21" t="s">
        <v>29</v>
      </c>
      <c r="K204" s="21" t="s">
        <v>9</v>
      </c>
      <c r="L204" s="21" t="s">
        <v>336</v>
      </c>
      <c r="M204" s="21" t="s">
        <v>10</v>
      </c>
      <c r="N204" s="1493" t="s">
        <v>382</v>
      </c>
      <c r="O204" s="21" t="s">
        <v>188</v>
      </c>
      <c r="P204" s="21" t="s">
        <v>19</v>
      </c>
      <c r="Q204" s="21" t="s">
        <v>67</v>
      </c>
      <c r="R204" s="21" t="s">
        <v>5</v>
      </c>
      <c r="S204" s="21" t="s">
        <v>89</v>
      </c>
      <c r="T204" s="21" t="s">
        <v>58</v>
      </c>
      <c r="U204" s="21" t="s">
        <v>186</v>
      </c>
      <c r="V204" s="21" t="s">
        <v>325</v>
      </c>
      <c r="W204" s="21" t="s">
        <v>169</v>
      </c>
      <c r="X204" s="21" t="s">
        <v>78</v>
      </c>
      <c r="Y204" s="21" t="s">
        <v>271</v>
      </c>
      <c r="Z204" s="21" t="s">
        <v>22</v>
      </c>
    </row>
    <row r="205" spans="1:26" x14ac:dyDescent="0.2">
      <c r="A205" s="1493" t="s">
        <v>206</v>
      </c>
      <c r="B205" s="536">
        <v>138574700000</v>
      </c>
      <c r="C205" s="4">
        <v>99700770000</v>
      </c>
      <c r="D205" s="4">
        <v>69796670000</v>
      </c>
      <c r="E205" s="4">
        <v>43933430000</v>
      </c>
      <c r="F205" s="4">
        <v>43932520000</v>
      </c>
      <c r="G205" s="4">
        <v>35981610000</v>
      </c>
      <c r="H205" s="4">
        <v>31831800000</v>
      </c>
      <c r="I205" s="4">
        <v>19649230000</v>
      </c>
      <c r="J205" s="4">
        <v>19276991700</v>
      </c>
      <c r="K205" s="4">
        <v>17160410000</v>
      </c>
      <c r="L205" s="4">
        <v>14945670000</v>
      </c>
      <c r="M205" s="4">
        <v>13750799276</v>
      </c>
      <c r="N205" s="1493" t="s">
        <v>382</v>
      </c>
      <c r="O205" s="4">
        <v>201384320000</v>
      </c>
      <c r="P205" s="4">
        <v>201213810000</v>
      </c>
      <c r="Q205" s="4">
        <v>124048850000</v>
      </c>
      <c r="R205" s="4">
        <v>111816780000</v>
      </c>
      <c r="S205" s="4">
        <v>80724910000</v>
      </c>
      <c r="T205" s="4">
        <v>76661420000</v>
      </c>
      <c r="U205" s="4">
        <v>69363330000</v>
      </c>
      <c r="V205" s="4">
        <v>68400240000</v>
      </c>
      <c r="W205" s="4">
        <v>48849760000</v>
      </c>
      <c r="X205" s="4">
        <v>46108660000</v>
      </c>
      <c r="Y205" s="4">
        <v>45065250000</v>
      </c>
      <c r="Z205" s="4">
        <v>42630970000</v>
      </c>
    </row>
    <row r="206" spans="1:26" x14ac:dyDescent="0.2">
      <c r="A206" s="1493" t="s">
        <v>205</v>
      </c>
      <c r="B206" s="21" t="s">
        <v>5</v>
      </c>
      <c r="C206" s="21" t="s">
        <v>70</v>
      </c>
      <c r="D206" s="21" t="s">
        <v>29</v>
      </c>
      <c r="E206" s="21" t="s">
        <v>10</v>
      </c>
      <c r="F206" s="21" t="s">
        <v>67</v>
      </c>
      <c r="G206" s="21" t="s">
        <v>11</v>
      </c>
      <c r="H206" s="21" t="s">
        <v>183</v>
      </c>
      <c r="I206" s="21" t="s">
        <v>95</v>
      </c>
      <c r="J206" s="21" t="s">
        <v>325</v>
      </c>
      <c r="K206" s="21" t="s">
        <v>186</v>
      </c>
      <c r="L206" s="21" t="s">
        <v>58</v>
      </c>
      <c r="M206" s="21" t="s">
        <v>271</v>
      </c>
    </row>
    <row r="207" spans="1:26" x14ac:dyDescent="0.2">
      <c r="A207" s="1493" t="s">
        <v>205</v>
      </c>
      <c r="B207" s="4">
        <v>130160180000</v>
      </c>
      <c r="C207" s="529">
        <v>71089960000</v>
      </c>
      <c r="D207" s="530">
        <v>54450977103</v>
      </c>
      <c r="E207" s="4">
        <v>52174469075</v>
      </c>
      <c r="F207" s="4">
        <v>50329160000</v>
      </c>
      <c r="G207" s="4">
        <v>49153970000</v>
      </c>
      <c r="H207" s="531">
        <v>40578890000</v>
      </c>
      <c r="I207" s="532">
        <v>28199510000</v>
      </c>
      <c r="J207" s="4">
        <v>25843630000</v>
      </c>
      <c r="K207" s="4">
        <v>20378640000</v>
      </c>
      <c r="L207" s="4">
        <v>20358600000</v>
      </c>
      <c r="M207" s="4">
        <v>15966890000</v>
      </c>
    </row>
    <row r="208" spans="1:26" x14ac:dyDescent="0.2">
      <c r="A208" s="1493" t="s">
        <v>204</v>
      </c>
      <c r="B208" s="21" t="s">
        <v>17</v>
      </c>
      <c r="C208" s="21" t="s">
        <v>69</v>
      </c>
      <c r="D208" s="21" t="s">
        <v>14</v>
      </c>
      <c r="E208" s="21" t="s">
        <v>66</v>
      </c>
      <c r="F208" s="21" t="s">
        <v>9</v>
      </c>
      <c r="G208" s="21" t="s">
        <v>67</v>
      </c>
      <c r="H208" s="21" t="s">
        <v>58</v>
      </c>
      <c r="I208" s="21" t="s">
        <v>78</v>
      </c>
      <c r="J208" s="21" t="s">
        <v>5</v>
      </c>
      <c r="K208" s="21" t="s">
        <v>61</v>
      </c>
      <c r="L208" s="21" t="s">
        <v>310</v>
      </c>
      <c r="M208" s="21" t="s">
        <v>8</v>
      </c>
    </row>
    <row r="209" spans="1:26" x14ac:dyDescent="0.2">
      <c r="A209" s="1493" t="s">
        <v>204</v>
      </c>
      <c r="B209" s="4">
        <v>68469660000</v>
      </c>
      <c r="C209" s="524">
        <v>41985390000</v>
      </c>
      <c r="D209" s="4">
        <v>31343350000</v>
      </c>
      <c r="E209" s="525">
        <v>31265240000</v>
      </c>
      <c r="F209" s="4">
        <v>25189840000</v>
      </c>
      <c r="G209" s="4">
        <v>22840210000</v>
      </c>
      <c r="H209" s="4">
        <v>21917700000</v>
      </c>
      <c r="I209" s="4">
        <v>21784580000</v>
      </c>
      <c r="J209" s="4">
        <v>18946090000</v>
      </c>
      <c r="K209" s="4">
        <v>18463670000</v>
      </c>
      <c r="L209" s="526">
        <v>14022730000</v>
      </c>
      <c r="M209" s="4">
        <v>12790100000</v>
      </c>
    </row>
    <row r="210" spans="1:26" x14ac:dyDescent="0.2">
      <c r="A210" s="1493" t="s">
        <v>203</v>
      </c>
      <c r="B210" s="21" t="s">
        <v>19</v>
      </c>
      <c r="C210" s="21" t="s">
        <v>271</v>
      </c>
      <c r="D210" s="21" t="s">
        <v>22</v>
      </c>
      <c r="E210" s="21" t="s">
        <v>13</v>
      </c>
      <c r="F210" s="21" t="s">
        <v>28</v>
      </c>
      <c r="G210" s="21" t="s">
        <v>163</v>
      </c>
      <c r="H210" s="21" t="s">
        <v>64</v>
      </c>
      <c r="I210" s="21" t="s">
        <v>188</v>
      </c>
      <c r="J210" s="21" t="s">
        <v>169</v>
      </c>
      <c r="K210" s="21" t="s">
        <v>267</v>
      </c>
      <c r="L210" s="21" t="s">
        <v>58</v>
      </c>
      <c r="M210" s="21" t="s">
        <v>8</v>
      </c>
    </row>
    <row r="211" spans="1:26" x14ac:dyDescent="0.2">
      <c r="A211" s="1493" t="s">
        <v>203</v>
      </c>
      <c r="B211" s="4">
        <v>70739950000</v>
      </c>
      <c r="C211" s="518">
        <v>64518730000</v>
      </c>
      <c r="D211" s="4">
        <v>57718570000</v>
      </c>
      <c r="E211" s="4">
        <v>51621270000</v>
      </c>
      <c r="F211" s="4">
        <v>49354310000</v>
      </c>
      <c r="G211" s="4">
        <v>39039020000</v>
      </c>
      <c r="H211" s="4">
        <v>34127470000</v>
      </c>
      <c r="I211" s="4">
        <v>31261960000</v>
      </c>
      <c r="J211" s="4">
        <v>30929470000</v>
      </c>
      <c r="K211" s="519">
        <v>29750040000</v>
      </c>
      <c r="L211" s="4">
        <v>29267820000</v>
      </c>
      <c r="M211" s="4">
        <v>27308440000</v>
      </c>
    </row>
    <row r="212" spans="1:26" x14ac:dyDescent="0.2">
      <c r="A212" s="1493" t="s">
        <v>201</v>
      </c>
      <c r="B212" s="21" t="s">
        <v>28</v>
      </c>
      <c r="C212" s="21" t="s">
        <v>19</v>
      </c>
      <c r="D212" s="21" t="s">
        <v>188</v>
      </c>
      <c r="E212" s="21" t="s">
        <v>14</v>
      </c>
      <c r="F212" s="21" t="s">
        <v>71</v>
      </c>
      <c r="G212" s="21" t="s">
        <v>67</v>
      </c>
      <c r="H212" s="21" t="s">
        <v>24</v>
      </c>
      <c r="I212" s="21" t="s">
        <v>64</v>
      </c>
      <c r="J212" s="21" t="s">
        <v>13</v>
      </c>
      <c r="K212" s="21" t="s">
        <v>59</v>
      </c>
      <c r="L212" s="21" t="s">
        <v>84</v>
      </c>
      <c r="M212" s="21" t="s">
        <v>58</v>
      </c>
    </row>
    <row r="213" spans="1:26" x14ac:dyDescent="0.2">
      <c r="A213" s="1493" t="s">
        <v>201</v>
      </c>
      <c r="B213" s="512">
        <v>97335880000</v>
      </c>
      <c r="C213" s="4">
        <v>65853950000</v>
      </c>
      <c r="D213" s="513">
        <v>62858430000</v>
      </c>
      <c r="E213" s="4">
        <v>62554850000</v>
      </c>
      <c r="F213" s="4">
        <v>49861960000</v>
      </c>
      <c r="G213" s="4">
        <v>47540200000</v>
      </c>
      <c r="H213" s="4">
        <v>46811610000</v>
      </c>
      <c r="I213" s="4">
        <v>40155590000</v>
      </c>
      <c r="J213" s="4">
        <v>38350850000</v>
      </c>
      <c r="K213" s="514">
        <v>38206710000</v>
      </c>
      <c r="L213" s="4">
        <v>28343090000</v>
      </c>
      <c r="M213" s="4">
        <v>24127550000</v>
      </c>
    </row>
    <row r="214" spans="1:26" x14ac:dyDescent="0.2">
      <c r="A214" s="1493" t="s">
        <v>200</v>
      </c>
      <c r="B214" s="21" t="s">
        <v>67</v>
      </c>
      <c r="C214" s="21" t="s">
        <v>313</v>
      </c>
      <c r="D214" s="21" t="s">
        <v>25</v>
      </c>
      <c r="E214" s="21" t="s">
        <v>91</v>
      </c>
      <c r="F214" s="21" t="s">
        <v>20</v>
      </c>
      <c r="G214" s="21" t="s">
        <v>28</v>
      </c>
      <c r="H214" s="21" t="s">
        <v>10</v>
      </c>
      <c r="I214" s="21" t="s">
        <v>168</v>
      </c>
      <c r="J214" s="21" t="s">
        <v>294</v>
      </c>
      <c r="K214" s="21" t="s">
        <v>69</v>
      </c>
      <c r="L214" s="21" t="s">
        <v>22</v>
      </c>
      <c r="M214" s="21" t="s">
        <v>59</v>
      </c>
      <c r="N214" s="1493" t="s">
        <v>381</v>
      </c>
      <c r="O214" s="21" t="s">
        <v>99</v>
      </c>
      <c r="P214" s="21" t="s">
        <v>67</v>
      </c>
      <c r="Q214" s="21" t="s">
        <v>17</v>
      </c>
      <c r="R214" s="21" t="s">
        <v>58</v>
      </c>
      <c r="S214" s="21" t="s">
        <v>11</v>
      </c>
      <c r="T214" s="21" t="s">
        <v>25</v>
      </c>
      <c r="U214" s="21" t="s">
        <v>13</v>
      </c>
      <c r="V214" s="21" t="s">
        <v>22</v>
      </c>
      <c r="W214" s="21" t="s">
        <v>10</v>
      </c>
      <c r="X214" s="21" t="s">
        <v>23</v>
      </c>
      <c r="Y214" s="21" t="s">
        <v>313</v>
      </c>
      <c r="Z214" s="21" t="s">
        <v>59</v>
      </c>
    </row>
    <row r="215" spans="1:26" x14ac:dyDescent="0.2">
      <c r="A215" s="1493" t="s">
        <v>200</v>
      </c>
      <c r="B215" s="507">
        <v>71073400000</v>
      </c>
      <c r="C215" s="508">
        <v>63592420000</v>
      </c>
      <c r="D215" s="4">
        <v>36174600000</v>
      </c>
      <c r="E215" s="509">
        <v>31559430000</v>
      </c>
      <c r="F215" s="4">
        <v>26945394985</v>
      </c>
      <c r="G215" s="4">
        <v>22750710000</v>
      </c>
      <c r="H215" s="4">
        <v>21766324169</v>
      </c>
      <c r="I215" s="4">
        <v>18720480000</v>
      </c>
      <c r="J215" s="4">
        <v>16373870000</v>
      </c>
      <c r="K215" s="4">
        <v>14955080000</v>
      </c>
      <c r="L215" s="4">
        <v>14422580000</v>
      </c>
      <c r="M215" s="4">
        <v>9723310000</v>
      </c>
      <c r="N215" s="1493" t="s">
        <v>381</v>
      </c>
      <c r="O215" s="4">
        <v>243631990000</v>
      </c>
      <c r="P215" s="4">
        <v>213045670000</v>
      </c>
      <c r="Q215" s="4">
        <v>187895600000</v>
      </c>
      <c r="R215" s="4">
        <v>182404920000</v>
      </c>
      <c r="S215" s="4">
        <v>176132950000</v>
      </c>
      <c r="T215" s="4">
        <v>171597710000</v>
      </c>
      <c r="U215" s="4">
        <v>141629850000</v>
      </c>
      <c r="V215" s="4">
        <v>126491000000</v>
      </c>
      <c r="W215" s="4">
        <v>114432251097</v>
      </c>
      <c r="X215" s="4">
        <v>100950230000</v>
      </c>
      <c r="Y215" s="4">
        <v>53645030000</v>
      </c>
      <c r="Z215" s="4">
        <v>44799030000</v>
      </c>
    </row>
    <row r="216" spans="1:26" x14ac:dyDescent="0.2">
      <c r="A216" s="1493" t="s">
        <v>199</v>
      </c>
      <c r="B216" s="21" t="s">
        <v>11</v>
      </c>
      <c r="C216" s="21" t="s">
        <v>25</v>
      </c>
      <c r="D216" s="21" t="s">
        <v>5</v>
      </c>
      <c r="E216" s="21" t="s">
        <v>10</v>
      </c>
      <c r="F216" s="21" t="s">
        <v>9</v>
      </c>
      <c r="G216" s="21" t="s">
        <v>22</v>
      </c>
      <c r="H216" s="21" t="s">
        <v>61</v>
      </c>
      <c r="I216" s="21" t="s">
        <v>6</v>
      </c>
      <c r="J216" s="21" t="s">
        <v>86</v>
      </c>
      <c r="K216" s="21" t="s">
        <v>67</v>
      </c>
      <c r="L216" s="21" t="s">
        <v>168</v>
      </c>
      <c r="M216" s="21" t="s">
        <v>97</v>
      </c>
    </row>
    <row r="217" spans="1:26" x14ac:dyDescent="0.2">
      <c r="A217" s="1493" t="s">
        <v>199</v>
      </c>
      <c r="B217" s="503">
        <v>298044320000</v>
      </c>
      <c r="C217" s="4">
        <v>96000710000</v>
      </c>
      <c r="D217" s="4">
        <v>81673430000</v>
      </c>
      <c r="E217" s="504">
        <v>67947047478</v>
      </c>
      <c r="F217" s="4">
        <v>45891770000</v>
      </c>
      <c r="G217" s="4">
        <v>43674850000</v>
      </c>
      <c r="H217" s="4">
        <v>36509200000</v>
      </c>
      <c r="I217" s="4">
        <v>27032800000</v>
      </c>
      <c r="J217" s="4">
        <v>22211770000</v>
      </c>
      <c r="K217" s="4">
        <v>21071530000</v>
      </c>
      <c r="L217" s="4">
        <v>17832350000</v>
      </c>
      <c r="M217" s="4">
        <v>14875500000</v>
      </c>
    </row>
    <row r="218" spans="1:26" x14ac:dyDescent="0.2">
      <c r="A218" s="1493" t="s">
        <v>196</v>
      </c>
      <c r="B218" s="21" t="s">
        <v>58</v>
      </c>
      <c r="C218" s="21" t="s">
        <v>5</v>
      </c>
      <c r="D218" s="21" t="s">
        <v>18</v>
      </c>
      <c r="E218" s="21" t="s">
        <v>25</v>
      </c>
      <c r="F218" s="21" t="s">
        <v>99</v>
      </c>
      <c r="G218" s="21" t="s">
        <v>22</v>
      </c>
      <c r="H218" s="21" t="s">
        <v>13</v>
      </c>
      <c r="I218" s="21" t="s">
        <v>23</v>
      </c>
      <c r="J218" s="21" t="s">
        <v>67</v>
      </c>
      <c r="K218" s="21" t="s">
        <v>183</v>
      </c>
      <c r="L218" s="21" t="s">
        <v>87</v>
      </c>
      <c r="M218" s="21" t="s">
        <v>169</v>
      </c>
    </row>
    <row r="219" spans="1:26" x14ac:dyDescent="0.2">
      <c r="A219" s="1493" t="s">
        <v>196</v>
      </c>
      <c r="B219" s="498">
        <v>84995910000</v>
      </c>
      <c r="C219" s="4">
        <v>72500930000</v>
      </c>
      <c r="D219" s="4">
        <v>71020810000</v>
      </c>
      <c r="E219" s="4">
        <v>49347250000</v>
      </c>
      <c r="F219" s="4">
        <v>41796320000</v>
      </c>
      <c r="G219" s="4">
        <v>41771580000</v>
      </c>
      <c r="H219" s="4">
        <v>39382900000</v>
      </c>
      <c r="I219" s="4">
        <v>35033990000</v>
      </c>
      <c r="J219" s="4">
        <v>31350940000</v>
      </c>
      <c r="K219" s="4">
        <v>28954280000</v>
      </c>
      <c r="L219" s="499">
        <v>24368680000</v>
      </c>
      <c r="M219" s="4">
        <v>19308930000</v>
      </c>
    </row>
    <row r="220" spans="1:26" x14ac:dyDescent="0.2">
      <c r="A220" s="1493" t="s">
        <v>195</v>
      </c>
      <c r="B220" s="21" t="s">
        <v>17</v>
      </c>
      <c r="C220" s="21" t="s">
        <v>23</v>
      </c>
      <c r="D220" s="21" t="s">
        <v>13</v>
      </c>
      <c r="E220" s="21" t="s">
        <v>325</v>
      </c>
      <c r="F220" s="21" t="s">
        <v>25</v>
      </c>
      <c r="G220" s="21" t="s">
        <v>14</v>
      </c>
      <c r="H220" s="21" t="s">
        <v>67</v>
      </c>
      <c r="I220" s="21" t="s">
        <v>59</v>
      </c>
      <c r="J220" s="21" t="s">
        <v>10</v>
      </c>
      <c r="K220" s="21" t="s">
        <v>99</v>
      </c>
      <c r="L220" s="21" t="s">
        <v>58</v>
      </c>
      <c r="M220" s="21" t="s">
        <v>22</v>
      </c>
    </row>
    <row r="221" spans="1:26" x14ac:dyDescent="0.2">
      <c r="A221" s="1493" t="s">
        <v>195</v>
      </c>
      <c r="B221" s="493">
        <v>211393470000</v>
      </c>
      <c r="C221" s="494">
        <v>115231140000</v>
      </c>
      <c r="D221" s="4">
        <v>99272440000</v>
      </c>
      <c r="E221" s="495">
        <v>50824050000</v>
      </c>
      <c r="F221" s="4">
        <v>48176500000</v>
      </c>
      <c r="G221" s="4">
        <v>38984060000</v>
      </c>
      <c r="H221" s="4">
        <v>29513960000</v>
      </c>
      <c r="I221" s="4">
        <v>28987650000</v>
      </c>
      <c r="J221" s="4">
        <v>27493338925</v>
      </c>
      <c r="K221" s="4">
        <v>26501370000</v>
      </c>
      <c r="L221" s="4">
        <v>24527520000</v>
      </c>
      <c r="M221" s="4">
        <v>21183220000</v>
      </c>
    </row>
    <row r="222" spans="1:26" x14ac:dyDescent="0.2">
      <c r="A222" s="1493" t="s">
        <v>193</v>
      </c>
      <c r="B222" s="21" t="s">
        <v>99</v>
      </c>
      <c r="C222" s="21" t="s">
        <v>89</v>
      </c>
      <c r="D222" s="21" t="s">
        <v>6</v>
      </c>
      <c r="E222" s="21" t="s">
        <v>17</v>
      </c>
      <c r="F222" s="21" t="s">
        <v>58</v>
      </c>
      <c r="G222" s="21" t="s">
        <v>67</v>
      </c>
      <c r="H222" s="21" t="s">
        <v>18</v>
      </c>
      <c r="I222" s="21" t="s">
        <v>72</v>
      </c>
      <c r="J222" s="21" t="s">
        <v>180</v>
      </c>
      <c r="K222" s="21" t="s">
        <v>21</v>
      </c>
      <c r="L222" s="21" t="s">
        <v>13</v>
      </c>
      <c r="M222" s="21" t="s">
        <v>325</v>
      </c>
    </row>
    <row r="223" spans="1:26" x14ac:dyDescent="0.2">
      <c r="A223" s="1493" t="s">
        <v>193</v>
      </c>
      <c r="B223" s="485">
        <v>281551050000</v>
      </c>
      <c r="C223" s="486">
        <v>103999210000</v>
      </c>
      <c r="D223" s="4">
        <v>77310480000</v>
      </c>
      <c r="E223" s="4">
        <v>75800150000</v>
      </c>
      <c r="F223" s="487">
        <v>74162780000</v>
      </c>
      <c r="G223" s="488">
        <v>60035840000</v>
      </c>
      <c r="H223" s="4">
        <v>51888630000</v>
      </c>
      <c r="I223" s="4">
        <v>37202590000</v>
      </c>
      <c r="J223" s="4">
        <v>36471510000</v>
      </c>
      <c r="K223" s="4">
        <v>33746140000</v>
      </c>
      <c r="L223" s="4">
        <v>26165260000</v>
      </c>
      <c r="M223" s="4">
        <v>22685200000</v>
      </c>
    </row>
    <row r="224" spans="1:26" x14ac:dyDescent="0.2">
      <c r="A224" s="1493" t="s">
        <v>189</v>
      </c>
      <c r="B224" s="21" t="s">
        <v>17</v>
      </c>
      <c r="C224" s="21" t="s">
        <v>5</v>
      </c>
      <c r="D224" s="21" t="s">
        <v>11</v>
      </c>
      <c r="E224" s="21" t="s">
        <v>13</v>
      </c>
      <c r="F224" s="21" t="s">
        <v>86</v>
      </c>
      <c r="G224" s="21" t="s">
        <v>9</v>
      </c>
      <c r="H224" s="21" t="s">
        <v>6</v>
      </c>
      <c r="I224" s="21" t="s">
        <v>313</v>
      </c>
      <c r="J224" s="21" t="s">
        <v>10</v>
      </c>
      <c r="K224" s="21" t="s">
        <v>336</v>
      </c>
      <c r="L224" s="21" t="s">
        <v>25</v>
      </c>
      <c r="M224" s="21" t="s">
        <v>325</v>
      </c>
      <c r="N224" s="1493" t="s">
        <v>380</v>
      </c>
      <c r="O224" s="21" t="s">
        <v>14</v>
      </c>
      <c r="P224" s="21" t="s">
        <v>5</v>
      </c>
      <c r="Q224" s="21" t="s">
        <v>25</v>
      </c>
      <c r="R224" s="21" t="s">
        <v>11</v>
      </c>
      <c r="S224" s="21" t="s">
        <v>6</v>
      </c>
      <c r="T224" s="21" t="s">
        <v>163</v>
      </c>
      <c r="U224" s="21" t="s">
        <v>9</v>
      </c>
      <c r="V224" s="21" t="s">
        <v>20</v>
      </c>
      <c r="W224" s="21" t="s">
        <v>99</v>
      </c>
      <c r="X224" s="21" t="s">
        <v>89</v>
      </c>
      <c r="Y224" s="21" t="s">
        <v>72</v>
      </c>
      <c r="Z224" s="21" t="s">
        <v>58</v>
      </c>
    </row>
    <row r="225" spans="1:26" x14ac:dyDescent="0.2">
      <c r="A225" s="1493" t="s">
        <v>189</v>
      </c>
      <c r="B225" s="4">
        <v>138670380000</v>
      </c>
      <c r="C225" s="4">
        <v>128877060000</v>
      </c>
      <c r="D225" s="4">
        <v>127545260000</v>
      </c>
      <c r="E225" s="4">
        <v>107398850000</v>
      </c>
      <c r="F225" s="476">
        <v>85920160000</v>
      </c>
      <c r="G225" s="477">
        <v>81698120000</v>
      </c>
      <c r="H225" s="4">
        <v>76993730000</v>
      </c>
      <c r="I225" s="478">
        <v>53602860000</v>
      </c>
      <c r="J225" s="479">
        <v>41272162125</v>
      </c>
      <c r="K225" s="480">
        <v>35814410000</v>
      </c>
      <c r="L225" s="4">
        <v>32181590000</v>
      </c>
      <c r="M225" s="481">
        <v>27648790000</v>
      </c>
      <c r="N225" s="1493" t="s">
        <v>380</v>
      </c>
      <c r="O225" s="4">
        <v>621621510000</v>
      </c>
      <c r="P225" s="4">
        <v>532771260000</v>
      </c>
      <c r="Q225" s="4">
        <v>329263150000</v>
      </c>
      <c r="R225" s="4">
        <v>188793840000</v>
      </c>
      <c r="S225" s="4">
        <v>97078460000</v>
      </c>
      <c r="T225" s="4">
        <v>94389160000</v>
      </c>
      <c r="U225" s="4">
        <v>86342580000</v>
      </c>
      <c r="V225" s="4">
        <v>85492777300</v>
      </c>
      <c r="W225" s="4">
        <v>80181700000</v>
      </c>
      <c r="X225" s="4">
        <v>79068080000</v>
      </c>
      <c r="Y225" s="4">
        <v>73808530000</v>
      </c>
      <c r="Z225" s="4">
        <v>69228100000</v>
      </c>
    </row>
    <row r="226" spans="1:26" x14ac:dyDescent="0.2">
      <c r="A226" s="1493" t="s">
        <v>185</v>
      </c>
      <c r="B226" s="21" t="s">
        <v>5</v>
      </c>
      <c r="C226" s="21" t="s">
        <v>14</v>
      </c>
      <c r="D226" s="21" t="s">
        <v>58</v>
      </c>
      <c r="E226" s="21" t="s">
        <v>67</v>
      </c>
      <c r="F226" s="21" t="s">
        <v>99</v>
      </c>
      <c r="G226" s="21" t="s">
        <v>11</v>
      </c>
      <c r="H226" s="21" t="s">
        <v>39</v>
      </c>
      <c r="I226" s="21" t="s">
        <v>75</v>
      </c>
      <c r="J226" s="21" t="s">
        <v>88</v>
      </c>
      <c r="K226" s="21" t="s">
        <v>261</v>
      </c>
      <c r="L226" s="21" t="s">
        <v>188</v>
      </c>
      <c r="M226" s="21" t="s">
        <v>78</v>
      </c>
    </row>
    <row r="227" spans="1:26" x14ac:dyDescent="0.2">
      <c r="A227" s="1493" t="s">
        <v>185</v>
      </c>
      <c r="B227" s="4">
        <v>179303340000</v>
      </c>
      <c r="C227" s="4">
        <v>91077110000</v>
      </c>
      <c r="D227" s="4">
        <v>56364050000</v>
      </c>
      <c r="E227" s="470">
        <v>48223480000</v>
      </c>
      <c r="F227" s="4">
        <v>40382370000</v>
      </c>
      <c r="G227" s="4">
        <v>39203190000</v>
      </c>
      <c r="H227" s="4">
        <v>39155040000</v>
      </c>
      <c r="I227" s="4">
        <v>21594160000</v>
      </c>
      <c r="J227" s="4">
        <v>21495320000</v>
      </c>
      <c r="K227" s="471">
        <v>20956640000</v>
      </c>
      <c r="L227" s="4">
        <v>17225870000</v>
      </c>
      <c r="M227" s="4">
        <v>16450000000</v>
      </c>
    </row>
    <row r="228" spans="1:26" x14ac:dyDescent="0.2">
      <c r="A228" s="1493" t="s">
        <v>181</v>
      </c>
      <c r="B228" s="21" t="s">
        <v>14</v>
      </c>
      <c r="C228" s="21" t="s">
        <v>5</v>
      </c>
      <c r="D228" s="21" t="s">
        <v>65</v>
      </c>
      <c r="E228" s="21" t="s">
        <v>70</v>
      </c>
      <c r="F228" s="21" t="s">
        <v>15</v>
      </c>
      <c r="G228" s="21" t="s">
        <v>62</v>
      </c>
      <c r="H228" s="21" t="s">
        <v>13</v>
      </c>
      <c r="I228" s="21" t="s">
        <v>99</v>
      </c>
      <c r="J228" s="21" t="s">
        <v>84</v>
      </c>
      <c r="K228" s="21" t="s">
        <v>72</v>
      </c>
      <c r="L228" s="21" t="s">
        <v>12</v>
      </c>
      <c r="M228" s="21" t="s">
        <v>180</v>
      </c>
    </row>
    <row r="229" spans="1:26" x14ac:dyDescent="0.2">
      <c r="A229" s="1493" t="s">
        <v>181</v>
      </c>
      <c r="B229" s="4">
        <v>129772140000</v>
      </c>
      <c r="C229" s="4">
        <v>54900690000</v>
      </c>
      <c r="D229" s="463">
        <v>42955320000</v>
      </c>
      <c r="E229" s="464">
        <v>38130650000</v>
      </c>
      <c r="F229" s="4">
        <v>37992370000</v>
      </c>
      <c r="G229" s="4">
        <v>35258490000</v>
      </c>
      <c r="H229" s="4">
        <v>33804620000</v>
      </c>
      <c r="I229" s="4">
        <v>30187860000</v>
      </c>
      <c r="J229" s="465">
        <v>28343720000</v>
      </c>
      <c r="K229" s="4">
        <v>22617580000</v>
      </c>
      <c r="L229" s="4">
        <v>22197880000</v>
      </c>
      <c r="M229" s="4">
        <v>20181660000</v>
      </c>
    </row>
    <row r="230" spans="1:26" x14ac:dyDescent="0.2">
      <c r="A230" s="1493" t="s">
        <v>178</v>
      </c>
      <c r="B230" s="21" t="s">
        <v>14</v>
      </c>
      <c r="C230" s="21" t="s">
        <v>5</v>
      </c>
      <c r="D230" s="21" t="s">
        <v>25</v>
      </c>
      <c r="E230" s="21" t="s">
        <v>163</v>
      </c>
      <c r="F230" s="21" t="s">
        <v>89</v>
      </c>
      <c r="G230" s="21" t="s">
        <v>20</v>
      </c>
      <c r="H230" s="21" t="s">
        <v>22</v>
      </c>
      <c r="I230" s="21" t="s">
        <v>11</v>
      </c>
      <c r="J230" s="21" t="s">
        <v>10</v>
      </c>
      <c r="K230" s="21" t="s">
        <v>72</v>
      </c>
      <c r="L230" s="21" t="s">
        <v>267</v>
      </c>
      <c r="M230" s="21" t="s">
        <v>325</v>
      </c>
    </row>
    <row r="231" spans="1:26" x14ac:dyDescent="0.2">
      <c r="A231" s="1493" t="s">
        <v>178</v>
      </c>
      <c r="B231" s="458">
        <v>452399350000</v>
      </c>
      <c r="C231" s="4">
        <v>131709810000</v>
      </c>
      <c r="D231" s="4">
        <v>88784810000</v>
      </c>
      <c r="E231" s="459">
        <v>53348090000</v>
      </c>
      <c r="F231" s="4">
        <v>46391860000</v>
      </c>
      <c r="G231" s="4">
        <v>39806611128</v>
      </c>
      <c r="H231" s="4">
        <v>31146800000</v>
      </c>
      <c r="I231" s="4">
        <v>27819140000</v>
      </c>
      <c r="J231" s="460">
        <v>25294257373</v>
      </c>
      <c r="K231" s="4">
        <v>23332250000</v>
      </c>
      <c r="L231" s="461">
        <v>21289620000</v>
      </c>
      <c r="M231" s="4">
        <v>16873690000</v>
      </c>
    </row>
    <row r="232" spans="1:26" x14ac:dyDescent="0.2">
      <c r="A232" s="1493" t="s">
        <v>175</v>
      </c>
      <c r="B232" s="21" t="s">
        <v>25</v>
      </c>
      <c r="C232" s="21" t="s">
        <v>8</v>
      </c>
      <c r="D232" s="21" t="s">
        <v>5</v>
      </c>
      <c r="E232" s="21" t="s">
        <v>14</v>
      </c>
      <c r="F232" s="21" t="s">
        <v>271</v>
      </c>
      <c r="G232" s="21" t="s">
        <v>71</v>
      </c>
      <c r="H232" s="21" t="s">
        <v>20</v>
      </c>
      <c r="I232" s="21" t="s">
        <v>163</v>
      </c>
      <c r="J232" s="21" t="s">
        <v>85</v>
      </c>
      <c r="K232" s="21" t="s">
        <v>36</v>
      </c>
      <c r="L232" s="21" t="s">
        <v>6</v>
      </c>
      <c r="M232" s="21" t="s">
        <v>186</v>
      </c>
    </row>
    <row r="233" spans="1:26" x14ac:dyDescent="0.2">
      <c r="A233" s="1493" t="s">
        <v>175</v>
      </c>
      <c r="B233" s="454">
        <v>214884360000</v>
      </c>
      <c r="C233" s="455">
        <v>134071960000</v>
      </c>
      <c r="D233" s="4">
        <v>37980360000</v>
      </c>
      <c r="E233" s="4">
        <v>37400480000</v>
      </c>
      <c r="F233" s="4">
        <v>35399410000</v>
      </c>
      <c r="G233" s="4">
        <v>31614240000</v>
      </c>
      <c r="H233" s="4">
        <v>31539313214</v>
      </c>
      <c r="I233" s="4">
        <v>26733940000</v>
      </c>
      <c r="J233" s="456">
        <v>26246970000</v>
      </c>
      <c r="K233" s="4">
        <v>26002170000</v>
      </c>
      <c r="L233" s="4">
        <v>25801630000</v>
      </c>
      <c r="M233" s="4">
        <v>23981960000</v>
      </c>
    </row>
    <row r="234" spans="1:26" x14ac:dyDescent="0.2">
      <c r="A234" s="1493" t="s">
        <v>111</v>
      </c>
      <c r="B234" s="21" t="s">
        <v>25</v>
      </c>
      <c r="C234" s="21" t="s">
        <v>97</v>
      </c>
      <c r="D234" s="21" t="s">
        <v>22</v>
      </c>
      <c r="E234" s="21" t="s">
        <v>20</v>
      </c>
      <c r="F234" s="21" t="s">
        <v>21</v>
      </c>
      <c r="G234" s="21" t="s">
        <v>168</v>
      </c>
      <c r="H234" s="21" t="s">
        <v>18</v>
      </c>
      <c r="I234" s="21" t="s">
        <v>14</v>
      </c>
      <c r="J234" s="21" t="s">
        <v>169</v>
      </c>
      <c r="K234" s="21" t="s">
        <v>28</v>
      </c>
      <c r="L234" s="21" t="s">
        <v>271</v>
      </c>
      <c r="M234" s="21" t="s">
        <v>13</v>
      </c>
      <c r="N234" s="1493" t="s">
        <v>379</v>
      </c>
      <c r="O234" s="21" t="s">
        <v>62</v>
      </c>
      <c r="P234" s="21" t="s">
        <v>24</v>
      </c>
      <c r="Q234" s="21" t="s">
        <v>25</v>
      </c>
      <c r="R234" s="21" t="s">
        <v>64</v>
      </c>
      <c r="S234" s="21" t="s">
        <v>22</v>
      </c>
      <c r="T234" s="21" t="s">
        <v>97</v>
      </c>
      <c r="U234" s="21" t="s">
        <v>20</v>
      </c>
      <c r="V234" s="21" t="s">
        <v>39</v>
      </c>
      <c r="W234" s="21" t="s">
        <v>163</v>
      </c>
      <c r="X234" s="21" t="s">
        <v>36</v>
      </c>
      <c r="Y234" s="21" t="s">
        <v>169</v>
      </c>
      <c r="Z234" s="21" t="s">
        <v>67</v>
      </c>
    </row>
    <row r="235" spans="1:26" x14ac:dyDescent="0.2">
      <c r="A235" s="1493" t="s">
        <v>111</v>
      </c>
      <c r="B235" s="444">
        <v>119567200000</v>
      </c>
      <c r="C235" s="445">
        <v>95431180000</v>
      </c>
      <c r="D235" s="4">
        <v>49526430000</v>
      </c>
      <c r="E235" s="4">
        <v>46414639320</v>
      </c>
      <c r="F235" s="446">
        <v>36777190000</v>
      </c>
      <c r="G235" s="447">
        <v>32682860000</v>
      </c>
      <c r="H235" s="4">
        <v>29692490000</v>
      </c>
      <c r="I235" s="4">
        <v>27160650000</v>
      </c>
      <c r="J235" s="4">
        <v>23894200000</v>
      </c>
      <c r="K235" s="4">
        <v>17948850000</v>
      </c>
      <c r="L235" s="4">
        <v>14884130000</v>
      </c>
      <c r="M235" s="4">
        <v>14840140000</v>
      </c>
      <c r="N235" s="1493" t="s">
        <v>379</v>
      </c>
      <c r="O235" s="4">
        <v>677434710000</v>
      </c>
      <c r="P235" s="4">
        <v>353176270000</v>
      </c>
      <c r="Q235" s="4">
        <v>264578050000</v>
      </c>
      <c r="R235" s="4">
        <v>220385830000</v>
      </c>
      <c r="S235" s="4">
        <v>210845360000</v>
      </c>
      <c r="T235" s="4">
        <v>104177740000</v>
      </c>
      <c r="U235" s="4">
        <v>90444544881</v>
      </c>
      <c r="V235" s="4">
        <v>78485810000</v>
      </c>
      <c r="W235" s="4">
        <v>69118610000</v>
      </c>
      <c r="X235" s="4">
        <v>61170450000</v>
      </c>
      <c r="Y235" s="4">
        <v>50339600000</v>
      </c>
      <c r="Z235" s="4">
        <v>41636460000</v>
      </c>
    </row>
    <row r="236" spans="1:26" x14ac:dyDescent="0.2">
      <c r="A236" s="1493" t="s">
        <v>110</v>
      </c>
      <c r="B236" s="21" t="s">
        <v>25</v>
      </c>
      <c r="C236" s="21" t="s">
        <v>75</v>
      </c>
      <c r="D236" s="21" t="s">
        <v>20</v>
      </c>
      <c r="E236" s="21" t="s">
        <v>70</v>
      </c>
      <c r="F236" s="21" t="s">
        <v>325</v>
      </c>
      <c r="G236" s="21" t="s">
        <v>336</v>
      </c>
      <c r="H236" s="21" t="s">
        <v>303</v>
      </c>
      <c r="I236" s="21" t="s">
        <v>163</v>
      </c>
      <c r="J236" s="21" t="s">
        <v>267</v>
      </c>
      <c r="K236" s="21" t="s">
        <v>24</v>
      </c>
      <c r="L236" s="21" t="s">
        <v>60</v>
      </c>
      <c r="M236" s="21" t="s">
        <v>279</v>
      </c>
    </row>
    <row r="237" spans="1:26" x14ac:dyDescent="0.2">
      <c r="A237" s="1493" t="s">
        <v>110</v>
      </c>
      <c r="B237" s="4">
        <v>54354040000</v>
      </c>
      <c r="C237" s="433">
        <v>48180640000</v>
      </c>
      <c r="D237" s="4">
        <v>33736644443</v>
      </c>
      <c r="E237" s="4">
        <v>26464500000</v>
      </c>
      <c r="F237" s="434">
        <v>19087390000</v>
      </c>
      <c r="G237" s="435">
        <v>18995130000</v>
      </c>
      <c r="H237" s="436">
        <v>17282020000</v>
      </c>
      <c r="I237" s="4">
        <v>14568630000</v>
      </c>
      <c r="J237" s="4">
        <v>12460100000</v>
      </c>
      <c r="K237" s="4">
        <v>11688980000</v>
      </c>
      <c r="L237" s="4">
        <v>10546490000</v>
      </c>
      <c r="M237" s="4">
        <v>8809040000</v>
      </c>
    </row>
    <row r="238" spans="1:26" x14ac:dyDescent="0.2">
      <c r="A238" s="1493" t="s">
        <v>109</v>
      </c>
      <c r="B238" s="21" t="s">
        <v>62</v>
      </c>
      <c r="C238" s="21" t="s">
        <v>13</v>
      </c>
      <c r="D238" s="21" t="s">
        <v>39</v>
      </c>
      <c r="E238" s="21" t="s">
        <v>163</v>
      </c>
      <c r="F238" s="21" t="s">
        <v>67</v>
      </c>
      <c r="G238" s="21" t="s">
        <v>65</v>
      </c>
      <c r="H238" s="21" t="s">
        <v>11</v>
      </c>
      <c r="I238" s="21" t="s">
        <v>25</v>
      </c>
      <c r="J238" s="21" t="s">
        <v>24</v>
      </c>
      <c r="K238" s="21" t="s">
        <v>78</v>
      </c>
      <c r="L238" s="21" t="s">
        <v>59</v>
      </c>
      <c r="M238" s="21" t="s">
        <v>71</v>
      </c>
    </row>
    <row r="239" spans="1:26" x14ac:dyDescent="0.2">
      <c r="A239" s="1493" t="s">
        <v>109</v>
      </c>
      <c r="B239" s="421">
        <v>449523260000</v>
      </c>
      <c r="C239" s="422">
        <v>191529280000</v>
      </c>
      <c r="D239" s="423">
        <v>81147580000</v>
      </c>
      <c r="E239" s="424">
        <v>44599560000</v>
      </c>
      <c r="F239" s="425">
        <v>39866530000</v>
      </c>
      <c r="G239" s="426">
        <v>35780420000</v>
      </c>
      <c r="H239" s="4">
        <v>31374580000</v>
      </c>
      <c r="I239" s="4">
        <v>27471140000</v>
      </c>
      <c r="J239" s="4">
        <v>26799640000</v>
      </c>
      <c r="K239" s="427">
        <v>26702560000</v>
      </c>
      <c r="L239" s="4">
        <v>18644680000</v>
      </c>
      <c r="M239" s="4">
        <v>18221940000</v>
      </c>
    </row>
    <row r="240" spans="1:26" x14ac:dyDescent="0.2">
      <c r="A240" s="1493" t="s">
        <v>108</v>
      </c>
      <c r="B240" s="21" t="s">
        <v>62</v>
      </c>
      <c r="C240" s="21" t="s">
        <v>11</v>
      </c>
      <c r="D240" s="21" t="s">
        <v>24</v>
      </c>
      <c r="E240" s="21" t="s">
        <v>22</v>
      </c>
      <c r="F240" s="21" t="s">
        <v>64</v>
      </c>
      <c r="G240" s="21" t="s">
        <v>25</v>
      </c>
      <c r="H240" s="21" t="s">
        <v>5</v>
      </c>
      <c r="I240" s="21" t="s">
        <v>36</v>
      </c>
      <c r="J240" s="21" t="s">
        <v>83</v>
      </c>
      <c r="K240" s="21" t="s">
        <v>163</v>
      </c>
      <c r="L240" s="21" t="s">
        <v>59</v>
      </c>
      <c r="M240" s="21" t="s">
        <v>169</v>
      </c>
    </row>
    <row r="241" spans="1:26" x14ac:dyDescent="0.2">
      <c r="A241" s="1493" t="s">
        <v>108</v>
      </c>
      <c r="B241" s="408">
        <v>219158950000</v>
      </c>
      <c r="C241" s="409">
        <v>145753590000</v>
      </c>
      <c r="D241" s="4">
        <v>119436410000</v>
      </c>
      <c r="E241" s="4">
        <v>114762870000</v>
      </c>
      <c r="F241" s="410">
        <v>112549870000</v>
      </c>
      <c r="G241" s="411">
        <v>74147210000</v>
      </c>
      <c r="H241" s="4">
        <v>47182960000</v>
      </c>
      <c r="I241" s="412">
        <v>37845480000</v>
      </c>
      <c r="J241" s="413">
        <v>27497530099</v>
      </c>
      <c r="K241" s="414">
        <v>26108020000</v>
      </c>
      <c r="L241" s="4">
        <v>19604500000</v>
      </c>
      <c r="M241" s="4">
        <v>17804970000</v>
      </c>
    </row>
    <row r="242" spans="1:26" x14ac:dyDescent="0.2">
      <c r="A242" s="1493" t="s">
        <v>107</v>
      </c>
      <c r="B242" s="21" t="s">
        <v>24</v>
      </c>
      <c r="C242" s="21" t="s">
        <v>22</v>
      </c>
      <c r="D242" s="21" t="s">
        <v>64</v>
      </c>
      <c r="E242" s="21" t="s">
        <v>23</v>
      </c>
      <c r="F242" s="21" t="s">
        <v>97</v>
      </c>
      <c r="G242" s="21" t="s">
        <v>14</v>
      </c>
      <c r="H242" s="21" t="s">
        <v>30</v>
      </c>
      <c r="I242" s="21" t="s">
        <v>5</v>
      </c>
      <c r="J242" s="21" t="s">
        <v>28</v>
      </c>
      <c r="K242" s="21" t="s">
        <v>62</v>
      </c>
      <c r="L242" s="21" t="s">
        <v>169</v>
      </c>
      <c r="M242" s="21" t="s">
        <v>163</v>
      </c>
    </row>
    <row r="243" spans="1:26" x14ac:dyDescent="0.2">
      <c r="A243" s="1493" t="s">
        <v>107</v>
      </c>
      <c r="B243" s="397">
        <v>193819070000</v>
      </c>
      <c r="C243" s="398">
        <v>115930180000</v>
      </c>
      <c r="D243" s="399">
        <v>110658130000</v>
      </c>
      <c r="E243" s="400">
        <v>86514950000</v>
      </c>
      <c r="F243" s="401">
        <v>48207160000</v>
      </c>
      <c r="G243" s="4">
        <v>46278300000</v>
      </c>
      <c r="H243" s="402">
        <v>35711350000</v>
      </c>
      <c r="I243" s="4">
        <v>27705750000</v>
      </c>
      <c r="J243" s="4">
        <v>23912540000</v>
      </c>
      <c r="K243" s="4">
        <v>22035700000</v>
      </c>
      <c r="L243" s="4">
        <v>20803670000</v>
      </c>
      <c r="M243" s="403">
        <v>15753250000</v>
      </c>
    </row>
    <row r="244" spans="1:26" x14ac:dyDescent="0.2">
      <c r="A244" s="1493" t="s">
        <v>129</v>
      </c>
      <c r="B244" s="21" t="s">
        <v>89</v>
      </c>
      <c r="C244" s="21" t="s">
        <v>72</v>
      </c>
      <c r="D244" s="21" t="s">
        <v>64</v>
      </c>
      <c r="E244" s="21" t="s">
        <v>186</v>
      </c>
      <c r="F244" s="21" t="s">
        <v>183</v>
      </c>
      <c r="G244" s="21" t="s">
        <v>271</v>
      </c>
      <c r="H244" s="21" t="s">
        <v>269</v>
      </c>
      <c r="I244" s="21" t="s">
        <v>192</v>
      </c>
      <c r="J244" s="21" t="s">
        <v>88</v>
      </c>
      <c r="K244" s="21" t="s">
        <v>99</v>
      </c>
      <c r="L244" s="21" t="s">
        <v>24</v>
      </c>
      <c r="M244" s="21" t="s">
        <v>65</v>
      </c>
      <c r="N244" s="1493" t="s">
        <v>378</v>
      </c>
      <c r="O244" s="21" t="s">
        <v>62</v>
      </c>
      <c r="P244" s="21" t="s">
        <v>14</v>
      </c>
      <c r="Q244" s="21" t="s">
        <v>301</v>
      </c>
      <c r="R244" s="21" t="s">
        <v>89</v>
      </c>
      <c r="S244" s="21" t="s">
        <v>72</v>
      </c>
      <c r="T244" s="21" t="s">
        <v>183</v>
      </c>
      <c r="U244" s="21" t="s">
        <v>64</v>
      </c>
      <c r="V244" s="21" t="s">
        <v>286</v>
      </c>
      <c r="W244" s="21" t="s">
        <v>186</v>
      </c>
      <c r="X244" s="21" t="s">
        <v>20</v>
      </c>
      <c r="Y244" s="21" t="s">
        <v>192</v>
      </c>
      <c r="Z244" s="21" t="s">
        <v>86</v>
      </c>
    </row>
    <row r="245" spans="1:26" x14ac:dyDescent="0.2">
      <c r="A245" s="1493" t="s">
        <v>129</v>
      </c>
      <c r="B245" s="385">
        <v>55575000000</v>
      </c>
      <c r="C245" s="4">
        <v>42294630000</v>
      </c>
      <c r="D245" s="386">
        <v>40827990000</v>
      </c>
      <c r="E245" s="387">
        <v>37012200000</v>
      </c>
      <c r="F245" s="388">
        <v>35055590000</v>
      </c>
      <c r="G245" s="4">
        <v>23253040000</v>
      </c>
      <c r="H245" s="389">
        <v>22167900000</v>
      </c>
      <c r="I245" s="390">
        <v>19902280000</v>
      </c>
      <c r="J245" s="4">
        <v>16687570000</v>
      </c>
      <c r="K245" s="4">
        <v>15069220000</v>
      </c>
      <c r="L245" s="4">
        <v>14165420000</v>
      </c>
      <c r="M245" s="391">
        <v>13546900000</v>
      </c>
      <c r="N245" s="1493" t="s">
        <v>378</v>
      </c>
      <c r="O245" s="4">
        <v>124392120000</v>
      </c>
      <c r="P245" s="4">
        <v>111042750000</v>
      </c>
      <c r="Q245" s="4">
        <v>83128840000</v>
      </c>
      <c r="R245" s="4">
        <v>52683960000</v>
      </c>
      <c r="S245" s="4">
        <v>50453080000</v>
      </c>
      <c r="T245" s="4">
        <v>37571110000</v>
      </c>
      <c r="U245" s="4">
        <v>36327800000</v>
      </c>
      <c r="V245" s="4">
        <v>34358200000</v>
      </c>
      <c r="W245" s="4">
        <v>30399620000</v>
      </c>
      <c r="X245" s="4">
        <v>28819862504</v>
      </c>
      <c r="Y245" s="4">
        <v>27506500000</v>
      </c>
      <c r="Z245" s="4">
        <v>24515600000</v>
      </c>
    </row>
    <row r="246" spans="1:26" x14ac:dyDescent="0.2">
      <c r="A246" s="1493" t="s">
        <v>130</v>
      </c>
      <c r="B246" s="21" t="s">
        <v>62</v>
      </c>
      <c r="C246" s="21" t="s">
        <v>14</v>
      </c>
      <c r="D246" s="21" t="s">
        <v>301</v>
      </c>
      <c r="E246" s="21" t="s">
        <v>86</v>
      </c>
      <c r="F246" s="21" t="s">
        <v>286</v>
      </c>
      <c r="G246" s="21" t="s">
        <v>5</v>
      </c>
      <c r="H246" s="21" t="s">
        <v>20</v>
      </c>
      <c r="I246" s="21" t="s">
        <v>42</v>
      </c>
      <c r="J246" s="21" t="s">
        <v>264</v>
      </c>
      <c r="K246" s="21" t="s">
        <v>313</v>
      </c>
      <c r="L246" s="21" t="s">
        <v>28</v>
      </c>
      <c r="M246" s="21" t="s">
        <v>72</v>
      </c>
    </row>
    <row r="247" spans="1:26" x14ac:dyDescent="0.2">
      <c r="A247" s="1493" t="s">
        <v>130</v>
      </c>
      <c r="B247" s="373">
        <v>122711410000</v>
      </c>
      <c r="C247" s="374">
        <v>114615000000</v>
      </c>
      <c r="D247" s="375">
        <v>84123540000</v>
      </c>
      <c r="E247" s="376">
        <v>39292390000</v>
      </c>
      <c r="F247" s="377">
        <v>34959860000</v>
      </c>
      <c r="G247" s="4">
        <v>23503290000</v>
      </c>
      <c r="H247" s="4">
        <v>22317379239</v>
      </c>
      <c r="I247" s="4">
        <v>20063300000</v>
      </c>
      <c r="J247" s="4">
        <v>19191210000</v>
      </c>
      <c r="K247" s="4">
        <v>12724350000</v>
      </c>
      <c r="L247" s="4">
        <v>9402840000</v>
      </c>
      <c r="M247" s="4">
        <v>8158450000</v>
      </c>
    </row>
    <row r="248" spans="1:26" x14ac:dyDescent="0.2">
      <c r="A248" s="1493" t="s">
        <v>131</v>
      </c>
      <c r="B248" s="21" t="s">
        <v>6</v>
      </c>
      <c r="C248" s="21" t="s">
        <v>18</v>
      </c>
      <c r="D248" s="21" t="s">
        <v>71</v>
      </c>
      <c r="E248" s="21" t="s">
        <v>15</v>
      </c>
      <c r="F248" s="21" t="s">
        <v>69</v>
      </c>
      <c r="G248" s="21" t="s">
        <v>13</v>
      </c>
      <c r="H248" s="21" t="s">
        <v>183</v>
      </c>
      <c r="I248" s="21" t="s">
        <v>5</v>
      </c>
      <c r="J248" s="21" t="s">
        <v>9</v>
      </c>
      <c r="K248" s="21" t="s">
        <v>14</v>
      </c>
      <c r="L248" s="21" t="s">
        <v>20</v>
      </c>
      <c r="M248" s="21" t="s">
        <v>34</v>
      </c>
      <c r="N248" s="1493" t="s">
        <v>377</v>
      </c>
      <c r="O248" s="21" t="s">
        <v>18</v>
      </c>
      <c r="P248" s="21" t="s">
        <v>6</v>
      </c>
      <c r="Q248" s="21" t="s">
        <v>13</v>
      </c>
      <c r="R248" s="21" t="s">
        <v>28</v>
      </c>
      <c r="S248" s="21" t="s">
        <v>70</v>
      </c>
      <c r="T248" s="21" t="s">
        <v>25</v>
      </c>
      <c r="U248" s="21" t="s">
        <v>20</v>
      </c>
      <c r="V248" s="21" t="s">
        <v>271</v>
      </c>
      <c r="W248" s="21" t="s">
        <v>71</v>
      </c>
      <c r="X248" s="21" t="s">
        <v>58</v>
      </c>
      <c r="Y248" s="21" t="s">
        <v>69</v>
      </c>
      <c r="Z248" s="21" t="s">
        <v>9</v>
      </c>
    </row>
    <row r="249" spans="1:26" x14ac:dyDescent="0.2">
      <c r="A249" s="1493" t="s">
        <v>131</v>
      </c>
      <c r="B249" s="365">
        <v>158425160000</v>
      </c>
      <c r="C249" s="4">
        <v>103209480000</v>
      </c>
      <c r="D249" s="366">
        <v>55748700000</v>
      </c>
      <c r="E249" s="4">
        <v>28425290000</v>
      </c>
      <c r="F249" s="367">
        <v>24230580000</v>
      </c>
      <c r="G249" s="4">
        <v>23671160000</v>
      </c>
      <c r="H249" s="368">
        <v>19537430000</v>
      </c>
      <c r="I249" s="4">
        <v>16355540000</v>
      </c>
      <c r="J249" s="4">
        <v>15921580000</v>
      </c>
      <c r="K249" s="4">
        <v>15678160000</v>
      </c>
      <c r="L249" s="4">
        <v>15576259163</v>
      </c>
      <c r="M249" s="4">
        <v>12624810000</v>
      </c>
      <c r="N249" s="1493" t="s">
        <v>377</v>
      </c>
      <c r="O249" s="4">
        <v>329415250000</v>
      </c>
      <c r="P249" s="4">
        <v>199340690000</v>
      </c>
      <c r="Q249" s="4">
        <v>131423340000</v>
      </c>
      <c r="R249" s="4">
        <v>87861360000</v>
      </c>
      <c r="S249" s="4">
        <v>68746070000</v>
      </c>
      <c r="T249" s="4">
        <v>65445050000</v>
      </c>
      <c r="U249" s="4">
        <v>56249485400</v>
      </c>
      <c r="V249" s="4">
        <v>54222590000</v>
      </c>
      <c r="W249" s="4">
        <v>52796540000</v>
      </c>
      <c r="X249" s="4">
        <v>48575360000</v>
      </c>
      <c r="Y249" s="4">
        <v>41123350000</v>
      </c>
      <c r="Z249" s="4">
        <v>39727800000</v>
      </c>
    </row>
    <row r="250" spans="1:26" x14ac:dyDescent="0.2">
      <c r="A250" s="1493" t="s">
        <v>132</v>
      </c>
      <c r="B250" s="21" t="s">
        <v>11</v>
      </c>
      <c r="C250" s="21" t="s">
        <v>58</v>
      </c>
      <c r="D250" s="21" t="s">
        <v>25</v>
      </c>
      <c r="E250" s="21" t="s">
        <v>28</v>
      </c>
      <c r="F250" s="21" t="s">
        <v>20</v>
      </c>
      <c r="G250" s="21" t="s">
        <v>8</v>
      </c>
      <c r="H250" s="21" t="s">
        <v>18</v>
      </c>
      <c r="I250" s="21" t="s">
        <v>70</v>
      </c>
      <c r="J250" s="21" t="s">
        <v>9</v>
      </c>
      <c r="K250" s="21" t="s">
        <v>69</v>
      </c>
      <c r="L250" s="21" t="s">
        <v>13</v>
      </c>
      <c r="M250" s="21" t="s">
        <v>5</v>
      </c>
    </row>
    <row r="251" spans="1:26" x14ac:dyDescent="0.2">
      <c r="A251" s="1493" t="s">
        <v>132</v>
      </c>
      <c r="B251" s="4">
        <v>45559260000</v>
      </c>
      <c r="C251" s="4">
        <v>42683030000</v>
      </c>
      <c r="D251" s="359">
        <v>40167370000</v>
      </c>
      <c r="E251" s="4">
        <v>38367260000</v>
      </c>
      <c r="F251" s="4">
        <v>35378302590</v>
      </c>
      <c r="G251" s="4">
        <v>33435380000</v>
      </c>
      <c r="H251" s="4">
        <v>30420570000</v>
      </c>
      <c r="I251" s="4">
        <v>22925000000</v>
      </c>
      <c r="J251" s="4">
        <v>20882720000</v>
      </c>
      <c r="K251" s="360">
        <v>16269820000</v>
      </c>
      <c r="L251" s="4">
        <v>14801140000</v>
      </c>
      <c r="M251" s="4">
        <v>12401950000</v>
      </c>
    </row>
    <row r="252" spans="1:26" x14ac:dyDescent="0.2">
      <c r="A252" s="1493" t="s">
        <v>133</v>
      </c>
      <c r="B252" s="21" t="s">
        <v>18</v>
      </c>
      <c r="C252" s="21" t="s">
        <v>13</v>
      </c>
      <c r="D252" s="21" t="s">
        <v>28</v>
      </c>
      <c r="E252" s="21" t="s">
        <v>271</v>
      </c>
      <c r="F252" s="21" t="s">
        <v>6</v>
      </c>
      <c r="G252" s="21" t="s">
        <v>70</v>
      </c>
      <c r="H252" s="21" t="s">
        <v>279</v>
      </c>
      <c r="I252" s="21" t="s">
        <v>21</v>
      </c>
      <c r="J252" s="21" t="s">
        <v>25</v>
      </c>
      <c r="K252" s="21" t="s">
        <v>99</v>
      </c>
      <c r="L252" s="21" t="s">
        <v>34</v>
      </c>
      <c r="M252" s="21" t="s">
        <v>295</v>
      </c>
    </row>
    <row r="253" spans="1:26" x14ac:dyDescent="0.2">
      <c r="A253" s="1493" t="s">
        <v>133</v>
      </c>
      <c r="B253" s="344">
        <v>195785200000</v>
      </c>
      <c r="C253" s="4">
        <v>92951040000</v>
      </c>
      <c r="D253" s="345">
        <v>51936790000</v>
      </c>
      <c r="E253" s="346">
        <v>42320480000</v>
      </c>
      <c r="F253" s="347">
        <v>37458860000</v>
      </c>
      <c r="G253" s="348">
        <v>35486070000</v>
      </c>
      <c r="H253" s="349">
        <v>24602520000</v>
      </c>
      <c r="I253" s="350">
        <v>21678070000</v>
      </c>
      <c r="J253" s="351">
        <v>21328250000</v>
      </c>
      <c r="K253" s="4">
        <v>14807170000</v>
      </c>
      <c r="L253" s="352">
        <v>13416970000</v>
      </c>
      <c r="M253" s="4">
        <v>12231652015</v>
      </c>
    </row>
    <row r="254" spans="1:26" x14ac:dyDescent="0.2">
      <c r="A254" s="1493" t="s">
        <v>134</v>
      </c>
      <c r="B254" s="21" t="s">
        <v>180</v>
      </c>
      <c r="C254" s="21" t="s">
        <v>72</v>
      </c>
      <c r="D254" s="21" t="s">
        <v>17</v>
      </c>
      <c r="E254" s="21" t="s">
        <v>89</v>
      </c>
      <c r="F254" s="21" t="s">
        <v>5</v>
      </c>
      <c r="G254" s="21" t="s">
        <v>70</v>
      </c>
      <c r="H254" s="21" t="s">
        <v>28</v>
      </c>
      <c r="I254" s="21" t="s">
        <v>87</v>
      </c>
      <c r="J254" s="21" t="s">
        <v>23</v>
      </c>
      <c r="K254" s="21" t="s">
        <v>169</v>
      </c>
      <c r="L254" s="21" t="s">
        <v>11</v>
      </c>
      <c r="M254" s="21" t="s">
        <v>58</v>
      </c>
      <c r="N254" s="1493" t="s">
        <v>376</v>
      </c>
      <c r="O254" s="21" t="s">
        <v>40</v>
      </c>
      <c r="P254" s="21" t="s">
        <v>5</v>
      </c>
      <c r="Q254" s="21" t="s">
        <v>14</v>
      </c>
      <c r="R254" s="21" t="s">
        <v>180</v>
      </c>
      <c r="S254" s="21" t="s">
        <v>42</v>
      </c>
      <c r="T254" s="21" t="s">
        <v>13</v>
      </c>
      <c r="U254" s="21" t="s">
        <v>16</v>
      </c>
      <c r="V254" s="21" t="s">
        <v>72</v>
      </c>
      <c r="W254" s="21" t="s">
        <v>11</v>
      </c>
      <c r="X254" s="21" t="s">
        <v>171</v>
      </c>
      <c r="Y254" s="21" t="s">
        <v>17</v>
      </c>
      <c r="Z254" s="21" t="s">
        <v>20</v>
      </c>
    </row>
    <row r="255" spans="1:26" x14ac:dyDescent="0.2">
      <c r="A255" s="1493" t="s">
        <v>134</v>
      </c>
      <c r="B255" s="336">
        <v>154264184341</v>
      </c>
      <c r="C255" s="337">
        <v>91151920000</v>
      </c>
      <c r="D255" s="4">
        <v>60056840000</v>
      </c>
      <c r="E255" s="338">
        <v>33478000000</v>
      </c>
      <c r="F255" s="4">
        <v>26699210000</v>
      </c>
      <c r="G255" s="4">
        <v>24831100000</v>
      </c>
      <c r="H255" s="339">
        <v>23234070000</v>
      </c>
      <c r="I255" s="340">
        <v>21889100000</v>
      </c>
      <c r="J255" s="341">
        <v>21432430000</v>
      </c>
      <c r="K255" s="4">
        <v>14777740000</v>
      </c>
      <c r="L255" s="4">
        <v>14736540000</v>
      </c>
      <c r="M255" s="4">
        <v>10413100000</v>
      </c>
      <c r="N255" s="1493" t="s">
        <v>376</v>
      </c>
      <c r="O255" s="4">
        <v>293302999679</v>
      </c>
      <c r="P255" s="4">
        <v>259061836122</v>
      </c>
      <c r="Q255" s="4">
        <v>182106687229</v>
      </c>
      <c r="R255" s="4">
        <v>175899453146</v>
      </c>
      <c r="S255" s="4">
        <v>143114073631</v>
      </c>
      <c r="T255" s="4">
        <v>124755691720</v>
      </c>
      <c r="U255" s="4">
        <v>98949775942</v>
      </c>
      <c r="V255" s="4">
        <v>85401020000</v>
      </c>
      <c r="W255" s="4">
        <v>77644835779</v>
      </c>
      <c r="X255" s="4">
        <v>66480010253</v>
      </c>
      <c r="Y255" s="4">
        <v>61103274447</v>
      </c>
      <c r="Z255" s="4">
        <v>55366476058</v>
      </c>
    </row>
    <row r="256" spans="1:26" x14ac:dyDescent="0.2">
      <c r="A256" s="1493" t="s">
        <v>135</v>
      </c>
      <c r="B256" s="21" t="s">
        <v>40</v>
      </c>
      <c r="C256" s="21" t="s">
        <v>14</v>
      </c>
      <c r="D256" s="21" t="s">
        <v>17</v>
      </c>
      <c r="E256" s="21" t="s">
        <v>20</v>
      </c>
      <c r="F256" s="21" t="s">
        <v>18</v>
      </c>
      <c r="G256" s="21" t="s">
        <v>9</v>
      </c>
      <c r="H256" s="21" t="s">
        <v>99</v>
      </c>
      <c r="I256" s="21" t="s">
        <v>5</v>
      </c>
      <c r="J256" s="21" t="s">
        <v>267</v>
      </c>
      <c r="K256" s="21" t="s">
        <v>192</v>
      </c>
      <c r="L256" s="21" t="s">
        <v>12</v>
      </c>
      <c r="M256" s="21" t="s">
        <v>294</v>
      </c>
    </row>
    <row r="257" spans="1:26" x14ac:dyDescent="0.2">
      <c r="A257" s="1493" t="s">
        <v>135</v>
      </c>
      <c r="B257" s="330">
        <v>293471173592</v>
      </c>
      <c r="C257" s="4">
        <v>61321239815</v>
      </c>
      <c r="D257" s="4">
        <v>56526305691</v>
      </c>
      <c r="E257" s="4">
        <v>18156442160</v>
      </c>
      <c r="F257" s="4">
        <v>17044540671</v>
      </c>
      <c r="G257" s="4">
        <v>15983716995</v>
      </c>
      <c r="H257" s="4">
        <v>15332171024</v>
      </c>
      <c r="I257" s="4">
        <v>13387836840</v>
      </c>
      <c r="J257" s="4">
        <v>13240966154</v>
      </c>
      <c r="K257" s="331">
        <v>12612798979</v>
      </c>
      <c r="L257" s="4">
        <v>11797208384</v>
      </c>
      <c r="M257" s="4">
        <v>11654259657</v>
      </c>
    </row>
    <row r="258" spans="1:26" x14ac:dyDescent="0.2">
      <c r="A258" s="1493" t="s">
        <v>136</v>
      </c>
      <c r="B258" s="21" t="s">
        <v>5</v>
      </c>
      <c r="C258" s="21" t="s">
        <v>14</v>
      </c>
      <c r="D258" s="21" t="s">
        <v>11</v>
      </c>
      <c r="E258" s="21" t="s">
        <v>42</v>
      </c>
      <c r="F258" s="21" t="s">
        <v>9</v>
      </c>
      <c r="G258" s="21" t="s">
        <v>16</v>
      </c>
      <c r="H258" s="21" t="s">
        <v>15</v>
      </c>
      <c r="I258" s="21" t="s">
        <v>188</v>
      </c>
      <c r="J258" s="21" t="s">
        <v>171</v>
      </c>
      <c r="K258" s="21" t="s">
        <v>294</v>
      </c>
      <c r="L258" s="21" t="s">
        <v>8</v>
      </c>
      <c r="M258" s="21" t="s">
        <v>7</v>
      </c>
    </row>
    <row r="259" spans="1:26" x14ac:dyDescent="0.2">
      <c r="A259" s="1493" t="s">
        <v>136</v>
      </c>
      <c r="B259" s="317">
        <v>194895359282</v>
      </c>
      <c r="C259" s="318">
        <v>113217936114</v>
      </c>
      <c r="D259" s="319">
        <v>79932750000</v>
      </c>
      <c r="E259" s="4">
        <v>57444273749</v>
      </c>
      <c r="F259" s="320">
        <v>56313530000</v>
      </c>
      <c r="G259" s="4">
        <v>43428679396</v>
      </c>
      <c r="H259" s="4">
        <v>43182600000</v>
      </c>
      <c r="I259" s="321">
        <v>40396084380</v>
      </c>
      <c r="J259" s="4">
        <v>22930860000</v>
      </c>
      <c r="K259" s="322">
        <v>20131660000</v>
      </c>
      <c r="L259" s="4">
        <v>20008430401</v>
      </c>
      <c r="M259" s="323">
        <v>18643630780</v>
      </c>
    </row>
    <row r="260" spans="1:26" x14ac:dyDescent="0.2">
      <c r="A260" s="1493" t="s">
        <v>137</v>
      </c>
      <c r="B260" s="21" t="s">
        <v>13</v>
      </c>
      <c r="C260" s="21" t="s">
        <v>38</v>
      </c>
      <c r="D260" s="21" t="s">
        <v>42</v>
      </c>
      <c r="E260" s="21" t="s">
        <v>180</v>
      </c>
      <c r="F260" s="21" t="s">
        <v>57</v>
      </c>
      <c r="G260" s="21" t="s">
        <v>171</v>
      </c>
      <c r="H260" s="21" t="s">
        <v>16</v>
      </c>
      <c r="I260" s="21" t="s">
        <v>20</v>
      </c>
      <c r="J260" s="21" t="s">
        <v>264</v>
      </c>
      <c r="K260" s="21" t="s">
        <v>59</v>
      </c>
      <c r="L260" s="21" t="s">
        <v>85</v>
      </c>
      <c r="M260" s="21" t="s">
        <v>14</v>
      </c>
    </row>
    <row r="261" spans="1:26" x14ac:dyDescent="0.2">
      <c r="A261" s="1493" t="s">
        <v>137</v>
      </c>
      <c r="B261" s="4">
        <v>100897513531</v>
      </c>
      <c r="C261" s="4">
        <v>84516830000</v>
      </c>
      <c r="D261" s="4">
        <v>55282665187</v>
      </c>
      <c r="E261" s="308">
        <v>51065965877</v>
      </c>
      <c r="F261" s="4">
        <v>50645664491</v>
      </c>
      <c r="G261" s="309">
        <v>35697780000</v>
      </c>
      <c r="H261" s="4">
        <v>31989140000</v>
      </c>
      <c r="I261" s="4">
        <v>30895294462</v>
      </c>
      <c r="J261" s="310">
        <v>27744160000</v>
      </c>
      <c r="K261" s="4">
        <v>26861950000</v>
      </c>
      <c r="L261" s="311">
        <v>20571816207</v>
      </c>
      <c r="M261" s="4">
        <v>20139942439</v>
      </c>
    </row>
    <row r="262" spans="1:26" x14ac:dyDescent="0.2">
      <c r="A262" s="1493" t="s">
        <v>138</v>
      </c>
      <c r="B262" s="21" t="s">
        <v>13</v>
      </c>
      <c r="C262" s="21" t="s">
        <v>42</v>
      </c>
      <c r="D262" s="21" t="s">
        <v>99</v>
      </c>
      <c r="E262" s="21" t="s">
        <v>18</v>
      </c>
      <c r="F262" s="21" t="s">
        <v>19</v>
      </c>
      <c r="G262" s="21" t="s">
        <v>30</v>
      </c>
      <c r="H262" s="21" t="s">
        <v>16</v>
      </c>
      <c r="I262" s="21" t="s">
        <v>15</v>
      </c>
      <c r="J262" s="21" t="s">
        <v>88</v>
      </c>
      <c r="K262" s="21" t="s">
        <v>171</v>
      </c>
      <c r="L262" s="21" t="s">
        <v>287</v>
      </c>
      <c r="M262" s="21" t="s">
        <v>86</v>
      </c>
    </row>
    <row r="263" spans="1:26" x14ac:dyDescent="0.2">
      <c r="A263" s="1493" t="s">
        <v>138</v>
      </c>
      <c r="B263" s="4">
        <v>58241780000</v>
      </c>
      <c r="C263" s="4">
        <v>40905360000</v>
      </c>
      <c r="D263" s="4">
        <v>34590880000</v>
      </c>
      <c r="E263" s="4">
        <v>31492550000</v>
      </c>
      <c r="F263" s="4">
        <v>29803240000</v>
      </c>
      <c r="G263" s="304">
        <v>25671060000</v>
      </c>
      <c r="H263" s="4">
        <v>24247250000</v>
      </c>
      <c r="I263" s="4">
        <v>22214070000</v>
      </c>
      <c r="J263" s="4">
        <v>15780030000</v>
      </c>
      <c r="K263" s="4">
        <v>14672440000</v>
      </c>
      <c r="L263" s="305">
        <v>9417450000</v>
      </c>
      <c r="M263" s="4">
        <v>7904400000</v>
      </c>
    </row>
    <row r="264" spans="1:26" x14ac:dyDescent="0.2">
      <c r="A264" s="1493" t="s">
        <v>139</v>
      </c>
      <c r="B264" s="21" t="s">
        <v>14</v>
      </c>
      <c r="C264" s="21" t="s">
        <v>42</v>
      </c>
      <c r="D264" s="21" t="s">
        <v>16</v>
      </c>
      <c r="E264" s="21" t="s">
        <v>19</v>
      </c>
      <c r="F264" s="21" t="s">
        <v>58</v>
      </c>
      <c r="G264" s="21" t="s">
        <v>57</v>
      </c>
      <c r="H264" s="21" t="s">
        <v>8</v>
      </c>
      <c r="I264" s="21" t="s">
        <v>88</v>
      </c>
      <c r="J264" s="21" t="s">
        <v>15</v>
      </c>
      <c r="K264" s="21" t="s">
        <v>18</v>
      </c>
      <c r="L264" s="21" t="s">
        <v>180</v>
      </c>
      <c r="M264" s="21" t="s">
        <v>171</v>
      </c>
      <c r="N264" s="1493" t="s">
        <v>375</v>
      </c>
      <c r="O264" s="21" t="s">
        <v>16</v>
      </c>
      <c r="P264" s="21" t="s">
        <v>14</v>
      </c>
      <c r="Q264" s="21" t="s">
        <v>19</v>
      </c>
      <c r="R264" s="21" t="s">
        <v>18</v>
      </c>
      <c r="S264" s="21" t="s">
        <v>13</v>
      </c>
      <c r="T264" s="21" t="s">
        <v>8</v>
      </c>
      <c r="U264" s="21" t="s">
        <v>57</v>
      </c>
      <c r="V264" s="21" t="s">
        <v>15</v>
      </c>
      <c r="W264" s="21" t="s">
        <v>42</v>
      </c>
      <c r="X264" s="21" t="s">
        <v>12</v>
      </c>
      <c r="Y264" s="21" t="s">
        <v>38</v>
      </c>
      <c r="Z264" s="21" t="s">
        <v>58</v>
      </c>
    </row>
    <row r="265" spans="1:26" x14ac:dyDescent="0.2">
      <c r="A265" s="1493" t="s">
        <v>139</v>
      </c>
      <c r="B265" s="4">
        <v>91738340000</v>
      </c>
      <c r="C265" s="296">
        <v>83258380000</v>
      </c>
      <c r="D265" s="4">
        <v>76915170000</v>
      </c>
      <c r="E265" s="4">
        <v>70500040000</v>
      </c>
      <c r="F265" s="297">
        <v>68633810000</v>
      </c>
      <c r="G265" s="4">
        <v>56991136874</v>
      </c>
      <c r="H265" s="4">
        <v>53139700000</v>
      </c>
      <c r="I265" s="298">
        <v>38858930000</v>
      </c>
      <c r="J265" s="4">
        <v>38464480000</v>
      </c>
      <c r="K265" s="4">
        <v>24182310000</v>
      </c>
      <c r="L265" s="299">
        <v>22741640000</v>
      </c>
      <c r="M265" s="300">
        <v>17076770000</v>
      </c>
      <c r="N265" s="1493" t="s">
        <v>375</v>
      </c>
      <c r="O265" s="4">
        <v>321498630000</v>
      </c>
      <c r="P265" s="4">
        <v>289754140000</v>
      </c>
      <c r="Q265" s="4">
        <v>237730010000</v>
      </c>
      <c r="R265" s="4">
        <v>192123410000</v>
      </c>
      <c r="S265" s="4">
        <v>177784950000</v>
      </c>
      <c r="T265" s="4">
        <v>176276120000</v>
      </c>
      <c r="U265" s="4">
        <v>171457676356</v>
      </c>
      <c r="V265" s="4">
        <v>152314660000</v>
      </c>
      <c r="W265" s="4">
        <v>140741570000</v>
      </c>
      <c r="X265" s="4">
        <v>121564520000</v>
      </c>
      <c r="Y265" s="4">
        <v>118069560000</v>
      </c>
      <c r="Z265" s="4">
        <v>98643770000</v>
      </c>
    </row>
    <row r="266" spans="1:26" x14ac:dyDescent="0.2">
      <c r="A266" s="1493" t="s">
        <v>140</v>
      </c>
      <c r="B266" s="21" t="s">
        <v>14</v>
      </c>
      <c r="C266" s="21" t="s">
        <v>22</v>
      </c>
      <c r="D266" s="21" t="s">
        <v>18</v>
      </c>
      <c r="E266" s="21" t="s">
        <v>12</v>
      </c>
      <c r="F266" s="21" t="s">
        <v>16</v>
      </c>
      <c r="G266" s="21" t="s">
        <v>5</v>
      </c>
      <c r="H266" s="21" t="s">
        <v>8</v>
      </c>
      <c r="I266" s="21" t="s">
        <v>15</v>
      </c>
      <c r="J266" s="21" t="s">
        <v>19</v>
      </c>
      <c r="K266" s="21" t="s">
        <v>171</v>
      </c>
      <c r="L266" s="21" t="s">
        <v>20</v>
      </c>
      <c r="M266" s="21" t="s">
        <v>294</v>
      </c>
    </row>
    <row r="267" spans="1:26" x14ac:dyDescent="0.2">
      <c r="A267" s="1493" t="s">
        <v>140</v>
      </c>
      <c r="B267" s="4">
        <v>70035770000</v>
      </c>
      <c r="C267" s="291">
        <v>53223960000</v>
      </c>
      <c r="D267" s="4">
        <v>41156910000</v>
      </c>
      <c r="E267" s="4">
        <v>31895890000</v>
      </c>
      <c r="F267" s="4">
        <v>30737620000</v>
      </c>
      <c r="G267" s="4">
        <v>30682760000</v>
      </c>
      <c r="H267" s="4">
        <v>23053340000</v>
      </c>
      <c r="I267" s="4">
        <v>22522980000</v>
      </c>
      <c r="J267" s="4">
        <v>19783320000</v>
      </c>
      <c r="K267" s="292">
        <v>16155970000</v>
      </c>
      <c r="L267" s="4">
        <v>15537295187</v>
      </c>
      <c r="M267" s="293">
        <v>12295390000</v>
      </c>
    </row>
    <row r="268" spans="1:26" x14ac:dyDescent="0.2">
      <c r="A268" s="1493" t="s">
        <v>141</v>
      </c>
      <c r="B268" s="21" t="s">
        <v>5</v>
      </c>
      <c r="C268" s="21" t="s">
        <v>19</v>
      </c>
      <c r="D268" s="21" t="s">
        <v>14</v>
      </c>
      <c r="E268" s="21" t="s">
        <v>57</v>
      </c>
      <c r="F268" s="21" t="s">
        <v>16</v>
      </c>
      <c r="G268" s="21" t="s">
        <v>15</v>
      </c>
      <c r="H268" s="21" t="s">
        <v>13</v>
      </c>
      <c r="I268" s="21" t="s">
        <v>9</v>
      </c>
      <c r="J268" s="21" t="s">
        <v>18</v>
      </c>
      <c r="K268" s="21" t="s">
        <v>12</v>
      </c>
      <c r="L268" s="21" t="s">
        <v>36</v>
      </c>
      <c r="M268" s="21" t="s">
        <v>59</v>
      </c>
    </row>
    <row r="269" spans="1:26" x14ac:dyDescent="0.2">
      <c r="A269" s="1493" t="s">
        <v>141</v>
      </c>
      <c r="B269" s="281">
        <v>120786030000</v>
      </c>
      <c r="C269" s="282">
        <v>79286090000</v>
      </c>
      <c r="D269" s="4">
        <v>78103900000</v>
      </c>
      <c r="E269" s="283">
        <v>63605697998</v>
      </c>
      <c r="F269" s="4">
        <v>38216160000</v>
      </c>
      <c r="G269" s="4">
        <v>31255760000</v>
      </c>
      <c r="H269" s="4">
        <v>29629090000</v>
      </c>
      <c r="I269" s="284">
        <v>27840340000</v>
      </c>
      <c r="J269" s="4">
        <v>23726970000</v>
      </c>
      <c r="K269" s="4">
        <v>21506530000</v>
      </c>
      <c r="L269" s="4">
        <v>17110590000</v>
      </c>
      <c r="M269" s="4">
        <v>11055510000</v>
      </c>
    </row>
    <row r="270" spans="1:26" x14ac:dyDescent="0.2">
      <c r="A270" s="1493" t="s">
        <v>142</v>
      </c>
      <c r="B270" s="21" t="s">
        <v>13</v>
      </c>
      <c r="C270" s="21" t="s">
        <v>16</v>
      </c>
      <c r="D270" s="21" t="s">
        <v>8</v>
      </c>
      <c r="E270" s="21" t="s">
        <v>15</v>
      </c>
      <c r="F270" s="21" t="s">
        <v>22</v>
      </c>
      <c r="G270" s="21" t="s">
        <v>18</v>
      </c>
      <c r="H270" s="21" t="s">
        <v>70</v>
      </c>
      <c r="I270" s="21" t="s">
        <v>12</v>
      </c>
      <c r="J270" s="21" t="s">
        <v>19</v>
      </c>
      <c r="K270" s="21" t="s">
        <v>58</v>
      </c>
      <c r="L270" s="21" t="s">
        <v>11</v>
      </c>
      <c r="M270" s="21" t="s">
        <v>29</v>
      </c>
    </row>
    <row r="271" spans="1:26" x14ac:dyDescent="0.2">
      <c r="A271" s="1493" t="s">
        <v>142</v>
      </c>
      <c r="B271" s="271">
        <v>135594830000</v>
      </c>
      <c r="C271" s="272">
        <v>113617170000</v>
      </c>
      <c r="D271" s="273">
        <v>67303270000</v>
      </c>
      <c r="E271" s="4">
        <v>46390620000</v>
      </c>
      <c r="F271" s="274">
        <v>37654980000</v>
      </c>
      <c r="G271" s="4">
        <v>35702340000</v>
      </c>
      <c r="H271" s="275">
        <v>30218790000</v>
      </c>
      <c r="I271" s="4">
        <v>23396240000</v>
      </c>
      <c r="J271" s="4">
        <v>16534840000</v>
      </c>
      <c r="K271" s="4">
        <v>16181620000</v>
      </c>
      <c r="L271" s="4">
        <v>12445550000</v>
      </c>
      <c r="M271" s="276">
        <v>11308333392</v>
      </c>
    </row>
    <row r="272" spans="1:26" x14ac:dyDescent="0.2">
      <c r="A272" s="1493" t="s">
        <v>143</v>
      </c>
      <c r="B272" s="21" t="s">
        <v>38</v>
      </c>
      <c r="C272" s="21" t="s">
        <v>18</v>
      </c>
      <c r="D272" s="21" t="s">
        <v>13</v>
      </c>
      <c r="E272" s="21" t="s">
        <v>16</v>
      </c>
      <c r="F272" s="21" t="s">
        <v>57</v>
      </c>
      <c r="G272" s="21" t="s">
        <v>19</v>
      </c>
      <c r="H272" s="21" t="s">
        <v>14</v>
      </c>
      <c r="I272" s="21" t="s">
        <v>42</v>
      </c>
      <c r="J272" s="21" t="s">
        <v>59</v>
      </c>
      <c r="K272" s="21" t="s">
        <v>12</v>
      </c>
      <c r="L272" s="21" t="s">
        <v>17</v>
      </c>
      <c r="M272" s="21" t="s">
        <v>72</v>
      </c>
    </row>
    <row r="273" spans="1:26" x14ac:dyDescent="0.2">
      <c r="A273" s="1493" t="s">
        <v>143</v>
      </c>
      <c r="B273" s="262">
        <v>126333210000</v>
      </c>
      <c r="C273" s="263">
        <v>67354880000</v>
      </c>
      <c r="D273" s="4">
        <v>63983050000</v>
      </c>
      <c r="E273" s="264">
        <v>62012510000</v>
      </c>
      <c r="F273" s="265">
        <v>56014311497</v>
      </c>
      <c r="G273" s="266">
        <v>51625720000</v>
      </c>
      <c r="H273" s="4">
        <v>44593090000</v>
      </c>
      <c r="I273" s="267">
        <v>36351330000</v>
      </c>
      <c r="J273" s="268">
        <v>32001920000</v>
      </c>
      <c r="K273" s="4">
        <v>31791210000</v>
      </c>
      <c r="L273" s="4">
        <v>26454320000</v>
      </c>
      <c r="M273" s="269">
        <v>24242260000</v>
      </c>
    </row>
    <row r="274" spans="1:26" x14ac:dyDescent="0.2">
      <c r="A274" s="1493" t="s">
        <v>144</v>
      </c>
      <c r="B274" s="21" t="s">
        <v>14</v>
      </c>
      <c r="C274" s="21" t="s">
        <v>13</v>
      </c>
      <c r="D274" s="21" t="s">
        <v>17</v>
      </c>
      <c r="E274" s="21" t="s">
        <v>15</v>
      </c>
      <c r="F274" s="21" t="s">
        <v>24</v>
      </c>
      <c r="G274" s="21" t="s">
        <v>12</v>
      </c>
      <c r="H274" s="21" t="s">
        <v>67</v>
      </c>
      <c r="I274" s="21" t="s">
        <v>58</v>
      </c>
      <c r="J274" s="21" t="s">
        <v>86</v>
      </c>
      <c r="K274" s="21" t="s">
        <v>9</v>
      </c>
      <c r="L274" s="21" t="s">
        <v>30</v>
      </c>
      <c r="M274" s="21" t="s">
        <v>19</v>
      </c>
      <c r="N274" s="1493" t="s">
        <v>374</v>
      </c>
      <c r="O274" s="21" t="s">
        <v>17</v>
      </c>
      <c r="P274" s="21" t="s">
        <v>13</v>
      </c>
      <c r="Q274" s="21" t="s">
        <v>14</v>
      </c>
      <c r="R274" s="21" t="s">
        <v>12</v>
      </c>
      <c r="S274" s="21" t="s">
        <v>15</v>
      </c>
      <c r="T274" s="21" t="s">
        <v>24</v>
      </c>
      <c r="U274" s="21" t="s">
        <v>16</v>
      </c>
      <c r="V274" s="21" t="s">
        <v>18</v>
      </c>
      <c r="W274" s="21" t="s">
        <v>58</v>
      </c>
      <c r="X274" s="21" t="s">
        <v>88</v>
      </c>
      <c r="Y274" s="21" t="s">
        <v>20</v>
      </c>
      <c r="Z274" s="21" t="s">
        <v>9</v>
      </c>
    </row>
    <row r="275" spans="1:26" x14ac:dyDescent="0.2">
      <c r="A275" s="1493" t="s">
        <v>144</v>
      </c>
      <c r="B275" s="4">
        <v>98505700000</v>
      </c>
      <c r="C275" s="4">
        <v>70992800000</v>
      </c>
      <c r="D275" s="4">
        <v>64316470000</v>
      </c>
      <c r="E275" s="4">
        <v>47993720000</v>
      </c>
      <c r="F275" s="4">
        <v>43043850000</v>
      </c>
      <c r="G275" s="4">
        <v>39366350000</v>
      </c>
      <c r="H275" s="256">
        <v>31171570000</v>
      </c>
      <c r="I275" s="4">
        <v>30449260000</v>
      </c>
      <c r="J275" s="257">
        <v>24719810000</v>
      </c>
      <c r="K275" s="4">
        <v>20753740000</v>
      </c>
      <c r="L275" s="258">
        <v>16557440000</v>
      </c>
      <c r="M275" s="259">
        <v>16148970000</v>
      </c>
      <c r="N275" s="1493" t="s">
        <v>374</v>
      </c>
      <c r="O275" s="4">
        <v>548672290000</v>
      </c>
      <c r="P275" s="4">
        <v>273212660000</v>
      </c>
      <c r="Q275" s="4">
        <v>206755780000</v>
      </c>
      <c r="R275" s="4">
        <v>202845990000</v>
      </c>
      <c r="S275" s="4">
        <v>164332750000</v>
      </c>
      <c r="T275" s="4">
        <v>132596990000</v>
      </c>
      <c r="U275" s="4">
        <v>101360950000</v>
      </c>
      <c r="V275" s="4">
        <v>56956280000</v>
      </c>
      <c r="W275" s="4">
        <v>47208970000</v>
      </c>
      <c r="X275" s="4">
        <v>44383460000</v>
      </c>
      <c r="Y275" s="4">
        <v>38707590105</v>
      </c>
      <c r="Z275" s="4">
        <v>37831070000</v>
      </c>
    </row>
    <row r="276" spans="1:26" x14ac:dyDescent="0.2">
      <c r="A276" s="1493" t="s">
        <v>356</v>
      </c>
      <c r="B276" s="21" t="s">
        <v>17</v>
      </c>
      <c r="C276" s="21" t="s">
        <v>24</v>
      </c>
      <c r="D276" s="21" t="s">
        <v>16</v>
      </c>
      <c r="E276" s="21" t="s">
        <v>12</v>
      </c>
      <c r="F276" s="21" t="s">
        <v>15</v>
      </c>
      <c r="G276" s="21" t="s">
        <v>13</v>
      </c>
      <c r="H276" s="21" t="s">
        <v>99</v>
      </c>
      <c r="I276" s="21" t="s">
        <v>88</v>
      </c>
      <c r="J276" s="21" t="s">
        <v>20</v>
      </c>
      <c r="K276" s="21" t="s">
        <v>295</v>
      </c>
      <c r="L276" s="21" t="s">
        <v>60</v>
      </c>
      <c r="M276" s="21" t="s">
        <v>264</v>
      </c>
    </row>
    <row r="277" spans="1:26" x14ac:dyDescent="0.2">
      <c r="A277" s="1493" t="s">
        <v>356</v>
      </c>
      <c r="B277" s="4">
        <v>121673390000</v>
      </c>
      <c r="C277" s="250">
        <v>95247010000</v>
      </c>
      <c r="D277" s="251">
        <v>36286650000</v>
      </c>
      <c r="E277" s="4">
        <v>33697500000</v>
      </c>
      <c r="F277" s="4">
        <v>33218670000</v>
      </c>
      <c r="G277" s="4">
        <v>20195670000</v>
      </c>
      <c r="H277" s="4">
        <v>14977290000</v>
      </c>
      <c r="I277" s="4">
        <v>14800610000</v>
      </c>
      <c r="J277" s="4">
        <v>13545513565</v>
      </c>
      <c r="K277" s="252">
        <v>12780834663</v>
      </c>
      <c r="L277" s="4">
        <v>11581300000</v>
      </c>
      <c r="M277" s="253">
        <v>11554160000</v>
      </c>
    </row>
    <row r="278" spans="1:26" x14ac:dyDescent="0.2">
      <c r="A278" s="1493" t="s">
        <v>145</v>
      </c>
      <c r="B278" s="21" t="s">
        <v>17</v>
      </c>
      <c r="C278" s="21" t="s">
        <v>14</v>
      </c>
      <c r="D278" s="21" t="s">
        <v>12</v>
      </c>
      <c r="E278" s="21" t="s">
        <v>13</v>
      </c>
      <c r="F278" s="21" t="s">
        <v>15</v>
      </c>
      <c r="G278" s="21" t="s">
        <v>11</v>
      </c>
      <c r="H278" s="21" t="s">
        <v>8</v>
      </c>
      <c r="I278" s="21" t="s">
        <v>16</v>
      </c>
      <c r="J278" s="21" t="s">
        <v>5</v>
      </c>
      <c r="K278" s="21" t="s">
        <v>70</v>
      </c>
      <c r="L278" s="21" t="s">
        <v>10</v>
      </c>
      <c r="M278" s="21" t="s">
        <v>36</v>
      </c>
    </row>
    <row r="279" spans="1:26" x14ac:dyDescent="0.2">
      <c r="A279" s="1493" t="s">
        <v>145</v>
      </c>
      <c r="B279" s="243">
        <v>158949880000</v>
      </c>
      <c r="C279" s="4">
        <v>91308020000</v>
      </c>
      <c r="D279" s="4">
        <v>73422400000</v>
      </c>
      <c r="E279" s="4">
        <v>48170140000</v>
      </c>
      <c r="F279" s="4">
        <v>32965020000</v>
      </c>
      <c r="G279" s="4">
        <v>25836060000</v>
      </c>
      <c r="H279" s="244">
        <v>24733550000</v>
      </c>
      <c r="I279" s="245">
        <v>24344830000</v>
      </c>
      <c r="J279" s="4">
        <v>15074340000</v>
      </c>
      <c r="K279" s="4">
        <v>14782960000</v>
      </c>
      <c r="L279" s="246">
        <v>12863088207</v>
      </c>
      <c r="M279" s="4">
        <v>9547080000</v>
      </c>
    </row>
    <row r="280" spans="1:26" x14ac:dyDescent="0.2">
      <c r="A280" s="1493" t="s">
        <v>146</v>
      </c>
      <c r="B280" s="21" t="s">
        <v>17</v>
      </c>
      <c r="C280" s="21" t="s">
        <v>13</v>
      </c>
      <c r="D280" s="21" t="s">
        <v>15</v>
      </c>
      <c r="E280" s="21" t="s">
        <v>12</v>
      </c>
      <c r="F280" s="21" t="s">
        <v>16</v>
      </c>
      <c r="G280" s="21" t="s">
        <v>24</v>
      </c>
      <c r="H280" s="21" t="s">
        <v>19</v>
      </c>
      <c r="I280" s="21" t="s">
        <v>18</v>
      </c>
      <c r="J280" s="21" t="s">
        <v>25</v>
      </c>
      <c r="K280" s="21" t="s">
        <v>8</v>
      </c>
      <c r="L280" s="21" t="s">
        <v>312</v>
      </c>
      <c r="M280" s="21" t="s">
        <v>59</v>
      </c>
    </row>
    <row r="281" spans="1:26" x14ac:dyDescent="0.2">
      <c r="A281" s="1493" t="s">
        <v>146</v>
      </c>
      <c r="B281" s="237">
        <v>147762410000</v>
      </c>
      <c r="C281" s="4">
        <v>75813170000</v>
      </c>
      <c r="D281" s="4">
        <v>50912330000</v>
      </c>
      <c r="E281" s="4">
        <v>50694940000</v>
      </c>
      <c r="F281" s="4">
        <v>17015850000</v>
      </c>
      <c r="G281" s="238">
        <v>15616430000</v>
      </c>
      <c r="H281" s="239">
        <v>15552780000</v>
      </c>
      <c r="I281" s="4">
        <v>13302420000</v>
      </c>
      <c r="J281" s="4">
        <v>11044500000</v>
      </c>
      <c r="K281" s="4">
        <v>9296610000</v>
      </c>
      <c r="L281" s="4">
        <v>7102470000</v>
      </c>
      <c r="M281" s="4">
        <v>7034810000</v>
      </c>
    </row>
    <row r="282" spans="1:26" x14ac:dyDescent="0.2">
      <c r="A282" s="1493" t="s">
        <v>147</v>
      </c>
      <c r="B282" s="21" t="s">
        <v>18</v>
      </c>
      <c r="C282" s="21" t="s">
        <v>13</v>
      </c>
      <c r="D282" s="21" t="s">
        <v>17</v>
      </c>
      <c r="E282" s="21" t="s">
        <v>16</v>
      </c>
      <c r="F282" s="21" t="s">
        <v>70</v>
      </c>
      <c r="G282" s="21" t="s">
        <v>88</v>
      </c>
      <c r="H282" s="21" t="s">
        <v>14</v>
      </c>
      <c r="I282" s="21" t="s">
        <v>6</v>
      </c>
      <c r="J282" s="21" t="s">
        <v>60</v>
      </c>
      <c r="K282" s="21" t="s">
        <v>20</v>
      </c>
      <c r="L282" s="21" t="s">
        <v>9</v>
      </c>
      <c r="M282" s="21" t="s">
        <v>91</v>
      </c>
    </row>
    <row r="283" spans="1:26" x14ac:dyDescent="0.2">
      <c r="A283" s="1493" t="s">
        <v>147</v>
      </c>
      <c r="B283" s="4">
        <v>63375710000</v>
      </c>
      <c r="C283" s="4">
        <v>58040880000</v>
      </c>
      <c r="D283" s="231">
        <v>55970140000</v>
      </c>
      <c r="E283" s="232">
        <v>24064160000</v>
      </c>
      <c r="F283" s="233">
        <v>22073550000</v>
      </c>
      <c r="G283" s="4">
        <v>20979280000</v>
      </c>
      <c r="H283" s="4">
        <v>17020260000</v>
      </c>
      <c r="I283" s="4">
        <v>10082050000</v>
      </c>
      <c r="J283" s="4">
        <v>9924240000</v>
      </c>
      <c r="K283" s="4">
        <v>8155045089</v>
      </c>
      <c r="L283" s="4">
        <v>7670670000</v>
      </c>
      <c r="M283" s="234">
        <v>6304140000</v>
      </c>
    </row>
    <row r="284" spans="1:26" x14ac:dyDescent="0.2">
      <c r="A284" s="1493" t="s">
        <v>148</v>
      </c>
      <c r="B284" s="21" t="s">
        <v>13</v>
      </c>
      <c r="C284" s="21" t="s">
        <v>12</v>
      </c>
      <c r="D284" s="21" t="s">
        <v>15</v>
      </c>
      <c r="E284" s="21" t="s">
        <v>18</v>
      </c>
      <c r="F284" s="21" t="s">
        <v>17</v>
      </c>
      <c r="G284" s="21" t="s">
        <v>88</v>
      </c>
      <c r="H284" s="21" t="s">
        <v>59</v>
      </c>
      <c r="I284" s="21" t="s">
        <v>8</v>
      </c>
      <c r="J284" s="21" t="s">
        <v>63</v>
      </c>
      <c r="K284" s="21" t="s">
        <v>20</v>
      </c>
      <c r="L284" s="21" t="s">
        <v>24</v>
      </c>
      <c r="M284" s="21" t="s">
        <v>271</v>
      </c>
      <c r="N284" s="1493" t="s">
        <v>373</v>
      </c>
      <c r="O284" s="21" t="s">
        <v>12</v>
      </c>
      <c r="P284" s="21" t="s">
        <v>13</v>
      </c>
      <c r="Q284" s="21" t="s">
        <v>14</v>
      </c>
      <c r="R284" s="21" t="s">
        <v>20</v>
      </c>
      <c r="S284" s="21" t="s">
        <v>15</v>
      </c>
      <c r="T284" s="21" t="s">
        <v>18</v>
      </c>
      <c r="U284" s="21" t="s">
        <v>61</v>
      </c>
      <c r="V284" s="21" t="s">
        <v>17</v>
      </c>
      <c r="W284" s="21" t="s">
        <v>6</v>
      </c>
      <c r="X284" s="21" t="s">
        <v>9</v>
      </c>
      <c r="Y284" s="21" t="s">
        <v>58</v>
      </c>
      <c r="Z284" s="21" t="s">
        <v>60</v>
      </c>
    </row>
    <row r="285" spans="1:26" x14ac:dyDescent="0.2">
      <c r="A285" s="1493" t="s">
        <v>148</v>
      </c>
      <c r="B285" s="218">
        <v>78181190000</v>
      </c>
      <c r="C285" s="4">
        <v>77828860000</v>
      </c>
      <c r="D285" s="4">
        <v>58765130000</v>
      </c>
      <c r="E285" s="4">
        <v>52975920000</v>
      </c>
      <c r="F285" s="219">
        <v>51859580000</v>
      </c>
      <c r="G285" s="4">
        <v>23987800000</v>
      </c>
      <c r="H285" s="4">
        <v>16904430000</v>
      </c>
      <c r="I285" s="220">
        <v>16025800000</v>
      </c>
      <c r="J285" s="221">
        <v>15688828428</v>
      </c>
      <c r="K285" s="4">
        <v>15290419127</v>
      </c>
      <c r="L285" s="222">
        <v>11664600000</v>
      </c>
      <c r="M285" s="223">
        <v>11362260000</v>
      </c>
      <c r="N285" s="1493" t="s">
        <v>373</v>
      </c>
      <c r="O285" s="4">
        <v>337299430000</v>
      </c>
      <c r="P285" s="4">
        <v>190857150000</v>
      </c>
      <c r="Q285" s="4">
        <v>167752220000</v>
      </c>
      <c r="R285" s="4">
        <v>144145874106</v>
      </c>
      <c r="S285" s="4">
        <v>132923880000</v>
      </c>
      <c r="T285" s="4">
        <v>99125320000</v>
      </c>
      <c r="U285" s="4">
        <v>88331870000</v>
      </c>
      <c r="V285" s="4">
        <v>67062210000</v>
      </c>
      <c r="W285" s="4">
        <v>60876210000</v>
      </c>
      <c r="X285" s="4">
        <v>55393710000</v>
      </c>
      <c r="Y285" s="4">
        <v>52701640000</v>
      </c>
      <c r="Z285" s="4">
        <v>51350580000</v>
      </c>
    </row>
    <row r="286" spans="1:26" x14ac:dyDescent="0.2">
      <c r="A286" s="1493" t="s">
        <v>149</v>
      </c>
      <c r="B286" s="21" t="s">
        <v>13</v>
      </c>
      <c r="C286" s="21" t="s">
        <v>20</v>
      </c>
      <c r="D286" s="21" t="s">
        <v>14</v>
      </c>
      <c r="E286" s="21" t="s">
        <v>15</v>
      </c>
      <c r="F286" s="21" t="s">
        <v>99</v>
      </c>
      <c r="G286" s="21" t="s">
        <v>12</v>
      </c>
      <c r="H286" s="21" t="s">
        <v>11</v>
      </c>
      <c r="I286" s="21" t="s">
        <v>61</v>
      </c>
      <c r="J286" s="21" t="s">
        <v>42</v>
      </c>
      <c r="K286" s="21" t="s">
        <v>9</v>
      </c>
      <c r="L286" s="21" t="s">
        <v>18</v>
      </c>
      <c r="M286" s="21" t="s">
        <v>73</v>
      </c>
    </row>
    <row r="287" spans="1:26" x14ac:dyDescent="0.2">
      <c r="A287" s="1493" t="s">
        <v>149</v>
      </c>
      <c r="B287" s="210">
        <v>71775570000</v>
      </c>
      <c r="C287" s="211">
        <v>59662075842</v>
      </c>
      <c r="D287" s="4">
        <v>58957220000</v>
      </c>
      <c r="E287" s="4">
        <v>49178320000</v>
      </c>
      <c r="F287" s="212">
        <v>47912770000</v>
      </c>
      <c r="G287" s="4">
        <v>46754450000</v>
      </c>
      <c r="H287" s="213">
        <v>43887920000</v>
      </c>
      <c r="I287" s="4">
        <v>35319510000</v>
      </c>
      <c r="J287" s="214">
        <v>24859070000</v>
      </c>
      <c r="K287" s="4">
        <v>21530760000</v>
      </c>
      <c r="L287" s="4">
        <v>20798960000</v>
      </c>
      <c r="M287" s="215">
        <v>19544920000</v>
      </c>
    </row>
    <row r="288" spans="1:26" x14ac:dyDescent="0.2">
      <c r="A288" s="1493" t="s">
        <v>150</v>
      </c>
      <c r="B288" s="21" t="s">
        <v>12</v>
      </c>
      <c r="C288" s="21" t="s">
        <v>18</v>
      </c>
      <c r="D288" s="21" t="s">
        <v>13</v>
      </c>
      <c r="E288" s="21" t="s">
        <v>17</v>
      </c>
      <c r="F288" s="21" t="s">
        <v>14</v>
      </c>
      <c r="G288" s="21" t="s">
        <v>20</v>
      </c>
      <c r="H288" s="21" t="s">
        <v>6</v>
      </c>
      <c r="I288" s="21" t="s">
        <v>58</v>
      </c>
      <c r="J288" s="21" t="s">
        <v>99</v>
      </c>
      <c r="K288" s="21" t="s">
        <v>36</v>
      </c>
      <c r="L288" s="21" t="s">
        <v>59</v>
      </c>
      <c r="M288" s="21" t="s">
        <v>8</v>
      </c>
    </row>
    <row r="289" spans="1:26" x14ac:dyDescent="0.2">
      <c r="A289" s="1493" t="s">
        <v>150</v>
      </c>
      <c r="B289" s="4">
        <v>71447440000</v>
      </c>
      <c r="C289" s="197">
        <v>64008080000</v>
      </c>
      <c r="D289" s="198">
        <v>44395950000</v>
      </c>
      <c r="E289" s="199">
        <v>42842480000</v>
      </c>
      <c r="F289" s="4">
        <v>19116880000</v>
      </c>
      <c r="G289" s="4">
        <v>18081195053</v>
      </c>
      <c r="H289" s="200">
        <v>16974270000</v>
      </c>
      <c r="I289" s="4">
        <v>13386930000</v>
      </c>
      <c r="J289" s="201">
        <v>13116430000</v>
      </c>
      <c r="K289" s="4">
        <v>12814520000</v>
      </c>
      <c r="L289" s="4">
        <v>10752180000</v>
      </c>
      <c r="M289" s="4">
        <v>8005690000</v>
      </c>
    </row>
    <row r="290" spans="1:26" x14ac:dyDescent="0.2">
      <c r="A290" s="1493" t="s">
        <v>151</v>
      </c>
      <c r="B290" s="21" t="s">
        <v>14</v>
      </c>
      <c r="C290" s="21" t="s">
        <v>12</v>
      </c>
      <c r="D290" s="21" t="s">
        <v>61</v>
      </c>
      <c r="E290" s="21" t="s">
        <v>20</v>
      </c>
      <c r="F290" s="21" t="s">
        <v>88</v>
      </c>
      <c r="G290" s="21" t="s">
        <v>17</v>
      </c>
      <c r="H290" s="21" t="s">
        <v>36</v>
      </c>
      <c r="I290" s="21" t="s">
        <v>5</v>
      </c>
      <c r="J290" s="21" t="s">
        <v>60</v>
      </c>
      <c r="K290" s="21" t="s">
        <v>6</v>
      </c>
      <c r="L290" s="21" t="s">
        <v>73</v>
      </c>
      <c r="M290" s="21" t="s">
        <v>313</v>
      </c>
    </row>
    <row r="291" spans="1:26" x14ac:dyDescent="0.2">
      <c r="A291" s="1493" t="s">
        <v>151</v>
      </c>
      <c r="B291" s="180">
        <v>99706050000</v>
      </c>
      <c r="C291" s="4">
        <v>77715810000</v>
      </c>
      <c r="D291" s="181">
        <v>56825100000</v>
      </c>
      <c r="E291" s="182">
        <v>50379960098</v>
      </c>
      <c r="F291" s="183">
        <v>37352730000</v>
      </c>
      <c r="G291" s="184">
        <v>20417330000</v>
      </c>
      <c r="H291" s="185">
        <v>20075030000</v>
      </c>
      <c r="I291" s="4">
        <v>19900980000</v>
      </c>
      <c r="J291" s="4">
        <v>16448380000</v>
      </c>
      <c r="K291" s="186">
        <v>15832900000</v>
      </c>
      <c r="L291" s="187">
        <v>15630440000</v>
      </c>
      <c r="M291" s="4">
        <v>12049770000</v>
      </c>
    </row>
    <row r="292" spans="1:26" x14ac:dyDescent="0.2">
      <c r="A292" s="1493" t="s">
        <v>152</v>
      </c>
      <c r="B292" s="21" t="s">
        <v>12</v>
      </c>
      <c r="C292" s="21" t="s">
        <v>58</v>
      </c>
      <c r="D292" s="21" t="s">
        <v>89</v>
      </c>
      <c r="E292" s="21" t="s">
        <v>15</v>
      </c>
      <c r="F292" s="21" t="s">
        <v>60</v>
      </c>
      <c r="G292" s="21" t="s">
        <v>9</v>
      </c>
      <c r="H292" s="21" t="s">
        <v>313</v>
      </c>
      <c r="I292" s="21" t="s">
        <v>72</v>
      </c>
      <c r="J292" s="21" t="s">
        <v>169</v>
      </c>
      <c r="K292" s="21" t="s">
        <v>62</v>
      </c>
      <c r="L292" s="21" t="s">
        <v>6</v>
      </c>
      <c r="M292" s="21" t="s">
        <v>279</v>
      </c>
    </row>
    <row r="293" spans="1:26" x14ac:dyDescent="0.2">
      <c r="A293" s="1493" t="s">
        <v>152</v>
      </c>
      <c r="B293" s="4">
        <v>63552870000</v>
      </c>
      <c r="C293" s="164">
        <v>41742970000</v>
      </c>
      <c r="D293" s="165">
        <v>25967600000</v>
      </c>
      <c r="E293" s="4">
        <v>22320090000</v>
      </c>
      <c r="F293" s="166">
        <v>20484940000</v>
      </c>
      <c r="G293" s="4">
        <v>15686950000</v>
      </c>
      <c r="H293" s="167">
        <v>13919760000</v>
      </c>
      <c r="I293" s="168">
        <v>13606320000</v>
      </c>
      <c r="J293" s="4">
        <v>13328630000</v>
      </c>
      <c r="K293" s="4">
        <v>10385880000</v>
      </c>
      <c r="L293" s="169">
        <v>10091780000</v>
      </c>
      <c r="M293" s="170">
        <v>9212080000</v>
      </c>
    </row>
    <row r="294" spans="1:26" x14ac:dyDescent="0.2">
      <c r="A294" s="1493" t="s">
        <v>153</v>
      </c>
      <c r="B294" s="21" t="s">
        <v>12</v>
      </c>
      <c r="C294" s="21" t="s">
        <v>15</v>
      </c>
      <c r="D294" s="21" t="s">
        <v>169</v>
      </c>
      <c r="E294" s="21" t="s">
        <v>61</v>
      </c>
      <c r="F294" s="21" t="s">
        <v>5</v>
      </c>
      <c r="G294" s="21" t="s">
        <v>8</v>
      </c>
      <c r="H294" s="21" t="s">
        <v>60</v>
      </c>
      <c r="I294" s="21" t="s">
        <v>20</v>
      </c>
      <c r="J294" s="21" t="s">
        <v>92</v>
      </c>
      <c r="K294" s="21" t="s">
        <v>168</v>
      </c>
      <c r="L294" s="21" t="s">
        <v>89</v>
      </c>
      <c r="M294" s="21" t="s">
        <v>326</v>
      </c>
      <c r="N294" s="1493" t="s">
        <v>372</v>
      </c>
      <c r="O294" s="21" t="s">
        <v>12</v>
      </c>
      <c r="P294" s="21" t="s">
        <v>15</v>
      </c>
      <c r="Q294" s="21" t="s">
        <v>169</v>
      </c>
      <c r="R294" s="21" t="s">
        <v>20</v>
      </c>
      <c r="S294" s="21" t="s">
        <v>62</v>
      </c>
      <c r="T294" s="21" t="s">
        <v>18</v>
      </c>
      <c r="U294" s="21" t="s">
        <v>9</v>
      </c>
      <c r="V294" s="21" t="s">
        <v>86</v>
      </c>
      <c r="W294" s="21" t="s">
        <v>168</v>
      </c>
      <c r="X294" s="21" t="s">
        <v>59</v>
      </c>
      <c r="Y294" s="21" t="s">
        <v>60</v>
      </c>
      <c r="Z294" s="21" t="s">
        <v>42</v>
      </c>
    </row>
    <row r="295" spans="1:26" x14ac:dyDescent="0.2">
      <c r="A295" s="1493" t="s">
        <v>153</v>
      </c>
      <c r="B295" s="4">
        <v>62811250000</v>
      </c>
      <c r="C295" s="4">
        <v>39627130000</v>
      </c>
      <c r="D295" s="4">
        <v>21607040000</v>
      </c>
      <c r="E295" s="152">
        <v>13747650000</v>
      </c>
      <c r="F295" s="4">
        <v>11064790000</v>
      </c>
      <c r="G295" s="4">
        <v>9001220000</v>
      </c>
      <c r="H295" s="153">
        <v>6730560000</v>
      </c>
      <c r="I295" s="4">
        <v>5282385868</v>
      </c>
      <c r="J295" s="154">
        <v>3814873556</v>
      </c>
      <c r="K295" s="4">
        <v>2081070000</v>
      </c>
      <c r="L295" s="155">
        <v>1714390000</v>
      </c>
      <c r="M295" s="156">
        <v>1288290000</v>
      </c>
      <c r="N295" s="1493" t="s">
        <v>372</v>
      </c>
      <c r="O295" s="4">
        <v>316087520000</v>
      </c>
      <c r="P295" s="4">
        <v>138003190000</v>
      </c>
      <c r="Q295" s="4">
        <v>93353450000</v>
      </c>
      <c r="R295" s="4">
        <v>52675943555</v>
      </c>
      <c r="S295" s="4">
        <v>47822960000</v>
      </c>
      <c r="T295" s="4">
        <v>32594620000</v>
      </c>
      <c r="U295" s="4">
        <v>32531530000</v>
      </c>
      <c r="V295" s="4">
        <v>20281080000</v>
      </c>
      <c r="W295" s="4">
        <v>17025480000</v>
      </c>
      <c r="X295" s="4">
        <v>15380340000</v>
      </c>
      <c r="Y295" s="4">
        <v>10986010000</v>
      </c>
      <c r="Z295" s="4">
        <v>9871580000</v>
      </c>
    </row>
    <row r="296" spans="1:26" x14ac:dyDescent="0.2">
      <c r="A296" s="1493" t="s">
        <v>154</v>
      </c>
      <c r="B296" s="21" t="s">
        <v>12</v>
      </c>
      <c r="C296" s="21" t="s">
        <v>15</v>
      </c>
      <c r="D296" s="21" t="s">
        <v>62</v>
      </c>
      <c r="E296" s="21" t="s">
        <v>5</v>
      </c>
      <c r="F296" s="21" t="s">
        <v>18</v>
      </c>
      <c r="G296" s="21" t="s">
        <v>20</v>
      </c>
      <c r="H296" s="21" t="s">
        <v>8</v>
      </c>
      <c r="I296" s="21" t="s">
        <v>168</v>
      </c>
      <c r="J296" s="21" t="s">
        <v>59</v>
      </c>
      <c r="K296" s="21" t="s">
        <v>325</v>
      </c>
      <c r="L296" s="21" t="s">
        <v>9</v>
      </c>
      <c r="M296" s="21" t="s">
        <v>68</v>
      </c>
    </row>
    <row r="297" spans="1:26" x14ac:dyDescent="0.2">
      <c r="A297" s="1493" t="s">
        <v>154</v>
      </c>
      <c r="B297" s="133">
        <v>97892560000</v>
      </c>
      <c r="C297" s="134">
        <v>67179420000</v>
      </c>
      <c r="D297" s="135">
        <v>62050620000</v>
      </c>
      <c r="E297" s="136">
        <v>58592030000</v>
      </c>
      <c r="F297" s="137">
        <v>41907090000</v>
      </c>
      <c r="G297" s="4">
        <v>17958774137</v>
      </c>
      <c r="H297" s="138">
        <v>13207520000</v>
      </c>
      <c r="I297" s="139">
        <v>10668180000</v>
      </c>
      <c r="J297" s="4">
        <v>10659880000</v>
      </c>
      <c r="K297" s="140">
        <v>9913970000</v>
      </c>
      <c r="L297" s="4">
        <v>9037210000</v>
      </c>
      <c r="M297" s="141">
        <v>8517279992</v>
      </c>
    </row>
    <row r="298" spans="1:26" x14ac:dyDescent="0.2">
      <c r="A298" s="1493" t="s">
        <v>155</v>
      </c>
      <c r="B298" s="21" t="s">
        <v>12</v>
      </c>
      <c r="C298" s="21" t="s">
        <v>169</v>
      </c>
      <c r="D298" s="21" t="s">
        <v>13</v>
      </c>
      <c r="E298" s="21" t="s">
        <v>59</v>
      </c>
      <c r="F298" s="21" t="s">
        <v>20</v>
      </c>
      <c r="G298" s="21" t="s">
        <v>86</v>
      </c>
      <c r="H298" s="21" t="s">
        <v>15</v>
      </c>
      <c r="I298" s="21" t="s">
        <v>42</v>
      </c>
      <c r="J298" s="21" t="s">
        <v>21</v>
      </c>
      <c r="K298" s="21" t="s">
        <v>16</v>
      </c>
      <c r="L298" s="21" t="s">
        <v>8</v>
      </c>
      <c r="M298" s="21" t="s">
        <v>286</v>
      </c>
    </row>
    <row r="299" spans="1:26" x14ac:dyDescent="0.2">
      <c r="A299" s="1493" t="s">
        <v>155</v>
      </c>
      <c r="B299" s="4">
        <v>63534030000</v>
      </c>
      <c r="C299" s="114">
        <v>40448100000</v>
      </c>
      <c r="D299" s="115">
        <v>36953060000</v>
      </c>
      <c r="E299" s="116">
        <v>23111890000</v>
      </c>
      <c r="F299" s="117">
        <v>22579329826</v>
      </c>
      <c r="G299" s="118">
        <v>19700780000</v>
      </c>
      <c r="H299" s="4">
        <v>14499910000</v>
      </c>
      <c r="I299" s="119">
        <v>14415800000</v>
      </c>
      <c r="J299" s="120">
        <v>11616170000</v>
      </c>
      <c r="K299" s="121">
        <v>10978930000</v>
      </c>
      <c r="L299" s="122">
        <v>10353780000</v>
      </c>
      <c r="M299" s="123">
        <v>4294630000</v>
      </c>
    </row>
    <row r="300" spans="1:26" x14ac:dyDescent="0.2">
      <c r="A300" s="1493" t="s">
        <v>156</v>
      </c>
      <c r="B300" s="21" t="s">
        <v>12</v>
      </c>
      <c r="C300" s="21" t="s">
        <v>169</v>
      </c>
      <c r="D300" s="21" t="s">
        <v>9</v>
      </c>
      <c r="E300" s="21" t="s">
        <v>15</v>
      </c>
      <c r="F300" s="21" t="s">
        <v>25</v>
      </c>
      <c r="G300" s="21" t="s">
        <v>17</v>
      </c>
      <c r="H300" s="21" t="s">
        <v>20</v>
      </c>
      <c r="I300" s="21" t="s">
        <v>85</v>
      </c>
      <c r="J300" s="21" t="s">
        <v>261</v>
      </c>
      <c r="K300" s="21" t="s">
        <v>23</v>
      </c>
      <c r="L300" s="21" t="s">
        <v>36</v>
      </c>
      <c r="M300" s="21" t="s">
        <v>66</v>
      </c>
    </row>
    <row r="301" spans="1:26" x14ac:dyDescent="0.2">
      <c r="A301" s="1493" t="s">
        <v>156</v>
      </c>
      <c r="B301" s="90">
        <v>91849680000</v>
      </c>
      <c r="C301" s="91">
        <v>24225500000</v>
      </c>
      <c r="D301" s="92">
        <v>22607740000</v>
      </c>
      <c r="E301" s="93">
        <v>16696730000</v>
      </c>
      <c r="F301" s="94">
        <v>15039890000</v>
      </c>
      <c r="G301" s="95">
        <v>14328110000</v>
      </c>
      <c r="H301" s="96">
        <v>6855453724</v>
      </c>
      <c r="I301" s="97">
        <v>5994650000</v>
      </c>
      <c r="J301" s="98">
        <v>5085230000</v>
      </c>
      <c r="K301" s="99">
        <v>4955210000</v>
      </c>
      <c r="L301" s="100">
        <v>4172250000</v>
      </c>
      <c r="M301" s="101">
        <v>4030400000</v>
      </c>
    </row>
    <row r="305" spans="1:1" x14ac:dyDescent="0.2">
      <c r="A305" t="s">
        <v>368</v>
      </c>
    </row>
  </sheetData>
  <mergeCells count="184">
    <mergeCell ref="B1:M1"/>
    <mergeCell ref="O1:Z1"/>
    <mergeCell ref="A10:A11"/>
    <mergeCell ref="A12:A13"/>
    <mergeCell ref="N12:N13"/>
    <mergeCell ref="A20:A21"/>
    <mergeCell ref="A18:A19"/>
    <mergeCell ref="A16:A17"/>
    <mergeCell ref="A14:A15"/>
    <mergeCell ref="A8:A9"/>
    <mergeCell ref="A6:A7"/>
    <mergeCell ref="A4:A5"/>
    <mergeCell ref="A2:A3"/>
    <mergeCell ref="N2:N3"/>
    <mergeCell ref="A34:A35"/>
    <mergeCell ref="A32:A33"/>
    <mergeCell ref="N32:N33"/>
    <mergeCell ref="A30:A31"/>
    <mergeCell ref="A28:A29"/>
    <mergeCell ref="A26:A27"/>
    <mergeCell ref="A24:A25"/>
    <mergeCell ref="A22:A23"/>
    <mergeCell ref="N22:N23"/>
    <mergeCell ref="A90:A91"/>
    <mergeCell ref="A88:A89"/>
    <mergeCell ref="A86:A87"/>
    <mergeCell ref="A84:A85"/>
    <mergeCell ref="A82:A83"/>
    <mergeCell ref="N82:N83"/>
    <mergeCell ref="A80:A81"/>
    <mergeCell ref="A78:A79"/>
    <mergeCell ref="A76:A77"/>
    <mergeCell ref="A74:A75"/>
    <mergeCell ref="A72:A73"/>
    <mergeCell ref="N72:N73"/>
    <mergeCell ref="A70:A71"/>
    <mergeCell ref="A68:A69"/>
    <mergeCell ref="A66:A67"/>
    <mergeCell ref="A64:A65"/>
    <mergeCell ref="A62:A63"/>
    <mergeCell ref="N62:N63"/>
    <mergeCell ref="A60:A61"/>
    <mergeCell ref="A58:A59"/>
    <mergeCell ref="A56:A57"/>
    <mergeCell ref="A54:A55"/>
    <mergeCell ref="A52:A53"/>
    <mergeCell ref="N52:N53"/>
    <mergeCell ref="A50:A51"/>
    <mergeCell ref="A48:A49"/>
    <mergeCell ref="A46:A47"/>
    <mergeCell ref="A44:A45"/>
    <mergeCell ref="A42:A43"/>
    <mergeCell ref="N42:N43"/>
    <mergeCell ref="A40:A41"/>
    <mergeCell ref="A38:A39"/>
    <mergeCell ref="A36:A37"/>
    <mergeCell ref="A144:A145"/>
    <mergeCell ref="A142:A143"/>
    <mergeCell ref="N142:N143"/>
    <mergeCell ref="A140:A141"/>
    <mergeCell ref="A138:A139"/>
    <mergeCell ref="A136:A137"/>
    <mergeCell ref="A134:A135"/>
    <mergeCell ref="A132:A133"/>
    <mergeCell ref="N132:N133"/>
    <mergeCell ref="A130:A131"/>
    <mergeCell ref="A128:A129"/>
    <mergeCell ref="A126:A127"/>
    <mergeCell ref="A124:A125"/>
    <mergeCell ref="A122:A123"/>
    <mergeCell ref="N122:N123"/>
    <mergeCell ref="A120:A121"/>
    <mergeCell ref="A118:A119"/>
    <mergeCell ref="A116:A117"/>
    <mergeCell ref="A182:A183"/>
    <mergeCell ref="A180:A181"/>
    <mergeCell ref="A178:A179"/>
    <mergeCell ref="A176:A177"/>
    <mergeCell ref="A174:A175"/>
    <mergeCell ref="N174:N175"/>
    <mergeCell ref="A172:A173"/>
    <mergeCell ref="A170:A171"/>
    <mergeCell ref="A114:A115"/>
    <mergeCell ref="A160:A161"/>
    <mergeCell ref="A158:A159"/>
    <mergeCell ref="A156:A157"/>
    <mergeCell ref="N156:N157"/>
    <mergeCell ref="N146:N147"/>
    <mergeCell ref="A168:A169"/>
    <mergeCell ref="A166:A167"/>
    <mergeCell ref="A164:A165"/>
    <mergeCell ref="N164:N165"/>
    <mergeCell ref="A162:A163"/>
    <mergeCell ref="A154:A155"/>
    <mergeCell ref="A152:A153"/>
    <mergeCell ref="A150:A151"/>
    <mergeCell ref="A148:A149"/>
    <mergeCell ref="A146:A147"/>
    <mergeCell ref="A198:A199"/>
    <mergeCell ref="A196:A197"/>
    <mergeCell ref="A194:A195"/>
    <mergeCell ref="N194:N195"/>
    <mergeCell ref="A192:A193"/>
    <mergeCell ref="A190:A191"/>
    <mergeCell ref="A188:A189"/>
    <mergeCell ref="A186:A187"/>
    <mergeCell ref="A184:A185"/>
    <mergeCell ref="N184:N185"/>
    <mergeCell ref="N92:N93"/>
    <mergeCell ref="A112:A113"/>
    <mergeCell ref="N112:N113"/>
    <mergeCell ref="A110:A111"/>
    <mergeCell ref="A108:A109"/>
    <mergeCell ref="A106:A107"/>
    <mergeCell ref="A104:A105"/>
    <mergeCell ref="A102:A103"/>
    <mergeCell ref="N102:N103"/>
    <mergeCell ref="A100:A101"/>
    <mergeCell ref="A98:A99"/>
    <mergeCell ref="A96:A97"/>
    <mergeCell ref="A94:A95"/>
    <mergeCell ref="A92:A93"/>
    <mergeCell ref="A300:A301"/>
    <mergeCell ref="A298:A299"/>
    <mergeCell ref="A296:A297"/>
    <mergeCell ref="A294:A295"/>
    <mergeCell ref="N294:N295"/>
    <mergeCell ref="A292:A293"/>
    <mergeCell ref="A290:A291"/>
    <mergeCell ref="A288:A289"/>
    <mergeCell ref="A286:A287"/>
    <mergeCell ref="A284:A285"/>
    <mergeCell ref="N284:N285"/>
    <mergeCell ref="A282:A283"/>
    <mergeCell ref="A280:A281"/>
    <mergeCell ref="A278:A279"/>
    <mergeCell ref="A276:A277"/>
    <mergeCell ref="A274:A275"/>
    <mergeCell ref="N274:N275"/>
    <mergeCell ref="A272:A273"/>
    <mergeCell ref="A270:A271"/>
    <mergeCell ref="A268:A269"/>
    <mergeCell ref="A266:A267"/>
    <mergeCell ref="A264:A265"/>
    <mergeCell ref="N264:N265"/>
    <mergeCell ref="A262:A263"/>
    <mergeCell ref="A260:A261"/>
    <mergeCell ref="A258:A259"/>
    <mergeCell ref="A256:A257"/>
    <mergeCell ref="A254:A255"/>
    <mergeCell ref="N254:N255"/>
    <mergeCell ref="A252:A253"/>
    <mergeCell ref="A250:A251"/>
    <mergeCell ref="A248:A249"/>
    <mergeCell ref="N248:N249"/>
    <mergeCell ref="A246:A247"/>
    <mergeCell ref="A244:A245"/>
    <mergeCell ref="N244:N245"/>
    <mergeCell ref="A242:A243"/>
    <mergeCell ref="A240:A241"/>
    <mergeCell ref="A238:A239"/>
    <mergeCell ref="A236:A237"/>
    <mergeCell ref="A234:A235"/>
    <mergeCell ref="N234:N235"/>
    <mergeCell ref="A232:A233"/>
    <mergeCell ref="A230:A231"/>
    <mergeCell ref="A228:A229"/>
    <mergeCell ref="A226:A227"/>
    <mergeCell ref="A224:A225"/>
    <mergeCell ref="N224:N225"/>
    <mergeCell ref="A206:A207"/>
    <mergeCell ref="A204:A205"/>
    <mergeCell ref="N204:N205"/>
    <mergeCell ref="A202:A203"/>
    <mergeCell ref="A200:A201"/>
    <mergeCell ref="A222:A223"/>
    <mergeCell ref="A220:A221"/>
    <mergeCell ref="A218:A219"/>
    <mergeCell ref="A216:A217"/>
    <mergeCell ref="A214:A215"/>
    <mergeCell ref="N214:N215"/>
    <mergeCell ref="A212:A213"/>
    <mergeCell ref="A210:A211"/>
    <mergeCell ref="A208:A20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B8B8-8BC0-C747-A158-6EEA71A92325}">
  <dimension ref="A1:Z313"/>
  <sheetViews>
    <sheetView topLeftCell="L1" workbookViewId="0">
      <selection activeCell="F3" sqref="F3"/>
    </sheetView>
  </sheetViews>
  <sheetFormatPr baseColWidth="10" defaultRowHeight="16" x14ac:dyDescent="0.2"/>
  <cols>
    <col min="2" max="2" width="16.83203125" bestFit="1" customWidth="1"/>
    <col min="3" max="8" width="15.33203125" bestFit="1" customWidth="1"/>
    <col min="9" max="9" width="15.1640625" bestFit="1" customWidth="1"/>
    <col min="10" max="10" width="15.33203125" bestFit="1" customWidth="1"/>
    <col min="11" max="13" width="14.33203125" bestFit="1" customWidth="1"/>
    <col min="15" max="15" width="17" bestFit="1" customWidth="1"/>
    <col min="16" max="26" width="15.33203125" bestFit="1" customWidth="1"/>
  </cols>
  <sheetData>
    <row r="1" spans="1:26" x14ac:dyDescent="0.2">
      <c r="A1" s="40" t="s">
        <v>105</v>
      </c>
      <c r="B1" s="1494" t="s">
        <v>369</v>
      </c>
      <c r="C1" s="1494"/>
      <c r="D1" s="1494"/>
      <c r="E1" s="1494"/>
      <c r="F1" s="1494"/>
      <c r="G1" s="1494"/>
      <c r="H1" s="1494"/>
      <c r="I1" s="1494"/>
      <c r="J1" s="1494"/>
      <c r="K1" s="1494"/>
      <c r="L1" s="1494"/>
      <c r="M1" s="1494"/>
      <c r="N1" s="41" t="s">
        <v>371</v>
      </c>
      <c r="O1" s="1494" t="s">
        <v>370</v>
      </c>
      <c r="P1" s="1494"/>
      <c r="Q1" s="1494"/>
      <c r="R1" s="1494"/>
      <c r="S1" s="1494"/>
      <c r="T1" s="1494"/>
      <c r="U1" s="1494"/>
      <c r="V1" s="1494"/>
      <c r="W1" s="1494"/>
      <c r="X1" s="1494"/>
      <c r="Y1" s="1494"/>
      <c r="Z1" s="1494"/>
    </row>
    <row r="2" spans="1:26" x14ac:dyDescent="0.2">
      <c r="A2" s="1493" t="s">
        <v>508</v>
      </c>
      <c r="B2" s="21" t="s">
        <v>79</v>
      </c>
      <c r="C2" s="21" t="s">
        <v>12</v>
      </c>
      <c r="D2" s="21" t="s">
        <v>13</v>
      </c>
      <c r="E2" s="21" t="s">
        <v>29</v>
      </c>
      <c r="F2" s="21" t="s">
        <v>24</v>
      </c>
      <c r="G2" s="21" t="s">
        <v>15</v>
      </c>
      <c r="H2" s="21" t="s">
        <v>64</v>
      </c>
      <c r="I2" s="21" t="s">
        <v>28</v>
      </c>
      <c r="J2" s="21" t="s">
        <v>27</v>
      </c>
      <c r="K2" s="21" t="s">
        <v>22</v>
      </c>
      <c r="L2" s="21" t="s">
        <v>265</v>
      </c>
      <c r="M2" s="21" t="s">
        <v>14</v>
      </c>
      <c r="N2" s="1493" t="s">
        <v>509</v>
      </c>
      <c r="O2" s="21" t="s">
        <v>24</v>
      </c>
      <c r="P2" s="21" t="s">
        <v>14</v>
      </c>
      <c r="Q2" s="21" t="s">
        <v>79</v>
      </c>
      <c r="R2" s="21" t="s">
        <v>15</v>
      </c>
      <c r="S2" s="21" t="s">
        <v>13</v>
      </c>
      <c r="T2" s="21" t="s">
        <v>17</v>
      </c>
      <c r="U2" s="21" t="s">
        <v>5</v>
      </c>
      <c r="V2" s="21" t="s">
        <v>285</v>
      </c>
      <c r="W2" s="21" t="s">
        <v>64</v>
      </c>
      <c r="X2" s="21" t="s">
        <v>180</v>
      </c>
      <c r="Y2" s="21" t="s">
        <v>65</v>
      </c>
      <c r="Z2" s="21" t="s">
        <v>22</v>
      </c>
    </row>
    <row r="3" spans="1:26" x14ac:dyDescent="0.2">
      <c r="A3" s="1493" t="s">
        <v>508</v>
      </c>
      <c r="B3" s="4">
        <v>-99522820000</v>
      </c>
      <c r="C3" s="4">
        <v>-37282810000</v>
      </c>
      <c r="D3" s="4">
        <v>-34481130000</v>
      </c>
      <c r="E3" s="4">
        <v>-24791530504</v>
      </c>
      <c r="F3" s="4">
        <v>-23009480000</v>
      </c>
      <c r="G3" s="4">
        <v>-22146320000</v>
      </c>
      <c r="H3" s="4">
        <v>-20540850000</v>
      </c>
      <c r="I3" s="4">
        <v>-20497220000</v>
      </c>
      <c r="J3" s="4">
        <v>-18977420000</v>
      </c>
      <c r="K3" s="4">
        <v>-14921300000</v>
      </c>
      <c r="L3" s="4">
        <v>-14188240000</v>
      </c>
      <c r="M3" s="4">
        <v>-13063900000</v>
      </c>
      <c r="N3" s="1493" t="s">
        <v>509</v>
      </c>
      <c r="O3" s="4">
        <v>-1111892590000</v>
      </c>
      <c r="P3" s="4">
        <v>-557603820000</v>
      </c>
      <c r="Q3" s="4">
        <v>-503812820000</v>
      </c>
      <c r="R3" s="4">
        <v>-316654920000</v>
      </c>
      <c r="S3" s="4">
        <v>-219858020000</v>
      </c>
      <c r="T3" s="4">
        <v>-186380820000</v>
      </c>
      <c r="U3" s="4">
        <v>-173109340000</v>
      </c>
      <c r="V3" s="4">
        <v>-119620650000</v>
      </c>
      <c r="W3" s="4">
        <v>-95725410000</v>
      </c>
      <c r="X3" s="4">
        <v>-93845970000</v>
      </c>
      <c r="Y3" s="4">
        <v>-89535960000</v>
      </c>
      <c r="Z3" s="4">
        <v>-88884970000</v>
      </c>
    </row>
    <row r="4" spans="1:26" x14ac:dyDescent="0.2">
      <c r="A4" s="1493" t="s">
        <v>505</v>
      </c>
      <c r="B4" s="21" t="s">
        <v>24</v>
      </c>
      <c r="C4" s="21" t="s">
        <v>79</v>
      </c>
      <c r="D4" s="21" t="s">
        <v>14</v>
      </c>
      <c r="E4" s="21" t="s">
        <v>15</v>
      </c>
      <c r="F4" s="21" t="s">
        <v>5</v>
      </c>
      <c r="G4" s="21" t="s">
        <v>17</v>
      </c>
      <c r="H4" s="21" t="s">
        <v>25</v>
      </c>
      <c r="I4" s="21" t="s">
        <v>180</v>
      </c>
      <c r="J4" s="21" t="s">
        <v>37</v>
      </c>
      <c r="K4" s="21" t="s">
        <v>58</v>
      </c>
      <c r="L4" s="21" t="s">
        <v>18</v>
      </c>
      <c r="M4" s="21" t="s">
        <v>78</v>
      </c>
    </row>
    <row r="5" spans="1:26" x14ac:dyDescent="0.2">
      <c r="A5" s="1493" t="s">
        <v>505</v>
      </c>
      <c r="B5" s="4">
        <v>-318342690000</v>
      </c>
      <c r="C5" s="4">
        <v>-214086470000</v>
      </c>
      <c r="D5" s="4">
        <v>-137001700000</v>
      </c>
      <c r="E5" s="4">
        <v>-72305020000</v>
      </c>
      <c r="F5" s="4">
        <v>-61559110000</v>
      </c>
      <c r="G5" s="4">
        <v>-57119610000</v>
      </c>
      <c r="H5" s="4">
        <v>-41768190000</v>
      </c>
      <c r="I5" s="4">
        <v>-40828860000</v>
      </c>
      <c r="J5" s="4">
        <v>-33869440000</v>
      </c>
      <c r="K5" s="4">
        <v>-26883810000</v>
      </c>
      <c r="L5" s="4">
        <v>-26401410000</v>
      </c>
      <c r="M5" s="4">
        <v>-24576030000</v>
      </c>
    </row>
    <row r="6" spans="1:26" x14ac:dyDescent="0.2">
      <c r="A6" s="1493" t="s">
        <v>503</v>
      </c>
      <c r="B6" s="21" t="s">
        <v>24</v>
      </c>
      <c r="C6" s="21" t="s">
        <v>15</v>
      </c>
      <c r="D6" s="21" t="s">
        <v>14</v>
      </c>
      <c r="E6" s="21" t="s">
        <v>65</v>
      </c>
      <c r="F6" s="21" t="s">
        <v>79</v>
      </c>
      <c r="G6" s="21" t="s">
        <v>17</v>
      </c>
      <c r="H6" s="21" t="s">
        <v>13</v>
      </c>
      <c r="I6" s="21" t="s">
        <v>163</v>
      </c>
      <c r="J6" s="21" t="s">
        <v>64</v>
      </c>
      <c r="K6" s="21" t="s">
        <v>23</v>
      </c>
      <c r="L6" s="21" t="s">
        <v>59</v>
      </c>
      <c r="M6" s="21" t="s">
        <v>180</v>
      </c>
    </row>
    <row r="7" spans="1:26" x14ac:dyDescent="0.2">
      <c r="A7" s="1493" t="s">
        <v>503</v>
      </c>
      <c r="B7" s="4">
        <v>-720134120000</v>
      </c>
      <c r="C7" s="4">
        <v>-117653000000</v>
      </c>
      <c r="D7" s="4">
        <v>-111909670000</v>
      </c>
      <c r="E7" s="1461">
        <v>-102713650000</v>
      </c>
      <c r="F7" s="4">
        <v>-94858130000</v>
      </c>
      <c r="G7" s="4">
        <v>-81313770000</v>
      </c>
      <c r="H7" s="4">
        <v>-77131660000</v>
      </c>
      <c r="I7" s="4">
        <v>-48000400000</v>
      </c>
      <c r="J7" s="4">
        <v>-39505060000</v>
      </c>
      <c r="K7" s="4">
        <v>-31794390000</v>
      </c>
      <c r="L7" s="4">
        <v>-30697450000</v>
      </c>
      <c r="M7" s="4">
        <v>-28205620000</v>
      </c>
    </row>
    <row r="8" spans="1:26" x14ac:dyDescent="0.2">
      <c r="A8" s="1493" t="s">
        <v>500</v>
      </c>
      <c r="B8" s="21" t="s">
        <v>285</v>
      </c>
      <c r="C8" s="21" t="s">
        <v>33</v>
      </c>
      <c r="D8" s="21" t="s">
        <v>17</v>
      </c>
      <c r="E8" s="21" t="s">
        <v>5</v>
      </c>
      <c r="F8" s="21" t="s">
        <v>59</v>
      </c>
      <c r="G8" s="21" t="s">
        <v>14</v>
      </c>
      <c r="H8" s="21" t="s">
        <v>15</v>
      </c>
      <c r="I8" s="21" t="s">
        <v>18</v>
      </c>
      <c r="J8" s="21" t="s">
        <v>79</v>
      </c>
      <c r="K8" s="21" t="s">
        <v>12</v>
      </c>
      <c r="L8" s="21" t="s">
        <v>24</v>
      </c>
      <c r="M8" s="21" t="s">
        <v>28</v>
      </c>
    </row>
    <row r="9" spans="1:26" x14ac:dyDescent="0.2">
      <c r="A9" s="1493" t="s">
        <v>500</v>
      </c>
      <c r="B9" s="1459">
        <v>-115054880000</v>
      </c>
      <c r="C9" s="4">
        <v>-113964590000</v>
      </c>
      <c r="D9" s="4">
        <v>-112009470000</v>
      </c>
      <c r="E9" s="4">
        <v>-70409740000</v>
      </c>
      <c r="F9" s="4">
        <v>-68593270000</v>
      </c>
      <c r="G9" s="4">
        <v>-63695000000</v>
      </c>
      <c r="H9" s="4">
        <v>-62724930000</v>
      </c>
      <c r="I9" s="4">
        <v>-51921330000</v>
      </c>
      <c r="J9" s="4">
        <v>-30370620000</v>
      </c>
      <c r="K9" s="4">
        <v>-22552540000</v>
      </c>
      <c r="L9" s="4">
        <v>-22517610000</v>
      </c>
      <c r="M9" s="4">
        <v>-19313740000</v>
      </c>
    </row>
    <row r="10" spans="1:26" x14ac:dyDescent="0.2">
      <c r="A10" s="1493" t="s">
        <v>497</v>
      </c>
      <c r="B10" s="21" t="s">
        <v>14</v>
      </c>
      <c r="C10" s="21" t="s">
        <v>33</v>
      </c>
      <c r="D10" s="21" t="s">
        <v>17</v>
      </c>
      <c r="E10" s="21" t="s">
        <v>13</v>
      </c>
      <c r="F10" s="21" t="s">
        <v>5</v>
      </c>
      <c r="G10" s="21" t="s">
        <v>79</v>
      </c>
      <c r="H10" s="21" t="s">
        <v>15</v>
      </c>
      <c r="I10" s="21" t="s">
        <v>59</v>
      </c>
      <c r="J10" s="21" t="s">
        <v>87</v>
      </c>
      <c r="K10" s="21" t="s">
        <v>22</v>
      </c>
      <c r="L10" s="21" t="s">
        <v>24</v>
      </c>
      <c r="M10" s="21" t="s">
        <v>36</v>
      </c>
    </row>
    <row r="11" spans="1:26" x14ac:dyDescent="0.2">
      <c r="A11" s="1493" t="s">
        <v>497</v>
      </c>
      <c r="B11" s="1447">
        <v>-231933550000</v>
      </c>
      <c r="C11" s="4">
        <v>-88924150000</v>
      </c>
      <c r="D11" s="4">
        <v>-80709680000</v>
      </c>
      <c r="E11" s="4">
        <v>-78903270000</v>
      </c>
      <c r="F11" s="4">
        <v>-70719770000</v>
      </c>
      <c r="G11" s="4">
        <v>-64974780000</v>
      </c>
      <c r="H11" s="4">
        <v>-41825650000</v>
      </c>
      <c r="I11" s="4">
        <v>-39205670000</v>
      </c>
      <c r="J11" s="4">
        <v>-31372670000</v>
      </c>
      <c r="K11" s="4">
        <v>-28648840000</v>
      </c>
      <c r="L11" s="4">
        <v>-27888690000</v>
      </c>
      <c r="M11" s="4">
        <v>-27811680000</v>
      </c>
    </row>
    <row r="12" spans="1:26" x14ac:dyDescent="0.2">
      <c r="A12" s="1493" t="s">
        <v>494</v>
      </c>
      <c r="B12" s="21" t="s">
        <v>11</v>
      </c>
      <c r="C12" s="21" t="s">
        <v>24</v>
      </c>
      <c r="D12" s="21" t="s">
        <v>88</v>
      </c>
      <c r="E12" s="21" t="s">
        <v>18</v>
      </c>
      <c r="F12" s="21" t="s">
        <v>13</v>
      </c>
      <c r="G12" s="21" t="s">
        <v>77</v>
      </c>
      <c r="H12" s="21" t="s">
        <v>58</v>
      </c>
      <c r="I12" s="21" t="s">
        <v>12</v>
      </c>
      <c r="J12" s="21" t="s">
        <v>70</v>
      </c>
      <c r="K12" s="21" t="s">
        <v>30</v>
      </c>
      <c r="L12" s="21" t="s">
        <v>22</v>
      </c>
      <c r="M12" s="21" t="s">
        <v>159</v>
      </c>
      <c r="N12" s="1493" t="s">
        <v>495</v>
      </c>
      <c r="O12" s="21" t="s">
        <v>64</v>
      </c>
      <c r="P12" s="21" t="s">
        <v>18</v>
      </c>
      <c r="Q12" s="21" t="s">
        <v>24</v>
      </c>
      <c r="R12" s="21" t="s">
        <v>180</v>
      </c>
      <c r="S12" s="21" t="s">
        <v>5</v>
      </c>
      <c r="T12" s="21" t="s">
        <v>11</v>
      </c>
      <c r="U12" s="21" t="s">
        <v>265</v>
      </c>
      <c r="V12" s="21" t="s">
        <v>271</v>
      </c>
      <c r="W12" s="21" t="s">
        <v>22</v>
      </c>
      <c r="X12" s="21" t="s">
        <v>13</v>
      </c>
      <c r="Y12" s="21" t="s">
        <v>69</v>
      </c>
      <c r="Z12" s="21" t="s">
        <v>37</v>
      </c>
    </row>
    <row r="13" spans="1:26" x14ac:dyDescent="0.2">
      <c r="A13" s="1493" t="s">
        <v>494</v>
      </c>
      <c r="B13" s="4">
        <v>-44464420000</v>
      </c>
      <c r="C13" s="4">
        <v>-39598790000</v>
      </c>
      <c r="D13" s="4">
        <v>-34553760000</v>
      </c>
      <c r="E13" s="4">
        <v>-33980850000</v>
      </c>
      <c r="F13" s="4">
        <v>-25481490000</v>
      </c>
      <c r="G13" s="1432">
        <v>-22455200000</v>
      </c>
      <c r="H13" s="4">
        <v>-12773820000</v>
      </c>
      <c r="I13" s="4">
        <v>-11960760000</v>
      </c>
      <c r="J13" s="4">
        <v>-11107450000</v>
      </c>
      <c r="K13" s="4">
        <v>-9932650000</v>
      </c>
      <c r="L13" s="4">
        <v>-9108800000</v>
      </c>
      <c r="M13" s="4">
        <v>-7778450000</v>
      </c>
      <c r="N13" s="1493" t="s">
        <v>495</v>
      </c>
      <c r="O13" s="4">
        <v>-994887930000</v>
      </c>
      <c r="P13" s="4">
        <v>-145334590000</v>
      </c>
      <c r="Q13" s="4">
        <v>-120082870000</v>
      </c>
      <c r="R13" s="4">
        <v>-119555930000</v>
      </c>
      <c r="S13" s="4">
        <v>-109786100000</v>
      </c>
      <c r="T13" s="4">
        <v>-78220620000</v>
      </c>
      <c r="U13" s="4">
        <v>-70034390000</v>
      </c>
      <c r="V13" s="4">
        <v>-69861800000</v>
      </c>
      <c r="W13" s="4">
        <v>-69116760000</v>
      </c>
      <c r="X13" s="4">
        <v>-62367660000</v>
      </c>
      <c r="Y13" s="4">
        <v>-61183670000</v>
      </c>
      <c r="Z13" s="4">
        <v>-60146030000</v>
      </c>
    </row>
    <row r="14" spans="1:26" x14ac:dyDescent="0.2">
      <c r="A14" s="1493" t="s">
        <v>492</v>
      </c>
      <c r="B14" s="21" t="s">
        <v>33</v>
      </c>
      <c r="C14" s="21" t="s">
        <v>5</v>
      </c>
      <c r="D14" s="21" t="s">
        <v>11</v>
      </c>
      <c r="E14" s="21" t="s">
        <v>18</v>
      </c>
      <c r="F14" s="21" t="s">
        <v>15</v>
      </c>
      <c r="G14" s="21" t="s">
        <v>37</v>
      </c>
      <c r="H14" s="21" t="s">
        <v>59</v>
      </c>
      <c r="I14" s="21" t="s">
        <v>180</v>
      </c>
      <c r="J14" s="21" t="s">
        <v>279</v>
      </c>
      <c r="K14" s="21" t="s">
        <v>77</v>
      </c>
      <c r="L14" s="21" t="s">
        <v>271</v>
      </c>
      <c r="M14" s="21" t="s">
        <v>87</v>
      </c>
    </row>
    <row r="15" spans="1:26" x14ac:dyDescent="0.2">
      <c r="A15" s="1493" t="s">
        <v>492</v>
      </c>
      <c r="B15" s="4">
        <v>-163198500000</v>
      </c>
      <c r="C15" s="4">
        <v>-112547040000</v>
      </c>
      <c r="D15" s="4">
        <v>-71296590000</v>
      </c>
      <c r="E15" s="4">
        <v>-37252990000</v>
      </c>
      <c r="F15" s="4">
        <v>-36235790000</v>
      </c>
      <c r="G15" s="4">
        <v>-34126620000</v>
      </c>
      <c r="H15" s="4">
        <v>-32766770000</v>
      </c>
      <c r="I15" s="4">
        <v>-24348730000</v>
      </c>
      <c r="J15" s="4">
        <v>-22407150000</v>
      </c>
      <c r="K15" s="4">
        <v>-18512780000</v>
      </c>
      <c r="L15" s="4">
        <v>-17534040000</v>
      </c>
      <c r="M15" s="4">
        <v>-16393420000</v>
      </c>
    </row>
    <row r="16" spans="1:26" x14ac:dyDescent="0.2">
      <c r="A16" s="1493" t="s">
        <v>491</v>
      </c>
      <c r="B16" s="21" t="s">
        <v>64</v>
      </c>
      <c r="C16" s="21" t="s">
        <v>42</v>
      </c>
      <c r="D16" s="21" t="s">
        <v>18</v>
      </c>
      <c r="E16" s="21" t="s">
        <v>79</v>
      </c>
      <c r="F16" s="21" t="s">
        <v>265</v>
      </c>
      <c r="G16" s="21" t="s">
        <v>443</v>
      </c>
      <c r="H16" s="21" t="s">
        <v>5</v>
      </c>
      <c r="I16" s="21" t="s">
        <v>180</v>
      </c>
      <c r="J16" s="21" t="s">
        <v>22</v>
      </c>
      <c r="K16" s="21" t="s">
        <v>24</v>
      </c>
      <c r="L16" s="21" t="s">
        <v>14</v>
      </c>
      <c r="M16" s="21" t="s">
        <v>13</v>
      </c>
    </row>
    <row r="17" spans="1:26" x14ac:dyDescent="0.2">
      <c r="A17" s="1493" t="s">
        <v>491</v>
      </c>
      <c r="B17" s="1409">
        <v>-967911510000</v>
      </c>
      <c r="C17" s="4">
        <v>-57698720000</v>
      </c>
      <c r="D17" s="4">
        <v>-57681810000</v>
      </c>
      <c r="E17" s="4">
        <v>-43578040000</v>
      </c>
      <c r="F17" s="4">
        <v>-32774850000</v>
      </c>
      <c r="G17" s="1410">
        <v>-30833530000</v>
      </c>
      <c r="H17" s="4">
        <v>-25037280000</v>
      </c>
      <c r="I17" s="4">
        <v>-24592830000</v>
      </c>
      <c r="J17" s="4">
        <v>-21924280000</v>
      </c>
      <c r="K17" s="4">
        <v>-20205280000</v>
      </c>
      <c r="L17" s="4">
        <v>-18486080000</v>
      </c>
      <c r="M17" s="4">
        <v>-16095490000</v>
      </c>
    </row>
    <row r="18" spans="1:26" x14ac:dyDescent="0.2">
      <c r="A18" s="1493" t="s">
        <v>485</v>
      </c>
      <c r="B18" s="21" t="s">
        <v>265</v>
      </c>
      <c r="C18" s="21" t="s">
        <v>271</v>
      </c>
      <c r="D18" s="21" t="s">
        <v>180</v>
      </c>
      <c r="E18" s="21" t="s">
        <v>15</v>
      </c>
      <c r="F18" s="21" t="s">
        <v>69</v>
      </c>
      <c r="G18" s="21" t="s">
        <v>58</v>
      </c>
      <c r="H18" s="21" t="s">
        <v>24</v>
      </c>
      <c r="I18" s="21" t="s">
        <v>14</v>
      </c>
      <c r="J18" s="21" t="s">
        <v>42</v>
      </c>
      <c r="K18" s="21" t="s">
        <v>64</v>
      </c>
      <c r="L18" s="21" t="s">
        <v>37</v>
      </c>
      <c r="M18" s="21" t="s">
        <v>13</v>
      </c>
    </row>
    <row r="19" spans="1:26" x14ac:dyDescent="0.2">
      <c r="A19" s="1493" t="s">
        <v>485</v>
      </c>
      <c r="B19" s="4">
        <v>-40554720000</v>
      </c>
      <c r="C19" s="4">
        <v>-35955590000</v>
      </c>
      <c r="D19" s="4">
        <v>-31926110000</v>
      </c>
      <c r="E19" s="4">
        <v>-29334100000</v>
      </c>
      <c r="F19" s="4">
        <v>-27938730000</v>
      </c>
      <c r="G19" s="4">
        <v>-25805750000</v>
      </c>
      <c r="H19" s="4">
        <v>-25182700000</v>
      </c>
      <c r="I19" s="4">
        <v>-20767050000</v>
      </c>
      <c r="J19" s="4">
        <v>-20632230000</v>
      </c>
      <c r="K19" s="4">
        <v>-17538990000</v>
      </c>
      <c r="L19" s="4">
        <v>-17330710000</v>
      </c>
      <c r="M19" s="4">
        <v>-16078330000</v>
      </c>
    </row>
    <row r="20" spans="1:26" x14ac:dyDescent="0.2">
      <c r="A20" s="1493" t="s">
        <v>483</v>
      </c>
      <c r="B20" s="21" t="s">
        <v>180</v>
      </c>
      <c r="C20" s="21" t="s">
        <v>69</v>
      </c>
      <c r="D20" s="21" t="s">
        <v>29</v>
      </c>
      <c r="E20" s="21" t="s">
        <v>17</v>
      </c>
      <c r="F20" s="21" t="s">
        <v>71</v>
      </c>
      <c r="G20" s="21" t="s">
        <v>24</v>
      </c>
      <c r="H20" s="21" t="s">
        <v>284</v>
      </c>
      <c r="I20" s="21" t="s">
        <v>22</v>
      </c>
      <c r="J20" s="21" t="s">
        <v>26</v>
      </c>
      <c r="K20" s="21" t="s">
        <v>186</v>
      </c>
      <c r="L20" s="21" t="s">
        <v>58</v>
      </c>
      <c r="M20" s="21" t="s">
        <v>292</v>
      </c>
    </row>
    <row r="21" spans="1:26" x14ac:dyDescent="0.2">
      <c r="A21" s="1493" t="s">
        <v>483</v>
      </c>
      <c r="B21" s="4">
        <v>-41398580000</v>
      </c>
      <c r="C21" s="4">
        <v>-38516440000</v>
      </c>
      <c r="D21" s="4">
        <v>-32590052473</v>
      </c>
      <c r="E21" s="4">
        <v>-26973060000</v>
      </c>
      <c r="F21" s="4">
        <v>-25054640000</v>
      </c>
      <c r="G21" s="4">
        <v>-22343520000</v>
      </c>
      <c r="H21" s="4">
        <v>-19451960000</v>
      </c>
      <c r="I21" s="4">
        <v>-19399050000</v>
      </c>
      <c r="J21" s="4">
        <v>-19148490000</v>
      </c>
      <c r="K21" s="4">
        <v>-19090090000</v>
      </c>
      <c r="L21" s="4">
        <v>-18405010000</v>
      </c>
      <c r="M21" s="797">
        <v>-17626177848</v>
      </c>
    </row>
    <row r="22" spans="1:26" x14ac:dyDescent="0.2">
      <c r="A22" s="1493" t="s">
        <v>477</v>
      </c>
      <c r="B22" s="21" t="s">
        <v>25</v>
      </c>
      <c r="C22" s="21" t="s">
        <v>17</v>
      </c>
      <c r="D22" s="21" t="s">
        <v>5</v>
      </c>
      <c r="E22" s="21" t="s">
        <v>14</v>
      </c>
      <c r="F22" s="21" t="s">
        <v>24</v>
      </c>
      <c r="G22" s="21" t="s">
        <v>88</v>
      </c>
      <c r="H22" s="21" t="s">
        <v>29</v>
      </c>
      <c r="I22" s="21" t="s">
        <v>15</v>
      </c>
      <c r="J22" s="21" t="s">
        <v>11</v>
      </c>
      <c r="K22" s="21" t="s">
        <v>271</v>
      </c>
      <c r="L22" s="21" t="s">
        <v>64</v>
      </c>
      <c r="M22" s="21" t="s">
        <v>294</v>
      </c>
      <c r="N22" s="1493" t="s">
        <v>478</v>
      </c>
      <c r="O22" s="21" t="s">
        <v>25</v>
      </c>
      <c r="P22" s="21" t="s">
        <v>5</v>
      </c>
      <c r="Q22" s="21" t="s">
        <v>17</v>
      </c>
      <c r="R22" s="21" t="s">
        <v>24</v>
      </c>
      <c r="S22" s="21" t="s">
        <v>15</v>
      </c>
      <c r="T22" s="21" t="s">
        <v>88</v>
      </c>
      <c r="U22" s="21" t="s">
        <v>37</v>
      </c>
      <c r="V22" s="21" t="s">
        <v>22</v>
      </c>
      <c r="W22" s="21" t="s">
        <v>74</v>
      </c>
      <c r="X22" s="21" t="s">
        <v>89</v>
      </c>
      <c r="Y22" s="21" t="s">
        <v>14</v>
      </c>
      <c r="Z22" s="21" t="s">
        <v>92</v>
      </c>
    </row>
    <row r="23" spans="1:26" x14ac:dyDescent="0.2">
      <c r="A23" s="1493" t="s">
        <v>477</v>
      </c>
      <c r="B23" s="4">
        <v>-86497650000</v>
      </c>
      <c r="C23" s="4">
        <v>-84539630000</v>
      </c>
      <c r="D23" s="4">
        <v>-73359280000</v>
      </c>
      <c r="E23" s="4">
        <v>-54655420000</v>
      </c>
      <c r="F23" s="4">
        <v>-35713750000</v>
      </c>
      <c r="G23" s="4">
        <v>-33846910000</v>
      </c>
      <c r="H23" s="4">
        <v>-23552793086</v>
      </c>
      <c r="I23" s="4">
        <v>-22248240000</v>
      </c>
      <c r="J23" s="4">
        <v>-21722560000</v>
      </c>
      <c r="K23" s="4">
        <v>-21234370000</v>
      </c>
      <c r="L23" s="4">
        <v>-18331350000</v>
      </c>
      <c r="M23" s="4">
        <v>-15488020000</v>
      </c>
      <c r="N23" s="1493" t="s">
        <v>478</v>
      </c>
      <c r="O23" s="4">
        <v>-419545990000</v>
      </c>
      <c r="P23" s="4">
        <v>-288778970000</v>
      </c>
      <c r="Q23" s="4">
        <v>-208009350000</v>
      </c>
      <c r="R23" s="4">
        <v>-170413520000</v>
      </c>
      <c r="S23" s="4">
        <v>-120178080000</v>
      </c>
      <c r="T23" s="4">
        <v>-106180720000</v>
      </c>
      <c r="U23" s="4">
        <v>-53428050000</v>
      </c>
      <c r="V23" s="4">
        <v>-48870000000</v>
      </c>
      <c r="W23" s="4">
        <v>-41187430000</v>
      </c>
      <c r="X23" s="4">
        <v>-25264810000</v>
      </c>
      <c r="Y23" s="4">
        <v>-24679640000</v>
      </c>
      <c r="Z23" s="4">
        <v>-23631297805</v>
      </c>
    </row>
    <row r="24" spans="1:26" x14ac:dyDescent="0.2">
      <c r="A24" s="1493" t="s">
        <v>473</v>
      </c>
      <c r="B24" s="21" t="s">
        <v>5</v>
      </c>
      <c r="C24" s="21" t="s">
        <v>24</v>
      </c>
      <c r="D24" s="21" t="s">
        <v>14</v>
      </c>
      <c r="E24" s="21" t="s">
        <v>15</v>
      </c>
      <c r="F24" s="21" t="s">
        <v>79</v>
      </c>
      <c r="G24" s="21" t="s">
        <v>65</v>
      </c>
      <c r="H24" s="21" t="s">
        <v>180</v>
      </c>
      <c r="I24" s="21" t="s">
        <v>11</v>
      </c>
      <c r="J24" s="21" t="s">
        <v>88</v>
      </c>
      <c r="K24" s="21" t="s">
        <v>37</v>
      </c>
      <c r="L24" s="21" t="s">
        <v>89</v>
      </c>
      <c r="M24" s="21" t="s">
        <v>26</v>
      </c>
    </row>
    <row r="25" spans="1:26" x14ac:dyDescent="0.2">
      <c r="A25" s="1493" t="s">
        <v>473</v>
      </c>
      <c r="B25" s="795">
        <v>-168432170000</v>
      </c>
      <c r="C25" s="4">
        <v>-60230700000</v>
      </c>
      <c r="D25" s="4">
        <v>-39231410000</v>
      </c>
      <c r="E25" s="4">
        <v>-23717200000</v>
      </c>
      <c r="F25" s="4">
        <v>-20118390000</v>
      </c>
      <c r="G25" s="4">
        <v>-19382840000</v>
      </c>
      <c r="H25" s="4">
        <v>-19325070000</v>
      </c>
      <c r="I25" s="4">
        <v>-18237900000</v>
      </c>
      <c r="J25" s="4">
        <v>-17490750000</v>
      </c>
      <c r="K25" s="4">
        <v>-17201100000</v>
      </c>
      <c r="L25" s="4">
        <v>-16398020000</v>
      </c>
      <c r="M25" s="4">
        <v>-16359330000</v>
      </c>
    </row>
    <row r="26" spans="1:26" x14ac:dyDescent="0.2">
      <c r="A26" s="1493" t="s">
        <v>472</v>
      </c>
      <c r="B26" s="21" t="s">
        <v>25</v>
      </c>
      <c r="C26" s="21" t="s">
        <v>17</v>
      </c>
      <c r="D26" s="21" t="s">
        <v>5</v>
      </c>
      <c r="E26" s="21" t="s">
        <v>33</v>
      </c>
      <c r="F26" s="21" t="s">
        <v>12</v>
      </c>
      <c r="G26" s="21" t="s">
        <v>313</v>
      </c>
      <c r="H26" s="21" t="s">
        <v>163</v>
      </c>
      <c r="I26" s="21" t="s">
        <v>37</v>
      </c>
      <c r="J26" s="21" t="s">
        <v>169</v>
      </c>
      <c r="K26" s="21" t="s">
        <v>24</v>
      </c>
      <c r="L26" s="21" t="s">
        <v>279</v>
      </c>
      <c r="M26" s="21" t="s">
        <v>190</v>
      </c>
    </row>
    <row r="27" spans="1:26" x14ac:dyDescent="0.2">
      <c r="A27" s="1493" t="s">
        <v>472</v>
      </c>
      <c r="B27" s="4">
        <v>-115917980000</v>
      </c>
      <c r="C27" s="4">
        <v>-89097390000</v>
      </c>
      <c r="D27" s="4">
        <v>-88405290000</v>
      </c>
      <c r="E27" s="4">
        <v>-74704520000</v>
      </c>
      <c r="F27" s="4">
        <v>-48110790000</v>
      </c>
      <c r="G27" s="4">
        <v>-34514920000</v>
      </c>
      <c r="H27" s="4">
        <v>-31666610000</v>
      </c>
      <c r="I27" s="4">
        <v>-23754480000</v>
      </c>
      <c r="J27" s="4">
        <v>-13663960000</v>
      </c>
      <c r="K27" s="4">
        <v>-12837210000</v>
      </c>
      <c r="L27" s="4">
        <v>-11764430000</v>
      </c>
      <c r="M27" s="794">
        <v>-11405160000</v>
      </c>
    </row>
    <row r="28" spans="1:26" x14ac:dyDescent="0.2">
      <c r="A28" s="1493" t="s">
        <v>428</v>
      </c>
      <c r="B28" s="21" t="s">
        <v>25</v>
      </c>
      <c r="C28" s="21" t="s">
        <v>37</v>
      </c>
      <c r="D28" s="21" t="s">
        <v>24</v>
      </c>
      <c r="E28" s="21" t="s">
        <v>88</v>
      </c>
      <c r="F28" s="21" t="s">
        <v>8</v>
      </c>
      <c r="G28" s="21" t="s">
        <v>59</v>
      </c>
      <c r="H28" s="21" t="s">
        <v>22</v>
      </c>
      <c r="I28" s="21" t="s">
        <v>77</v>
      </c>
      <c r="J28" s="21" t="s">
        <v>15</v>
      </c>
      <c r="K28" s="21" t="s">
        <v>92</v>
      </c>
      <c r="L28" s="21" t="s">
        <v>14</v>
      </c>
      <c r="M28" s="21" t="s">
        <v>13</v>
      </c>
    </row>
    <row r="29" spans="1:26" x14ac:dyDescent="0.2">
      <c r="A29" s="1493" t="s">
        <v>428</v>
      </c>
      <c r="B29" s="4">
        <v>-129164350000</v>
      </c>
      <c r="C29" s="4">
        <v>-30692830000</v>
      </c>
      <c r="D29" s="4">
        <v>-29389240000</v>
      </c>
      <c r="E29" s="4">
        <v>-24859660000</v>
      </c>
      <c r="F29" s="4">
        <v>-23656100000</v>
      </c>
      <c r="G29" s="4">
        <v>-20534390000</v>
      </c>
      <c r="H29" s="4">
        <v>-19796250000</v>
      </c>
      <c r="I29" s="4">
        <v>-18638380000</v>
      </c>
      <c r="J29" s="4">
        <v>-18512800000</v>
      </c>
      <c r="K29" s="792">
        <v>-17716375161</v>
      </c>
      <c r="L29" s="4">
        <v>-17122280000</v>
      </c>
      <c r="M29" s="4">
        <v>-12691290000</v>
      </c>
    </row>
    <row r="30" spans="1:26" x14ac:dyDescent="0.2">
      <c r="A30" s="1493" t="s">
        <v>427</v>
      </c>
      <c r="B30" s="21" t="s">
        <v>25</v>
      </c>
      <c r="C30" s="21" t="s">
        <v>15</v>
      </c>
      <c r="D30" s="21" t="s">
        <v>24</v>
      </c>
      <c r="E30" s="21" t="s">
        <v>17</v>
      </c>
      <c r="F30" s="21" t="s">
        <v>88</v>
      </c>
      <c r="G30" s="21" t="s">
        <v>38</v>
      </c>
      <c r="H30" s="21" t="s">
        <v>42</v>
      </c>
      <c r="I30" s="21" t="s">
        <v>62</v>
      </c>
      <c r="J30" s="21" t="s">
        <v>163</v>
      </c>
      <c r="K30" s="21" t="s">
        <v>87</v>
      </c>
      <c r="L30" s="21" t="s">
        <v>74</v>
      </c>
      <c r="M30" s="21" t="s">
        <v>90</v>
      </c>
    </row>
    <row r="31" spans="1:26" x14ac:dyDescent="0.2">
      <c r="A31" s="1493" t="s">
        <v>427</v>
      </c>
      <c r="B31" s="4">
        <v>-97309390000</v>
      </c>
      <c r="C31" s="4">
        <v>-53737610000</v>
      </c>
      <c r="D31" s="4">
        <v>-32242620000</v>
      </c>
      <c r="E31" s="4">
        <v>-30830640000</v>
      </c>
      <c r="F31" s="4">
        <v>-26497090000</v>
      </c>
      <c r="G31" s="4">
        <v>-17523350000</v>
      </c>
      <c r="H31" s="4">
        <v>-16104620000</v>
      </c>
      <c r="I31" s="4">
        <v>-15756750000</v>
      </c>
      <c r="J31" s="4">
        <v>-14550450000</v>
      </c>
      <c r="K31" s="4">
        <v>-13983030000</v>
      </c>
      <c r="L31" s="791">
        <v>-13982670000</v>
      </c>
      <c r="M31" s="4">
        <v>-12081770000</v>
      </c>
    </row>
    <row r="32" spans="1:26" x14ac:dyDescent="0.2">
      <c r="A32" s="1493" t="s">
        <v>425</v>
      </c>
      <c r="B32" s="21" t="s">
        <v>33</v>
      </c>
      <c r="C32" s="21" t="s">
        <v>24</v>
      </c>
      <c r="D32" s="21" t="s">
        <v>79</v>
      </c>
      <c r="E32" s="21" t="s">
        <v>23</v>
      </c>
      <c r="F32" s="21" t="s">
        <v>42</v>
      </c>
      <c r="G32" s="21" t="s">
        <v>88</v>
      </c>
      <c r="H32" s="21" t="s">
        <v>15</v>
      </c>
      <c r="I32" s="21" t="s">
        <v>21</v>
      </c>
      <c r="J32" s="21" t="s">
        <v>64</v>
      </c>
      <c r="K32" s="21" t="s">
        <v>11</v>
      </c>
      <c r="L32" s="21" t="s">
        <v>36</v>
      </c>
      <c r="M32" s="21" t="s">
        <v>69</v>
      </c>
      <c r="N32" s="1493" t="s">
        <v>426</v>
      </c>
      <c r="O32" s="21" t="s">
        <v>23</v>
      </c>
      <c r="P32" s="21" t="s">
        <v>33</v>
      </c>
      <c r="Q32" s="21" t="s">
        <v>24</v>
      </c>
      <c r="R32" s="21" t="s">
        <v>15</v>
      </c>
      <c r="S32" s="21" t="s">
        <v>42</v>
      </c>
      <c r="T32" s="21" t="s">
        <v>6</v>
      </c>
      <c r="U32" s="21" t="s">
        <v>21</v>
      </c>
      <c r="V32" s="21" t="s">
        <v>64</v>
      </c>
      <c r="W32" s="21" t="s">
        <v>70</v>
      </c>
      <c r="X32" s="21" t="s">
        <v>79</v>
      </c>
      <c r="Y32" s="21" t="s">
        <v>415</v>
      </c>
      <c r="Z32" s="21" t="s">
        <v>88</v>
      </c>
    </row>
    <row r="33" spans="1:26" x14ac:dyDescent="0.2">
      <c r="A33" s="1493" t="s">
        <v>425</v>
      </c>
      <c r="B33" s="4">
        <v>-228474270000</v>
      </c>
      <c r="C33" s="4">
        <v>-159498600000</v>
      </c>
      <c r="D33" s="4">
        <v>-104828370000</v>
      </c>
      <c r="E33" s="4">
        <v>-92553530000</v>
      </c>
      <c r="F33" s="789">
        <v>-66425760000</v>
      </c>
      <c r="G33" s="790">
        <v>-45156200000</v>
      </c>
      <c r="H33" s="4">
        <v>-42302970000</v>
      </c>
      <c r="I33" s="4">
        <v>-31981270000</v>
      </c>
      <c r="J33" s="4">
        <v>-31651950000</v>
      </c>
      <c r="K33" s="4">
        <v>-23505780000</v>
      </c>
      <c r="L33" s="4">
        <v>-21610700000</v>
      </c>
      <c r="M33" s="4">
        <v>-18256520000</v>
      </c>
      <c r="N33" s="1493" t="s">
        <v>426</v>
      </c>
      <c r="O33" s="4">
        <v>-483460410000</v>
      </c>
      <c r="P33" s="4">
        <v>-375865380000</v>
      </c>
      <c r="Q33" s="4">
        <v>-293339760000</v>
      </c>
      <c r="R33" s="4">
        <v>-203759510000</v>
      </c>
      <c r="S33" s="4">
        <v>-150164010000</v>
      </c>
      <c r="T33" s="4">
        <v>-117303680000</v>
      </c>
      <c r="U33" s="4">
        <v>-113345500000</v>
      </c>
      <c r="V33" s="4">
        <v>-99098790000</v>
      </c>
      <c r="W33" s="4">
        <v>-97950810000</v>
      </c>
      <c r="X33" s="4">
        <v>-87935360000</v>
      </c>
      <c r="Y33" s="4">
        <v>-83034836241</v>
      </c>
      <c r="Z33" s="4">
        <v>-65311180000</v>
      </c>
    </row>
    <row r="34" spans="1:26" x14ac:dyDescent="0.2">
      <c r="A34" s="1493" t="s">
        <v>424</v>
      </c>
      <c r="B34" s="21" t="s">
        <v>33</v>
      </c>
      <c r="C34" s="21" t="s">
        <v>23</v>
      </c>
      <c r="D34" s="21" t="s">
        <v>415</v>
      </c>
      <c r="E34" s="21" t="s">
        <v>25</v>
      </c>
      <c r="F34" s="21" t="s">
        <v>15</v>
      </c>
      <c r="G34" s="21" t="s">
        <v>24</v>
      </c>
      <c r="H34" s="21" t="s">
        <v>6</v>
      </c>
      <c r="I34" s="21" t="s">
        <v>279</v>
      </c>
      <c r="J34" s="21" t="s">
        <v>5</v>
      </c>
      <c r="K34" s="21" t="s">
        <v>163</v>
      </c>
      <c r="L34" s="21" t="s">
        <v>64</v>
      </c>
      <c r="M34" s="21" t="s">
        <v>86</v>
      </c>
    </row>
    <row r="35" spans="1:26" x14ac:dyDescent="0.2">
      <c r="A35" s="1493" t="s">
        <v>424</v>
      </c>
      <c r="B35" s="4">
        <v>-352073630000</v>
      </c>
      <c r="C35" s="4">
        <v>-122527740000</v>
      </c>
      <c r="D35" s="787">
        <v>-82791651206</v>
      </c>
      <c r="E35" s="4">
        <v>-34745260000</v>
      </c>
      <c r="F35" s="4">
        <v>-34281670000</v>
      </c>
      <c r="G35" s="4">
        <v>-32875120000</v>
      </c>
      <c r="H35" s="4">
        <v>-30922700000</v>
      </c>
      <c r="I35" s="4">
        <v>-25648850000</v>
      </c>
      <c r="J35" s="4">
        <v>-24188700000</v>
      </c>
      <c r="K35" s="4">
        <v>-21130790000</v>
      </c>
      <c r="L35" s="4">
        <v>-20180630000</v>
      </c>
      <c r="M35" s="4">
        <v>-18051400000</v>
      </c>
    </row>
    <row r="36" spans="1:26" x14ac:dyDescent="0.2">
      <c r="A36" s="1493" t="s">
        <v>423</v>
      </c>
      <c r="B36" s="21" t="s">
        <v>23</v>
      </c>
      <c r="C36" s="21" t="s">
        <v>24</v>
      </c>
      <c r="D36" s="21" t="s">
        <v>6</v>
      </c>
      <c r="E36" s="21" t="s">
        <v>279</v>
      </c>
      <c r="F36" s="21" t="s">
        <v>70</v>
      </c>
      <c r="G36" s="21" t="s">
        <v>64</v>
      </c>
      <c r="H36" s="21" t="s">
        <v>15</v>
      </c>
      <c r="I36" s="21" t="s">
        <v>77</v>
      </c>
      <c r="J36" s="21" t="s">
        <v>42</v>
      </c>
      <c r="K36" s="21" t="s">
        <v>180</v>
      </c>
      <c r="L36" s="21" t="s">
        <v>289</v>
      </c>
      <c r="M36" s="21" t="s">
        <v>21</v>
      </c>
    </row>
    <row r="37" spans="1:26" x14ac:dyDescent="0.2">
      <c r="A37" s="1493" t="s">
        <v>423</v>
      </c>
      <c r="B37" s="4">
        <v>-104599340000</v>
      </c>
      <c r="C37" s="4">
        <v>-45007550000</v>
      </c>
      <c r="D37" s="4">
        <v>-41460880000</v>
      </c>
      <c r="E37" s="4">
        <v>-31423090000</v>
      </c>
      <c r="F37" s="4">
        <v>-26911820000</v>
      </c>
      <c r="G37" s="4">
        <v>-26219040000</v>
      </c>
      <c r="H37" s="4">
        <v>-22457990000</v>
      </c>
      <c r="I37" s="782">
        <v>-22345000000</v>
      </c>
      <c r="J37" s="4">
        <v>-22334440000</v>
      </c>
      <c r="K37" s="4">
        <v>-20346520000</v>
      </c>
      <c r="L37" s="783">
        <v>-14776740000</v>
      </c>
      <c r="M37" s="4">
        <v>-13843840000</v>
      </c>
    </row>
    <row r="38" spans="1:26" x14ac:dyDescent="0.2">
      <c r="A38" s="1493" t="s">
        <v>422</v>
      </c>
      <c r="B38" s="21" t="s">
        <v>17</v>
      </c>
      <c r="C38" s="21" t="s">
        <v>23</v>
      </c>
      <c r="D38" s="21" t="s">
        <v>79</v>
      </c>
      <c r="E38" s="21" t="s">
        <v>6</v>
      </c>
      <c r="F38" s="21" t="s">
        <v>72</v>
      </c>
      <c r="G38" s="21" t="s">
        <v>15</v>
      </c>
      <c r="H38" s="21" t="s">
        <v>21</v>
      </c>
      <c r="I38" s="21" t="s">
        <v>42</v>
      </c>
      <c r="J38" s="21" t="s">
        <v>22</v>
      </c>
      <c r="K38" s="21" t="s">
        <v>69</v>
      </c>
      <c r="L38" s="21" t="s">
        <v>70</v>
      </c>
      <c r="M38" s="21" t="s">
        <v>24</v>
      </c>
    </row>
    <row r="39" spans="1:26" x14ac:dyDescent="0.2">
      <c r="A39" s="1493" t="s">
        <v>422</v>
      </c>
      <c r="B39" s="4">
        <v>-148052520000</v>
      </c>
      <c r="C39" s="4">
        <v>-81653100000</v>
      </c>
      <c r="D39" s="4">
        <v>-69617060000</v>
      </c>
      <c r="E39" s="4">
        <v>-51376150000</v>
      </c>
      <c r="F39" s="4">
        <v>-45647500000</v>
      </c>
      <c r="G39" s="4">
        <v>-35873130000</v>
      </c>
      <c r="H39" s="4">
        <v>-35262880000</v>
      </c>
      <c r="I39" s="4">
        <v>-30140920000</v>
      </c>
      <c r="J39" s="4">
        <v>-24055600000</v>
      </c>
      <c r="K39" s="4">
        <v>-20648440000</v>
      </c>
      <c r="L39" s="4">
        <v>-16449680000</v>
      </c>
      <c r="M39" s="4">
        <v>-16376710000</v>
      </c>
    </row>
    <row r="40" spans="1:26" x14ac:dyDescent="0.2">
      <c r="A40" s="1493" t="s">
        <v>420</v>
      </c>
      <c r="B40" s="21" t="s">
        <v>59</v>
      </c>
      <c r="C40" s="21" t="s">
        <v>13</v>
      </c>
      <c r="D40" s="21" t="s">
        <v>296</v>
      </c>
      <c r="E40" s="21" t="s">
        <v>166</v>
      </c>
      <c r="F40" s="21" t="s">
        <v>12</v>
      </c>
      <c r="G40" s="21" t="s">
        <v>163</v>
      </c>
      <c r="H40" s="21" t="s">
        <v>23</v>
      </c>
      <c r="I40" s="21" t="s">
        <v>15</v>
      </c>
      <c r="J40" s="21" t="s">
        <v>14</v>
      </c>
      <c r="K40" s="21" t="s">
        <v>17</v>
      </c>
      <c r="L40" s="21" t="s">
        <v>79</v>
      </c>
      <c r="M40" s="21" t="s">
        <v>25</v>
      </c>
    </row>
    <row r="41" spans="1:26" x14ac:dyDescent="0.2">
      <c r="A41" s="1493" t="s">
        <v>420</v>
      </c>
      <c r="B41" s="4">
        <v>-376533860000</v>
      </c>
      <c r="C41" s="776">
        <v>-310361230000</v>
      </c>
      <c r="D41" s="4">
        <v>-170674230000</v>
      </c>
      <c r="E41" s="777">
        <v>-113088060000</v>
      </c>
      <c r="F41" s="4">
        <v>-103585480000</v>
      </c>
      <c r="G41" s="778">
        <v>-82379670000</v>
      </c>
      <c r="H41" s="4">
        <v>-82126700000</v>
      </c>
      <c r="I41" s="4">
        <v>-68843750000</v>
      </c>
      <c r="J41" s="4">
        <v>-66030610000</v>
      </c>
      <c r="K41" s="4">
        <v>-47532170000</v>
      </c>
      <c r="L41" s="4">
        <v>-44166730000</v>
      </c>
      <c r="M41" s="4">
        <v>-40915130000</v>
      </c>
    </row>
    <row r="42" spans="1:26" x14ac:dyDescent="0.2">
      <c r="A42" s="1493" t="s">
        <v>418</v>
      </c>
      <c r="B42" s="21" t="s">
        <v>24</v>
      </c>
      <c r="C42" s="21" t="s">
        <v>17</v>
      </c>
      <c r="D42" s="21" t="s">
        <v>23</v>
      </c>
      <c r="E42" s="21" t="s">
        <v>79</v>
      </c>
      <c r="F42" s="21" t="s">
        <v>33</v>
      </c>
      <c r="G42" s="21" t="s">
        <v>30</v>
      </c>
      <c r="H42" s="21" t="s">
        <v>67</v>
      </c>
      <c r="I42" s="21" t="s">
        <v>15</v>
      </c>
      <c r="J42" s="21" t="s">
        <v>22</v>
      </c>
      <c r="K42" s="21" t="s">
        <v>14</v>
      </c>
      <c r="L42" s="21" t="s">
        <v>18</v>
      </c>
      <c r="M42" s="21" t="s">
        <v>69</v>
      </c>
      <c r="N42" s="1493" t="s">
        <v>419</v>
      </c>
      <c r="O42" s="21" t="s">
        <v>33</v>
      </c>
      <c r="P42" s="21" t="s">
        <v>17</v>
      </c>
      <c r="Q42" s="21" t="s">
        <v>24</v>
      </c>
      <c r="R42" s="21" t="s">
        <v>23</v>
      </c>
      <c r="S42" s="21" t="s">
        <v>79</v>
      </c>
      <c r="T42" s="21" t="s">
        <v>22</v>
      </c>
      <c r="U42" s="21" t="s">
        <v>265</v>
      </c>
      <c r="V42" s="21" t="s">
        <v>12</v>
      </c>
      <c r="W42" s="21" t="s">
        <v>42</v>
      </c>
      <c r="X42" s="21" t="s">
        <v>5</v>
      </c>
      <c r="Y42" s="21" t="s">
        <v>67</v>
      </c>
      <c r="Z42" s="21" t="s">
        <v>88</v>
      </c>
    </row>
    <row r="43" spans="1:26" x14ac:dyDescent="0.2">
      <c r="A43" s="1493" t="s">
        <v>418</v>
      </c>
      <c r="B43" s="4">
        <v>-304071060000</v>
      </c>
      <c r="C43" s="4">
        <v>-124114960000</v>
      </c>
      <c r="D43" s="4">
        <v>-79599270000</v>
      </c>
      <c r="E43" s="4">
        <v>-49515840000</v>
      </c>
      <c r="F43" s="4">
        <v>-48421030000</v>
      </c>
      <c r="G43" s="4">
        <v>-36935100000</v>
      </c>
      <c r="H43" s="4">
        <v>-33844310000</v>
      </c>
      <c r="I43" s="4">
        <v>-25330210000</v>
      </c>
      <c r="J43" s="4">
        <v>-24292330000</v>
      </c>
      <c r="K43" s="4">
        <v>-15171700000</v>
      </c>
      <c r="L43" s="4">
        <v>-14791150000</v>
      </c>
      <c r="M43" s="4">
        <v>-13619030000</v>
      </c>
      <c r="N43" s="1493" t="s">
        <v>419</v>
      </c>
      <c r="O43" s="4">
        <v>-1731655960000</v>
      </c>
      <c r="P43" s="4">
        <v>-644036260000</v>
      </c>
      <c r="Q43" s="4">
        <v>-521585750000</v>
      </c>
      <c r="R43" s="4">
        <v>-508454620000</v>
      </c>
      <c r="S43" s="4">
        <v>-419574510000</v>
      </c>
      <c r="T43" s="4">
        <v>-312529350000</v>
      </c>
      <c r="U43" s="4">
        <v>-225982910000</v>
      </c>
      <c r="V43" s="4">
        <v>-206807490000</v>
      </c>
      <c r="W43" s="4">
        <v>-155780270000</v>
      </c>
      <c r="X43" s="4">
        <v>-130787920000</v>
      </c>
      <c r="Y43" s="4">
        <v>-127175340000</v>
      </c>
      <c r="Z43" s="4">
        <v>-112699610000</v>
      </c>
    </row>
    <row r="44" spans="1:26" x14ac:dyDescent="0.2">
      <c r="A44" s="1493" t="s">
        <v>417</v>
      </c>
      <c r="B44" s="21" t="s">
        <v>33</v>
      </c>
      <c r="C44" s="21" t="s">
        <v>79</v>
      </c>
      <c r="D44" s="21" t="s">
        <v>21</v>
      </c>
      <c r="E44" s="21" t="s">
        <v>17</v>
      </c>
      <c r="F44" s="21" t="s">
        <v>69</v>
      </c>
      <c r="G44" s="21" t="s">
        <v>67</v>
      </c>
      <c r="H44" s="21" t="s">
        <v>58</v>
      </c>
      <c r="I44" s="21" t="s">
        <v>23</v>
      </c>
      <c r="J44" s="21" t="s">
        <v>24</v>
      </c>
      <c r="K44" s="21" t="s">
        <v>15</v>
      </c>
      <c r="L44" s="21" t="s">
        <v>42</v>
      </c>
      <c r="M44" s="21" t="s">
        <v>22</v>
      </c>
    </row>
    <row r="45" spans="1:26" x14ac:dyDescent="0.2">
      <c r="A45" s="1493" t="s">
        <v>417</v>
      </c>
      <c r="B45" s="4">
        <v>-397332750000</v>
      </c>
      <c r="C45" s="4">
        <v>-172311320000</v>
      </c>
      <c r="D45" s="4">
        <v>-99540030000</v>
      </c>
      <c r="E45" s="4">
        <v>-93080460000</v>
      </c>
      <c r="F45" s="773">
        <v>-74287520000</v>
      </c>
      <c r="G45" s="4">
        <v>-73441770000</v>
      </c>
      <c r="H45" s="774">
        <v>-64717280000</v>
      </c>
      <c r="I45" s="4">
        <v>-55139790000</v>
      </c>
      <c r="J45" s="4">
        <v>-54708730000</v>
      </c>
      <c r="K45" s="4">
        <v>-40584130000</v>
      </c>
      <c r="L45" s="4">
        <v>-35670590000</v>
      </c>
      <c r="M45" s="4">
        <v>-28725600000</v>
      </c>
    </row>
    <row r="46" spans="1:26" x14ac:dyDescent="0.2">
      <c r="A46" s="1493" t="s">
        <v>416</v>
      </c>
      <c r="B46" s="21" t="s">
        <v>33</v>
      </c>
      <c r="C46" s="21" t="s">
        <v>17</v>
      </c>
      <c r="D46" s="21" t="s">
        <v>12</v>
      </c>
      <c r="E46" s="21" t="s">
        <v>79</v>
      </c>
      <c r="F46" s="21" t="s">
        <v>265</v>
      </c>
      <c r="G46" s="21" t="s">
        <v>24</v>
      </c>
      <c r="H46" s="21" t="s">
        <v>42</v>
      </c>
      <c r="I46" s="21" t="s">
        <v>23</v>
      </c>
      <c r="J46" s="21" t="s">
        <v>71</v>
      </c>
      <c r="K46" s="21" t="s">
        <v>59</v>
      </c>
      <c r="L46" s="21" t="s">
        <v>88</v>
      </c>
      <c r="M46" s="21" t="s">
        <v>22</v>
      </c>
    </row>
    <row r="47" spans="1:26" x14ac:dyDescent="0.2">
      <c r="A47" s="1493" t="s">
        <v>416</v>
      </c>
      <c r="B47" s="4">
        <v>-342768190000</v>
      </c>
      <c r="C47" s="4">
        <v>-159626570000</v>
      </c>
      <c r="D47" s="4">
        <v>-157119400000</v>
      </c>
      <c r="E47" s="4">
        <v>-100529210000</v>
      </c>
      <c r="F47" s="769">
        <v>-81551650000</v>
      </c>
      <c r="G47" s="4">
        <v>-62425450000</v>
      </c>
      <c r="H47" s="4">
        <v>-57152240000</v>
      </c>
      <c r="I47" s="4">
        <v>-56339140000</v>
      </c>
      <c r="J47" s="4">
        <v>-45219390000</v>
      </c>
      <c r="K47" s="4">
        <v>-44119720000</v>
      </c>
      <c r="L47" s="4">
        <v>-36762020000</v>
      </c>
      <c r="M47" s="4">
        <v>-36162490000</v>
      </c>
    </row>
    <row r="48" spans="1:26" x14ac:dyDescent="0.2">
      <c r="A48" s="1493" t="s">
        <v>414</v>
      </c>
      <c r="B48" s="21" t="s">
        <v>33</v>
      </c>
      <c r="C48" s="21" t="s">
        <v>23</v>
      </c>
      <c r="D48" s="21" t="s">
        <v>22</v>
      </c>
      <c r="E48" s="21" t="s">
        <v>79</v>
      </c>
      <c r="F48" s="21" t="s">
        <v>17</v>
      </c>
      <c r="G48" s="21" t="s">
        <v>265</v>
      </c>
      <c r="H48" s="21" t="s">
        <v>5</v>
      </c>
      <c r="I48" s="21" t="s">
        <v>13</v>
      </c>
      <c r="J48" s="21" t="s">
        <v>28</v>
      </c>
      <c r="K48" s="21" t="s">
        <v>88</v>
      </c>
      <c r="L48" s="21" t="s">
        <v>42</v>
      </c>
      <c r="M48" s="21" t="s">
        <v>302</v>
      </c>
    </row>
    <row r="49" spans="1:26" x14ac:dyDescent="0.2">
      <c r="A49" s="1493" t="s">
        <v>414</v>
      </c>
      <c r="B49" s="4">
        <v>-679980790000</v>
      </c>
      <c r="C49" s="4">
        <v>-156299270000</v>
      </c>
      <c r="D49" s="4">
        <v>-92184380000</v>
      </c>
      <c r="E49" s="4">
        <v>-83059960000</v>
      </c>
      <c r="F49" s="4">
        <v>-82521740000</v>
      </c>
      <c r="G49" s="4">
        <v>-59641490000</v>
      </c>
      <c r="H49" s="4">
        <v>-45592370000</v>
      </c>
      <c r="I49" s="4">
        <v>-45576370000</v>
      </c>
      <c r="J49" s="4">
        <v>-37519700000</v>
      </c>
      <c r="K49" s="4">
        <v>-33243870000</v>
      </c>
      <c r="L49" s="4">
        <v>-19006090000</v>
      </c>
      <c r="M49" s="4">
        <v>-17576370000</v>
      </c>
    </row>
    <row r="50" spans="1:26" x14ac:dyDescent="0.2">
      <c r="A50" s="1493" t="s">
        <v>413</v>
      </c>
      <c r="B50" s="21" t="s">
        <v>59</v>
      </c>
      <c r="C50" s="21" t="s">
        <v>33</v>
      </c>
      <c r="D50" s="21" t="s">
        <v>13</v>
      </c>
      <c r="E50" s="21" t="s">
        <v>296</v>
      </c>
      <c r="F50" s="21" t="s">
        <v>17</v>
      </c>
      <c r="G50" s="21" t="s">
        <v>23</v>
      </c>
      <c r="H50" s="21" t="s">
        <v>22</v>
      </c>
      <c r="I50" s="21" t="s">
        <v>166</v>
      </c>
      <c r="J50" s="21" t="s">
        <v>24</v>
      </c>
      <c r="K50" s="21" t="s">
        <v>14</v>
      </c>
      <c r="L50" s="21" t="s">
        <v>265</v>
      </c>
      <c r="M50" s="21" t="s">
        <v>64</v>
      </c>
    </row>
    <row r="51" spans="1:26" x14ac:dyDescent="0.2">
      <c r="A51" s="1493" t="s">
        <v>413</v>
      </c>
      <c r="B51" s="762">
        <v>-477279990000</v>
      </c>
      <c r="C51" s="4">
        <v>-263153200000</v>
      </c>
      <c r="D51" s="4">
        <v>-230000430000</v>
      </c>
      <c r="E51" s="763">
        <v>-192226280000</v>
      </c>
      <c r="F51" s="4">
        <v>-184692530000</v>
      </c>
      <c r="G51" s="4">
        <v>-161077150000</v>
      </c>
      <c r="H51" s="4">
        <v>-131164550000</v>
      </c>
      <c r="I51" s="764">
        <v>-112866020000</v>
      </c>
      <c r="J51" s="4">
        <v>-112281320000</v>
      </c>
      <c r="K51" s="4">
        <v>-94220610000</v>
      </c>
      <c r="L51" s="765">
        <v>-69999980000</v>
      </c>
      <c r="M51" s="4">
        <v>-66086110000</v>
      </c>
    </row>
    <row r="52" spans="1:26" x14ac:dyDescent="0.2">
      <c r="A52" s="1493" t="s">
        <v>367</v>
      </c>
      <c r="B52" s="21" t="s">
        <v>33</v>
      </c>
      <c r="C52" s="21" t="s">
        <v>22</v>
      </c>
      <c r="D52" s="21" t="s">
        <v>14</v>
      </c>
      <c r="E52" s="21" t="s">
        <v>24</v>
      </c>
      <c r="F52" s="21" t="s">
        <v>15</v>
      </c>
      <c r="G52" s="21" t="s">
        <v>27</v>
      </c>
      <c r="H52" s="21" t="s">
        <v>88</v>
      </c>
      <c r="I52" s="21" t="s">
        <v>59</v>
      </c>
      <c r="J52" s="21" t="s">
        <v>68</v>
      </c>
      <c r="K52" s="21" t="s">
        <v>284</v>
      </c>
      <c r="L52" s="21" t="s">
        <v>64</v>
      </c>
      <c r="M52" s="21" t="s">
        <v>271</v>
      </c>
      <c r="N52" s="1493" t="s">
        <v>398</v>
      </c>
      <c r="O52" s="21" t="s">
        <v>22</v>
      </c>
      <c r="P52" s="21" t="s">
        <v>33</v>
      </c>
      <c r="Q52" s="21" t="s">
        <v>24</v>
      </c>
      <c r="R52" s="21" t="s">
        <v>14</v>
      </c>
      <c r="S52" s="21" t="s">
        <v>17</v>
      </c>
      <c r="T52" s="21" t="s">
        <v>79</v>
      </c>
      <c r="U52" s="21" t="s">
        <v>88</v>
      </c>
      <c r="V52" s="21" t="s">
        <v>69</v>
      </c>
      <c r="W52" s="21" t="s">
        <v>27</v>
      </c>
      <c r="X52" s="21" t="s">
        <v>271</v>
      </c>
      <c r="Y52" s="21" t="s">
        <v>64</v>
      </c>
      <c r="Z52" s="21" t="s">
        <v>25</v>
      </c>
    </row>
    <row r="53" spans="1:26" x14ac:dyDescent="0.2">
      <c r="A53" s="1493" t="s">
        <v>367</v>
      </c>
      <c r="B53" s="4">
        <v>-271001050000</v>
      </c>
      <c r="C53" s="4">
        <v>-156216790000</v>
      </c>
      <c r="D53" s="4">
        <v>-92241540000</v>
      </c>
      <c r="E53" s="4">
        <v>-65755580000</v>
      </c>
      <c r="F53" s="4">
        <v>-56917840000</v>
      </c>
      <c r="G53" s="757">
        <v>-45204710000</v>
      </c>
      <c r="H53" s="758">
        <v>-42951950000</v>
      </c>
      <c r="I53" s="4">
        <v>-42573920000</v>
      </c>
      <c r="J53" s="759">
        <v>-21737810000</v>
      </c>
      <c r="K53" s="760">
        <v>-20820000000</v>
      </c>
      <c r="L53" s="4">
        <v>-16309790000</v>
      </c>
      <c r="M53" s="4">
        <v>-16140850000</v>
      </c>
      <c r="N53" s="1493" t="s">
        <v>398</v>
      </c>
      <c r="O53" s="4">
        <v>-728428390000</v>
      </c>
      <c r="P53" s="4">
        <v>-463079090000</v>
      </c>
      <c r="Q53" s="4">
        <v>-422238790000</v>
      </c>
      <c r="R53" s="4">
        <v>-214001910000</v>
      </c>
      <c r="S53" s="4">
        <v>-165182790000</v>
      </c>
      <c r="T53" s="4">
        <v>-141385470000</v>
      </c>
      <c r="U53" s="4">
        <v>-97087650000</v>
      </c>
      <c r="V53" s="4">
        <v>-67979820000</v>
      </c>
      <c r="W53" s="4">
        <v>-60724860000</v>
      </c>
      <c r="X53" s="4">
        <v>-59442560000</v>
      </c>
      <c r="Y53" s="4">
        <v>-57817980000</v>
      </c>
      <c r="Z53" s="4">
        <v>-48313400000</v>
      </c>
    </row>
    <row r="54" spans="1:26" x14ac:dyDescent="0.2">
      <c r="A54" s="1493" t="s">
        <v>365</v>
      </c>
      <c r="B54" s="21" t="s">
        <v>24</v>
      </c>
      <c r="C54" s="21" t="s">
        <v>22</v>
      </c>
      <c r="D54" s="21" t="s">
        <v>12</v>
      </c>
      <c r="E54" s="21" t="s">
        <v>14</v>
      </c>
      <c r="F54" s="21" t="s">
        <v>17</v>
      </c>
      <c r="G54" s="21" t="s">
        <v>15</v>
      </c>
      <c r="H54" s="21" t="s">
        <v>69</v>
      </c>
      <c r="I54" s="21" t="s">
        <v>88</v>
      </c>
      <c r="J54" s="21" t="s">
        <v>21</v>
      </c>
      <c r="K54" s="21" t="s">
        <v>42</v>
      </c>
      <c r="L54" s="21" t="s">
        <v>30</v>
      </c>
      <c r="M54" s="21" t="s">
        <v>28</v>
      </c>
    </row>
    <row r="55" spans="1:26" x14ac:dyDescent="0.2">
      <c r="A55" s="1493" t="s">
        <v>365</v>
      </c>
      <c r="B55" s="4">
        <v>-122656820000</v>
      </c>
      <c r="C55" s="4">
        <v>-111264850000</v>
      </c>
      <c r="D55" s="4">
        <v>-54777620000</v>
      </c>
      <c r="E55" s="4">
        <v>-50483200000</v>
      </c>
      <c r="F55" s="4">
        <v>-47255300000</v>
      </c>
      <c r="G55" s="4">
        <v>-37614010000</v>
      </c>
      <c r="H55" s="4">
        <v>-28351850000</v>
      </c>
      <c r="I55" s="4">
        <v>-28298360000</v>
      </c>
      <c r="J55" s="4">
        <v>-27835780000</v>
      </c>
      <c r="K55" s="4">
        <v>-26500960000</v>
      </c>
      <c r="L55" s="4">
        <v>-17806640000</v>
      </c>
      <c r="M55" s="4">
        <v>-15270220000</v>
      </c>
    </row>
    <row r="56" spans="1:26" x14ac:dyDescent="0.2">
      <c r="A56" s="1493" t="s">
        <v>364</v>
      </c>
      <c r="B56" s="21" t="s">
        <v>22</v>
      </c>
      <c r="C56" s="21" t="s">
        <v>24</v>
      </c>
      <c r="D56" s="21" t="s">
        <v>17</v>
      </c>
      <c r="E56" s="21" t="s">
        <v>14</v>
      </c>
      <c r="F56" s="21" t="s">
        <v>69</v>
      </c>
      <c r="G56" s="21" t="s">
        <v>28</v>
      </c>
      <c r="H56" s="21" t="s">
        <v>19</v>
      </c>
      <c r="I56" s="21" t="s">
        <v>88</v>
      </c>
      <c r="J56" s="21" t="s">
        <v>25</v>
      </c>
      <c r="K56" s="21" t="s">
        <v>91</v>
      </c>
      <c r="L56" s="21" t="s">
        <v>33</v>
      </c>
      <c r="M56" s="21" t="s">
        <v>6</v>
      </c>
    </row>
    <row r="57" spans="1:26" x14ac:dyDescent="0.2">
      <c r="A57" s="1493" t="s">
        <v>364</v>
      </c>
      <c r="B57" s="755">
        <v>-414543060000</v>
      </c>
      <c r="C57" s="4">
        <v>-99261050000</v>
      </c>
      <c r="D57" s="4">
        <v>-86817300000</v>
      </c>
      <c r="E57" s="4">
        <v>-53844310000</v>
      </c>
      <c r="F57" s="4">
        <v>-18834580000</v>
      </c>
      <c r="G57" s="4">
        <v>-15874840000</v>
      </c>
      <c r="H57" s="756">
        <v>-13854230000</v>
      </c>
      <c r="I57" s="4">
        <v>-13739340000</v>
      </c>
      <c r="J57" s="4">
        <v>-12087380000</v>
      </c>
      <c r="K57" s="4">
        <v>-12008640000</v>
      </c>
      <c r="L57" s="4">
        <v>-11749470000</v>
      </c>
      <c r="M57" s="4">
        <v>-10506370000</v>
      </c>
    </row>
    <row r="58" spans="1:26" x14ac:dyDescent="0.2">
      <c r="A58" s="1493" t="s">
        <v>363</v>
      </c>
      <c r="B58" s="21" t="s">
        <v>24</v>
      </c>
      <c r="C58" s="21" t="s">
        <v>79</v>
      </c>
      <c r="D58" s="21" t="s">
        <v>22</v>
      </c>
      <c r="E58" s="21" t="s">
        <v>15</v>
      </c>
      <c r="F58" s="21" t="s">
        <v>17</v>
      </c>
      <c r="G58" s="21" t="s">
        <v>271</v>
      </c>
      <c r="H58" s="21" t="s">
        <v>70</v>
      </c>
      <c r="I58" s="21" t="s">
        <v>5</v>
      </c>
      <c r="J58" s="21" t="s">
        <v>37</v>
      </c>
      <c r="K58" s="21" t="s">
        <v>64</v>
      </c>
      <c r="L58" s="21" t="s">
        <v>36</v>
      </c>
      <c r="M58" s="21" t="s">
        <v>68</v>
      </c>
    </row>
    <row r="59" spans="1:26" x14ac:dyDescent="0.2">
      <c r="A59" s="1493" t="s">
        <v>363</v>
      </c>
      <c r="B59" s="4">
        <v>-61024520000</v>
      </c>
      <c r="C59" s="4">
        <v>-41805940000</v>
      </c>
      <c r="D59" s="4">
        <v>-31587910000</v>
      </c>
      <c r="E59" s="4">
        <v>-27986700000</v>
      </c>
      <c r="F59" s="4">
        <v>-26159440000</v>
      </c>
      <c r="G59" s="4">
        <v>-19411530000</v>
      </c>
      <c r="H59" s="4">
        <v>-18451930000</v>
      </c>
      <c r="I59" s="4">
        <v>-18082830000</v>
      </c>
      <c r="J59" s="4">
        <v>-16539640000</v>
      </c>
      <c r="K59" s="4">
        <v>-16475350000</v>
      </c>
      <c r="L59" s="4">
        <v>-15468230000</v>
      </c>
      <c r="M59" s="4">
        <v>-15401210000</v>
      </c>
    </row>
    <row r="60" spans="1:26" x14ac:dyDescent="0.2">
      <c r="A60" s="1493" t="s">
        <v>362</v>
      </c>
      <c r="B60" s="21" t="s">
        <v>33</v>
      </c>
      <c r="C60" s="21" t="s">
        <v>79</v>
      </c>
      <c r="D60" s="21" t="s">
        <v>24</v>
      </c>
      <c r="E60" s="21" t="s">
        <v>25</v>
      </c>
      <c r="F60" s="21" t="s">
        <v>5</v>
      </c>
      <c r="G60" s="21" t="s">
        <v>14</v>
      </c>
      <c r="H60" s="21" t="s">
        <v>23</v>
      </c>
      <c r="I60" s="21" t="s">
        <v>36</v>
      </c>
      <c r="J60" s="21" t="s">
        <v>59</v>
      </c>
      <c r="K60" s="21" t="s">
        <v>27</v>
      </c>
      <c r="L60" s="21" t="s">
        <v>86</v>
      </c>
      <c r="M60" s="21" t="s">
        <v>6</v>
      </c>
    </row>
    <row r="61" spans="1:26" x14ac:dyDescent="0.2">
      <c r="A61" s="1493" t="s">
        <v>362</v>
      </c>
      <c r="B61" s="4">
        <v>-248902530000</v>
      </c>
      <c r="C61" s="4">
        <v>-91464720000</v>
      </c>
      <c r="D61" s="4">
        <v>-73540820000</v>
      </c>
      <c r="E61" s="4">
        <v>-64570130000</v>
      </c>
      <c r="F61" s="4">
        <v>-57022670000</v>
      </c>
      <c r="G61" s="4">
        <v>-51277420000</v>
      </c>
      <c r="H61" s="4">
        <v>-36571770000</v>
      </c>
      <c r="I61" s="4">
        <v>-28599700000</v>
      </c>
      <c r="J61" s="4">
        <v>-24640220000</v>
      </c>
      <c r="K61" s="4">
        <v>-23749860000</v>
      </c>
      <c r="L61" s="4">
        <v>-23177360000</v>
      </c>
      <c r="M61" s="4">
        <v>-17933780000</v>
      </c>
    </row>
    <row r="62" spans="1:26" x14ac:dyDescent="0.2">
      <c r="A62" s="1493" t="s">
        <v>358</v>
      </c>
      <c r="B62" s="21" t="s">
        <v>33</v>
      </c>
      <c r="C62" s="21" t="s">
        <v>79</v>
      </c>
      <c r="D62" s="21" t="s">
        <v>15</v>
      </c>
      <c r="E62" s="21" t="s">
        <v>14</v>
      </c>
      <c r="F62" s="21" t="s">
        <v>59</v>
      </c>
      <c r="G62" s="21" t="s">
        <v>17</v>
      </c>
      <c r="H62" s="21" t="s">
        <v>10</v>
      </c>
      <c r="I62" s="21" t="s">
        <v>23</v>
      </c>
      <c r="J62" s="21" t="s">
        <v>24</v>
      </c>
      <c r="K62" s="21" t="s">
        <v>22</v>
      </c>
      <c r="L62" s="21" t="s">
        <v>169</v>
      </c>
      <c r="M62" s="21" t="s">
        <v>11</v>
      </c>
      <c r="N62" s="1493" t="s">
        <v>397</v>
      </c>
      <c r="O62" s="21" t="s">
        <v>33</v>
      </c>
      <c r="P62" s="21" t="s">
        <v>17</v>
      </c>
      <c r="Q62" s="21" t="s">
        <v>15</v>
      </c>
      <c r="R62" s="21" t="s">
        <v>59</v>
      </c>
      <c r="S62" s="21" t="s">
        <v>24</v>
      </c>
      <c r="T62" s="21" t="s">
        <v>22</v>
      </c>
      <c r="U62" s="21" t="s">
        <v>64</v>
      </c>
      <c r="V62" s="21" t="s">
        <v>14</v>
      </c>
      <c r="W62" s="21" t="s">
        <v>18</v>
      </c>
      <c r="X62" s="21" t="s">
        <v>6</v>
      </c>
      <c r="Y62" s="21" t="s">
        <v>30</v>
      </c>
      <c r="Z62" s="21" t="s">
        <v>39</v>
      </c>
    </row>
    <row r="63" spans="1:26" x14ac:dyDescent="0.2">
      <c r="A63" s="1493" t="s">
        <v>358</v>
      </c>
      <c r="B63" s="4">
        <v>-255834810000</v>
      </c>
      <c r="C63" s="4">
        <v>-178660470000</v>
      </c>
      <c r="D63" s="4">
        <v>-127802260000</v>
      </c>
      <c r="E63" s="4">
        <v>-59708230000</v>
      </c>
      <c r="F63" s="4">
        <v>-58031830000</v>
      </c>
      <c r="G63" s="4">
        <v>-52468270000</v>
      </c>
      <c r="H63" s="4">
        <v>-48083434017</v>
      </c>
      <c r="I63" s="4">
        <v>-43249650000</v>
      </c>
      <c r="J63" s="4">
        <v>-34766550000</v>
      </c>
      <c r="K63" s="4">
        <v>-34597170000</v>
      </c>
      <c r="L63" s="4">
        <v>-33766740000</v>
      </c>
      <c r="M63" s="4">
        <v>-26386010000</v>
      </c>
      <c r="N63" s="1493" t="s">
        <v>397</v>
      </c>
      <c r="O63" s="4">
        <v>-1461749020000</v>
      </c>
      <c r="P63" s="4">
        <v>-234374870000</v>
      </c>
      <c r="Q63" s="4">
        <v>-223332730000</v>
      </c>
      <c r="R63" s="4">
        <v>-164498560000</v>
      </c>
      <c r="S63" s="4">
        <v>-155517200000</v>
      </c>
      <c r="T63" s="4">
        <v>-133348500000</v>
      </c>
      <c r="U63" s="4">
        <v>-131538430000</v>
      </c>
      <c r="V63" s="4">
        <v>-123823310000</v>
      </c>
      <c r="W63" s="4">
        <v>-122135720000</v>
      </c>
      <c r="X63" s="4">
        <v>-95613090000</v>
      </c>
      <c r="Y63" s="4">
        <v>-85745910000</v>
      </c>
      <c r="Z63" s="4">
        <v>-81601010000</v>
      </c>
    </row>
    <row r="64" spans="1:26" x14ac:dyDescent="0.2">
      <c r="A64" s="1493" t="s">
        <v>354</v>
      </c>
      <c r="B64" s="21" t="s">
        <v>33</v>
      </c>
      <c r="C64" s="21" t="s">
        <v>79</v>
      </c>
      <c r="D64" s="21" t="s">
        <v>15</v>
      </c>
      <c r="E64" s="21" t="s">
        <v>18</v>
      </c>
      <c r="F64" s="21" t="s">
        <v>59</v>
      </c>
      <c r="G64" s="21" t="s">
        <v>21</v>
      </c>
      <c r="H64" s="21" t="s">
        <v>6</v>
      </c>
      <c r="I64" s="21" t="s">
        <v>24</v>
      </c>
      <c r="J64" s="21" t="s">
        <v>30</v>
      </c>
      <c r="K64" s="21" t="s">
        <v>169</v>
      </c>
      <c r="L64" s="21" t="s">
        <v>39</v>
      </c>
      <c r="M64" s="21" t="s">
        <v>64</v>
      </c>
    </row>
    <row r="65" spans="1:26" x14ac:dyDescent="0.2">
      <c r="A65" s="1493" t="s">
        <v>354</v>
      </c>
      <c r="B65" s="4">
        <v>-101054050000</v>
      </c>
      <c r="C65" s="4">
        <v>-74824130000</v>
      </c>
      <c r="D65" s="4">
        <v>-54205300000</v>
      </c>
      <c r="E65" s="4">
        <v>-44118000000</v>
      </c>
      <c r="F65" s="4">
        <v>-43258010000</v>
      </c>
      <c r="G65" s="4">
        <v>-42961050000</v>
      </c>
      <c r="H65" s="4">
        <v>-42955020000</v>
      </c>
      <c r="I65" s="4">
        <v>-34399480000</v>
      </c>
      <c r="J65" s="4">
        <v>-23721510000</v>
      </c>
      <c r="K65" s="4">
        <v>-20143140000</v>
      </c>
      <c r="L65" s="4">
        <v>-17727170000</v>
      </c>
      <c r="M65" s="4">
        <v>-17723270000</v>
      </c>
    </row>
    <row r="66" spans="1:26" x14ac:dyDescent="0.2">
      <c r="A66" s="1493" t="s">
        <v>353</v>
      </c>
      <c r="B66" s="21" t="s">
        <v>33</v>
      </c>
      <c r="C66" s="21" t="s">
        <v>17</v>
      </c>
      <c r="D66" s="21" t="s">
        <v>21</v>
      </c>
      <c r="E66" s="21" t="s">
        <v>39</v>
      </c>
      <c r="F66" s="21" t="s">
        <v>24</v>
      </c>
      <c r="G66" s="21" t="s">
        <v>64</v>
      </c>
      <c r="H66" s="21" t="s">
        <v>18</v>
      </c>
      <c r="I66" s="21" t="s">
        <v>27</v>
      </c>
      <c r="J66" s="21" t="s">
        <v>37</v>
      </c>
      <c r="K66" s="21" t="s">
        <v>58</v>
      </c>
      <c r="L66" s="21" t="s">
        <v>22</v>
      </c>
      <c r="M66" s="21" t="s">
        <v>30</v>
      </c>
    </row>
    <row r="67" spans="1:26" x14ac:dyDescent="0.2">
      <c r="A67" s="1493" t="s">
        <v>353</v>
      </c>
      <c r="B67" s="4">
        <v>-249565870000</v>
      </c>
      <c r="C67" s="4">
        <v>-124514560000</v>
      </c>
      <c r="D67" s="4">
        <v>-57213690000</v>
      </c>
      <c r="E67" s="752">
        <v>-52320350000</v>
      </c>
      <c r="F67" s="4">
        <v>-37629390000</v>
      </c>
      <c r="G67" s="4">
        <v>-36822080000</v>
      </c>
      <c r="H67" s="4">
        <v>-35259920000</v>
      </c>
      <c r="I67" s="4">
        <v>-30300850000</v>
      </c>
      <c r="J67" s="4">
        <v>-26190010000</v>
      </c>
      <c r="K67" s="4">
        <v>-25312450000</v>
      </c>
      <c r="L67" s="4">
        <v>-18923350000</v>
      </c>
      <c r="M67" s="4">
        <v>-16997950000</v>
      </c>
    </row>
    <row r="68" spans="1:26" x14ac:dyDescent="0.2">
      <c r="A68" s="1493" t="s">
        <v>352</v>
      </c>
      <c r="B68" s="21" t="s">
        <v>33</v>
      </c>
      <c r="C68" s="21" t="s">
        <v>17</v>
      </c>
      <c r="D68" s="21" t="s">
        <v>14</v>
      </c>
      <c r="E68" s="21" t="s">
        <v>30</v>
      </c>
      <c r="F68" s="21" t="s">
        <v>18</v>
      </c>
      <c r="G68" s="21" t="s">
        <v>24</v>
      </c>
      <c r="H68" s="21" t="s">
        <v>64</v>
      </c>
      <c r="I68" s="21" t="s">
        <v>63</v>
      </c>
      <c r="J68" s="21" t="s">
        <v>163</v>
      </c>
      <c r="K68" s="21" t="s">
        <v>13</v>
      </c>
      <c r="L68" s="21" t="s">
        <v>37</v>
      </c>
      <c r="M68" s="21" t="s">
        <v>59</v>
      </c>
    </row>
    <row r="69" spans="1:26" x14ac:dyDescent="0.2">
      <c r="A69" s="1493" t="s">
        <v>352</v>
      </c>
      <c r="B69" s="4">
        <v>-264887420000</v>
      </c>
      <c r="C69" s="4">
        <v>-128785140000</v>
      </c>
      <c r="D69" s="4">
        <v>-43917710000</v>
      </c>
      <c r="E69" s="4">
        <v>-38800490000</v>
      </c>
      <c r="F69" s="4">
        <v>-33127430000</v>
      </c>
      <c r="G69" s="4">
        <v>-33108950000</v>
      </c>
      <c r="H69" s="4">
        <v>-31848080000</v>
      </c>
      <c r="I69" s="4">
        <v>-24601847784</v>
      </c>
      <c r="J69" s="4">
        <v>-24104390000</v>
      </c>
      <c r="K69" s="4">
        <v>-21518320000</v>
      </c>
      <c r="L69" s="4">
        <v>-20994320000</v>
      </c>
      <c r="M69" s="4">
        <v>-17165130000</v>
      </c>
    </row>
    <row r="70" spans="1:26" x14ac:dyDescent="0.2">
      <c r="A70" s="1493" t="s">
        <v>347</v>
      </c>
      <c r="B70" s="21" t="s">
        <v>33</v>
      </c>
      <c r="C70" s="21" t="s">
        <v>58</v>
      </c>
      <c r="D70" s="21" t="s">
        <v>5</v>
      </c>
      <c r="E70" s="21" t="s">
        <v>59</v>
      </c>
      <c r="F70" s="21" t="s">
        <v>22</v>
      </c>
      <c r="G70" s="21" t="s">
        <v>15</v>
      </c>
      <c r="H70" s="21" t="s">
        <v>14</v>
      </c>
      <c r="I70" s="21" t="s">
        <v>271</v>
      </c>
      <c r="J70" s="21" t="s">
        <v>6</v>
      </c>
      <c r="K70" s="21" t="s">
        <v>17</v>
      </c>
      <c r="L70" s="21" t="s">
        <v>42</v>
      </c>
      <c r="M70" s="21" t="s">
        <v>69</v>
      </c>
    </row>
    <row r="71" spans="1:26" x14ac:dyDescent="0.2">
      <c r="A71" s="1493" t="s">
        <v>347</v>
      </c>
      <c r="B71" s="4">
        <v>-590406870000</v>
      </c>
      <c r="C71" s="749">
        <v>-64225380000</v>
      </c>
      <c r="D71" s="4">
        <v>-57913850000</v>
      </c>
      <c r="E71" s="4">
        <v>-57155700000</v>
      </c>
      <c r="F71" s="4">
        <v>-55803470000</v>
      </c>
      <c r="G71" s="4">
        <v>-54662440000</v>
      </c>
      <c r="H71" s="4">
        <v>-46701950000</v>
      </c>
      <c r="I71" s="750">
        <v>-40481130000</v>
      </c>
      <c r="J71" s="4">
        <v>-37045450000</v>
      </c>
      <c r="K71" s="4">
        <v>-34245210000</v>
      </c>
      <c r="L71" s="4">
        <v>-30231380000</v>
      </c>
      <c r="M71" s="4">
        <v>-29440700000</v>
      </c>
    </row>
    <row r="72" spans="1:26" x14ac:dyDescent="0.2">
      <c r="A72" s="1493" t="s">
        <v>346</v>
      </c>
      <c r="B72" s="21" t="s">
        <v>33</v>
      </c>
      <c r="C72" s="21" t="s">
        <v>6</v>
      </c>
      <c r="D72" s="21" t="s">
        <v>22</v>
      </c>
      <c r="E72" s="21" t="s">
        <v>14</v>
      </c>
      <c r="F72" s="21" t="s">
        <v>17</v>
      </c>
      <c r="G72" s="21" t="s">
        <v>15</v>
      </c>
      <c r="H72" s="21" t="s">
        <v>79</v>
      </c>
      <c r="I72" s="21" t="s">
        <v>180</v>
      </c>
      <c r="J72" s="21" t="s">
        <v>25</v>
      </c>
      <c r="K72" s="21" t="s">
        <v>169</v>
      </c>
      <c r="L72" s="21" t="s">
        <v>42</v>
      </c>
      <c r="M72" s="21" t="s">
        <v>26</v>
      </c>
      <c r="N72" s="1493" t="s">
        <v>396</v>
      </c>
      <c r="O72" s="21" t="s">
        <v>33</v>
      </c>
      <c r="P72" s="21" t="s">
        <v>14</v>
      </c>
      <c r="Q72" s="21" t="s">
        <v>6</v>
      </c>
      <c r="R72" s="21" t="s">
        <v>24</v>
      </c>
      <c r="S72" s="21" t="s">
        <v>22</v>
      </c>
      <c r="T72" s="21" t="s">
        <v>21</v>
      </c>
      <c r="U72" s="21" t="s">
        <v>15</v>
      </c>
      <c r="V72" s="21" t="s">
        <v>25</v>
      </c>
      <c r="W72" s="21" t="s">
        <v>79</v>
      </c>
      <c r="X72" s="21" t="s">
        <v>12</v>
      </c>
      <c r="Y72" s="21" t="s">
        <v>64</v>
      </c>
      <c r="Z72" s="21" t="s">
        <v>169</v>
      </c>
    </row>
    <row r="73" spans="1:26" x14ac:dyDescent="0.2">
      <c r="A73" s="1493" t="s">
        <v>346</v>
      </c>
      <c r="B73" s="4">
        <v>-227004180000</v>
      </c>
      <c r="C73" s="4">
        <v>-128562100000</v>
      </c>
      <c r="D73" s="4">
        <v>-84998280000</v>
      </c>
      <c r="E73" s="4">
        <v>-63403050000</v>
      </c>
      <c r="F73" s="4">
        <v>-42455690000</v>
      </c>
      <c r="G73" s="4">
        <v>-40841320000</v>
      </c>
      <c r="H73" s="4">
        <v>-39029660000</v>
      </c>
      <c r="I73" s="4">
        <v>-38525430000</v>
      </c>
      <c r="J73" s="4">
        <v>-33004310000</v>
      </c>
      <c r="K73" s="4">
        <v>-32565000000</v>
      </c>
      <c r="L73" s="4">
        <v>-29882150000</v>
      </c>
      <c r="M73" s="4">
        <v>-28954090000</v>
      </c>
      <c r="N73" s="1493" t="s">
        <v>396</v>
      </c>
      <c r="O73" s="4">
        <v>-1127042900000</v>
      </c>
      <c r="P73" s="4">
        <v>-399325520000</v>
      </c>
      <c r="Q73" s="4">
        <v>-378427200000</v>
      </c>
      <c r="R73" s="4">
        <v>-353907660000</v>
      </c>
      <c r="S73" s="4">
        <v>-341654910000</v>
      </c>
      <c r="T73" s="4">
        <v>-321637690000</v>
      </c>
      <c r="U73" s="4">
        <v>-268046470000</v>
      </c>
      <c r="V73" s="4">
        <v>-207813880000</v>
      </c>
      <c r="W73" s="4">
        <v>-195519020000</v>
      </c>
      <c r="X73" s="4">
        <v>-193587400000</v>
      </c>
      <c r="Y73" s="4">
        <v>-149231080000</v>
      </c>
      <c r="Z73" s="4">
        <v>-134559600000</v>
      </c>
    </row>
    <row r="74" spans="1:26" x14ac:dyDescent="0.2">
      <c r="A74" s="1493" t="s">
        <v>345</v>
      </c>
      <c r="B74" s="21" t="s">
        <v>33</v>
      </c>
      <c r="C74" s="21" t="s">
        <v>22</v>
      </c>
      <c r="D74" s="21" t="s">
        <v>24</v>
      </c>
      <c r="E74" s="21" t="s">
        <v>12</v>
      </c>
      <c r="F74" s="21" t="s">
        <v>79</v>
      </c>
      <c r="G74" s="21" t="s">
        <v>25</v>
      </c>
      <c r="H74" s="21" t="s">
        <v>265</v>
      </c>
      <c r="I74" s="21" t="s">
        <v>14</v>
      </c>
      <c r="J74" s="21" t="s">
        <v>42</v>
      </c>
      <c r="K74" s="21" t="s">
        <v>6</v>
      </c>
      <c r="L74" s="21" t="s">
        <v>87</v>
      </c>
      <c r="M74" s="21" t="s">
        <v>64</v>
      </c>
    </row>
    <row r="75" spans="1:26" x14ac:dyDescent="0.2">
      <c r="A75" s="1493" t="s">
        <v>345</v>
      </c>
      <c r="B75" s="4">
        <v>-265362030000</v>
      </c>
      <c r="C75" s="4">
        <v>-97680240000</v>
      </c>
      <c r="D75" s="4">
        <v>-92535680000</v>
      </c>
      <c r="E75" s="4">
        <v>-87609890000</v>
      </c>
      <c r="F75" s="4">
        <v>-68844880000</v>
      </c>
      <c r="G75" s="4">
        <v>-59746190000</v>
      </c>
      <c r="H75" s="745">
        <v>-58522210000</v>
      </c>
      <c r="I75" s="4">
        <v>-58055730000</v>
      </c>
      <c r="J75" s="4">
        <v>-47201210000</v>
      </c>
      <c r="K75" s="4">
        <v>-47101230000</v>
      </c>
      <c r="L75" s="4">
        <v>-38585750000</v>
      </c>
      <c r="M75" s="4">
        <v>-38051080000</v>
      </c>
    </row>
    <row r="76" spans="1:26" x14ac:dyDescent="0.2">
      <c r="A76" s="1493" t="s">
        <v>344</v>
      </c>
      <c r="B76" s="21" t="s">
        <v>33</v>
      </c>
      <c r="C76" s="21" t="s">
        <v>21</v>
      </c>
      <c r="D76" s="21" t="s">
        <v>15</v>
      </c>
      <c r="E76" s="21" t="s">
        <v>24</v>
      </c>
      <c r="F76" s="21" t="s">
        <v>6</v>
      </c>
      <c r="G76" s="21" t="s">
        <v>12</v>
      </c>
      <c r="H76" s="21" t="s">
        <v>79</v>
      </c>
      <c r="I76" s="21" t="s">
        <v>14</v>
      </c>
      <c r="J76" s="21" t="s">
        <v>64</v>
      </c>
      <c r="K76" s="21" t="s">
        <v>25</v>
      </c>
      <c r="L76" s="21" t="s">
        <v>86</v>
      </c>
      <c r="M76" s="21" t="s">
        <v>169</v>
      </c>
    </row>
    <row r="77" spans="1:26" x14ac:dyDescent="0.2">
      <c r="A77" s="1493" t="s">
        <v>344</v>
      </c>
      <c r="B77" s="4">
        <v>-221889090000</v>
      </c>
      <c r="C77" s="4">
        <v>-170392200000</v>
      </c>
      <c r="D77" s="4">
        <v>-139770490000</v>
      </c>
      <c r="E77" s="4">
        <v>-97559860000</v>
      </c>
      <c r="F77" s="4">
        <v>-97333740000</v>
      </c>
      <c r="G77" s="4">
        <v>-84457850000</v>
      </c>
      <c r="H77" s="4">
        <v>-76357500000</v>
      </c>
      <c r="I77" s="4">
        <v>-67111490000</v>
      </c>
      <c r="J77" s="4">
        <v>-66424810000</v>
      </c>
      <c r="K77" s="4">
        <v>-60993960000</v>
      </c>
      <c r="L77" s="4">
        <v>-60765400000</v>
      </c>
      <c r="M77" s="4">
        <v>-59409700000</v>
      </c>
    </row>
    <row r="78" spans="1:26" x14ac:dyDescent="0.2">
      <c r="A78" s="1493" t="s">
        <v>343</v>
      </c>
      <c r="B78" s="21" t="s">
        <v>33</v>
      </c>
      <c r="C78" s="21" t="s">
        <v>15</v>
      </c>
      <c r="D78" s="21" t="s">
        <v>25</v>
      </c>
      <c r="E78" s="21" t="s">
        <v>21</v>
      </c>
      <c r="F78" s="21" t="s">
        <v>17</v>
      </c>
      <c r="G78" s="21" t="s">
        <v>14</v>
      </c>
      <c r="H78" s="21" t="s">
        <v>24</v>
      </c>
      <c r="I78" s="21" t="s">
        <v>6</v>
      </c>
      <c r="J78" s="21" t="s">
        <v>62</v>
      </c>
      <c r="K78" s="21" t="s">
        <v>22</v>
      </c>
      <c r="L78" s="21" t="s">
        <v>28</v>
      </c>
      <c r="M78" s="21" t="s">
        <v>8</v>
      </c>
    </row>
    <row r="79" spans="1:26" x14ac:dyDescent="0.2">
      <c r="A79" s="1493" t="s">
        <v>343</v>
      </c>
      <c r="B79" s="4">
        <v>-301814110000</v>
      </c>
      <c r="C79" s="4">
        <v>-105590080000</v>
      </c>
      <c r="D79" s="4">
        <v>-82658530000</v>
      </c>
      <c r="E79" s="4">
        <v>-78132720000</v>
      </c>
      <c r="F79" s="4">
        <v>-76484560000</v>
      </c>
      <c r="G79" s="4">
        <v>-63331080000</v>
      </c>
      <c r="H79" s="4">
        <v>-56815490000</v>
      </c>
      <c r="I79" s="4">
        <v>-43789830000</v>
      </c>
      <c r="J79" s="4">
        <v>-38575550000</v>
      </c>
      <c r="K79" s="4">
        <v>-29037880000</v>
      </c>
      <c r="L79" s="4">
        <v>-28838960000</v>
      </c>
      <c r="M79" s="4">
        <v>-26358600000</v>
      </c>
    </row>
    <row r="80" spans="1:26" x14ac:dyDescent="0.2">
      <c r="A80" s="1493" t="s">
        <v>341</v>
      </c>
      <c r="B80" s="21" t="s">
        <v>14</v>
      </c>
      <c r="C80" s="21" t="s">
        <v>33</v>
      </c>
      <c r="D80" s="21" t="s">
        <v>24</v>
      </c>
      <c r="E80" s="21" t="s">
        <v>21</v>
      </c>
      <c r="F80" s="21" t="s">
        <v>59</v>
      </c>
      <c r="G80" s="21" t="s">
        <v>23</v>
      </c>
      <c r="H80" s="21" t="s">
        <v>8</v>
      </c>
      <c r="I80" s="21" t="s">
        <v>22</v>
      </c>
      <c r="J80" s="21" t="s">
        <v>6</v>
      </c>
      <c r="K80" s="21" t="s">
        <v>58</v>
      </c>
      <c r="L80" s="21" t="s">
        <v>27</v>
      </c>
      <c r="M80" s="21" t="s">
        <v>64</v>
      </c>
    </row>
    <row r="81" spans="1:26" x14ac:dyDescent="0.2">
      <c r="A81" s="1493" t="s">
        <v>341</v>
      </c>
      <c r="B81" s="4">
        <v>-147424170000</v>
      </c>
      <c r="C81" s="4">
        <v>-110973490000</v>
      </c>
      <c r="D81" s="4">
        <v>-101611390000</v>
      </c>
      <c r="E81" s="4">
        <v>-101583010000</v>
      </c>
      <c r="F81" s="4">
        <v>-101150290000</v>
      </c>
      <c r="G81" s="4">
        <v>-83893360000</v>
      </c>
      <c r="H81" s="4">
        <v>-80823800000</v>
      </c>
      <c r="I81" s="4">
        <v>-72620590000</v>
      </c>
      <c r="J81" s="4">
        <v>-61640300000</v>
      </c>
      <c r="K81" s="738">
        <v>-45546000000</v>
      </c>
      <c r="L81" s="4">
        <v>-33095920000</v>
      </c>
      <c r="M81" s="4">
        <v>-29254700000</v>
      </c>
    </row>
    <row r="82" spans="1:26" x14ac:dyDescent="0.2">
      <c r="A82" s="1493" t="s">
        <v>340</v>
      </c>
      <c r="B82" s="21" t="s">
        <v>33</v>
      </c>
      <c r="C82" s="21" t="s">
        <v>24</v>
      </c>
      <c r="D82" s="21" t="s">
        <v>17</v>
      </c>
      <c r="E82" s="21" t="s">
        <v>22</v>
      </c>
      <c r="F82" s="21" t="s">
        <v>64</v>
      </c>
      <c r="G82" s="21" t="s">
        <v>26</v>
      </c>
      <c r="H82" s="21" t="s">
        <v>6</v>
      </c>
      <c r="I82" s="21" t="s">
        <v>21</v>
      </c>
      <c r="J82" s="21" t="s">
        <v>9</v>
      </c>
      <c r="K82" s="21" t="s">
        <v>15</v>
      </c>
      <c r="L82" s="21" t="s">
        <v>79</v>
      </c>
      <c r="M82" s="21" t="s">
        <v>71</v>
      </c>
      <c r="N82" s="1493" t="s">
        <v>395</v>
      </c>
      <c r="O82" s="21" t="s">
        <v>33</v>
      </c>
      <c r="P82" s="21" t="s">
        <v>24</v>
      </c>
      <c r="Q82" s="21" t="s">
        <v>14</v>
      </c>
      <c r="R82" s="21" t="s">
        <v>21</v>
      </c>
      <c r="S82" s="21" t="s">
        <v>22</v>
      </c>
      <c r="T82" s="21" t="s">
        <v>12</v>
      </c>
      <c r="U82" s="21" t="s">
        <v>17</v>
      </c>
      <c r="V82" s="21" t="s">
        <v>64</v>
      </c>
      <c r="W82" s="21" t="s">
        <v>15</v>
      </c>
      <c r="X82" s="21" t="s">
        <v>6</v>
      </c>
      <c r="Y82" s="21" t="s">
        <v>79</v>
      </c>
      <c r="Z82" s="21" t="s">
        <v>18</v>
      </c>
    </row>
    <row r="83" spans="1:26" x14ac:dyDescent="0.2">
      <c r="A83" s="1493" t="s">
        <v>340</v>
      </c>
      <c r="B83" s="4">
        <v>-148494620000</v>
      </c>
      <c r="C83" s="4">
        <v>-122822250000</v>
      </c>
      <c r="D83" s="4">
        <v>-93085180000</v>
      </c>
      <c r="E83" s="4">
        <v>-71898990000</v>
      </c>
      <c r="F83" s="4">
        <v>-70287900000</v>
      </c>
      <c r="G83" s="733">
        <v>-53072350000</v>
      </c>
      <c r="H83" s="4">
        <v>-52169090000</v>
      </c>
      <c r="I83" s="4">
        <v>-48858700000</v>
      </c>
      <c r="J83" s="4">
        <v>-45109580000</v>
      </c>
      <c r="K83" s="4">
        <v>-33065410000</v>
      </c>
      <c r="L83" s="4">
        <v>-31413220000</v>
      </c>
      <c r="M83" s="4">
        <v>-29971970000</v>
      </c>
      <c r="N83" s="1493" t="s">
        <v>395</v>
      </c>
      <c r="O83" s="4">
        <v>-1797419160000</v>
      </c>
      <c r="P83" s="4">
        <v>-716027960000</v>
      </c>
      <c r="Q83" s="4">
        <v>-459757640000</v>
      </c>
      <c r="R83" s="4">
        <v>-419926980000</v>
      </c>
      <c r="S83" s="4">
        <v>-382201360000</v>
      </c>
      <c r="T83" s="4">
        <v>-289698710000</v>
      </c>
      <c r="U83" s="4">
        <v>-277125530000</v>
      </c>
      <c r="V83" s="4">
        <v>-222585530000</v>
      </c>
      <c r="W83" s="4">
        <v>-217601530000</v>
      </c>
      <c r="X83" s="4">
        <v>-196895620000</v>
      </c>
      <c r="Y83" s="4">
        <v>-182925370000</v>
      </c>
      <c r="Z83" s="4">
        <v>-130349310000</v>
      </c>
    </row>
    <row r="84" spans="1:26" x14ac:dyDescent="0.2">
      <c r="A84" s="1493" t="s">
        <v>338</v>
      </c>
      <c r="B84" s="21" t="s">
        <v>33</v>
      </c>
      <c r="C84" s="21" t="s">
        <v>24</v>
      </c>
      <c r="D84" s="21" t="s">
        <v>22</v>
      </c>
      <c r="E84" s="21" t="s">
        <v>14</v>
      </c>
      <c r="F84" s="21" t="s">
        <v>17</v>
      </c>
      <c r="G84" s="21" t="s">
        <v>21</v>
      </c>
      <c r="H84" s="21" t="s">
        <v>18</v>
      </c>
      <c r="I84" s="21" t="s">
        <v>12</v>
      </c>
      <c r="J84" s="21" t="s">
        <v>15</v>
      </c>
      <c r="K84" s="21" t="s">
        <v>64</v>
      </c>
      <c r="L84" s="21" t="s">
        <v>6</v>
      </c>
      <c r="M84" s="21" t="s">
        <v>79</v>
      </c>
    </row>
    <row r="85" spans="1:26" x14ac:dyDescent="0.2">
      <c r="A85" s="1493" t="s">
        <v>338</v>
      </c>
      <c r="B85" s="730">
        <v>-721628480000</v>
      </c>
      <c r="C85" s="4">
        <v>-130715930000</v>
      </c>
      <c r="D85" s="4">
        <v>-123244250000</v>
      </c>
      <c r="E85" s="4">
        <v>-117779770000</v>
      </c>
      <c r="F85" s="4">
        <v>-107575890000</v>
      </c>
      <c r="G85" s="4">
        <v>-74425550000</v>
      </c>
      <c r="H85" s="4">
        <v>-70664950000</v>
      </c>
      <c r="I85" s="4">
        <v>-64514330000</v>
      </c>
      <c r="J85" s="4">
        <v>-63473880000</v>
      </c>
      <c r="K85" s="4">
        <v>-54530510000</v>
      </c>
      <c r="L85" s="4">
        <v>-47779330000</v>
      </c>
      <c r="M85" s="4">
        <v>-45656520000</v>
      </c>
    </row>
    <row r="86" spans="1:26" x14ac:dyDescent="0.2">
      <c r="A86" s="1493" t="s">
        <v>334</v>
      </c>
      <c r="B86" s="21" t="s">
        <v>33</v>
      </c>
      <c r="C86" s="21" t="s">
        <v>24</v>
      </c>
      <c r="D86" s="21" t="s">
        <v>22</v>
      </c>
      <c r="E86" s="21" t="s">
        <v>21</v>
      </c>
      <c r="F86" s="21" t="s">
        <v>63</v>
      </c>
      <c r="G86" s="21" t="s">
        <v>15</v>
      </c>
      <c r="H86" s="21" t="s">
        <v>99</v>
      </c>
      <c r="I86" s="21" t="s">
        <v>69</v>
      </c>
      <c r="J86" s="21" t="s">
        <v>12</v>
      </c>
      <c r="K86" s="21" t="s">
        <v>64</v>
      </c>
      <c r="L86" s="21" t="s">
        <v>14</v>
      </c>
      <c r="M86" s="21" t="s">
        <v>66</v>
      </c>
    </row>
    <row r="87" spans="1:26" x14ac:dyDescent="0.2">
      <c r="A87" s="1493" t="s">
        <v>334</v>
      </c>
      <c r="B87" s="728">
        <v>-495294190000</v>
      </c>
      <c r="C87" s="4">
        <v>-184131520000</v>
      </c>
      <c r="D87" s="4">
        <v>-102093230000</v>
      </c>
      <c r="E87" s="4">
        <v>-89526900000</v>
      </c>
      <c r="F87" s="4">
        <v>-65899001583</v>
      </c>
      <c r="G87" s="4">
        <v>-60132620000</v>
      </c>
      <c r="H87" s="4">
        <v>-38662650000</v>
      </c>
      <c r="I87" s="4">
        <v>-28396880000</v>
      </c>
      <c r="J87" s="4">
        <v>-26199980000</v>
      </c>
      <c r="K87" s="4">
        <v>-21483140000</v>
      </c>
      <c r="L87" s="4">
        <v>-20754040000</v>
      </c>
      <c r="M87" s="4">
        <v>-14748830000</v>
      </c>
    </row>
    <row r="88" spans="1:26" x14ac:dyDescent="0.2">
      <c r="A88" s="1493" t="s">
        <v>332</v>
      </c>
      <c r="B88" s="21" t="s">
        <v>33</v>
      </c>
      <c r="C88" s="21" t="s">
        <v>24</v>
      </c>
      <c r="D88" s="21" t="s">
        <v>14</v>
      </c>
      <c r="E88" s="21" t="s">
        <v>79</v>
      </c>
      <c r="F88" s="21" t="s">
        <v>21</v>
      </c>
      <c r="G88" s="21" t="s">
        <v>17</v>
      </c>
      <c r="H88" s="21" t="s">
        <v>12</v>
      </c>
      <c r="I88" s="21" t="s">
        <v>22</v>
      </c>
      <c r="J88" s="21" t="s">
        <v>15</v>
      </c>
      <c r="K88" s="21" t="s">
        <v>23</v>
      </c>
      <c r="L88" s="21" t="s">
        <v>64</v>
      </c>
      <c r="M88" s="21" t="s">
        <v>6</v>
      </c>
    </row>
    <row r="89" spans="1:26" x14ac:dyDescent="0.2">
      <c r="A89" s="1493" t="s">
        <v>332</v>
      </c>
      <c r="B89" s="4">
        <v>-259990770000</v>
      </c>
      <c r="C89" s="4">
        <v>-214070890000</v>
      </c>
      <c r="D89" s="727">
        <v>-203879690000</v>
      </c>
      <c r="E89" s="4">
        <v>-118842320000</v>
      </c>
      <c r="F89" s="4">
        <v>-107060030000</v>
      </c>
      <c r="G89" s="4">
        <v>-101540750000</v>
      </c>
      <c r="H89" s="4">
        <v>-84441160000</v>
      </c>
      <c r="I89" s="4">
        <v>-69722400000</v>
      </c>
      <c r="J89" s="4">
        <v>-65633370000</v>
      </c>
      <c r="K89" s="4">
        <v>-63193490000</v>
      </c>
      <c r="L89" s="4">
        <v>-62457660000</v>
      </c>
      <c r="M89" s="4">
        <v>-44563770000</v>
      </c>
    </row>
    <row r="90" spans="1:26" x14ac:dyDescent="0.2">
      <c r="A90" s="1493" t="s">
        <v>331</v>
      </c>
      <c r="B90" s="21" t="s">
        <v>33</v>
      </c>
      <c r="C90" s="21" t="s">
        <v>14</v>
      </c>
      <c r="D90" s="21" t="s">
        <v>21</v>
      </c>
      <c r="E90" s="21" t="s">
        <v>12</v>
      </c>
      <c r="F90" s="21" t="s">
        <v>5</v>
      </c>
      <c r="G90" s="21" t="s">
        <v>24</v>
      </c>
      <c r="H90" s="21" t="s">
        <v>6</v>
      </c>
      <c r="I90" s="21" t="s">
        <v>39</v>
      </c>
      <c r="J90" s="21" t="s">
        <v>70</v>
      </c>
      <c r="K90" s="21" t="s">
        <v>9</v>
      </c>
      <c r="L90" s="21" t="s">
        <v>25</v>
      </c>
      <c r="M90" s="21" t="s">
        <v>19</v>
      </c>
    </row>
    <row r="91" spans="1:26" x14ac:dyDescent="0.2">
      <c r="A91" s="1493" t="s">
        <v>331</v>
      </c>
      <c r="B91" s="4">
        <v>-172011100000</v>
      </c>
      <c r="C91" s="4">
        <v>-118243680000</v>
      </c>
      <c r="D91" s="4">
        <v>-100055800000</v>
      </c>
      <c r="E91" s="4">
        <v>-92565970000</v>
      </c>
      <c r="F91" s="4">
        <v>-83678850000</v>
      </c>
      <c r="G91" s="4">
        <v>-64287370000</v>
      </c>
      <c r="H91" s="4">
        <v>-47067690000</v>
      </c>
      <c r="I91" s="725">
        <v>-39860110000</v>
      </c>
      <c r="J91" s="4">
        <v>-35589810000</v>
      </c>
      <c r="K91" s="4">
        <v>-29328860000</v>
      </c>
      <c r="L91" s="4">
        <v>-29139180000</v>
      </c>
      <c r="M91" s="726">
        <v>-24881270000</v>
      </c>
    </row>
    <row r="92" spans="1:26" x14ac:dyDescent="0.2">
      <c r="A92" s="1493" t="s">
        <v>327</v>
      </c>
      <c r="B92" s="21" t="s">
        <v>13</v>
      </c>
      <c r="C92" s="21" t="s">
        <v>14</v>
      </c>
      <c r="D92" s="21" t="s">
        <v>36</v>
      </c>
      <c r="E92" s="21" t="s">
        <v>15</v>
      </c>
      <c r="F92" s="21" t="s">
        <v>24</v>
      </c>
      <c r="G92" s="21" t="s">
        <v>17</v>
      </c>
      <c r="H92" s="21" t="s">
        <v>302</v>
      </c>
      <c r="I92" s="21" t="s">
        <v>12</v>
      </c>
      <c r="J92" s="21" t="s">
        <v>30</v>
      </c>
      <c r="K92" s="21" t="s">
        <v>59</v>
      </c>
      <c r="L92" s="21" t="s">
        <v>33</v>
      </c>
      <c r="M92" s="21" t="s">
        <v>22</v>
      </c>
      <c r="N92" s="1493" t="s">
        <v>394</v>
      </c>
      <c r="O92" s="21" t="s">
        <v>17</v>
      </c>
      <c r="P92" s="21" t="s">
        <v>33</v>
      </c>
      <c r="Q92" s="21" t="s">
        <v>24</v>
      </c>
      <c r="R92" s="21" t="s">
        <v>79</v>
      </c>
      <c r="S92" s="21" t="s">
        <v>67</v>
      </c>
      <c r="T92" s="21" t="s">
        <v>6</v>
      </c>
      <c r="U92" s="21" t="s">
        <v>15</v>
      </c>
      <c r="V92" s="21" t="s">
        <v>22</v>
      </c>
      <c r="W92" s="21" t="s">
        <v>12</v>
      </c>
      <c r="X92" s="21" t="s">
        <v>30</v>
      </c>
      <c r="Y92" s="21" t="s">
        <v>64</v>
      </c>
      <c r="Z92" s="21" t="s">
        <v>58</v>
      </c>
    </row>
    <row r="93" spans="1:26" x14ac:dyDescent="0.2">
      <c r="A93" s="1493" t="s">
        <v>327</v>
      </c>
      <c r="B93" s="4">
        <v>-76863420000</v>
      </c>
      <c r="C93" s="4">
        <v>-70378350000</v>
      </c>
      <c r="D93" s="722">
        <v>-64840560000</v>
      </c>
      <c r="E93" s="4">
        <v>-51698360000</v>
      </c>
      <c r="F93" s="4">
        <v>-46084000000</v>
      </c>
      <c r="G93" s="4">
        <v>-31706390000</v>
      </c>
      <c r="H93" s="723">
        <v>-28859070000</v>
      </c>
      <c r="I93" s="4">
        <v>-26069780000</v>
      </c>
      <c r="J93" s="4">
        <v>-26041170000</v>
      </c>
      <c r="K93" s="4">
        <v>-25418440000</v>
      </c>
      <c r="L93" s="4">
        <v>-24934650000</v>
      </c>
      <c r="M93" s="4">
        <v>-23633000000</v>
      </c>
      <c r="N93" s="1493" t="s">
        <v>394</v>
      </c>
      <c r="O93" s="4">
        <v>-477163365778</v>
      </c>
      <c r="P93" s="4">
        <v>-312939242093</v>
      </c>
      <c r="Q93" s="4">
        <v>-284488954622</v>
      </c>
      <c r="R93" s="4">
        <v>-251930838093</v>
      </c>
      <c r="S93" s="4">
        <v>-194075685669</v>
      </c>
      <c r="T93" s="4">
        <v>-180132130000</v>
      </c>
      <c r="U93" s="4">
        <v>-144341923332</v>
      </c>
      <c r="V93" s="4">
        <v>-122490564715</v>
      </c>
      <c r="W93" s="4">
        <v>-116749159932</v>
      </c>
      <c r="X93" s="4">
        <v>-110080740000</v>
      </c>
      <c r="Y93" s="4">
        <v>-73534837092</v>
      </c>
      <c r="Z93" s="4">
        <v>-72368870000</v>
      </c>
    </row>
    <row r="94" spans="1:26" x14ac:dyDescent="0.2">
      <c r="A94" s="1493" t="s">
        <v>324</v>
      </c>
      <c r="B94" s="21" t="s">
        <v>33</v>
      </c>
      <c r="C94" s="21" t="s">
        <v>79</v>
      </c>
      <c r="D94" s="21" t="s">
        <v>17</v>
      </c>
      <c r="E94" s="21" t="s">
        <v>21</v>
      </c>
      <c r="F94" s="21" t="s">
        <v>15</v>
      </c>
      <c r="G94" s="21" t="s">
        <v>14</v>
      </c>
      <c r="H94" s="21" t="s">
        <v>67</v>
      </c>
      <c r="I94" s="21" t="s">
        <v>25</v>
      </c>
      <c r="J94" s="21" t="s">
        <v>263</v>
      </c>
      <c r="K94" s="21" t="s">
        <v>24</v>
      </c>
      <c r="L94" s="21" t="s">
        <v>64</v>
      </c>
      <c r="M94" s="21" t="s">
        <v>22</v>
      </c>
    </row>
    <row r="95" spans="1:26" x14ac:dyDescent="0.2">
      <c r="A95" s="1493" t="s">
        <v>324</v>
      </c>
      <c r="B95" s="4">
        <v>-223841312093</v>
      </c>
      <c r="C95" s="4">
        <v>-115855488093</v>
      </c>
      <c r="D95" s="4">
        <v>-91816155778</v>
      </c>
      <c r="E95" s="4">
        <v>-72684407222</v>
      </c>
      <c r="F95" s="4">
        <v>-67684513332</v>
      </c>
      <c r="G95" s="4">
        <v>-54726843906</v>
      </c>
      <c r="H95" s="4">
        <v>-54235505669</v>
      </c>
      <c r="I95" s="4">
        <v>-46766090149</v>
      </c>
      <c r="J95" s="4">
        <v>-42853467878</v>
      </c>
      <c r="K95" s="4">
        <v>-41960074622</v>
      </c>
      <c r="L95" s="4">
        <v>-36643877092</v>
      </c>
      <c r="M95" s="4">
        <v>-34370604715</v>
      </c>
    </row>
    <row r="96" spans="1:26" x14ac:dyDescent="0.2">
      <c r="A96" s="1493" t="s">
        <v>323</v>
      </c>
      <c r="B96" s="21" t="s">
        <v>17</v>
      </c>
      <c r="C96" s="21" t="s">
        <v>67</v>
      </c>
      <c r="D96" s="21" t="s">
        <v>24</v>
      </c>
      <c r="E96" s="21" t="s">
        <v>33</v>
      </c>
      <c r="F96" s="21" t="s">
        <v>58</v>
      </c>
      <c r="G96" s="21" t="s">
        <v>22</v>
      </c>
      <c r="H96" s="21" t="s">
        <v>15</v>
      </c>
      <c r="I96" s="21" t="s">
        <v>28</v>
      </c>
      <c r="J96" s="21" t="s">
        <v>69</v>
      </c>
      <c r="K96" s="21" t="s">
        <v>302</v>
      </c>
      <c r="L96" s="21" t="s">
        <v>27</v>
      </c>
      <c r="M96" s="21" t="s">
        <v>12</v>
      </c>
    </row>
    <row r="97" spans="1:26" x14ac:dyDescent="0.2">
      <c r="A97" s="1493" t="s">
        <v>323</v>
      </c>
      <c r="B97" s="4">
        <v>-137693770000</v>
      </c>
      <c r="C97" s="719">
        <v>-83357910000</v>
      </c>
      <c r="D97" s="4">
        <v>-73748710000</v>
      </c>
      <c r="E97" s="4">
        <v>-60949090000</v>
      </c>
      <c r="F97" s="720">
        <v>-37308670000</v>
      </c>
      <c r="G97" s="4">
        <v>-28046780000</v>
      </c>
      <c r="H97" s="4">
        <v>-24291450000</v>
      </c>
      <c r="I97" s="4">
        <v>-20506140000</v>
      </c>
      <c r="J97" s="4">
        <v>-14571050000</v>
      </c>
      <c r="K97" s="4">
        <v>-14197380000</v>
      </c>
      <c r="L97" s="4">
        <v>-13483740000</v>
      </c>
      <c r="M97" s="4">
        <v>-10325620000</v>
      </c>
    </row>
    <row r="98" spans="1:26" x14ac:dyDescent="0.2">
      <c r="A98" s="1493" t="s">
        <v>321</v>
      </c>
      <c r="B98" s="21" t="s">
        <v>17</v>
      </c>
      <c r="C98" s="21" t="s">
        <v>6</v>
      </c>
      <c r="D98" s="21" t="s">
        <v>24</v>
      </c>
      <c r="E98" s="21" t="s">
        <v>67</v>
      </c>
      <c r="F98" s="21" t="s">
        <v>15</v>
      </c>
      <c r="G98" s="21" t="s">
        <v>63</v>
      </c>
      <c r="H98" s="21" t="s">
        <v>86</v>
      </c>
      <c r="I98" s="21" t="s">
        <v>70</v>
      </c>
      <c r="J98" s="21" t="s">
        <v>22</v>
      </c>
      <c r="K98" s="21" t="s">
        <v>26</v>
      </c>
      <c r="L98" s="21" t="s">
        <v>64</v>
      </c>
      <c r="M98" s="21" t="s">
        <v>30</v>
      </c>
    </row>
    <row r="99" spans="1:26" x14ac:dyDescent="0.2">
      <c r="A99" s="1493" t="s">
        <v>321</v>
      </c>
      <c r="B99" s="4">
        <v>-86209290000</v>
      </c>
      <c r="C99" s="4">
        <v>-77995440000</v>
      </c>
      <c r="D99" s="4">
        <v>-66447960000</v>
      </c>
      <c r="E99" s="4">
        <v>-41711990000</v>
      </c>
      <c r="F99" s="4">
        <v>-30968510000</v>
      </c>
      <c r="G99" s="4">
        <v>-29736559815</v>
      </c>
      <c r="H99" s="4">
        <v>-29073450000</v>
      </c>
      <c r="I99" s="4">
        <v>-27337080000</v>
      </c>
      <c r="J99" s="4">
        <v>-25614040000</v>
      </c>
      <c r="K99" s="4">
        <v>-23483740000</v>
      </c>
      <c r="L99" s="4">
        <v>-22281710000</v>
      </c>
      <c r="M99" s="4">
        <v>-20756370000</v>
      </c>
    </row>
    <row r="100" spans="1:26" x14ac:dyDescent="0.2">
      <c r="A100" s="1493" t="s">
        <v>317</v>
      </c>
      <c r="B100" s="21" t="s">
        <v>17</v>
      </c>
      <c r="C100" s="21" t="s">
        <v>33</v>
      </c>
      <c r="D100" s="21" t="s">
        <v>79</v>
      </c>
      <c r="E100" s="21" t="s">
        <v>12</v>
      </c>
      <c r="F100" s="21" t="s">
        <v>24</v>
      </c>
      <c r="G100" s="21" t="s">
        <v>6</v>
      </c>
      <c r="H100" s="21" t="s">
        <v>40</v>
      </c>
      <c r="I100" s="21" t="s">
        <v>30</v>
      </c>
      <c r="J100" s="21" t="s">
        <v>36</v>
      </c>
      <c r="K100" s="21" t="s">
        <v>58</v>
      </c>
      <c r="L100" s="21" t="s">
        <v>19</v>
      </c>
      <c r="M100" s="21" t="s">
        <v>163</v>
      </c>
    </row>
    <row r="101" spans="1:26" x14ac:dyDescent="0.2">
      <c r="A101" s="1493" t="s">
        <v>317</v>
      </c>
      <c r="B101" s="4">
        <v>-129737760000</v>
      </c>
      <c r="C101" s="4">
        <v>-101754380000</v>
      </c>
      <c r="D101" s="4">
        <v>-99458120000</v>
      </c>
      <c r="E101" s="4">
        <v>-86581080000</v>
      </c>
      <c r="F101" s="4">
        <v>-56248210000</v>
      </c>
      <c r="G101" s="4">
        <v>-48179950000</v>
      </c>
      <c r="H101" s="714">
        <v>-41845190000</v>
      </c>
      <c r="I101" s="4">
        <v>-34838020000</v>
      </c>
      <c r="J101" s="4">
        <v>-34161680000</v>
      </c>
      <c r="K101" s="715">
        <v>-33297420000</v>
      </c>
      <c r="L101" s="716">
        <v>-28798090000</v>
      </c>
      <c r="M101" s="4">
        <v>-28757970000</v>
      </c>
    </row>
    <row r="102" spans="1:26" x14ac:dyDescent="0.2">
      <c r="A102" s="1493" t="s">
        <v>309</v>
      </c>
      <c r="B102" s="21" t="s">
        <v>24</v>
      </c>
      <c r="C102" s="21" t="s">
        <v>12</v>
      </c>
      <c r="D102" s="21" t="s">
        <v>17</v>
      </c>
      <c r="E102" s="21" t="s">
        <v>21</v>
      </c>
      <c r="F102" s="21" t="s">
        <v>263</v>
      </c>
      <c r="G102" s="21" t="s">
        <v>35</v>
      </c>
      <c r="H102" s="21" t="s">
        <v>22</v>
      </c>
      <c r="I102" s="21" t="s">
        <v>6</v>
      </c>
      <c r="J102" s="21" t="s">
        <v>5</v>
      </c>
      <c r="K102" s="21" t="s">
        <v>65</v>
      </c>
      <c r="L102" s="21" t="s">
        <v>64</v>
      </c>
      <c r="M102" s="21" t="s">
        <v>30</v>
      </c>
      <c r="N102" s="1493" t="s">
        <v>393</v>
      </c>
      <c r="O102" s="21" t="s">
        <v>18</v>
      </c>
      <c r="P102" s="21" t="s">
        <v>24</v>
      </c>
      <c r="Q102" s="21" t="s">
        <v>21</v>
      </c>
      <c r="R102" s="21" t="s">
        <v>6</v>
      </c>
      <c r="S102" s="21" t="s">
        <v>14</v>
      </c>
      <c r="T102" s="21" t="s">
        <v>12</v>
      </c>
      <c r="U102" s="21" t="s">
        <v>17</v>
      </c>
      <c r="V102" s="21" t="s">
        <v>59</v>
      </c>
      <c r="W102" s="21" t="s">
        <v>22</v>
      </c>
      <c r="X102" s="21" t="s">
        <v>35</v>
      </c>
      <c r="Y102" s="21" t="s">
        <v>5</v>
      </c>
      <c r="Z102" s="21" t="s">
        <v>64</v>
      </c>
    </row>
    <row r="103" spans="1:26" x14ac:dyDescent="0.2">
      <c r="A103" s="1493" t="s">
        <v>309</v>
      </c>
      <c r="B103" s="4">
        <v>-674077800000</v>
      </c>
      <c r="C103" s="711">
        <v>-256790900000</v>
      </c>
      <c r="D103" s="4">
        <v>-129609020000</v>
      </c>
      <c r="E103" s="4">
        <v>-100134500000</v>
      </c>
      <c r="F103" s="712">
        <v>-82791735776</v>
      </c>
      <c r="G103" s="4">
        <v>-75634800000</v>
      </c>
      <c r="H103" s="4">
        <v>-71506670000</v>
      </c>
      <c r="I103" s="4">
        <v>-41110730000</v>
      </c>
      <c r="J103" s="4">
        <v>-31046630000</v>
      </c>
      <c r="K103" s="4">
        <v>-30661180000</v>
      </c>
      <c r="L103" s="4">
        <v>-29431170000</v>
      </c>
      <c r="M103" s="4">
        <v>-25755330000</v>
      </c>
      <c r="N103" s="1493" t="s">
        <v>393</v>
      </c>
      <c r="O103" s="4">
        <v>-1006409970000</v>
      </c>
      <c r="P103" s="4">
        <v>-825479330000</v>
      </c>
      <c r="Q103" s="4">
        <v>-467771780000</v>
      </c>
      <c r="R103" s="4">
        <v>-437875310000</v>
      </c>
      <c r="S103" s="4">
        <v>-401351620000</v>
      </c>
      <c r="T103" s="4">
        <v>-388901950000</v>
      </c>
      <c r="U103" s="4">
        <v>-328616510000</v>
      </c>
      <c r="V103" s="4">
        <v>-287680780000</v>
      </c>
      <c r="W103" s="4">
        <v>-276945840000</v>
      </c>
      <c r="X103" s="4">
        <v>-275160610000</v>
      </c>
      <c r="Y103" s="4">
        <v>-270252420000</v>
      </c>
      <c r="Z103" s="4">
        <v>-197766380000</v>
      </c>
    </row>
    <row r="104" spans="1:26" x14ac:dyDescent="0.2">
      <c r="A104" s="1493" t="s">
        <v>305</v>
      </c>
      <c r="B104" s="21" t="s">
        <v>35</v>
      </c>
      <c r="C104" s="21" t="s">
        <v>33</v>
      </c>
      <c r="D104" s="21" t="s">
        <v>6</v>
      </c>
      <c r="E104" s="21" t="s">
        <v>12</v>
      </c>
      <c r="F104" s="21" t="s">
        <v>22</v>
      </c>
      <c r="G104" s="21" t="s">
        <v>21</v>
      </c>
      <c r="H104" s="21" t="s">
        <v>18</v>
      </c>
      <c r="I104" s="21" t="s">
        <v>5</v>
      </c>
      <c r="J104" s="21" t="s">
        <v>17</v>
      </c>
      <c r="K104" s="21" t="s">
        <v>36</v>
      </c>
      <c r="L104" s="21" t="s">
        <v>59</v>
      </c>
      <c r="M104" s="21" t="s">
        <v>25</v>
      </c>
    </row>
    <row r="105" spans="1:26" x14ac:dyDescent="0.2">
      <c r="A105" s="1493" t="s">
        <v>305</v>
      </c>
      <c r="B105" s="708">
        <v>-218914600000</v>
      </c>
      <c r="C105" s="4">
        <v>-202647190000</v>
      </c>
      <c r="D105" s="4">
        <v>-176963200000</v>
      </c>
      <c r="E105" s="709">
        <v>-112905280000</v>
      </c>
      <c r="F105" s="4">
        <v>-100471270000</v>
      </c>
      <c r="G105" s="4">
        <v>-90093530000</v>
      </c>
      <c r="H105" s="4">
        <v>-81462650000</v>
      </c>
      <c r="I105" s="4">
        <v>-73091600000</v>
      </c>
      <c r="J105" s="4">
        <v>-68857490000</v>
      </c>
      <c r="K105" s="710">
        <v>-63288240000</v>
      </c>
      <c r="L105" s="4">
        <v>-63015020000</v>
      </c>
      <c r="M105" s="4">
        <v>-53225350000</v>
      </c>
    </row>
    <row r="106" spans="1:26" x14ac:dyDescent="0.2">
      <c r="A106" s="1493" t="s">
        <v>260</v>
      </c>
      <c r="B106" s="21" t="s">
        <v>18</v>
      </c>
      <c r="C106" s="21" t="s">
        <v>14</v>
      </c>
      <c r="D106" s="21" t="s">
        <v>6</v>
      </c>
      <c r="E106" s="21" t="s">
        <v>59</v>
      </c>
      <c r="F106" s="21" t="s">
        <v>5</v>
      </c>
      <c r="G106" s="21" t="s">
        <v>21</v>
      </c>
      <c r="H106" s="21" t="s">
        <v>23</v>
      </c>
      <c r="I106" s="21" t="s">
        <v>22</v>
      </c>
      <c r="J106" s="21" t="s">
        <v>64</v>
      </c>
      <c r="K106" s="21" t="s">
        <v>15</v>
      </c>
      <c r="L106" s="21" t="s">
        <v>24</v>
      </c>
      <c r="M106" s="21" t="s">
        <v>17</v>
      </c>
    </row>
    <row r="107" spans="1:26" x14ac:dyDescent="0.2">
      <c r="A107" s="1493" t="s">
        <v>260</v>
      </c>
      <c r="B107" s="4">
        <v>-335752850000</v>
      </c>
      <c r="C107" s="705">
        <v>-231061130000</v>
      </c>
      <c r="D107" s="4">
        <v>-188108080000</v>
      </c>
      <c r="E107" s="706">
        <v>-109278270000</v>
      </c>
      <c r="F107" s="4">
        <v>-104055990000</v>
      </c>
      <c r="G107" s="4">
        <v>-100875810000</v>
      </c>
      <c r="H107" s="4">
        <v>-73342110000</v>
      </c>
      <c r="I107" s="4">
        <v>-59450940000</v>
      </c>
      <c r="J107" s="4">
        <v>-52791470000</v>
      </c>
      <c r="K107" s="4">
        <v>-52260180000</v>
      </c>
      <c r="L107" s="4">
        <v>-44783470000</v>
      </c>
      <c r="M107" s="4">
        <v>-44781400000</v>
      </c>
    </row>
    <row r="108" spans="1:26" x14ac:dyDescent="0.2">
      <c r="A108" s="1493" t="s">
        <v>259</v>
      </c>
      <c r="B108" s="21" t="s">
        <v>18</v>
      </c>
      <c r="C108" s="21" t="s">
        <v>21</v>
      </c>
      <c r="D108" s="21" t="s">
        <v>14</v>
      </c>
      <c r="E108" s="21" t="s">
        <v>23</v>
      </c>
      <c r="F108" s="21" t="s">
        <v>64</v>
      </c>
      <c r="G108" s="21" t="s">
        <v>59</v>
      </c>
      <c r="H108" s="21" t="s">
        <v>86</v>
      </c>
      <c r="I108" s="21" t="s">
        <v>24</v>
      </c>
      <c r="J108" s="21" t="s">
        <v>38</v>
      </c>
      <c r="K108" s="21" t="s">
        <v>5</v>
      </c>
      <c r="L108" s="21" t="s">
        <v>6</v>
      </c>
      <c r="M108" s="21" t="s">
        <v>17</v>
      </c>
    </row>
    <row r="109" spans="1:26" x14ac:dyDescent="0.2">
      <c r="A109" s="1493" t="s">
        <v>259</v>
      </c>
      <c r="B109" s="703">
        <v>-464735810000</v>
      </c>
      <c r="C109" s="4">
        <v>-123869610000</v>
      </c>
      <c r="D109" s="4">
        <v>-93744550000</v>
      </c>
      <c r="E109" s="4">
        <v>-58546430000</v>
      </c>
      <c r="F109" s="4">
        <v>-53301890000</v>
      </c>
      <c r="G109" s="4">
        <v>-47851590000</v>
      </c>
      <c r="H109" s="4">
        <v>-43408490000</v>
      </c>
      <c r="I109" s="4">
        <v>-41803380000</v>
      </c>
      <c r="J109" s="4">
        <v>-37237190000</v>
      </c>
      <c r="K109" s="4">
        <v>-36542560000</v>
      </c>
      <c r="L109" s="4">
        <v>-32486770000</v>
      </c>
      <c r="M109" s="4">
        <v>-30663400000</v>
      </c>
    </row>
    <row r="110" spans="1:26" x14ac:dyDescent="0.2">
      <c r="A110" s="1493" t="s">
        <v>258</v>
      </c>
      <c r="B110" s="21" t="s">
        <v>18</v>
      </c>
      <c r="C110" s="21" t="s">
        <v>14</v>
      </c>
      <c r="D110" s="21" t="s">
        <v>59</v>
      </c>
      <c r="E110" s="21" t="s">
        <v>17</v>
      </c>
      <c r="F110" s="21" t="s">
        <v>21</v>
      </c>
      <c r="G110" s="21" t="s">
        <v>180</v>
      </c>
      <c r="H110" s="21" t="s">
        <v>9</v>
      </c>
      <c r="I110" s="21" t="s">
        <v>24</v>
      </c>
      <c r="J110" s="21" t="s">
        <v>65</v>
      </c>
      <c r="K110" s="21" t="s">
        <v>61</v>
      </c>
      <c r="L110" s="21" t="s">
        <v>15</v>
      </c>
      <c r="M110" s="21" t="s">
        <v>22</v>
      </c>
    </row>
    <row r="111" spans="1:26" x14ac:dyDescent="0.2">
      <c r="A111" s="1493" t="s">
        <v>258</v>
      </c>
      <c r="B111" s="4">
        <v>-109072070000</v>
      </c>
      <c r="C111" s="4">
        <v>-74121520000</v>
      </c>
      <c r="D111" s="4">
        <v>-62901470000</v>
      </c>
      <c r="E111" s="4">
        <v>-54705200000</v>
      </c>
      <c r="F111" s="4">
        <v>-52798330000</v>
      </c>
      <c r="G111" s="4">
        <v>-46972200000</v>
      </c>
      <c r="H111" s="4">
        <v>-40593720000</v>
      </c>
      <c r="I111" s="4">
        <v>-37891920000</v>
      </c>
      <c r="J111" s="4">
        <v>-36981440000</v>
      </c>
      <c r="K111" s="699">
        <v>-35874770000</v>
      </c>
      <c r="L111" s="4">
        <v>-32452730000</v>
      </c>
      <c r="M111" s="4">
        <v>-30467590000</v>
      </c>
    </row>
    <row r="112" spans="1:26" x14ac:dyDescent="0.2">
      <c r="A112" s="1493" t="s">
        <v>257</v>
      </c>
      <c r="B112" s="21" t="s">
        <v>33</v>
      </c>
      <c r="C112" s="21" t="s">
        <v>17</v>
      </c>
      <c r="D112" s="21" t="s">
        <v>35</v>
      </c>
      <c r="E112" s="21" t="s">
        <v>24</v>
      </c>
      <c r="F112" s="21" t="s">
        <v>5</v>
      </c>
      <c r="G112" s="21" t="s">
        <v>65</v>
      </c>
      <c r="H112" s="21" t="s">
        <v>11</v>
      </c>
      <c r="I112" s="21" t="s">
        <v>22</v>
      </c>
      <c r="J112" s="21" t="s">
        <v>21</v>
      </c>
      <c r="K112" s="21" t="s">
        <v>18</v>
      </c>
      <c r="L112" s="21" t="s">
        <v>67</v>
      </c>
      <c r="M112" s="21" t="s">
        <v>64</v>
      </c>
      <c r="N112" s="1493" t="s">
        <v>392</v>
      </c>
      <c r="O112" s="21" t="s">
        <v>33</v>
      </c>
      <c r="P112" s="21" t="s">
        <v>24</v>
      </c>
      <c r="Q112" s="21" t="s">
        <v>63</v>
      </c>
      <c r="R112" s="21" t="s">
        <v>21</v>
      </c>
      <c r="S112" s="21" t="s">
        <v>99</v>
      </c>
      <c r="T112" s="21" t="s">
        <v>64</v>
      </c>
      <c r="U112" s="21" t="s">
        <v>15</v>
      </c>
      <c r="V112" s="21" t="s">
        <v>6</v>
      </c>
      <c r="W112" s="21" t="s">
        <v>22</v>
      </c>
      <c r="X112" s="21" t="s">
        <v>5</v>
      </c>
      <c r="Y112" s="21" t="s">
        <v>12</v>
      </c>
      <c r="Z112" s="21" t="s">
        <v>17</v>
      </c>
    </row>
    <row r="113" spans="1:26" x14ac:dyDescent="0.2">
      <c r="A113" s="1493" t="s">
        <v>257</v>
      </c>
      <c r="B113" s="696">
        <v>-355307980000</v>
      </c>
      <c r="C113" s="4">
        <v>-131876110000</v>
      </c>
      <c r="D113" s="697">
        <v>-112955840000</v>
      </c>
      <c r="E113" s="4">
        <v>-101784470000</v>
      </c>
      <c r="F113" s="4">
        <v>-99262380000</v>
      </c>
      <c r="G113" s="4">
        <v>-91521650000</v>
      </c>
      <c r="H113" s="4">
        <v>-71990410000</v>
      </c>
      <c r="I113" s="4">
        <v>-57838840000</v>
      </c>
      <c r="J113" s="4">
        <v>-56965980000</v>
      </c>
      <c r="K113" s="4">
        <v>-52037880000</v>
      </c>
      <c r="L113" s="698">
        <v>-43732760000</v>
      </c>
      <c r="M113" s="4">
        <v>-41864010000</v>
      </c>
      <c r="N113" s="1493" t="s">
        <v>392</v>
      </c>
      <c r="O113" s="4">
        <v>-666450270000</v>
      </c>
      <c r="P113" s="4">
        <v>-656774080000</v>
      </c>
      <c r="Q113" s="4">
        <v>-546451469851</v>
      </c>
      <c r="R113" s="4">
        <v>-369774470000</v>
      </c>
      <c r="S113" s="4">
        <v>-300876630000</v>
      </c>
      <c r="T113" s="4">
        <v>-262338050000</v>
      </c>
      <c r="U113" s="4">
        <v>-222327690000</v>
      </c>
      <c r="V113" s="4">
        <v>-207817130000</v>
      </c>
      <c r="W113" s="4">
        <v>-187672230000</v>
      </c>
      <c r="X113" s="4">
        <v>-170679410000</v>
      </c>
      <c r="Y113" s="4">
        <v>-157903350000</v>
      </c>
      <c r="Z113" s="4">
        <v>-149432070000</v>
      </c>
    </row>
    <row r="114" spans="1:26" x14ac:dyDescent="0.2">
      <c r="A114" s="1493" t="s">
        <v>256</v>
      </c>
      <c r="B114" s="21" t="s">
        <v>33</v>
      </c>
      <c r="C114" s="21" t="s">
        <v>24</v>
      </c>
      <c r="D114" s="21" t="s">
        <v>6</v>
      </c>
      <c r="E114" s="21" t="s">
        <v>30</v>
      </c>
      <c r="F114" s="21" t="s">
        <v>23</v>
      </c>
      <c r="G114" s="21" t="s">
        <v>163</v>
      </c>
      <c r="H114" s="21" t="s">
        <v>64</v>
      </c>
      <c r="I114" s="21" t="s">
        <v>69</v>
      </c>
      <c r="J114" s="21" t="s">
        <v>11</v>
      </c>
      <c r="K114" s="21" t="s">
        <v>263</v>
      </c>
      <c r="L114" s="21" t="s">
        <v>22</v>
      </c>
      <c r="M114" s="21" t="s">
        <v>19</v>
      </c>
    </row>
    <row r="115" spans="1:26" x14ac:dyDescent="0.2">
      <c r="A115" s="1493" t="s">
        <v>256</v>
      </c>
      <c r="B115" s="693">
        <v>-187151180000</v>
      </c>
      <c r="C115" s="4">
        <v>-81418360000</v>
      </c>
      <c r="D115" s="4">
        <v>-67586100000</v>
      </c>
      <c r="E115" s="4">
        <v>-37896080000</v>
      </c>
      <c r="F115" s="4">
        <v>-34553110000</v>
      </c>
      <c r="G115" s="4">
        <v>-25873370000</v>
      </c>
      <c r="H115" s="4">
        <v>-25620110000</v>
      </c>
      <c r="I115" s="4">
        <v>-23431020000</v>
      </c>
      <c r="J115" s="4">
        <v>-19251160000</v>
      </c>
      <c r="K115" s="4">
        <v>-18929961972</v>
      </c>
      <c r="L115" s="4">
        <v>-18288910000</v>
      </c>
      <c r="M115" s="694">
        <v>-17941670000</v>
      </c>
    </row>
    <row r="116" spans="1:26" x14ac:dyDescent="0.2">
      <c r="A116" s="1493" t="s">
        <v>255</v>
      </c>
      <c r="B116" s="21" t="s">
        <v>24</v>
      </c>
      <c r="C116" s="21" t="s">
        <v>64</v>
      </c>
      <c r="D116" s="21" t="s">
        <v>14</v>
      </c>
      <c r="E116" s="21" t="s">
        <v>21</v>
      </c>
      <c r="F116" s="21" t="s">
        <v>33</v>
      </c>
      <c r="G116" s="21" t="s">
        <v>63</v>
      </c>
      <c r="H116" s="21" t="s">
        <v>85</v>
      </c>
      <c r="I116" s="21" t="s">
        <v>22</v>
      </c>
      <c r="J116" s="21" t="s">
        <v>5</v>
      </c>
      <c r="K116" s="21" t="s">
        <v>15</v>
      </c>
      <c r="L116" s="21" t="s">
        <v>12</v>
      </c>
      <c r="M116" s="21" t="s">
        <v>99</v>
      </c>
    </row>
    <row r="117" spans="1:26" x14ac:dyDescent="0.2">
      <c r="A117" s="1493" t="s">
        <v>255</v>
      </c>
      <c r="B117" s="4">
        <v>-126959910000</v>
      </c>
      <c r="C117" s="4">
        <v>-114711950000</v>
      </c>
      <c r="D117" s="4">
        <v>-81049560000</v>
      </c>
      <c r="E117" s="4">
        <v>-79379830000</v>
      </c>
      <c r="F117" s="690">
        <v>-75925710000</v>
      </c>
      <c r="G117" s="4">
        <v>-71556755514</v>
      </c>
      <c r="H117" s="691">
        <v>-55611390000</v>
      </c>
      <c r="I117" s="4">
        <v>-55026300000</v>
      </c>
      <c r="J117" s="4">
        <v>-42973030000</v>
      </c>
      <c r="K117" s="4">
        <v>-42898830000</v>
      </c>
      <c r="L117" s="4">
        <v>-41987300000</v>
      </c>
      <c r="M117" s="4">
        <v>-38916310000</v>
      </c>
    </row>
    <row r="118" spans="1:26" x14ac:dyDescent="0.2">
      <c r="A118" s="1493" t="s">
        <v>254</v>
      </c>
      <c r="B118" s="21" t="s">
        <v>63</v>
      </c>
      <c r="C118" s="21" t="s">
        <v>99</v>
      </c>
      <c r="D118" s="21" t="s">
        <v>24</v>
      </c>
      <c r="E118" s="21" t="s">
        <v>21</v>
      </c>
      <c r="F118" s="21" t="s">
        <v>12</v>
      </c>
      <c r="G118" s="21" t="s">
        <v>79</v>
      </c>
      <c r="H118" s="21" t="s">
        <v>15</v>
      </c>
      <c r="I118" s="21" t="s">
        <v>64</v>
      </c>
      <c r="J118" s="21" t="s">
        <v>6</v>
      </c>
      <c r="K118" s="21" t="s">
        <v>33</v>
      </c>
      <c r="L118" s="21" t="s">
        <v>163</v>
      </c>
      <c r="M118" s="21" t="s">
        <v>22</v>
      </c>
    </row>
    <row r="119" spans="1:26" x14ac:dyDescent="0.2">
      <c r="A119" s="1493" t="s">
        <v>254</v>
      </c>
      <c r="B119" s="686">
        <v>-371213929700</v>
      </c>
      <c r="C119" s="687">
        <v>-192735790000</v>
      </c>
      <c r="D119" s="4">
        <v>-141619600000</v>
      </c>
      <c r="E119" s="4">
        <v>-90566510000</v>
      </c>
      <c r="F119" s="688">
        <v>-81316570000</v>
      </c>
      <c r="G119" s="4">
        <v>-78610560000</v>
      </c>
      <c r="H119" s="4">
        <v>-76474070000</v>
      </c>
      <c r="I119" s="4">
        <v>-53164440000</v>
      </c>
      <c r="J119" s="4">
        <v>-45584250000</v>
      </c>
      <c r="K119" s="4">
        <v>-44404250000</v>
      </c>
      <c r="L119" s="4">
        <v>-34311330000</v>
      </c>
      <c r="M119" s="4">
        <v>-32182450000</v>
      </c>
    </row>
    <row r="120" spans="1:26" x14ac:dyDescent="0.2">
      <c r="A120" s="1493" t="s">
        <v>253</v>
      </c>
      <c r="B120" s="21" t="s">
        <v>24</v>
      </c>
      <c r="C120" s="21" t="s">
        <v>21</v>
      </c>
      <c r="D120" s="21" t="s">
        <v>17</v>
      </c>
      <c r="E120" s="21" t="s">
        <v>63</v>
      </c>
      <c r="F120" s="21" t="s">
        <v>15</v>
      </c>
      <c r="G120" s="21" t="s">
        <v>14</v>
      </c>
      <c r="H120" s="21" t="s">
        <v>18</v>
      </c>
      <c r="I120" s="21" t="s">
        <v>99</v>
      </c>
      <c r="J120" s="21" t="s">
        <v>169</v>
      </c>
      <c r="K120" s="21" t="s">
        <v>6</v>
      </c>
      <c r="L120" s="21" t="s">
        <v>42</v>
      </c>
      <c r="M120" s="21" t="s">
        <v>40</v>
      </c>
    </row>
    <row r="121" spans="1:26" x14ac:dyDescent="0.2">
      <c r="A121" s="1493" t="s">
        <v>253</v>
      </c>
      <c r="B121" s="4">
        <v>-204991740000</v>
      </c>
      <c r="C121" s="4">
        <v>-152774080000</v>
      </c>
      <c r="D121" s="4">
        <v>-105607400000</v>
      </c>
      <c r="E121" s="682">
        <v>-98238534878</v>
      </c>
      <c r="F121" s="4">
        <v>-90410210000</v>
      </c>
      <c r="G121" s="4">
        <v>-71336940000</v>
      </c>
      <c r="H121" s="4">
        <v>-65364310000</v>
      </c>
      <c r="I121" s="4">
        <v>-43230750000</v>
      </c>
      <c r="J121" s="4">
        <v>-40391430000</v>
      </c>
      <c r="K121" s="4">
        <v>-37246790000</v>
      </c>
      <c r="L121" s="4">
        <v>-31925280000</v>
      </c>
      <c r="M121" s="683">
        <v>-29878580000</v>
      </c>
    </row>
    <row r="122" spans="1:26" x14ac:dyDescent="0.2">
      <c r="A122" s="1493" t="s">
        <v>252</v>
      </c>
      <c r="B122" s="21" t="s">
        <v>24</v>
      </c>
      <c r="C122" s="21" t="s">
        <v>21</v>
      </c>
      <c r="D122" s="21" t="s">
        <v>33</v>
      </c>
      <c r="E122" s="21" t="s">
        <v>17</v>
      </c>
      <c r="F122" s="21" t="s">
        <v>22</v>
      </c>
      <c r="G122" s="21" t="s">
        <v>15</v>
      </c>
      <c r="H122" s="21" t="s">
        <v>99</v>
      </c>
      <c r="I122" s="21" t="s">
        <v>63</v>
      </c>
      <c r="J122" s="21" t="s">
        <v>18</v>
      </c>
      <c r="K122" s="21" t="s">
        <v>163</v>
      </c>
      <c r="L122" s="21" t="s">
        <v>59</v>
      </c>
      <c r="M122" s="21" t="s">
        <v>25</v>
      </c>
      <c r="N122" s="1493" t="s">
        <v>391</v>
      </c>
      <c r="O122" s="21" t="s">
        <v>24</v>
      </c>
      <c r="P122" s="21" t="s">
        <v>18</v>
      </c>
      <c r="Q122" s="21" t="s">
        <v>15</v>
      </c>
      <c r="R122" s="21" t="s">
        <v>99</v>
      </c>
      <c r="S122" s="21" t="s">
        <v>12</v>
      </c>
      <c r="T122" s="21" t="s">
        <v>35</v>
      </c>
      <c r="U122" s="21" t="s">
        <v>63</v>
      </c>
      <c r="V122" s="21" t="s">
        <v>70</v>
      </c>
      <c r="W122" s="21" t="s">
        <v>22</v>
      </c>
      <c r="X122" s="21" t="s">
        <v>30</v>
      </c>
      <c r="Y122" s="21" t="s">
        <v>9</v>
      </c>
      <c r="Z122" s="21" t="s">
        <v>163</v>
      </c>
    </row>
    <row r="123" spans="1:26" x14ac:dyDescent="0.2">
      <c r="A123" s="1493" t="s">
        <v>252</v>
      </c>
      <c r="B123" s="4">
        <v>-148146080000</v>
      </c>
      <c r="C123" s="4">
        <v>-72804320000</v>
      </c>
      <c r="D123" s="678">
        <v>-66013810000</v>
      </c>
      <c r="E123" s="4">
        <v>-58242420000</v>
      </c>
      <c r="F123" s="4">
        <v>-45662520000</v>
      </c>
      <c r="G123" s="4">
        <v>-44907920000</v>
      </c>
      <c r="H123" s="4">
        <v>-40558280000</v>
      </c>
      <c r="I123" s="4">
        <v>-40313047011</v>
      </c>
      <c r="J123" s="4">
        <v>-37368380000</v>
      </c>
      <c r="K123" s="4">
        <v>-36796970000</v>
      </c>
      <c r="L123" s="4">
        <v>-34184450000</v>
      </c>
      <c r="M123" s="4">
        <v>-33894770000</v>
      </c>
      <c r="N123" s="1493" t="s">
        <v>391</v>
      </c>
      <c r="O123" s="4">
        <v>-756865117531</v>
      </c>
      <c r="P123" s="4">
        <v>-410444755450</v>
      </c>
      <c r="Q123" s="4">
        <v>-273353771394</v>
      </c>
      <c r="R123" s="4">
        <v>-182978841144</v>
      </c>
      <c r="S123" s="4">
        <v>-166380756987</v>
      </c>
      <c r="T123" s="4">
        <v>-160010011168</v>
      </c>
      <c r="U123" s="4">
        <v>-150938559151</v>
      </c>
      <c r="V123" s="4">
        <v>-142972855225</v>
      </c>
      <c r="W123" s="4">
        <v>-132576932163</v>
      </c>
      <c r="X123" s="4">
        <v>-124904335392</v>
      </c>
      <c r="Y123" s="4">
        <v>-123059070733</v>
      </c>
      <c r="Z123" s="4">
        <v>-109150682836</v>
      </c>
    </row>
    <row r="124" spans="1:26" x14ac:dyDescent="0.2">
      <c r="A124" s="1493" t="s">
        <v>251</v>
      </c>
      <c r="B124" s="21" t="s">
        <v>24</v>
      </c>
      <c r="C124" s="21" t="s">
        <v>70</v>
      </c>
      <c r="D124" s="21" t="s">
        <v>35</v>
      </c>
      <c r="E124" s="21" t="s">
        <v>18</v>
      </c>
      <c r="F124" s="21" t="s">
        <v>37</v>
      </c>
      <c r="G124" s="21" t="s">
        <v>263</v>
      </c>
      <c r="H124" s="21" t="s">
        <v>15</v>
      </c>
      <c r="I124" s="21" t="s">
        <v>12</v>
      </c>
      <c r="J124" s="21" t="s">
        <v>33</v>
      </c>
      <c r="K124" s="21" t="s">
        <v>99</v>
      </c>
      <c r="L124" s="21" t="s">
        <v>25</v>
      </c>
      <c r="M124" s="21" t="s">
        <v>63</v>
      </c>
    </row>
    <row r="125" spans="1:26" x14ac:dyDescent="0.2">
      <c r="A125" s="1493" t="s">
        <v>251</v>
      </c>
      <c r="B125" s="4">
        <v>-192719460428</v>
      </c>
      <c r="C125" s="4">
        <v>-104634645225</v>
      </c>
      <c r="D125" s="675">
        <v>-88220525348</v>
      </c>
      <c r="E125" s="4">
        <v>-72616630000</v>
      </c>
      <c r="F125" s="4">
        <v>-47434720000</v>
      </c>
      <c r="G125" s="676">
        <v>-36898528796</v>
      </c>
      <c r="H125" s="4">
        <v>-35382780000</v>
      </c>
      <c r="I125" s="4">
        <v>-32730126987</v>
      </c>
      <c r="J125" s="4">
        <v>-32377965401</v>
      </c>
      <c r="K125" s="4">
        <v>-21150680000</v>
      </c>
      <c r="L125" s="4">
        <v>-18752226496</v>
      </c>
      <c r="M125" s="4">
        <v>-18374636680</v>
      </c>
    </row>
    <row r="126" spans="1:26" x14ac:dyDescent="0.2">
      <c r="A126" s="1493" t="s">
        <v>250</v>
      </c>
      <c r="B126" s="21" t="s">
        <v>24</v>
      </c>
      <c r="C126" s="21" t="s">
        <v>18</v>
      </c>
      <c r="D126" s="21" t="s">
        <v>23</v>
      </c>
      <c r="E126" s="21" t="s">
        <v>9</v>
      </c>
      <c r="F126" s="21" t="s">
        <v>12</v>
      </c>
      <c r="G126" s="21" t="s">
        <v>79</v>
      </c>
      <c r="H126" s="21" t="s">
        <v>99</v>
      </c>
      <c r="I126" s="21" t="s">
        <v>22</v>
      </c>
      <c r="J126" s="21" t="s">
        <v>263</v>
      </c>
      <c r="K126" s="21" t="s">
        <v>163</v>
      </c>
      <c r="L126" s="21" t="s">
        <v>63</v>
      </c>
      <c r="M126" s="21" t="s">
        <v>30</v>
      </c>
    </row>
    <row r="127" spans="1:26" x14ac:dyDescent="0.2">
      <c r="A127" s="1493" t="s">
        <v>250</v>
      </c>
      <c r="B127" s="4">
        <v>-142567540000</v>
      </c>
      <c r="C127" s="4">
        <v>-139482180000</v>
      </c>
      <c r="D127" s="4">
        <v>-44708180000</v>
      </c>
      <c r="E127" s="4">
        <v>-40861760000</v>
      </c>
      <c r="F127" s="4">
        <v>-38677330000</v>
      </c>
      <c r="G127" s="4">
        <v>-35871820000</v>
      </c>
      <c r="H127" s="4">
        <v>-32298990000</v>
      </c>
      <c r="I127" s="4">
        <v>-28334220000</v>
      </c>
      <c r="J127" s="4">
        <v>-24878795445</v>
      </c>
      <c r="K127" s="4">
        <v>-23054840000</v>
      </c>
      <c r="L127" s="4">
        <v>-22724042318</v>
      </c>
      <c r="M127" s="4">
        <v>-21921090000</v>
      </c>
    </row>
    <row r="128" spans="1:26" x14ac:dyDescent="0.2">
      <c r="A128" s="1493" t="s">
        <v>249</v>
      </c>
      <c r="B128" s="21" t="s">
        <v>24</v>
      </c>
      <c r="C128" s="21" t="s">
        <v>15</v>
      </c>
      <c r="D128" s="21" t="s">
        <v>14</v>
      </c>
      <c r="E128" s="21" t="s">
        <v>23</v>
      </c>
      <c r="F128" s="21" t="s">
        <v>99</v>
      </c>
      <c r="G128" s="21" t="s">
        <v>79</v>
      </c>
      <c r="H128" s="21" t="s">
        <v>163</v>
      </c>
      <c r="I128" s="21" t="s">
        <v>18</v>
      </c>
      <c r="J128" s="21" t="s">
        <v>13</v>
      </c>
      <c r="K128" s="21" t="s">
        <v>64</v>
      </c>
      <c r="L128" s="21" t="s">
        <v>9</v>
      </c>
      <c r="M128" s="21" t="s">
        <v>22</v>
      </c>
    </row>
    <row r="129" spans="1:26" x14ac:dyDescent="0.2">
      <c r="A129" s="1493" t="s">
        <v>249</v>
      </c>
      <c r="B129" s="4">
        <v>-148369267103</v>
      </c>
      <c r="C129" s="4">
        <v>-100405140000</v>
      </c>
      <c r="D129" s="4">
        <v>-93988350000</v>
      </c>
      <c r="E129" s="4">
        <v>-77115828415</v>
      </c>
      <c r="F129" s="4">
        <v>-60445660000</v>
      </c>
      <c r="G129" s="4">
        <v>-59048070000</v>
      </c>
      <c r="H129" s="4">
        <v>-56256930000</v>
      </c>
      <c r="I129" s="4">
        <v>-52728470000</v>
      </c>
      <c r="J129" s="4">
        <v>-52187760000</v>
      </c>
      <c r="K129" s="4">
        <v>-51547240788</v>
      </c>
      <c r="L129" s="4">
        <v>-49293870000</v>
      </c>
      <c r="M129" s="4">
        <v>-47405272789</v>
      </c>
    </row>
    <row r="130" spans="1:26" x14ac:dyDescent="0.2">
      <c r="A130" s="1493" t="s">
        <v>248</v>
      </c>
      <c r="B130" s="21" t="s">
        <v>24</v>
      </c>
      <c r="C130" s="21" t="s">
        <v>18</v>
      </c>
      <c r="D130" s="21" t="s">
        <v>15</v>
      </c>
      <c r="E130" s="21" t="s">
        <v>29</v>
      </c>
      <c r="F130" s="21" t="s">
        <v>13</v>
      </c>
      <c r="G130" s="21" t="s">
        <v>63</v>
      </c>
      <c r="H130" s="21" t="s">
        <v>59</v>
      </c>
      <c r="I130" s="21" t="s">
        <v>37</v>
      </c>
      <c r="J130" s="21" t="s">
        <v>163</v>
      </c>
      <c r="K130" s="21" t="s">
        <v>12</v>
      </c>
      <c r="L130" s="21" t="s">
        <v>89</v>
      </c>
      <c r="M130" s="21" t="s">
        <v>28</v>
      </c>
    </row>
    <row r="131" spans="1:26" x14ac:dyDescent="0.2">
      <c r="A131" s="1493" t="s">
        <v>248</v>
      </c>
      <c r="B131" s="4">
        <v>-125062770000</v>
      </c>
      <c r="C131" s="4">
        <v>-108249095450</v>
      </c>
      <c r="D131" s="4">
        <v>-74108541394</v>
      </c>
      <c r="E131" s="4">
        <v>-59925864716</v>
      </c>
      <c r="F131" s="4">
        <v>-55803783239</v>
      </c>
      <c r="G131" s="669">
        <v>-53587079357</v>
      </c>
      <c r="H131" s="4">
        <v>-47400040793</v>
      </c>
      <c r="I131" s="4">
        <v>-41845951351</v>
      </c>
      <c r="J131" s="4">
        <v>-39655740000</v>
      </c>
      <c r="K131" s="4">
        <v>-37018550000</v>
      </c>
      <c r="L131" s="4">
        <v>-33255120000</v>
      </c>
      <c r="M131" s="4">
        <v>-31208659206</v>
      </c>
    </row>
    <row r="132" spans="1:26" x14ac:dyDescent="0.2">
      <c r="A132" s="1493" t="s">
        <v>247</v>
      </c>
      <c r="B132" s="21" t="s">
        <v>24</v>
      </c>
      <c r="C132" s="21" t="s">
        <v>25</v>
      </c>
      <c r="D132" s="21" t="s">
        <v>15</v>
      </c>
      <c r="E132" s="21" t="s">
        <v>33</v>
      </c>
      <c r="F132" s="21" t="s">
        <v>9</v>
      </c>
      <c r="G132" s="21" t="s">
        <v>22</v>
      </c>
      <c r="H132" s="21" t="s">
        <v>36</v>
      </c>
      <c r="I132" s="21" t="s">
        <v>13</v>
      </c>
      <c r="J132" s="21" t="s">
        <v>65</v>
      </c>
      <c r="K132" s="21" t="s">
        <v>12</v>
      </c>
      <c r="L132" s="21" t="s">
        <v>262</v>
      </c>
      <c r="M132" s="21" t="s">
        <v>18</v>
      </c>
      <c r="N132" s="1493" t="s">
        <v>390</v>
      </c>
      <c r="O132" s="21" t="s">
        <v>24</v>
      </c>
      <c r="P132" s="21" t="s">
        <v>79</v>
      </c>
      <c r="Q132" s="21" t="s">
        <v>59</v>
      </c>
      <c r="R132" s="21" t="s">
        <v>25</v>
      </c>
      <c r="S132" s="21" t="s">
        <v>36</v>
      </c>
      <c r="T132" s="21" t="s">
        <v>22</v>
      </c>
      <c r="U132" s="21" t="s">
        <v>15</v>
      </c>
      <c r="V132" s="21" t="s">
        <v>13</v>
      </c>
      <c r="W132" s="21" t="s">
        <v>9</v>
      </c>
      <c r="X132" s="21" t="s">
        <v>169</v>
      </c>
      <c r="Y132" s="21" t="s">
        <v>18</v>
      </c>
      <c r="Z132" s="21" t="s">
        <v>42</v>
      </c>
    </row>
    <row r="133" spans="1:26" x14ac:dyDescent="0.2">
      <c r="A133" s="1493" t="s">
        <v>247</v>
      </c>
      <c r="B133" s="4">
        <v>-192940930000</v>
      </c>
      <c r="C133" s="4">
        <v>-61108050000</v>
      </c>
      <c r="D133" s="4">
        <v>-55175230000</v>
      </c>
      <c r="E133" s="667">
        <v>-49772520000</v>
      </c>
      <c r="F133" s="4">
        <v>-46928650000</v>
      </c>
      <c r="G133" s="4">
        <v>-44581760000</v>
      </c>
      <c r="H133" s="4">
        <v>-30644590000</v>
      </c>
      <c r="I133" s="4">
        <v>-30353590000</v>
      </c>
      <c r="J133" s="4">
        <v>-28181600000</v>
      </c>
      <c r="K133" s="4">
        <v>-25141480000</v>
      </c>
      <c r="L133" s="4">
        <v>-19765550000</v>
      </c>
      <c r="M133" s="4">
        <v>-19042860000</v>
      </c>
      <c r="N133" s="1493" t="s">
        <v>390</v>
      </c>
      <c r="O133" s="4">
        <v>-2503113620000</v>
      </c>
      <c r="P133" s="4">
        <v>-379435340000</v>
      </c>
      <c r="Q133" s="4">
        <v>-249959660000</v>
      </c>
      <c r="R133" s="4">
        <v>-186758800000</v>
      </c>
      <c r="S133" s="4">
        <v>-169563380000</v>
      </c>
      <c r="T133" s="4">
        <v>-151437650000</v>
      </c>
      <c r="U133" s="4">
        <v>-151003060000</v>
      </c>
      <c r="V133" s="4">
        <v>-126613200000</v>
      </c>
      <c r="W133" s="4">
        <v>-113198580000</v>
      </c>
      <c r="X133" s="4">
        <v>-111721880000</v>
      </c>
      <c r="Y133" s="4">
        <v>-84133050000</v>
      </c>
      <c r="Z133" s="4">
        <v>-83328940000</v>
      </c>
    </row>
    <row r="134" spans="1:26" x14ac:dyDescent="0.2">
      <c r="A134" s="1493" t="s">
        <v>243</v>
      </c>
      <c r="B134" s="21" t="s">
        <v>24</v>
      </c>
      <c r="C134" s="21" t="s">
        <v>25</v>
      </c>
      <c r="D134" s="21" t="s">
        <v>169</v>
      </c>
      <c r="E134" s="21" t="s">
        <v>79</v>
      </c>
      <c r="F134" s="21" t="s">
        <v>59</v>
      </c>
      <c r="G134" s="21" t="s">
        <v>9</v>
      </c>
      <c r="H134" s="21" t="s">
        <v>89</v>
      </c>
      <c r="I134" s="21" t="s">
        <v>71</v>
      </c>
      <c r="J134" s="21" t="s">
        <v>6</v>
      </c>
      <c r="K134" s="21" t="s">
        <v>11</v>
      </c>
      <c r="L134" s="21" t="s">
        <v>186</v>
      </c>
      <c r="M134" s="21" t="s">
        <v>36</v>
      </c>
    </row>
    <row r="135" spans="1:26" x14ac:dyDescent="0.2">
      <c r="A135" s="1493" t="s">
        <v>243</v>
      </c>
      <c r="B135" s="663">
        <v>-1250918830000</v>
      </c>
      <c r="C135" s="4">
        <v>-136838790000</v>
      </c>
      <c r="D135" s="664">
        <v>-101054980000</v>
      </c>
      <c r="E135" s="4">
        <v>-67460830000</v>
      </c>
      <c r="F135" s="4">
        <v>-64103700000</v>
      </c>
      <c r="G135" s="4">
        <v>-61660700000</v>
      </c>
      <c r="H135" s="4">
        <v>-39415280000</v>
      </c>
      <c r="I135" s="4">
        <v>-30328480000</v>
      </c>
      <c r="J135" s="4">
        <v>-29647040000</v>
      </c>
      <c r="K135" s="4">
        <v>-29576400000</v>
      </c>
      <c r="L135" s="665">
        <v>-27616610000</v>
      </c>
      <c r="M135" s="4">
        <v>-26437500000</v>
      </c>
    </row>
    <row r="136" spans="1:26" x14ac:dyDescent="0.2">
      <c r="A136" s="1493" t="s">
        <v>242</v>
      </c>
      <c r="B136" s="21" t="s">
        <v>24</v>
      </c>
      <c r="C136" s="21" t="s">
        <v>79</v>
      </c>
      <c r="D136" s="21" t="s">
        <v>70</v>
      </c>
      <c r="E136" s="21" t="s">
        <v>22</v>
      </c>
      <c r="F136" s="21" t="s">
        <v>18</v>
      </c>
      <c r="G136" s="21" t="s">
        <v>36</v>
      </c>
      <c r="H136" s="21" t="s">
        <v>15</v>
      </c>
      <c r="I136" s="21" t="s">
        <v>13</v>
      </c>
      <c r="J136" s="21" t="s">
        <v>180</v>
      </c>
      <c r="K136" s="21" t="s">
        <v>71</v>
      </c>
      <c r="L136" s="21" t="s">
        <v>88</v>
      </c>
      <c r="M136" s="21" t="s">
        <v>163</v>
      </c>
    </row>
    <row r="137" spans="1:26" x14ac:dyDescent="0.2">
      <c r="A137" s="1493" t="s">
        <v>242</v>
      </c>
      <c r="B137" s="658">
        <v>-926748340000</v>
      </c>
      <c r="C137" s="659">
        <v>-219331790000</v>
      </c>
      <c r="D137" s="4">
        <v>-72060740000</v>
      </c>
      <c r="E137" s="4">
        <v>-50843330000</v>
      </c>
      <c r="F137" s="4">
        <v>-45113450000</v>
      </c>
      <c r="G137" s="660">
        <v>-43637050000</v>
      </c>
      <c r="H137" s="4">
        <v>-35298780000</v>
      </c>
      <c r="I137" s="4">
        <v>-30499190000</v>
      </c>
      <c r="J137" s="4">
        <v>-30097550000</v>
      </c>
      <c r="K137" s="4">
        <v>-29158710000</v>
      </c>
      <c r="L137" s="4">
        <v>-25311740000</v>
      </c>
      <c r="M137" s="4">
        <v>-21784280000</v>
      </c>
    </row>
    <row r="138" spans="1:26" x14ac:dyDescent="0.2">
      <c r="A138" s="1493" t="s">
        <v>241</v>
      </c>
      <c r="B138" s="21" t="s">
        <v>79</v>
      </c>
      <c r="C138" s="21" t="s">
        <v>24</v>
      </c>
      <c r="D138" s="21" t="s">
        <v>59</v>
      </c>
      <c r="E138" s="21" t="s">
        <v>36</v>
      </c>
      <c r="F138" s="21" t="s">
        <v>35</v>
      </c>
      <c r="G138" s="21" t="s">
        <v>22</v>
      </c>
      <c r="H138" s="21" t="s">
        <v>27</v>
      </c>
      <c r="I138" s="21" t="s">
        <v>97</v>
      </c>
      <c r="J138" s="21" t="s">
        <v>163</v>
      </c>
      <c r="K138" s="21" t="s">
        <v>28</v>
      </c>
      <c r="L138" s="21" t="s">
        <v>15</v>
      </c>
      <c r="M138" s="21" t="s">
        <v>13</v>
      </c>
    </row>
    <row r="139" spans="1:26" x14ac:dyDescent="0.2">
      <c r="A139" s="1493" t="s">
        <v>241</v>
      </c>
      <c r="B139" s="4">
        <v>-100559040000</v>
      </c>
      <c r="C139" s="4">
        <v>-68740880000</v>
      </c>
      <c r="D139" s="4">
        <v>-50213240000</v>
      </c>
      <c r="E139" s="4">
        <v>-27978600000</v>
      </c>
      <c r="F139" s="656">
        <v>-26277870000</v>
      </c>
      <c r="G139" s="4">
        <v>-23289570000</v>
      </c>
      <c r="H139" s="4">
        <v>-22576090000</v>
      </c>
      <c r="I139" s="4">
        <v>-21354740000</v>
      </c>
      <c r="J139" s="4">
        <v>-19003380000</v>
      </c>
      <c r="K139" s="4">
        <v>-18674410000</v>
      </c>
      <c r="L139" s="4">
        <v>-15704530000</v>
      </c>
      <c r="M139" s="4">
        <v>-14213590000</v>
      </c>
    </row>
    <row r="140" spans="1:26" x14ac:dyDescent="0.2">
      <c r="A140" s="1493" t="s">
        <v>240</v>
      </c>
      <c r="B140" s="21" t="s">
        <v>59</v>
      </c>
      <c r="C140" s="21" t="s">
        <v>24</v>
      </c>
      <c r="D140" s="21" t="s">
        <v>79</v>
      </c>
      <c r="E140" s="21" t="s">
        <v>36</v>
      </c>
      <c r="F140" s="21" t="s">
        <v>13</v>
      </c>
      <c r="G140" s="21" t="s">
        <v>15</v>
      </c>
      <c r="H140" s="21" t="s">
        <v>42</v>
      </c>
      <c r="I140" s="21" t="s">
        <v>28</v>
      </c>
      <c r="J140" s="21" t="s">
        <v>30</v>
      </c>
      <c r="K140" s="21" t="s">
        <v>22</v>
      </c>
      <c r="L140" s="21" t="s">
        <v>263</v>
      </c>
      <c r="M140" s="21" t="s">
        <v>23</v>
      </c>
    </row>
    <row r="141" spans="1:26" x14ac:dyDescent="0.2">
      <c r="A141" s="1493" t="s">
        <v>240</v>
      </c>
      <c r="B141" s="654">
        <v>-101802730000</v>
      </c>
      <c r="C141" s="4">
        <v>-63764640000</v>
      </c>
      <c r="D141" s="4">
        <v>-53564780000</v>
      </c>
      <c r="E141" s="655">
        <v>-40865640000</v>
      </c>
      <c r="F141" s="4">
        <v>-27677530000</v>
      </c>
      <c r="G141" s="4">
        <v>-24170370000</v>
      </c>
      <c r="H141" s="4">
        <v>-19262130000</v>
      </c>
      <c r="I141" s="4">
        <v>-16365010000</v>
      </c>
      <c r="J141" s="4">
        <v>-11510450000</v>
      </c>
      <c r="K141" s="4">
        <v>-10483240000</v>
      </c>
      <c r="L141" s="4">
        <v>-9687571175</v>
      </c>
      <c r="M141" s="4">
        <v>-9388930000</v>
      </c>
    </row>
    <row r="142" spans="1:26" x14ac:dyDescent="0.2">
      <c r="A142" s="1493" t="s">
        <v>239</v>
      </c>
      <c r="B142" s="21" t="s">
        <v>24</v>
      </c>
      <c r="C142" s="21" t="s">
        <v>57</v>
      </c>
      <c r="D142" s="21" t="s">
        <v>13</v>
      </c>
      <c r="E142" s="21" t="s">
        <v>263</v>
      </c>
      <c r="F142" s="21" t="s">
        <v>186</v>
      </c>
      <c r="G142" s="21" t="s">
        <v>59</v>
      </c>
      <c r="H142" s="21" t="s">
        <v>15</v>
      </c>
      <c r="I142" s="21" t="s">
        <v>79</v>
      </c>
      <c r="J142" s="21" t="s">
        <v>28</v>
      </c>
      <c r="K142" s="21" t="s">
        <v>18</v>
      </c>
      <c r="L142" s="21" t="s">
        <v>97</v>
      </c>
      <c r="M142" s="21" t="s">
        <v>169</v>
      </c>
      <c r="N142" s="1493" t="s">
        <v>389</v>
      </c>
      <c r="O142" s="21" t="s">
        <v>41</v>
      </c>
      <c r="P142" s="21" t="s">
        <v>5</v>
      </c>
      <c r="Q142" s="21" t="s">
        <v>18</v>
      </c>
      <c r="R142" s="21" t="s">
        <v>15</v>
      </c>
      <c r="S142" s="21" t="s">
        <v>89</v>
      </c>
      <c r="T142" s="21" t="s">
        <v>59</v>
      </c>
      <c r="U142" s="21" t="s">
        <v>8</v>
      </c>
      <c r="V142" s="21" t="s">
        <v>263</v>
      </c>
      <c r="W142" s="21" t="s">
        <v>186</v>
      </c>
      <c r="X142" s="21" t="s">
        <v>13</v>
      </c>
      <c r="Y142" s="21" t="s">
        <v>57</v>
      </c>
      <c r="Z142" s="21" t="s">
        <v>24</v>
      </c>
    </row>
    <row r="143" spans="1:26" x14ac:dyDescent="0.2">
      <c r="A143" s="1493" t="s">
        <v>239</v>
      </c>
      <c r="B143" s="4">
        <v>-57110140000</v>
      </c>
      <c r="C143" s="651">
        <v>-34920256491</v>
      </c>
      <c r="D143" s="4">
        <v>-27341160000</v>
      </c>
      <c r="E143" s="652">
        <v>-25152658199</v>
      </c>
      <c r="F143" s="653">
        <v>-24531500000</v>
      </c>
      <c r="G143" s="4">
        <v>-23564240000</v>
      </c>
      <c r="H143" s="4">
        <v>-22812010000</v>
      </c>
      <c r="I143" s="4">
        <v>-21211180000</v>
      </c>
      <c r="J143" s="4">
        <v>-18748220000</v>
      </c>
      <c r="K143" s="4">
        <v>-17052360000</v>
      </c>
      <c r="L143" s="4">
        <v>-11838850000</v>
      </c>
      <c r="M143" s="4">
        <v>-10725600000</v>
      </c>
      <c r="N143" s="1493" t="s">
        <v>389</v>
      </c>
      <c r="O143" s="4">
        <v>-464011030000</v>
      </c>
      <c r="P143" s="4">
        <v>-94464660000</v>
      </c>
      <c r="Q143" s="4">
        <v>-82237380000</v>
      </c>
      <c r="R143" s="4">
        <v>-61418420000</v>
      </c>
      <c r="S143" s="4">
        <v>-57995980000</v>
      </c>
      <c r="T143" s="4">
        <v>-49153820000</v>
      </c>
      <c r="U143" s="4">
        <v>-41989420000</v>
      </c>
      <c r="V143" s="4">
        <v>-41169559381</v>
      </c>
      <c r="W143" s="4">
        <v>-40596170000</v>
      </c>
      <c r="X143" s="4">
        <v>-38730320000</v>
      </c>
      <c r="Y143" s="4">
        <v>-34848299990</v>
      </c>
      <c r="Z143" s="4">
        <v>-32310240000</v>
      </c>
    </row>
    <row r="144" spans="1:26" x14ac:dyDescent="0.2">
      <c r="A144" s="1493" t="s">
        <v>238</v>
      </c>
      <c r="B144" s="21" t="s">
        <v>41</v>
      </c>
      <c r="C144" s="21" t="s">
        <v>5</v>
      </c>
      <c r="D144" s="21" t="s">
        <v>18</v>
      </c>
      <c r="E144" s="21" t="s">
        <v>89</v>
      </c>
      <c r="F144" s="21" t="s">
        <v>22</v>
      </c>
      <c r="G144" s="21" t="s">
        <v>15</v>
      </c>
      <c r="H144" s="21" t="s">
        <v>8</v>
      </c>
      <c r="I144" s="21" t="s">
        <v>9</v>
      </c>
      <c r="J144" s="21" t="s">
        <v>59</v>
      </c>
      <c r="K144" s="21" t="s">
        <v>36</v>
      </c>
      <c r="L144" s="21" t="s">
        <v>25</v>
      </c>
      <c r="M144" s="21" t="s">
        <v>186</v>
      </c>
    </row>
    <row r="145" spans="1:26" x14ac:dyDescent="0.2">
      <c r="A145" s="1493" t="s">
        <v>238</v>
      </c>
      <c r="B145" s="649">
        <v>-469863100000</v>
      </c>
      <c r="C145" s="4">
        <v>-102748350000</v>
      </c>
      <c r="D145" s="4">
        <v>-65185020000</v>
      </c>
      <c r="E145" s="4">
        <v>-61020160000</v>
      </c>
      <c r="F145" s="4">
        <v>-47054970000</v>
      </c>
      <c r="G145" s="4">
        <v>-38606410000</v>
      </c>
      <c r="H145" s="4">
        <v>-37278440000</v>
      </c>
      <c r="I145" s="4">
        <v>-26364650000</v>
      </c>
      <c r="J145" s="4">
        <v>-25589580000</v>
      </c>
      <c r="K145" s="4">
        <v>-21522880000</v>
      </c>
      <c r="L145" s="4">
        <v>-18460610000</v>
      </c>
      <c r="M145" s="4">
        <v>-16064670000</v>
      </c>
    </row>
    <row r="146" spans="1:26" x14ac:dyDescent="0.2">
      <c r="A146" s="1493" t="s">
        <v>237</v>
      </c>
      <c r="B146" s="21" t="s">
        <v>89</v>
      </c>
      <c r="C146" s="21" t="s">
        <v>18</v>
      </c>
      <c r="D146" s="21" t="s">
        <v>22</v>
      </c>
      <c r="E146" s="21" t="s">
        <v>188</v>
      </c>
      <c r="F146" s="21" t="s">
        <v>27</v>
      </c>
      <c r="G146" s="21" t="s">
        <v>15</v>
      </c>
      <c r="H146" s="21" t="s">
        <v>58</v>
      </c>
      <c r="I146" s="21" t="s">
        <v>99</v>
      </c>
      <c r="J146" s="21" t="s">
        <v>13</v>
      </c>
      <c r="K146" s="21" t="s">
        <v>60</v>
      </c>
      <c r="L146" s="21" t="s">
        <v>30</v>
      </c>
      <c r="M146" s="21" t="s">
        <v>96</v>
      </c>
      <c r="N146" s="1493" t="s">
        <v>388</v>
      </c>
      <c r="O146" s="21" t="s">
        <v>24</v>
      </c>
      <c r="P146" s="21" t="s">
        <v>89</v>
      </c>
      <c r="Q146" s="21" t="s">
        <v>59</v>
      </c>
      <c r="R146" s="21" t="s">
        <v>30</v>
      </c>
      <c r="S146" s="21" t="s">
        <v>27</v>
      </c>
      <c r="T146" s="21" t="s">
        <v>13</v>
      </c>
      <c r="U146" s="21" t="s">
        <v>64</v>
      </c>
      <c r="V146" s="21" t="s">
        <v>86</v>
      </c>
      <c r="W146" s="21" t="s">
        <v>11</v>
      </c>
      <c r="X146" s="21" t="s">
        <v>58</v>
      </c>
      <c r="Y146" s="21" t="s">
        <v>63</v>
      </c>
      <c r="Z146" s="21" t="s">
        <v>69</v>
      </c>
    </row>
    <row r="147" spans="1:26" x14ac:dyDescent="0.2">
      <c r="A147" s="1493" t="s">
        <v>237</v>
      </c>
      <c r="B147" s="4">
        <v>-59779360000</v>
      </c>
      <c r="C147" s="4">
        <v>-57914470000</v>
      </c>
      <c r="D147" s="4">
        <v>-56574720000</v>
      </c>
      <c r="E147" s="4">
        <v>-30199230000</v>
      </c>
      <c r="F147" s="4">
        <v>-24927560000</v>
      </c>
      <c r="G147" s="4">
        <v>-19066540000</v>
      </c>
      <c r="H147" s="4">
        <v>-17330000000</v>
      </c>
      <c r="I147" s="4">
        <v>-17315880000</v>
      </c>
      <c r="J147" s="4">
        <v>-16386760000</v>
      </c>
      <c r="K147" s="647">
        <v>-10695330000</v>
      </c>
      <c r="L147" s="4">
        <v>-10595420000</v>
      </c>
      <c r="M147" s="4">
        <v>-8492160000</v>
      </c>
      <c r="N147" s="1493" t="s">
        <v>388</v>
      </c>
      <c r="O147" s="4">
        <v>-339035310000</v>
      </c>
      <c r="P147" s="4">
        <v>-152165410000</v>
      </c>
      <c r="Q147" s="4">
        <v>-138362100000</v>
      </c>
      <c r="R147" s="4">
        <v>-122527140000</v>
      </c>
      <c r="S147" s="4">
        <v>-115055790000</v>
      </c>
      <c r="T147" s="4">
        <v>-63467600000</v>
      </c>
      <c r="U147" s="4">
        <v>-60226750000</v>
      </c>
      <c r="V147" s="4">
        <v>-60151740000</v>
      </c>
      <c r="W147" s="4">
        <v>-52518670000</v>
      </c>
      <c r="X147" s="4">
        <v>-50116420000</v>
      </c>
      <c r="Y147" s="4">
        <v>-49230173558</v>
      </c>
      <c r="Z147" s="4">
        <v>-45892800000</v>
      </c>
    </row>
    <row r="148" spans="1:26" x14ac:dyDescent="0.2">
      <c r="A148" s="1493" t="s">
        <v>236</v>
      </c>
      <c r="B148" s="21" t="s">
        <v>89</v>
      </c>
      <c r="C148" s="21" t="s">
        <v>30</v>
      </c>
      <c r="D148" s="21" t="s">
        <v>86</v>
      </c>
      <c r="E148" s="21" t="s">
        <v>59</v>
      </c>
      <c r="F148" s="21" t="s">
        <v>279</v>
      </c>
      <c r="G148" s="21" t="s">
        <v>27</v>
      </c>
      <c r="H148" s="21" t="s">
        <v>96</v>
      </c>
      <c r="I148" s="21" t="s">
        <v>23</v>
      </c>
      <c r="J148" s="21" t="s">
        <v>97</v>
      </c>
      <c r="K148" s="21" t="s">
        <v>8</v>
      </c>
      <c r="L148" s="21" t="s">
        <v>24</v>
      </c>
      <c r="M148" s="21" t="s">
        <v>64</v>
      </c>
    </row>
    <row r="149" spans="1:26" x14ac:dyDescent="0.2">
      <c r="A149" s="1493" t="s">
        <v>236</v>
      </c>
      <c r="B149" s="4">
        <v>-43934320000</v>
      </c>
      <c r="C149" s="645">
        <v>-40154010000</v>
      </c>
      <c r="D149" s="4">
        <v>-35386810000</v>
      </c>
      <c r="E149" s="4">
        <v>-34837490000</v>
      </c>
      <c r="F149" s="4">
        <v>-26934710000</v>
      </c>
      <c r="G149" s="4">
        <v>-25711370000</v>
      </c>
      <c r="H149" s="646">
        <v>-24140250000</v>
      </c>
      <c r="I149" s="4">
        <v>-22166440000</v>
      </c>
      <c r="J149" s="4">
        <v>-21935770000</v>
      </c>
      <c r="K149" s="4">
        <v>-16181870000</v>
      </c>
      <c r="L149" s="4">
        <v>-16119180000</v>
      </c>
      <c r="M149" s="4">
        <v>-14961920000</v>
      </c>
    </row>
    <row r="150" spans="1:26" x14ac:dyDescent="0.2">
      <c r="A150" s="1493" t="s">
        <v>235</v>
      </c>
      <c r="B150" s="21" t="s">
        <v>24</v>
      </c>
      <c r="C150" s="21" t="s">
        <v>12</v>
      </c>
      <c r="D150" s="21" t="s">
        <v>59</v>
      </c>
      <c r="E150" s="21" t="s">
        <v>30</v>
      </c>
      <c r="F150" s="21" t="s">
        <v>42</v>
      </c>
      <c r="G150" s="21" t="s">
        <v>72</v>
      </c>
      <c r="H150" s="21" t="s">
        <v>20</v>
      </c>
      <c r="I150" s="21" t="s">
        <v>66</v>
      </c>
      <c r="J150" s="21" t="s">
        <v>27</v>
      </c>
      <c r="K150" s="21" t="s">
        <v>62</v>
      </c>
      <c r="L150" s="21" t="s">
        <v>61</v>
      </c>
      <c r="M150" s="21" t="s">
        <v>11</v>
      </c>
    </row>
    <row r="151" spans="1:26" x14ac:dyDescent="0.2">
      <c r="A151" s="1493" t="s">
        <v>235</v>
      </c>
      <c r="B151" s="4">
        <v>-84720520000</v>
      </c>
      <c r="C151" s="4">
        <v>-51271160000</v>
      </c>
      <c r="D151" s="4">
        <v>-45390670000</v>
      </c>
      <c r="E151" s="642">
        <v>-37123900000</v>
      </c>
      <c r="F151" s="4">
        <v>-27912800000</v>
      </c>
      <c r="G151" s="4">
        <v>-20792140000</v>
      </c>
      <c r="H151" s="4">
        <v>-18885349479</v>
      </c>
      <c r="I151" s="4">
        <v>-16124530000</v>
      </c>
      <c r="J151" s="4">
        <v>-15713610000</v>
      </c>
      <c r="K151" s="4">
        <v>-15591480000</v>
      </c>
      <c r="L151" s="643">
        <v>-13634250000</v>
      </c>
      <c r="M151" s="4">
        <v>-13537530000</v>
      </c>
    </row>
    <row r="152" spans="1:26" x14ac:dyDescent="0.2">
      <c r="A152" s="1493" t="s">
        <v>234</v>
      </c>
      <c r="B152" s="21" t="s">
        <v>24</v>
      </c>
      <c r="C152" s="21" t="s">
        <v>89</v>
      </c>
      <c r="D152" s="21" t="s">
        <v>23</v>
      </c>
      <c r="E152" s="21" t="s">
        <v>6</v>
      </c>
      <c r="F152" s="21" t="s">
        <v>88</v>
      </c>
      <c r="G152" s="21" t="s">
        <v>180</v>
      </c>
      <c r="H152" s="21" t="s">
        <v>58</v>
      </c>
      <c r="I152" s="21" t="s">
        <v>21</v>
      </c>
      <c r="J152" s="21" t="s">
        <v>27</v>
      </c>
      <c r="K152" s="21" t="s">
        <v>18</v>
      </c>
      <c r="L152" s="21" t="s">
        <v>11</v>
      </c>
      <c r="M152" s="21" t="s">
        <v>37</v>
      </c>
    </row>
    <row r="153" spans="1:26" x14ac:dyDescent="0.2">
      <c r="A153" s="1493" t="s">
        <v>234</v>
      </c>
      <c r="B153" s="4">
        <v>-177372680000</v>
      </c>
      <c r="C153" s="4">
        <v>-57925620000</v>
      </c>
      <c r="D153" s="4">
        <v>-50360290000</v>
      </c>
      <c r="E153" s="4">
        <v>-41816980000</v>
      </c>
      <c r="F153" s="4">
        <v>-29120330000</v>
      </c>
      <c r="G153" s="4">
        <v>-26821580000</v>
      </c>
      <c r="H153" s="640">
        <v>-25744970000</v>
      </c>
      <c r="I153" s="4">
        <v>-23782970000</v>
      </c>
      <c r="J153" s="4">
        <v>-23374690000</v>
      </c>
      <c r="K153" s="4">
        <v>-22070270000</v>
      </c>
      <c r="L153" s="4">
        <v>-20186900000</v>
      </c>
      <c r="M153" s="4">
        <v>-19599650000</v>
      </c>
    </row>
    <row r="154" spans="1:26" x14ac:dyDescent="0.2">
      <c r="A154" s="1493" t="s">
        <v>233</v>
      </c>
      <c r="B154" s="21" t="s">
        <v>17</v>
      </c>
      <c r="C154" s="21" t="s">
        <v>64</v>
      </c>
      <c r="D154" s="21" t="s">
        <v>24</v>
      </c>
      <c r="E154" s="21" t="s">
        <v>59</v>
      </c>
      <c r="F154" s="21" t="s">
        <v>89</v>
      </c>
      <c r="G154" s="21" t="s">
        <v>27</v>
      </c>
      <c r="H154" s="21" t="s">
        <v>30</v>
      </c>
      <c r="I154" s="21" t="s">
        <v>58</v>
      </c>
      <c r="J154" s="21" t="s">
        <v>21</v>
      </c>
      <c r="K154" s="21" t="s">
        <v>13</v>
      </c>
      <c r="L154" s="21" t="s">
        <v>63</v>
      </c>
      <c r="M154" s="21" t="s">
        <v>14</v>
      </c>
    </row>
    <row r="155" spans="1:26" x14ac:dyDescent="0.2">
      <c r="A155" s="1493" t="s">
        <v>233</v>
      </c>
      <c r="B155" s="4">
        <v>-88580890000</v>
      </c>
      <c r="C155" s="4">
        <v>-63510270000</v>
      </c>
      <c r="D155" s="4">
        <v>-60901780000</v>
      </c>
      <c r="E155" s="4">
        <v>-47246580000</v>
      </c>
      <c r="F155" s="4">
        <v>-28488500000</v>
      </c>
      <c r="G155" s="4">
        <v>-25328560000</v>
      </c>
      <c r="H155" s="4">
        <v>-25087790000</v>
      </c>
      <c r="I155" s="4">
        <v>-22391960000</v>
      </c>
      <c r="J155" s="4">
        <v>-19315550000</v>
      </c>
      <c r="K155" s="4">
        <v>-19015970000</v>
      </c>
      <c r="L155" s="638">
        <v>-17753944985</v>
      </c>
      <c r="M155" s="4">
        <v>-15606520000</v>
      </c>
    </row>
    <row r="156" spans="1:26" x14ac:dyDescent="0.2">
      <c r="A156" s="1493" t="s">
        <v>232</v>
      </c>
      <c r="B156" s="21" t="s">
        <v>17</v>
      </c>
      <c r="C156" s="21" t="s">
        <v>64</v>
      </c>
      <c r="D156" s="21" t="s">
        <v>59</v>
      </c>
      <c r="E156" s="21" t="s">
        <v>24</v>
      </c>
      <c r="F156" s="21" t="s">
        <v>20</v>
      </c>
      <c r="G156" s="21" t="s">
        <v>27</v>
      </c>
      <c r="H156" s="21" t="s">
        <v>22</v>
      </c>
      <c r="I156" s="21" t="s">
        <v>180</v>
      </c>
      <c r="J156" s="21" t="s">
        <v>294</v>
      </c>
      <c r="K156" s="21" t="s">
        <v>10</v>
      </c>
      <c r="L156" s="21" t="s">
        <v>88</v>
      </c>
      <c r="M156" s="21" t="s">
        <v>163</v>
      </c>
      <c r="N156" s="1493" t="s">
        <v>387</v>
      </c>
      <c r="O156" s="21" t="s">
        <v>24</v>
      </c>
      <c r="P156" s="21" t="s">
        <v>18</v>
      </c>
      <c r="Q156" s="21" t="s">
        <v>64</v>
      </c>
      <c r="R156" s="21" t="s">
        <v>22</v>
      </c>
      <c r="S156" s="21" t="s">
        <v>59</v>
      </c>
      <c r="T156" s="21" t="s">
        <v>23</v>
      </c>
      <c r="U156" s="21" t="s">
        <v>12</v>
      </c>
      <c r="V156" s="21" t="s">
        <v>62</v>
      </c>
      <c r="W156" s="21" t="s">
        <v>65</v>
      </c>
      <c r="X156" s="21" t="s">
        <v>27</v>
      </c>
      <c r="Y156" s="21" t="s">
        <v>42</v>
      </c>
      <c r="Z156" s="21" t="s">
        <v>180</v>
      </c>
    </row>
    <row r="157" spans="1:26" x14ac:dyDescent="0.2">
      <c r="A157" s="1493" t="s">
        <v>232</v>
      </c>
      <c r="B157" s="4">
        <v>-97899570000</v>
      </c>
      <c r="C157" s="4">
        <v>-60611390000</v>
      </c>
      <c r="D157" s="635">
        <v>-58583190000</v>
      </c>
      <c r="E157" s="4">
        <v>-44574870000</v>
      </c>
      <c r="F157" s="636">
        <v>-41488526844</v>
      </c>
      <c r="G157" s="4">
        <v>-38763660000</v>
      </c>
      <c r="H157" s="4">
        <v>-22321990000</v>
      </c>
      <c r="I157" s="4">
        <v>-18359830000</v>
      </c>
      <c r="J157" s="4">
        <v>-14217640000</v>
      </c>
      <c r="K157" s="4">
        <v>-11889718981</v>
      </c>
      <c r="L157" s="4">
        <v>-11083270000</v>
      </c>
      <c r="M157" s="4">
        <v>-9855810000</v>
      </c>
      <c r="N157" s="1493" t="s">
        <v>387</v>
      </c>
      <c r="O157" s="4">
        <v>-677979640000</v>
      </c>
      <c r="P157" s="4">
        <v>-236541630000</v>
      </c>
      <c r="Q157" s="4">
        <v>-215804200000</v>
      </c>
      <c r="R157" s="4">
        <v>-186788670000</v>
      </c>
      <c r="S157" s="4">
        <v>-137952270000</v>
      </c>
      <c r="T157" s="4">
        <v>-125454040000</v>
      </c>
      <c r="U157" s="4">
        <v>-109337660000</v>
      </c>
      <c r="V157" s="4">
        <v>-100981240000</v>
      </c>
      <c r="W157" s="4">
        <v>-96825670000</v>
      </c>
      <c r="X157" s="4">
        <v>-71326110000</v>
      </c>
      <c r="Y157" s="4">
        <v>-69702720000</v>
      </c>
      <c r="Z157" s="4">
        <v>-49008270000</v>
      </c>
    </row>
    <row r="158" spans="1:26" x14ac:dyDescent="0.2">
      <c r="A158" s="1493" t="s">
        <v>231</v>
      </c>
      <c r="B158" s="21" t="s">
        <v>24</v>
      </c>
      <c r="C158" s="21" t="s">
        <v>23</v>
      </c>
      <c r="D158" s="21" t="s">
        <v>64</v>
      </c>
      <c r="E158" s="21" t="s">
        <v>22</v>
      </c>
      <c r="F158" s="21" t="s">
        <v>62</v>
      </c>
      <c r="G158" s="21" t="s">
        <v>18</v>
      </c>
      <c r="H158" s="21" t="s">
        <v>59</v>
      </c>
      <c r="I158" s="21" t="s">
        <v>9</v>
      </c>
      <c r="J158" s="21" t="s">
        <v>8</v>
      </c>
      <c r="K158" s="21" t="s">
        <v>186</v>
      </c>
      <c r="L158" s="21" t="s">
        <v>27</v>
      </c>
      <c r="M158" s="21" t="s">
        <v>294</v>
      </c>
    </row>
    <row r="159" spans="1:26" x14ac:dyDescent="0.2">
      <c r="A159" s="1493" t="s">
        <v>231</v>
      </c>
      <c r="B159" s="4">
        <v>-145764350000</v>
      </c>
      <c r="C159" s="4">
        <v>-67104260000</v>
      </c>
      <c r="D159" s="4">
        <v>-66081700000</v>
      </c>
      <c r="E159" s="4">
        <v>-50888550000</v>
      </c>
      <c r="F159" s="633">
        <v>-42590070000</v>
      </c>
      <c r="G159" s="4">
        <v>-36328000000</v>
      </c>
      <c r="H159" s="4">
        <v>-35125030000</v>
      </c>
      <c r="I159" s="4">
        <v>-30998450000</v>
      </c>
      <c r="J159" s="4">
        <v>-19881190000</v>
      </c>
      <c r="K159" s="4">
        <v>-19838980000</v>
      </c>
      <c r="L159" s="4">
        <v>-17520090000</v>
      </c>
      <c r="M159" s="634">
        <v>-16378030000</v>
      </c>
    </row>
    <row r="160" spans="1:26" x14ac:dyDescent="0.2">
      <c r="A160" s="1493" t="s">
        <v>230</v>
      </c>
      <c r="B160" s="21" t="s">
        <v>24</v>
      </c>
      <c r="C160" s="21" t="s">
        <v>21</v>
      </c>
      <c r="D160" s="21" t="s">
        <v>22</v>
      </c>
      <c r="E160" s="21" t="s">
        <v>12</v>
      </c>
      <c r="F160" s="21" t="s">
        <v>64</v>
      </c>
      <c r="G160" s="21" t="s">
        <v>23</v>
      </c>
      <c r="H160" s="21" t="s">
        <v>87</v>
      </c>
      <c r="I160" s="21" t="s">
        <v>62</v>
      </c>
      <c r="J160" s="21" t="s">
        <v>42</v>
      </c>
      <c r="K160" s="21" t="s">
        <v>37</v>
      </c>
      <c r="L160" s="21" t="s">
        <v>13</v>
      </c>
      <c r="M160" s="21" t="s">
        <v>65</v>
      </c>
    </row>
    <row r="161" spans="1:26" x14ac:dyDescent="0.2">
      <c r="A161" s="1493" t="s">
        <v>230</v>
      </c>
      <c r="B161" s="4">
        <v>-207424690000</v>
      </c>
      <c r="C161" s="4">
        <v>-83689170000</v>
      </c>
      <c r="D161" s="4">
        <v>-64141700000</v>
      </c>
      <c r="E161" s="4">
        <v>-59299540000</v>
      </c>
      <c r="F161" s="4">
        <v>-47660420000</v>
      </c>
      <c r="G161" s="4">
        <v>-42798440000</v>
      </c>
      <c r="H161" s="629">
        <v>-40927580000</v>
      </c>
      <c r="I161" s="630">
        <v>-35911970000</v>
      </c>
      <c r="J161" s="4">
        <v>-34567010000</v>
      </c>
      <c r="K161" s="4">
        <v>-31486720000</v>
      </c>
      <c r="L161" s="4">
        <v>-30599160000</v>
      </c>
      <c r="M161" s="4">
        <v>-27017030000</v>
      </c>
    </row>
    <row r="162" spans="1:26" x14ac:dyDescent="0.2">
      <c r="A162" s="1493" t="s">
        <v>229</v>
      </c>
      <c r="B162" s="21" t="s">
        <v>24</v>
      </c>
      <c r="C162" s="21" t="s">
        <v>18</v>
      </c>
      <c r="D162" s="21" t="s">
        <v>5</v>
      </c>
      <c r="E162" s="21" t="s">
        <v>12</v>
      </c>
      <c r="F162" s="21" t="s">
        <v>21</v>
      </c>
      <c r="G162" s="21" t="s">
        <v>42</v>
      </c>
      <c r="H162" s="21" t="s">
        <v>65</v>
      </c>
      <c r="I162" s="21" t="s">
        <v>70</v>
      </c>
      <c r="J162" s="21" t="s">
        <v>14</v>
      </c>
      <c r="K162" s="21" t="s">
        <v>180</v>
      </c>
      <c r="L162" s="21" t="s">
        <v>22</v>
      </c>
      <c r="M162" s="21" t="s">
        <v>9</v>
      </c>
    </row>
    <row r="163" spans="1:26" x14ac:dyDescent="0.2">
      <c r="A163" s="1493" t="s">
        <v>229</v>
      </c>
      <c r="B163" s="625">
        <v>-280215730000</v>
      </c>
      <c r="C163" s="626">
        <v>-210510170000</v>
      </c>
      <c r="D163" s="4">
        <v>-86190280000</v>
      </c>
      <c r="E163" s="627">
        <v>-77208970000</v>
      </c>
      <c r="F163" s="4">
        <v>-75175760000</v>
      </c>
      <c r="G163" s="4">
        <v>-58582260000</v>
      </c>
      <c r="H163" s="4">
        <v>-57784280000</v>
      </c>
      <c r="I163" s="4">
        <v>-54136470000</v>
      </c>
      <c r="J163" s="4">
        <v>-54002990000</v>
      </c>
      <c r="K163" s="4">
        <v>-53859070000</v>
      </c>
      <c r="L163" s="4">
        <v>-49436430000</v>
      </c>
      <c r="M163" s="4">
        <v>-47580000000</v>
      </c>
    </row>
    <row r="164" spans="1:26" x14ac:dyDescent="0.2">
      <c r="A164" s="1493" t="s">
        <v>228</v>
      </c>
      <c r="B164" s="21" t="s">
        <v>24</v>
      </c>
      <c r="C164" s="21" t="s">
        <v>23</v>
      </c>
      <c r="D164" s="21" t="s">
        <v>42</v>
      </c>
      <c r="E164" s="21" t="s">
        <v>180</v>
      </c>
      <c r="F164" s="21" t="s">
        <v>21</v>
      </c>
      <c r="G164" s="21" t="s">
        <v>13</v>
      </c>
      <c r="H164" s="21" t="s">
        <v>99</v>
      </c>
      <c r="I164" s="21" t="s">
        <v>89</v>
      </c>
      <c r="J164" s="21" t="s">
        <v>25</v>
      </c>
      <c r="K164" s="21" t="s">
        <v>9</v>
      </c>
      <c r="L164" s="21" t="s">
        <v>5</v>
      </c>
      <c r="M164" s="21" t="s">
        <v>72</v>
      </c>
      <c r="N164" s="1493" t="s">
        <v>386</v>
      </c>
      <c r="O164" s="21" t="s">
        <v>24</v>
      </c>
      <c r="P164" s="21" t="s">
        <v>72</v>
      </c>
      <c r="Q164" s="21" t="s">
        <v>21</v>
      </c>
      <c r="R164" s="21" t="s">
        <v>180</v>
      </c>
      <c r="S164" s="21" t="s">
        <v>42</v>
      </c>
      <c r="T164" s="21" t="s">
        <v>89</v>
      </c>
      <c r="U164" s="21" t="s">
        <v>64</v>
      </c>
      <c r="V164" s="21" t="s">
        <v>23</v>
      </c>
      <c r="W164" s="21" t="s">
        <v>22</v>
      </c>
      <c r="X164" s="21" t="s">
        <v>70</v>
      </c>
      <c r="Y164" s="21" t="s">
        <v>66</v>
      </c>
      <c r="Z164" s="21" t="s">
        <v>13</v>
      </c>
    </row>
    <row r="165" spans="1:26" x14ac:dyDescent="0.2">
      <c r="A165" s="1493" t="s">
        <v>228</v>
      </c>
      <c r="B165" s="622">
        <v>-247350820000</v>
      </c>
      <c r="C165" s="4">
        <v>-84727420000</v>
      </c>
      <c r="D165" s="623">
        <v>-61433790000</v>
      </c>
      <c r="E165" s="4">
        <v>-60827160000</v>
      </c>
      <c r="F165" s="4">
        <v>-49881820000</v>
      </c>
      <c r="G165" s="4">
        <v>-45128640000</v>
      </c>
      <c r="H165" s="4">
        <v>-39797370000</v>
      </c>
      <c r="I165" s="4">
        <v>-34403090000</v>
      </c>
      <c r="J165" s="4">
        <v>-29195190000</v>
      </c>
      <c r="K165" s="4">
        <v>-27743550000</v>
      </c>
      <c r="L165" s="4">
        <v>-25647760000</v>
      </c>
      <c r="M165" s="4">
        <v>-22688190000</v>
      </c>
      <c r="N165" s="1493" t="s">
        <v>386</v>
      </c>
      <c r="O165" s="4">
        <v>-1125498217368</v>
      </c>
      <c r="P165" s="4">
        <v>-267695630000</v>
      </c>
      <c r="Q165" s="4">
        <v>-256605952266</v>
      </c>
      <c r="R165" s="4">
        <v>-164767150000</v>
      </c>
      <c r="S165" s="4">
        <v>-132560690000</v>
      </c>
      <c r="T165" s="4">
        <v>-106916140000</v>
      </c>
      <c r="U165" s="4">
        <v>-104043547207</v>
      </c>
      <c r="V165" s="4">
        <v>-98115550000</v>
      </c>
      <c r="W165" s="4">
        <v>-97355410000</v>
      </c>
      <c r="X165" s="4">
        <v>-91658320000</v>
      </c>
      <c r="Y165" s="4">
        <v>-73416936175</v>
      </c>
      <c r="Z165" s="4">
        <v>-59263570000</v>
      </c>
    </row>
    <row r="166" spans="1:26" x14ac:dyDescent="0.2">
      <c r="A166" s="1493" t="s">
        <v>227</v>
      </c>
      <c r="B166" s="21" t="s">
        <v>24</v>
      </c>
      <c r="C166" s="21" t="s">
        <v>64</v>
      </c>
      <c r="D166" s="21" t="s">
        <v>21</v>
      </c>
      <c r="E166" s="21" t="s">
        <v>72</v>
      </c>
      <c r="F166" s="21" t="s">
        <v>180</v>
      </c>
      <c r="G166" s="21" t="s">
        <v>42</v>
      </c>
      <c r="H166" s="21" t="s">
        <v>23</v>
      </c>
      <c r="I166" s="21" t="s">
        <v>65</v>
      </c>
      <c r="J166" s="21" t="s">
        <v>171</v>
      </c>
      <c r="K166" s="21" t="s">
        <v>39</v>
      </c>
      <c r="L166" s="21" t="s">
        <v>66</v>
      </c>
      <c r="M166" s="21" t="s">
        <v>85</v>
      </c>
    </row>
    <row r="167" spans="1:26" x14ac:dyDescent="0.2">
      <c r="A167" s="1493" t="s">
        <v>227</v>
      </c>
      <c r="B167" s="619">
        <v>-246180560000</v>
      </c>
      <c r="C167" s="4">
        <v>-75085470000</v>
      </c>
      <c r="D167" s="4">
        <v>-52668330000</v>
      </c>
      <c r="E167" s="4">
        <v>-50037780000</v>
      </c>
      <c r="F167" s="4">
        <v>-33123090000</v>
      </c>
      <c r="G167" s="4">
        <v>-22975170000</v>
      </c>
      <c r="H167" s="4">
        <v>-19990560000</v>
      </c>
      <c r="I167" s="4">
        <v>-12248080000</v>
      </c>
      <c r="J167" s="4">
        <v>-11973500000</v>
      </c>
      <c r="K167" s="620">
        <v>-11386370000</v>
      </c>
      <c r="L167" s="4">
        <v>-10042310000</v>
      </c>
      <c r="M167" s="4">
        <v>-8539340000</v>
      </c>
    </row>
    <row r="168" spans="1:26" x14ac:dyDescent="0.2">
      <c r="A168" s="1493" t="s">
        <v>226</v>
      </c>
      <c r="B168" s="21" t="s">
        <v>24</v>
      </c>
      <c r="C168" s="21" t="s">
        <v>72</v>
      </c>
      <c r="D168" s="21" t="s">
        <v>21</v>
      </c>
      <c r="E168" s="21" t="s">
        <v>70</v>
      </c>
      <c r="F168" s="21" t="s">
        <v>180</v>
      </c>
      <c r="G168" s="21" t="s">
        <v>17</v>
      </c>
      <c r="H168" s="21" t="s">
        <v>23</v>
      </c>
      <c r="I168" s="21" t="s">
        <v>15</v>
      </c>
      <c r="J168" s="21" t="s">
        <v>89</v>
      </c>
      <c r="K168" s="21" t="s">
        <v>18</v>
      </c>
      <c r="L168" s="21" t="s">
        <v>42</v>
      </c>
      <c r="M168" s="21" t="s">
        <v>86</v>
      </c>
    </row>
    <row r="169" spans="1:26" x14ac:dyDescent="0.2">
      <c r="A169" s="1493" t="s">
        <v>226</v>
      </c>
      <c r="B169" s="615">
        <v>-216272537368</v>
      </c>
      <c r="C169" s="616">
        <v>-168386670000</v>
      </c>
      <c r="D169" s="4">
        <v>-65931792266</v>
      </c>
      <c r="E169" s="4">
        <v>-62992400000</v>
      </c>
      <c r="F169" s="4">
        <v>-58847170000</v>
      </c>
      <c r="G169" s="4">
        <v>-48591159895</v>
      </c>
      <c r="H169" s="4">
        <v>-47433030000</v>
      </c>
      <c r="I169" s="4">
        <v>-45849743720</v>
      </c>
      <c r="J169" s="4">
        <v>-44673820000</v>
      </c>
      <c r="K169" s="4">
        <v>-37034850000</v>
      </c>
      <c r="L169" s="4">
        <v>-35920860000</v>
      </c>
      <c r="M169" s="4">
        <v>-30209250000</v>
      </c>
    </row>
    <row r="170" spans="1:26" x14ac:dyDescent="0.2">
      <c r="A170" s="1493" t="s">
        <v>225</v>
      </c>
      <c r="B170" s="21" t="s">
        <v>24</v>
      </c>
      <c r="C170" s="21" t="s">
        <v>21</v>
      </c>
      <c r="D170" s="21" t="s">
        <v>71</v>
      </c>
      <c r="E170" s="21" t="s">
        <v>64</v>
      </c>
      <c r="F170" s="21" t="s">
        <v>262</v>
      </c>
      <c r="G170" s="21" t="s">
        <v>70</v>
      </c>
      <c r="H170" s="21" t="s">
        <v>37</v>
      </c>
      <c r="I170" s="21" t="s">
        <v>57</v>
      </c>
      <c r="J170" s="21" t="s">
        <v>72</v>
      </c>
      <c r="K170" s="21" t="s">
        <v>66</v>
      </c>
      <c r="L170" s="21" t="s">
        <v>89</v>
      </c>
      <c r="M170" s="21" t="s">
        <v>13</v>
      </c>
    </row>
    <row r="171" spans="1:26" x14ac:dyDescent="0.2">
      <c r="A171" s="1493" t="s">
        <v>225</v>
      </c>
      <c r="B171" s="4">
        <v>-132747590000</v>
      </c>
      <c r="C171" s="4">
        <v>-65866300000</v>
      </c>
      <c r="D171" s="4">
        <v>-56802620000</v>
      </c>
      <c r="E171" s="4">
        <v>-30189250000</v>
      </c>
      <c r="F171" s="613">
        <v>-22960620000</v>
      </c>
      <c r="G171" s="4">
        <v>-21420240000</v>
      </c>
      <c r="H171" s="4">
        <v>-19092080000</v>
      </c>
      <c r="I171" s="4">
        <v>-18644513420</v>
      </c>
      <c r="J171" s="4">
        <v>-15356200000</v>
      </c>
      <c r="K171" s="4">
        <v>-13998450000</v>
      </c>
      <c r="L171" s="4">
        <v>-13722900000</v>
      </c>
      <c r="M171" s="4">
        <v>-11944520000</v>
      </c>
    </row>
    <row r="172" spans="1:26" x14ac:dyDescent="0.2">
      <c r="A172" s="1493" t="s">
        <v>224</v>
      </c>
      <c r="B172" s="21" t="s">
        <v>24</v>
      </c>
      <c r="C172" s="21" t="s">
        <v>22</v>
      </c>
      <c r="D172" s="21" t="s">
        <v>89</v>
      </c>
      <c r="E172" s="21" t="s">
        <v>286</v>
      </c>
      <c r="F172" s="21" t="s">
        <v>66</v>
      </c>
      <c r="G172" s="21" t="s">
        <v>69</v>
      </c>
      <c r="H172" s="21" t="s">
        <v>21</v>
      </c>
      <c r="I172" s="21" t="s">
        <v>13</v>
      </c>
      <c r="J172" s="21" t="s">
        <v>28</v>
      </c>
      <c r="K172" s="21" t="s">
        <v>64</v>
      </c>
      <c r="L172" s="21" t="s">
        <v>170</v>
      </c>
      <c r="M172" s="21" t="s">
        <v>57</v>
      </c>
    </row>
    <row r="173" spans="1:26" x14ac:dyDescent="0.2">
      <c r="A173" s="1493" t="s">
        <v>224</v>
      </c>
      <c r="B173" s="610">
        <v>-282946710000</v>
      </c>
      <c r="C173" s="4">
        <v>-122637680000</v>
      </c>
      <c r="D173" s="4">
        <v>-27601790000</v>
      </c>
      <c r="E173" s="611">
        <v>-27096630000</v>
      </c>
      <c r="F173" s="4">
        <v>-26937520000</v>
      </c>
      <c r="G173" s="4">
        <v>-23959660000</v>
      </c>
      <c r="H173" s="4">
        <v>-22257710000</v>
      </c>
      <c r="I173" s="4">
        <v>-18202210000</v>
      </c>
      <c r="J173" s="4">
        <v>-17977280000</v>
      </c>
      <c r="K173" s="4">
        <v>-15538520000</v>
      </c>
      <c r="L173" s="4">
        <v>-14349480000</v>
      </c>
      <c r="M173" s="4">
        <v>-14279483367</v>
      </c>
    </row>
    <row r="174" spans="1:26" x14ac:dyDescent="0.2">
      <c r="A174" s="1493" t="s">
        <v>223</v>
      </c>
      <c r="B174" s="21" t="s">
        <v>24</v>
      </c>
      <c r="C174" s="21" t="s">
        <v>70</v>
      </c>
      <c r="D174" s="21" t="s">
        <v>89</v>
      </c>
      <c r="E174" s="21" t="s">
        <v>8</v>
      </c>
      <c r="F174" s="21" t="s">
        <v>5</v>
      </c>
      <c r="G174" s="21" t="s">
        <v>23</v>
      </c>
      <c r="H174" s="21" t="s">
        <v>42</v>
      </c>
      <c r="I174" s="21" t="s">
        <v>163</v>
      </c>
      <c r="J174" s="21" t="s">
        <v>38</v>
      </c>
      <c r="K174" s="21" t="s">
        <v>186</v>
      </c>
      <c r="L174" s="21" t="s">
        <v>22</v>
      </c>
      <c r="M174" s="21" t="s">
        <v>183</v>
      </c>
      <c r="N174" s="1493" t="s">
        <v>385</v>
      </c>
      <c r="O174" s="21" t="s">
        <v>24</v>
      </c>
      <c r="P174" s="21" t="s">
        <v>23</v>
      </c>
      <c r="Q174" s="21" t="s">
        <v>5</v>
      </c>
      <c r="R174" s="21" t="s">
        <v>9</v>
      </c>
      <c r="S174" s="21" t="s">
        <v>21</v>
      </c>
      <c r="T174" s="21" t="s">
        <v>6</v>
      </c>
      <c r="U174" s="21" t="s">
        <v>14</v>
      </c>
      <c r="V174" s="21" t="s">
        <v>13</v>
      </c>
      <c r="W174" s="21" t="s">
        <v>22</v>
      </c>
      <c r="X174" s="21" t="s">
        <v>25</v>
      </c>
      <c r="Y174" s="21" t="s">
        <v>70</v>
      </c>
      <c r="Z174" s="21" t="s">
        <v>99</v>
      </c>
    </row>
    <row r="175" spans="1:26" x14ac:dyDescent="0.2">
      <c r="A175" s="1493" t="s">
        <v>223</v>
      </c>
      <c r="B175" s="606">
        <v>-228093530000</v>
      </c>
      <c r="C175" s="607">
        <v>-111443390000</v>
      </c>
      <c r="D175" s="4">
        <v>-43434860000</v>
      </c>
      <c r="E175" s="4">
        <v>-42876910000</v>
      </c>
      <c r="F175" s="4">
        <v>-41533220000</v>
      </c>
      <c r="G175" s="4">
        <v>-36217530000</v>
      </c>
      <c r="H175" s="4">
        <v>-25147140000</v>
      </c>
      <c r="I175" s="4">
        <v>-21741990000</v>
      </c>
      <c r="J175" s="4">
        <v>-21543620000</v>
      </c>
      <c r="K175" s="4">
        <v>-20500510000</v>
      </c>
      <c r="L175" s="4">
        <v>-19730890000</v>
      </c>
      <c r="M175" s="4">
        <v>-17043340000</v>
      </c>
      <c r="N175" s="1493" t="s">
        <v>385</v>
      </c>
      <c r="O175" s="4">
        <v>-654508710000</v>
      </c>
      <c r="P175" s="4">
        <v>-526295490000</v>
      </c>
      <c r="Q175" s="4">
        <v>-491235770000</v>
      </c>
      <c r="R175" s="4">
        <v>-408172560000</v>
      </c>
      <c r="S175" s="4">
        <v>-264082750000</v>
      </c>
      <c r="T175" s="4">
        <v>-167007660000</v>
      </c>
      <c r="U175" s="4">
        <v>-165024390000</v>
      </c>
      <c r="V175" s="4">
        <v>-161014060000</v>
      </c>
      <c r="W175" s="4">
        <v>-155018200000</v>
      </c>
      <c r="X175" s="4">
        <v>-117466750000</v>
      </c>
      <c r="Y175" s="4">
        <v>-98586170000</v>
      </c>
      <c r="Z175" s="4">
        <v>-96939320000</v>
      </c>
    </row>
    <row r="176" spans="1:26" x14ac:dyDescent="0.2">
      <c r="A176" s="1493" t="s">
        <v>222</v>
      </c>
      <c r="B176" s="21" t="s">
        <v>14</v>
      </c>
      <c r="C176" s="21" t="s">
        <v>24</v>
      </c>
      <c r="D176" s="21" t="s">
        <v>70</v>
      </c>
      <c r="E176" s="21" t="s">
        <v>23</v>
      </c>
      <c r="F176" s="21" t="s">
        <v>57</v>
      </c>
      <c r="G176" s="21" t="s">
        <v>163</v>
      </c>
      <c r="H176" s="21" t="s">
        <v>336</v>
      </c>
      <c r="I176" s="21" t="s">
        <v>192</v>
      </c>
      <c r="J176" s="21" t="s">
        <v>72</v>
      </c>
      <c r="K176" s="21" t="s">
        <v>60</v>
      </c>
      <c r="L176" s="21" t="s">
        <v>173</v>
      </c>
      <c r="M176" s="21" t="s">
        <v>172</v>
      </c>
    </row>
    <row r="177" spans="1:26" x14ac:dyDescent="0.2">
      <c r="A177" s="1493" t="s">
        <v>222</v>
      </c>
      <c r="B177" s="4">
        <v>-113806130000</v>
      </c>
      <c r="C177" s="4">
        <v>-110710690000</v>
      </c>
      <c r="D177" s="4">
        <v>-46892530000</v>
      </c>
      <c r="E177" s="4">
        <v>-34446490000</v>
      </c>
      <c r="F177" s="4">
        <v>-22312851966</v>
      </c>
      <c r="G177" s="4">
        <v>-16706570000</v>
      </c>
      <c r="H177" s="4">
        <v>-15092140000</v>
      </c>
      <c r="I177" s="4">
        <v>-12308720000</v>
      </c>
      <c r="J177" s="4">
        <v>-9518840000</v>
      </c>
      <c r="K177" s="4">
        <v>-9041100000</v>
      </c>
      <c r="L177" s="604">
        <v>-4953130000</v>
      </c>
      <c r="M177" s="4">
        <v>-4489820000</v>
      </c>
    </row>
    <row r="178" spans="1:26" x14ac:dyDescent="0.2">
      <c r="A178" s="1493" t="s">
        <v>221</v>
      </c>
      <c r="B178" s="21" t="s">
        <v>24</v>
      </c>
      <c r="C178" s="21" t="s">
        <v>21</v>
      </c>
      <c r="D178" s="21" t="s">
        <v>5</v>
      </c>
      <c r="E178" s="21" t="s">
        <v>99</v>
      </c>
      <c r="F178" s="21" t="s">
        <v>9</v>
      </c>
      <c r="G178" s="21" t="s">
        <v>25</v>
      </c>
      <c r="H178" s="21" t="s">
        <v>6</v>
      </c>
      <c r="I178" s="21" t="s">
        <v>23</v>
      </c>
      <c r="J178" s="21" t="s">
        <v>28</v>
      </c>
      <c r="K178" s="21" t="s">
        <v>64</v>
      </c>
      <c r="L178" s="21" t="s">
        <v>17</v>
      </c>
      <c r="M178" s="21" t="s">
        <v>89</v>
      </c>
    </row>
    <row r="179" spans="1:26" x14ac:dyDescent="0.2">
      <c r="A179" s="1493" t="s">
        <v>221</v>
      </c>
      <c r="B179" s="4">
        <v>-177221900000</v>
      </c>
      <c r="C179" s="4">
        <v>-157867090000</v>
      </c>
      <c r="D179" s="4">
        <v>-133007430000</v>
      </c>
      <c r="E179" s="599">
        <v>-84796250000</v>
      </c>
      <c r="F179" s="4">
        <v>-82894590000</v>
      </c>
      <c r="G179" s="4">
        <v>-78442150000</v>
      </c>
      <c r="H179" s="4">
        <v>-69753420000</v>
      </c>
      <c r="I179" s="4">
        <v>-66204750000</v>
      </c>
      <c r="J179" s="4">
        <v>-46744460000</v>
      </c>
      <c r="K179" s="4">
        <v>-41882330000</v>
      </c>
      <c r="L179" s="4">
        <v>-40170400000</v>
      </c>
      <c r="M179" s="4">
        <v>-31672120000</v>
      </c>
    </row>
    <row r="180" spans="1:26" x14ac:dyDescent="0.2">
      <c r="A180" s="1493" t="s">
        <v>220</v>
      </c>
      <c r="B180" s="21" t="s">
        <v>13</v>
      </c>
      <c r="C180" s="21" t="s">
        <v>9</v>
      </c>
      <c r="D180" s="21" t="s">
        <v>5</v>
      </c>
      <c r="E180" s="21" t="s">
        <v>23</v>
      </c>
      <c r="F180" s="21" t="s">
        <v>21</v>
      </c>
      <c r="G180" s="21" t="s">
        <v>24</v>
      </c>
      <c r="H180" s="21" t="s">
        <v>22</v>
      </c>
      <c r="I180" s="21" t="s">
        <v>180</v>
      </c>
      <c r="J180" s="21" t="s">
        <v>72</v>
      </c>
      <c r="K180" s="21" t="s">
        <v>64</v>
      </c>
      <c r="L180" s="21" t="s">
        <v>6</v>
      </c>
      <c r="M180" s="21" t="s">
        <v>169</v>
      </c>
    </row>
    <row r="181" spans="1:26" x14ac:dyDescent="0.2">
      <c r="A181" s="1493" t="s">
        <v>220</v>
      </c>
      <c r="B181" s="594">
        <v>-283068570000</v>
      </c>
      <c r="C181" s="595">
        <v>-224023520000</v>
      </c>
      <c r="D181" s="596">
        <v>-156020900000</v>
      </c>
      <c r="E181" s="4">
        <v>-141336030000</v>
      </c>
      <c r="F181" s="4">
        <v>-129125420000</v>
      </c>
      <c r="G181" s="4">
        <v>-118189540000</v>
      </c>
      <c r="H181" s="4">
        <v>-81705480000</v>
      </c>
      <c r="I181" s="4">
        <v>-53673670000</v>
      </c>
      <c r="J181" s="4">
        <v>-33545820000</v>
      </c>
      <c r="K181" s="4">
        <v>-30004540000</v>
      </c>
      <c r="L181" s="4">
        <v>-24688760000</v>
      </c>
      <c r="M181" s="4">
        <v>-23014000000</v>
      </c>
    </row>
    <row r="182" spans="1:26" x14ac:dyDescent="0.2">
      <c r="A182" s="1493" t="s">
        <v>219</v>
      </c>
      <c r="B182" s="21" t="s">
        <v>23</v>
      </c>
      <c r="C182" s="21" t="s">
        <v>5</v>
      </c>
      <c r="D182" s="21" t="s">
        <v>21</v>
      </c>
      <c r="E182" s="21" t="s">
        <v>9</v>
      </c>
      <c r="F182" s="21" t="s">
        <v>25</v>
      </c>
      <c r="G182" s="21" t="s">
        <v>99</v>
      </c>
      <c r="H182" s="21" t="s">
        <v>6</v>
      </c>
      <c r="I182" s="21" t="s">
        <v>18</v>
      </c>
      <c r="J182" s="21" t="s">
        <v>22</v>
      </c>
      <c r="K182" s="21" t="s">
        <v>37</v>
      </c>
      <c r="L182" s="21" t="s">
        <v>15</v>
      </c>
      <c r="M182" s="21" t="s">
        <v>64</v>
      </c>
    </row>
    <row r="183" spans="1:26" x14ac:dyDescent="0.2">
      <c r="A183" s="1493" t="s">
        <v>219</v>
      </c>
      <c r="B183" s="4">
        <v>-248090690000</v>
      </c>
      <c r="C183" s="588">
        <v>-170110110000</v>
      </c>
      <c r="D183" s="4">
        <v>-159276120000</v>
      </c>
      <c r="E183" s="589">
        <v>-98182980000</v>
      </c>
      <c r="F183" s="4">
        <v>-85718400000</v>
      </c>
      <c r="G183" s="4">
        <v>-68309180000</v>
      </c>
      <c r="H183" s="4">
        <v>-60194660000</v>
      </c>
      <c r="I183" s="4">
        <v>-42379390000</v>
      </c>
      <c r="J183" s="4">
        <v>-36431370000</v>
      </c>
      <c r="K183" s="4">
        <v>-31247030000</v>
      </c>
      <c r="L183" s="4">
        <v>-24581960000</v>
      </c>
      <c r="M183" s="4">
        <v>-24106820000</v>
      </c>
    </row>
    <row r="184" spans="1:26" x14ac:dyDescent="0.2">
      <c r="A184" s="1493" t="s">
        <v>218</v>
      </c>
      <c r="B184" s="21" t="s">
        <v>23</v>
      </c>
      <c r="C184" s="21" t="s">
        <v>6</v>
      </c>
      <c r="D184" s="21" t="s">
        <v>24</v>
      </c>
      <c r="E184" s="21" t="s">
        <v>13</v>
      </c>
      <c r="F184" s="21" t="s">
        <v>21</v>
      </c>
      <c r="G184" s="21" t="s">
        <v>70</v>
      </c>
      <c r="H184" s="21" t="s">
        <v>72</v>
      </c>
      <c r="I184" s="21" t="s">
        <v>22</v>
      </c>
      <c r="J184" s="21" t="s">
        <v>279</v>
      </c>
      <c r="K184" s="21" t="s">
        <v>12</v>
      </c>
      <c r="L184" s="21" t="s">
        <v>86</v>
      </c>
      <c r="M184" s="21" t="s">
        <v>163</v>
      </c>
      <c r="N184" s="1493" t="s">
        <v>384</v>
      </c>
      <c r="O184" s="21" t="s">
        <v>23</v>
      </c>
      <c r="P184" s="21" t="s">
        <v>6</v>
      </c>
      <c r="Q184" s="21" t="s">
        <v>24</v>
      </c>
      <c r="R184" s="21" t="s">
        <v>21</v>
      </c>
      <c r="S184" s="21" t="s">
        <v>22</v>
      </c>
      <c r="T184" s="21" t="s">
        <v>79</v>
      </c>
      <c r="U184" s="21" t="s">
        <v>14</v>
      </c>
      <c r="V184" s="21" t="s">
        <v>86</v>
      </c>
      <c r="W184" s="21" t="s">
        <v>11</v>
      </c>
      <c r="X184" s="21" t="s">
        <v>70</v>
      </c>
      <c r="Y184" s="21" t="s">
        <v>64</v>
      </c>
      <c r="Z184" s="21" t="s">
        <v>313</v>
      </c>
    </row>
    <row r="185" spans="1:26" x14ac:dyDescent="0.2">
      <c r="A185" s="1493" t="s">
        <v>218</v>
      </c>
      <c r="B185" s="4">
        <v>-218517630000</v>
      </c>
      <c r="C185" s="4">
        <v>-189456720000</v>
      </c>
      <c r="D185" s="4">
        <v>-150852040000</v>
      </c>
      <c r="E185" s="4">
        <v>-145273450000</v>
      </c>
      <c r="F185" s="4">
        <v>-94135350000</v>
      </c>
      <c r="G185" s="4">
        <v>-53874110000</v>
      </c>
      <c r="H185" s="4">
        <v>-47816700000</v>
      </c>
      <c r="I185" s="4">
        <v>-43908630000</v>
      </c>
      <c r="J185" s="585">
        <v>-37852420000</v>
      </c>
      <c r="K185" s="4">
        <v>-36853710000</v>
      </c>
      <c r="L185" s="4">
        <v>-29031320000</v>
      </c>
      <c r="M185" s="4">
        <v>-28232630000</v>
      </c>
      <c r="N185" s="1493" t="s">
        <v>384</v>
      </c>
      <c r="O185" s="4">
        <v>-1509895442621</v>
      </c>
      <c r="P185" s="4">
        <v>-806821146766</v>
      </c>
      <c r="Q185" s="4">
        <v>-738071520000</v>
      </c>
      <c r="R185" s="4">
        <v>-546143043236</v>
      </c>
      <c r="S185" s="4">
        <v>-342615270000</v>
      </c>
      <c r="T185" s="4">
        <v>-191945142553</v>
      </c>
      <c r="U185" s="4">
        <v>-158354880000</v>
      </c>
      <c r="V185" s="4">
        <v>-128002555570</v>
      </c>
      <c r="W185" s="4">
        <v>-126845720000</v>
      </c>
      <c r="X185" s="4">
        <v>-119822292770</v>
      </c>
      <c r="Y185" s="4">
        <v>-81487440000</v>
      </c>
      <c r="Z185" s="4">
        <v>-77973200000</v>
      </c>
    </row>
    <row r="186" spans="1:26" x14ac:dyDescent="0.2">
      <c r="A186" s="1493" t="s">
        <v>217</v>
      </c>
      <c r="B186" s="21" t="s">
        <v>24</v>
      </c>
      <c r="C186" s="21" t="s">
        <v>22</v>
      </c>
      <c r="D186" s="21" t="s">
        <v>79</v>
      </c>
      <c r="E186" s="21" t="s">
        <v>21</v>
      </c>
      <c r="F186" s="21" t="s">
        <v>72</v>
      </c>
      <c r="G186" s="21" t="s">
        <v>23</v>
      </c>
      <c r="H186" s="21" t="s">
        <v>6</v>
      </c>
      <c r="I186" s="21" t="s">
        <v>14</v>
      </c>
      <c r="J186" s="21" t="s">
        <v>86</v>
      </c>
      <c r="K186" s="21" t="s">
        <v>9</v>
      </c>
      <c r="L186" s="21" t="s">
        <v>18</v>
      </c>
      <c r="M186" s="21" t="s">
        <v>12</v>
      </c>
    </row>
    <row r="187" spans="1:26" x14ac:dyDescent="0.2">
      <c r="A187" s="1493" t="s">
        <v>217</v>
      </c>
      <c r="B187" s="580">
        <v>-323204470000</v>
      </c>
      <c r="C187" s="581">
        <v>-255703040000</v>
      </c>
      <c r="D187" s="582">
        <v>-192301632553</v>
      </c>
      <c r="E187" s="4">
        <v>-159946283236</v>
      </c>
      <c r="F187" s="583">
        <v>-158446285450</v>
      </c>
      <c r="G187" s="4">
        <v>-122359472621</v>
      </c>
      <c r="H187" s="4">
        <v>-112128316766</v>
      </c>
      <c r="I187" s="4">
        <v>-73965160000</v>
      </c>
      <c r="J187" s="4">
        <v>-66087075570</v>
      </c>
      <c r="K187" s="4">
        <v>-42581837224</v>
      </c>
      <c r="L187" s="4">
        <v>-41245820000</v>
      </c>
      <c r="M187" s="4">
        <v>-32009680250</v>
      </c>
    </row>
    <row r="188" spans="1:26" x14ac:dyDescent="0.2">
      <c r="A188" s="1493" t="s">
        <v>216</v>
      </c>
      <c r="B188" s="21" t="s">
        <v>23</v>
      </c>
      <c r="C188" s="21" t="s">
        <v>11</v>
      </c>
      <c r="D188" s="21" t="s">
        <v>24</v>
      </c>
      <c r="E188" s="21" t="s">
        <v>86</v>
      </c>
      <c r="F188" s="21" t="s">
        <v>21</v>
      </c>
      <c r="G188" s="21" t="s">
        <v>22</v>
      </c>
      <c r="H188" s="21" t="s">
        <v>9</v>
      </c>
      <c r="I188" s="21" t="s">
        <v>14</v>
      </c>
      <c r="J188" s="21" t="s">
        <v>313</v>
      </c>
      <c r="K188" s="21" t="s">
        <v>13</v>
      </c>
      <c r="L188" s="21" t="s">
        <v>25</v>
      </c>
      <c r="M188" s="21" t="s">
        <v>28</v>
      </c>
    </row>
    <row r="189" spans="1:26" x14ac:dyDescent="0.2">
      <c r="A189" s="1493" t="s">
        <v>216</v>
      </c>
      <c r="B189" s="575">
        <v>-1008216290000</v>
      </c>
      <c r="C189" s="576">
        <v>-164721490000</v>
      </c>
      <c r="D189" s="4">
        <v>-135075230000</v>
      </c>
      <c r="E189" s="577">
        <v>-118811110000</v>
      </c>
      <c r="F189" s="4">
        <v>-71786220000</v>
      </c>
      <c r="G189" s="4">
        <v>-42886720000</v>
      </c>
      <c r="H189" s="4">
        <v>-38992010000</v>
      </c>
      <c r="I189" s="4">
        <v>-38822510000</v>
      </c>
      <c r="J189" s="578">
        <v>-38079950000</v>
      </c>
      <c r="K189" s="4">
        <v>-33054060000</v>
      </c>
      <c r="L189" s="4">
        <v>-32071530000</v>
      </c>
      <c r="M189" s="4">
        <v>-31080730000</v>
      </c>
    </row>
    <row r="190" spans="1:26" x14ac:dyDescent="0.2">
      <c r="A190" s="1493" t="s">
        <v>215</v>
      </c>
      <c r="B190" s="21" t="s">
        <v>6</v>
      </c>
      <c r="C190" s="21" t="s">
        <v>17</v>
      </c>
      <c r="D190" s="21" t="s">
        <v>21</v>
      </c>
      <c r="E190" s="21" t="s">
        <v>13</v>
      </c>
      <c r="F190" s="21" t="s">
        <v>10</v>
      </c>
      <c r="G190" s="21" t="s">
        <v>313</v>
      </c>
      <c r="H190" s="21" t="s">
        <v>23</v>
      </c>
      <c r="I190" s="21" t="s">
        <v>24</v>
      </c>
      <c r="J190" s="21" t="s">
        <v>65</v>
      </c>
      <c r="K190" s="21" t="s">
        <v>29</v>
      </c>
      <c r="L190" s="21" t="s">
        <v>88</v>
      </c>
      <c r="M190" s="21" t="s">
        <v>28</v>
      </c>
    </row>
    <row r="191" spans="1:26" x14ac:dyDescent="0.2">
      <c r="A191" s="1493" t="s">
        <v>215</v>
      </c>
      <c r="B191" s="572">
        <v>-395381380000</v>
      </c>
      <c r="C191" s="4">
        <v>-140754150000</v>
      </c>
      <c r="D191" s="4">
        <v>-56580000000</v>
      </c>
      <c r="E191" s="4">
        <v>-46716650000</v>
      </c>
      <c r="F191" s="4">
        <v>-45042548929</v>
      </c>
      <c r="G191" s="573">
        <v>-35962370000</v>
      </c>
      <c r="H191" s="4">
        <v>-25964450000</v>
      </c>
      <c r="I191" s="4">
        <v>-25695520000</v>
      </c>
      <c r="J191" s="4">
        <v>-23803850000</v>
      </c>
      <c r="K191" s="4">
        <v>-20470117161</v>
      </c>
      <c r="L191" s="4">
        <v>-18918240000</v>
      </c>
      <c r="M191" s="4">
        <v>-11173830000</v>
      </c>
    </row>
    <row r="192" spans="1:26" x14ac:dyDescent="0.2">
      <c r="A192" s="1493" t="s">
        <v>214</v>
      </c>
      <c r="B192" s="21" t="s">
        <v>21</v>
      </c>
      <c r="C192" s="21" t="s">
        <v>23</v>
      </c>
      <c r="D192" s="21" t="s">
        <v>24</v>
      </c>
      <c r="E192" s="21" t="s">
        <v>6</v>
      </c>
      <c r="F192" s="21" t="s">
        <v>70</v>
      </c>
      <c r="G192" s="21" t="s">
        <v>14</v>
      </c>
      <c r="H192" s="21" t="s">
        <v>25</v>
      </c>
      <c r="I192" s="21" t="s">
        <v>18</v>
      </c>
      <c r="J192" s="21" t="s">
        <v>28</v>
      </c>
      <c r="K192" s="21" t="s">
        <v>37</v>
      </c>
      <c r="L192" s="21" t="s">
        <v>67</v>
      </c>
      <c r="M192" s="21" t="s">
        <v>64</v>
      </c>
    </row>
    <row r="193" spans="1:26" x14ac:dyDescent="0.2">
      <c r="A193" s="1493" t="s">
        <v>214</v>
      </c>
      <c r="B193" s="4">
        <v>-163695190000</v>
      </c>
      <c r="C193" s="4">
        <v>-134837600000</v>
      </c>
      <c r="D193" s="4">
        <v>-103244260000</v>
      </c>
      <c r="E193" s="4">
        <v>-89148640000</v>
      </c>
      <c r="F193" s="4">
        <v>-55176750000</v>
      </c>
      <c r="G193" s="4">
        <v>-45313830000</v>
      </c>
      <c r="H193" s="4">
        <v>-34265880000</v>
      </c>
      <c r="I193" s="4">
        <v>-30012850000</v>
      </c>
      <c r="J193" s="4">
        <v>-26127930000</v>
      </c>
      <c r="K193" s="4">
        <v>-25015180000</v>
      </c>
      <c r="L193" s="4">
        <v>-24056250000</v>
      </c>
      <c r="M193" s="4">
        <v>-22632710000</v>
      </c>
    </row>
    <row r="194" spans="1:26" x14ac:dyDescent="0.2">
      <c r="A194" s="1493" t="s">
        <v>213</v>
      </c>
      <c r="B194" s="21" t="s">
        <v>21</v>
      </c>
      <c r="C194" s="21" t="s">
        <v>14</v>
      </c>
      <c r="D194" s="21" t="s">
        <v>24</v>
      </c>
      <c r="E194" s="21" t="s">
        <v>89</v>
      </c>
      <c r="F194" s="21" t="s">
        <v>70</v>
      </c>
      <c r="G194" s="21" t="s">
        <v>64</v>
      </c>
      <c r="H194" s="21" t="s">
        <v>23</v>
      </c>
      <c r="I194" s="21" t="s">
        <v>9</v>
      </c>
      <c r="J194" s="21" t="s">
        <v>87</v>
      </c>
      <c r="K194" s="21" t="s">
        <v>72</v>
      </c>
      <c r="L194" s="21" t="s">
        <v>269</v>
      </c>
      <c r="M194" s="21" t="s">
        <v>163</v>
      </c>
      <c r="N194" s="1493" t="s">
        <v>383</v>
      </c>
      <c r="O194" s="21" t="s">
        <v>21</v>
      </c>
      <c r="P194" s="21" t="s">
        <v>24</v>
      </c>
      <c r="Q194" s="21" t="s">
        <v>14</v>
      </c>
      <c r="R194" s="21" t="s">
        <v>70</v>
      </c>
      <c r="S194" s="21" t="s">
        <v>15</v>
      </c>
      <c r="T194" s="21" t="s">
        <v>23</v>
      </c>
      <c r="U194" s="21" t="s">
        <v>163</v>
      </c>
      <c r="V194" s="21" t="s">
        <v>89</v>
      </c>
      <c r="W194" s="21" t="s">
        <v>5</v>
      </c>
      <c r="X194" s="21" t="s">
        <v>18</v>
      </c>
      <c r="Y194" s="21" t="s">
        <v>325</v>
      </c>
      <c r="Z194" s="21" t="s">
        <v>69</v>
      </c>
    </row>
    <row r="195" spans="1:26" x14ac:dyDescent="0.2">
      <c r="A195" s="1493" t="s">
        <v>213</v>
      </c>
      <c r="B195" s="4">
        <v>-219206700000</v>
      </c>
      <c r="C195" s="4">
        <v>-135783270000</v>
      </c>
      <c r="D195" s="4">
        <v>-115812990000</v>
      </c>
      <c r="E195" s="4">
        <v>-78144540000</v>
      </c>
      <c r="F195" s="4">
        <v>-69628560000</v>
      </c>
      <c r="G195" s="4">
        <v>-61262090000</v>
      </c>
      <c r="H195" s="4">
        <v>-59930660000</v>
      </c>
      <c r="I195" s="4">
        <v>-52857710000</v>
      </c>
      <c r="J195" s="567">
        <v>-37877050000</v>
      </c>
      <c r="K195" s="4">
        <v>-27097530000</v>
      </c>
      <c r="L195" s="568">
        <v>-25306190000</v>
      </c>
      <c r="M195" s="4">
        <v>-25285980000</v>
      </c>
      <c r="N195" s="1493" t="s">
        <v>383</v>
      </c>
      <c r="O195" s="4">
        <v>-659724410000</v>
      </c>
      <c r="P195" s="4">
        <v>-490261450000</v>
      </c>
      <c r="Q195" s="4">
        <v>-332767410000</v>
      </c>
      <c r="R195" s="4">
        <v>-288314700000</v>
      </c>
      <c r="S195" s="4">
        <v>-274030130000</v>
      </c>
      <c r="T195" s="4">
        <v>-248977020000</v>
      </c>
      <c r="U195" s="4">
        <v>-147025720000</v>
      </c>
      <c r="V195" s="4">
        <v>-119265210000</v>
      </c>
      <c r="W195" s="4">
        <v>-113831670000</v>
      </c>
      <c r="X195" s="4">
        <v>-95082560000</v>
      </c>
      <c r="Y195" s="4">
        <v>-86846010000</v>
      </c>
      <c r="Z195" s="4">
        <v>-86544260000</v>
      </c>
    </row>
    <row r="196" spans="1:26" x14ac:dyDescent="0.2">
      <c r="A196" s="1493" t="s">
        <v>211</v>
      </c>
      <c r="B196" s="21" t="s">
        <v>21</v>
      </c>
      <c r="C196" s="21" t="s">
        <v>23</v>
      </c>
      <c r="D196" s="21" t="s">
        <v>24</v>
      </c>
      <c r="E196" s="21" t="s">
        <v>89</v>
      </c>
      <c r="F196" s="21" t="s">
        <v>70</v>
      </c>
      <c r="G196" s="21" t="s">
        <v>37</v>
      </c>
      <c r="H196" s="21" t="s">
        <v>163</v>
      </c>
      <c r="I196" s="21" t="s">
        <v>183</v>
      </c>
      <c r="J196" s="21" t="s">
        <v>18</v>
      </c>
      <c r="K196" s="21" t="s">
        <v>169</v>
      </c>
      <c r="L196" s="21" t="s">
        <v>28</v>
      </c>
      <c r="M196" s="21" t="s">
        <v>67</v>
      </c>
    </row>
    <row r="197" spans="1:26" x14ac:dyDescent="0.2">
      <c r="A197" s="1493" t="s">
        <v>211</v>
      </c>
      <c r="B197" s="4">
        <v>-202426550000</v>
      </c>
      <c r="C197" s="561">
        <v>-173552550000</v>
      </c>
      <c r="D197" s="4">
        <v>-165119260000</v>
      </c>
      <c r="E197" s="562">
        <v>-146880910000</v>
      </c>
      <c r="F197" s="4">
        <v>-85955320000</v>
      </c>
      <c r="G197" s="563">
        <v>-63725040000</v>
      </c>
      <c r="H197" s="564">
        <v>-57436870000</v>
      </c>
      <c r="I197" s="565">
        <v>-43627160000</v>
      </c>
      <c r="J197" s="4">
        <v>-26832440000</v>
      </c>
      <c r="K197" s="4">
        <v>-25904260000</v>
      </c>
      <c r="L197" s="4">
        <v>-24704710000</v>
      </c>
      <c r="M197" s="4">
        <v>-24554350000</v>
      </c>
    </row>
    <row r="198" spans="1:26" x14ac:dyDescent="0.2">
      <c r="A198" s="1493" t="s">
        <v>210</v>
      </c>
      <c r="B198" s="21" t="s">
        <v>64</v>
      </c>
      <c r="C198" s="21" t="s">
        <v>21</v>
      </c>
      <c r="D198" s="21" t="s">
        <v>23</v>
      </c>
      <c r="E198" s="21" t="s">
        <v>163</v>
      </c>
      <c r="F198" s="21" t="s">
        <v>24</v>
      </c>
      <c r="G198" s="21" t="s">
        <v>15</v>
      </c>
      <c r="H198" s="21" t="s">
        <v>180</v>
      </c>
      <c r="I198" s="21" t="s">
        <v>67</v>
      </c>
      <c r="J198" s="21" t="s">
        <v>22</v>
      </c>
      <c r="K198" s="21" t="s">
        <v>72</v>
      </c>
      <c r="L198" s="21" t="s">
        <v>5</v>
      </c>
      <c r="M198" s="21" t="s">
        <v>11</v>
      </c>
    </row>
    <row r="199" spans="1:26" x14ac:dyDescent="0.2">
      <c r="A199" s="1493" t="s">
        <v>210</v>
      </c>
      <c r="B199" s="558">
        <v>-176740530000</v>
      </c>
      <c r="C199" s="4">
        <v>-83323070000</v>
      </c>
      <c r="D199" s="4">
        <v>-81617500000</v>
      </c>
      <c r="E199" s="559">
        <v>-50440200000</v>
      </c>
      <c r="F199" s="4">
        <v>-44274780000</v>
      </c>
      <c r="G199" s="4">
        <v>-36295190000</v>
      </c>
      <c r="H199" s="4">
        <v>-34918380000</v>
      </c>
      <c r="I199" s="4">
        <v>-31858400000</v>
      </c>
      <c r="J199" s="4">
        <v>-28065660000</v>
      </c>
      <c r="K199" s="4">
        <v>-25677580000</v>
      </c>
      <c r="L199" s="4">
        <v>-25245690000</v>
      </c>
      <c r="M199" s="4">
        <v>-22485290000</v>
      </c>
    </row>
    <row r="200" spans="1:26" x14ac:dyDescent="0.2">
      <c r="A200" s="1493" t="s">
        <v>209</v>
      </c>
      <c r="B200" s="21" t="s">
        <v>5</v>
      </c>
      <c r="C200" s="21" t="s">
        <v>22</v>
      </c>
      <c r="D200" s="21" t="s">
        <v>15</v>
      </c>
      <c r="E200" s="21" t="s">
        <v>70</v>
      </c>
      <c r="F200" s="21" t="s">
        <v>14</v>
      </c>
      <c r="G200" s="21" t="s">
        <v>18</v>
      </c>
      <c r="H200" s="21" t="s">
        <v>21</v>
      </c>
      <c r="I200" s="21" t="s">
        <v>42</v>
      </c>
      <c r="J200" s="21" t="s">
        <v>11</v>
      </c>
      <c r="K200" s="21" t="s">
        <v>17</v>
      </c>
      <c r="L200" s="21" t="s">
        <v>59</v>
      </c>
      <c r="M200" s="21" t="s">
        <v>6</v>
      </c>
    </row>
    <row r="201" spans="1:26" x14ac:dyDescent="0.2">
      <c r="A201" s="1493" t="s">
        <v>209</v>
      </c>
      <c r="B201" s="556">
        <v>-159195630000</v>
      </c>
      <c r="C201" s="4">
        <v>-84710070000</v>
      </c>
      <c r="D201" s="4">
        <v>-79348710000</v>
      </c>
      <c r="E201" s="4">
        <v>-74816880000</v>
      </c>
      <c r="F201" s="4">
        <v>-72468040000</v>
      </c>
      <c r="G201" s="4">
        <v>-72344940000</v>
      </c>
      <c r="H201" s="4">
        <v>-47954380000</v>
      </c>
      <c r="I201" s="4">
        <v>-47640530000</v>
      </c>
      <c r="J201" s="4">
        <v>-40055070000</v>
      </c>
      <c r="K201" s="4">
        <v>-39408510000</v>
      </c>
      <c r="L201" s="4">
        <v>-37074760000</v>
      </c>
      <c r="M201" s="4">
        <v>-35264850000</v>
      </c>
    </row>
    <row r="202" spans="1:26" x14ac:dyDescent="0.2">
      <c r="A202" s="1493" t="s">
        <v>208</v>
      </c>
      <c r="B202" s="21" t="s">
        <v>24</v>
      </c>
      <c r="C202" s="21" t="s">
        <v>25</v>
      </c>
      <c r="D202" s="21" t="s">
        <v>15</v>
      </c>
      <c r="E202" s="21" t="s">
        <v>21</v>
      </c>
      <c r="F202" s="21" t="s">
        <v>14</v>
      </c>
      <c r="G202" s="21" t="s">
        <v>69</v>
      </c>
      <c r="H202" s="21" t="s">
        <v>70</v>
      </c>
      <c r="I202" s="21" t="s">
        <v>5</v>
      </c>
      <c r="J202" s="21" t="s">
        <v>99</v>
      </c>
      <c r="K202" s="21" t="s">
        <v>38</v>
      </c>
      <c r="L202" s="21" t="s">
        <v>66</v>
      </c>
      <c r="M202" s="21" t="s">
        <v>42</v>
      </c>
    </row>
    <row r="203" spans="1:26" x14ac:dyDescent="0.2">
      <c r="A203" s="1493" t="s">
        <v>208</v>
      </c>
      <c r="B203" s="4">
        <v>-184955040000</v>
      </c>
      <c r="C203" s="548">
        <v>-143286560000</v>
      </c>
      <c r="D203" s="4">
        <v>-130674460000</v>
      </c>
      <c r="E203" s="4">
        <v>-106813710000</v>
      </c>
      <c r="F203" s="4">
        <v>-85753550000</v>
      </c>
      <c r="G203" s="549">
        <v>-53824320000</v>
      </c>
      <c r="H203" s="4">
        <v>-53319110000</v>
      </c>
      <c r="I203" s="4">
        <v>-51618680000</v>
      </c>
      <c r="J203" s="4">
        <v>-39924060000</v>
      </c>
      <c r="K203" s="4">
        <v>-34396170000</v>
      </c>
      <c r="L203" s="4">
        <v>-32555830000</v>
      </c>
      <c r="M203" s="4">
        <v>-27818990000</v>
      </c>
    </row>
    <row r="204" spans="1:26" x14ac:dyDescent="0.2">
      <c r="A204" s="1493" t="s">
        <v>206</v>
      </c>
      <c r="B204" s="21" t="s">
        <v>14</v>
      </c>
      <c r="C204" s="21" t="s">
        <v>24</v>
      </c>
      <c r="D204" s="21" t="s">
        <v>6</v>
      </c>
      <c r="E204" s="21" t="s">
        <v>21</v>
      </c>
      <c r="F204" s="21" t="s">
        <v>13</v>
      </c>
      <c r="G204" s="21" t="s">
        <v>64</v>
      </c>
      <c r="H204" s="21" t="s">
        <v>12</v>
      </c>
      <c r="I204" s="21" t="s">
        <v>165</v>
      </c>
      <c r="J204" s="21" t="s">
        <v>15</v>
      </c>
      <c r="K204" s="21" t="s">
        <v>25</v>
      </c>
      <c r="L204" s="21" t="s">
        <v>28</v>
      </c>
      <c r="M204" s="21" t="s">
        <v>23</v>
      </c>
      <c r="N204" s="1493" t="s">
        <v>382</v>
      </c>
      <c r="O204" s="21" t="s">
        <v>21</v>
      </c>
      <c r="P204" s="21" t="s">
        <v>24</v>
      </c>
      <c r="Q204" s="21" t="s">
        <v>17</v>
      </c>
      <c r="R204" s="21" t="s">
        <v>23</v>
      </c>
      <c r="S204" s="21" t="s">
        <v>165</v>
      </c>
      <c r="T204" s="21" t="s">
        <v>14</v>
      </c>
      <c r="U204" s="21" t="s">
        <v>15</v>
      </c>
      <c r="V204" s="21" t="s">
        <v>12</v>
      </c>
      <c r="W204" s="21" t="s">
        <v>6</v>
      </c>
      <c r="X204" s="21" t="s">
        <v>42</v>
      </c>
      <c r="Y204" s="21" t="s">
        <v>25</v>
      </c>
      <c r="Z204" s="21" t="s">
        <v>86</v>
      </c>
    </row>
    <row r="205" spans="1:26" x14ac:dyDescent="0.2">
      <c r="A205" s="1493" t="s">
        <v>206</v>
      </c>
      <c r="B205" s="537">
        <v>-198375910000</v>
      </c>
      <c r="C205" s="4">
        <v>-157564660000</v>
      </c>
      <c r="D205" s="4">
        <v>-118205290000</v>
      </c>
      <c r="E205" s="4">
        <v>-94430450000</v>
      </c>
      <c r="F205" s="4">
        <v>-94352270000</v>
      </c>
      <c r="G205" s="538">
        <v>-93668870000</v>
      </c>
      <c r="H205" s="539">
        <v>-92895410000</v>
      </c>
      <c r="I205" s="540">
        <v>-89909400000</v>
      </c>
      <c r="J205" s="4">
        <v>-85216880000</v>
      </c>
      <c r="K205" s="541">
        <v>-79878320000</v>
      </c>
      <c r="L205" s="4">
        <v>-66202770000</v>
      </c>
      <c r="M205" s="4">
        <v>-57189320000</v>
      </c>
      <c r="N205" s="1493" t="s">
        <v>382</v>
      </c>
      <c r="O205" s="4">
        <v>-531791810000</v>
      </c>
      <c r="P205" s="4">
        <v>-375098210000</v>
      </c>
      <c r="Q205" s="4">
        <v>-290550060000</v>
      </c>
      <c r="R205" s="4">
        <v>-267493500000</v>
      </c>
      <c r="S205" s="4">
        <v>-241014410000</v>
      </c>
      <c r="T205" s="4">
        <v>-189392570000</v>
      </c>
      <c r="U205" s="4">
        <v>-187991310000</v>
      </c>
      <c r="V205" s="4">
        <v>-183575950000</v>
      </c>
      <c r="W205" s="4">
        <v>-167448990000</v>
      </c>
      <c r="X205" s="4">
        <v>-163508760000</v>
      </c>
      <c r="Y205" s="4">
        <v>-142818120000</v>
      </c>
      <c r="Z205" s="4">
        <v>-136661470000</v>
      </c>
    </row>
    <row r="206" spans="1:26" x14ac:dyDescent="0.2">
      <c r="A206" s="1493" t="s">
        <v>205</v>
      </c>
      <c r="B206" s="21" t="s">
        <v>24</v>
      </c>
      <c r="C206" s="21" t="s">
        <v>21</v>
      </c>
      <c r="D206" s="21" t="s">
        <v>28</v>
      </c>
      <c r="E206" s="21" t="s">
        <v>165</v>
      </c>
      <c r="F206" s="21" t="s">
        <v>14</v>
      </c>
      <c r="G206" s="21" t="s">
        <v>71</v>
      </c>
      <c r="H206" s="21" t="s">
        <v>17</v>
      </c>
      <c r="I206" s="21" t="s">
        <v>42</v>
      </c>
      <c r="J206" s="21" t="s">
        <v>12</v>
      </c>
      <c r="K206" s="21" t="s">
        <v>25</v>
      </c>
      <c r="L206" s="21" t="s">
        <v>15</v>
      </c>
      <c r="M206" s="21" t="s">
        <v>13</v>
      </c>
    </row>
    <row r="207" spans="1:26" x14ac:dyDescent="0.2">
      <c r="A207" s="1493" t="s">
        <v>205</v>
      </c>
      <c r="B207" s="4">
        <v>-165695960000</v>
      </c>
      <c r="C207" s="4">
        <v>-141209170000</v>
      </c>
      <c r="D207" s="533">
        <v>-104343370000</v>
      </c>
      <c r="E207" s="534">
        <v>-80165790000</v>
      </c>
      <c r="F207" s="4">
        <v>-63773950000</v>
      </c>
      <c r="G207" s="4">
        <v>-57218770000</v>
      </c>
      <c r="H207" s="4">
        <v>-56243270000</v>
      </c>
      <c r="I207" s="535">
        <v>-52787040000</v>
      </c>
      <c r="J207" s="4">
        <v>-50884000000</v>
      </c>
      <c r="K207" s="4">
        <v>-48598210000</v>
      </c>
      <c r="L207" s="4">
        <v>-40990050000</v>
      </c>
      <c r="M207" s="4">
        <v>-39600370000</v>
      </c>
    </row>
    <row r="208" spans="1:26" x14ac:dyDescent="0.2">
      <c r="A208" s="1493" t="s">
        <v>204</v>
      </c>
      <c r="B208" s="21" t="s">
        <v>21</v>
      </c>
      <c r="C208" s="21" t="s">
        <v>24</v>
      </c>
      <c r="D208" s="21" t="s">
        <v>86</v>
      </c>
      <c r="E208" s="21" t="s">
        <v>6</v>
      </c>
      <c r="F208" s="21" t="s">
        <v>12</v>
      </c>
      <c r="G208" s="21" t="s">
        <v>16</v>
      </c>
      <c r="H208" s="21" t="s">
        <v>99</v>
      </c>
      <c r="I208" s="21" t="s">
        <v>165</v>
      </c>
      <c r="J208" s="21" t="s">
        <v>23</v>
      </c>
      <c r="K208" s="21" t="s">
        <v>42</v>
      </c>
      <c r="L208" s="21" t="s">
        <v>10</v>
      </c>
      <c r="M208" s="21" t="s">
        <v>91</v>
      </c>
    </row>
    <row r="209" spans="1:26" x14ac:dyDescent="0.2">
      <c r="A209" s="1493" t="s">
        <v>204</v>
      </c>
      <c r="B209" s="527">
        <v>-242689890000</v>
      </c>
      <c r="C209" s="4">
        <v>-121064800000</v>
      </c>
      <c r="D209" s="4">
        <v>-50972630000</v>
      </c>
      <c r="E209" s="4">
        <v>-49235320000</v>
      </c>
      <c r="F209" s="4">
        <v>-43589130000</v>
      </c>
      <c r="G209" s="4">
        <v>-43362600000</v>
      </c>
      <c r="H209" s="4">
        <v>-38846110000</v>
      </c>
      <c r="I209" s="4">
        <v>-33618610000</v>
      </c>
      <c r="J209" s="4">
        <v>-32530060000</v>
      </c>
      <c r="K209" s="4">
        <v>-28858930000</v>
      </c>
      <c r="L209" s="4">
        <v>-27709745299</v>
      </c>
      <c r="M209" s="528">
        <v>-25673290000</v>
      </c>
    </row>
    <row r="210" spans="1:26" x14ac:dyDescent="0.2">
      <c r="A210" s="1493" t="s">
        <v>203</v>
      </c>
      <c r="B210" s="21" t="s">
        <v>17</v>
      </c>
      <c r="C210" s="21" t="s">
        <v>11</v>
      </c>
      <c r="D210" s="21" t="s">
        <v>23</v>
      </c>
      <c r="E210" s="21" t="s">
        <v>21</v>
      </c>
      <c r="F210" s="21" t="s">
        <v>10</v>
      </c>
      <c r="G210" s="21" t="s">
        <v>42</v>
      </c>
      <c r="H210" s="21" t="s">
        <v>165</v>
      </c>
      <c r="I210" s="21" t="s">
        <v>69</v>
      </c>
      <c r="J210" s="21" t="s">
        <v>86</v>
      </c>
      <c r="K210" s="21" t="s">
        <v>99</v>
      </c>
      <c r="L210" s="21" t="s">
        <v>5</v>
      </c>
      <c r="M210" s="21" t="s">
        <v>16</v>
      </c>
    </row>
    <row r="211" spans="1:26" x14ac:dyDescent="0.2">
      <c r="A211" s="1493" t="s">
        <v>203</v>
      </c>
      <c r="B211" s="520">
        <v>-262716650000</v>
      </c>
      <c r="C211" s="521">
        <v>-145258060000</v>
      </c>
      <c r="D211" s="4">
        <v>-54538170000</v>
      </c>
      <c r="E211" s="4">
        <v>-54030930000</v>
      </c>
      <c r="F211" s="4">
        <v>-49245132283</v>
      </c>
      <c r="G211" s="522">
        <v>-40167230000</v>
      </c>
      <c r="H211" s="523">
        <v>-35969370000</v>
      </c>
      <c r="I211" s="4">
        <v>-34612570000</v>
      </c>
      <c r="J211" s="4">
        <v>-33002050000</v>
      </c>
      <c r="K211" s="4">
        <v>-29609670000</v>
      </c>
      <c r="L211" s="4">
        <v>-26601740000</v>
      </c>
      <c r="M211" s="4">
        <v>-24761990000</v>
      </c>
    </row>
    <row r="212" spans="1:26" x14ac:dyDescent="0.2">
      <c r="A212" s="1493" t="s">
        <v>201</v>
      </c>
      <c r="B212" s="21" t="s">
        <v>29</v>
      </c>
      <c r="C212" s="21" t="s">
        <v>23</v>
      </c>
      <c r="D212" s="21" t="s">
        <v>99</v>
      </c>
      <c r="E212" s="21" t="s">
        <v>15</v>
      </c>
      <c r="F212" s="21" t="s">
        <v>70</v>
      </c>
      <c r="G212" s="21" t="s">
        <v>88</v>
      </c>
      <c r="H212" s="21" t="s">
        <v>313</v>
      </c>
      <c r="I212" s="21" t="s">
        <v>17</v>
      </c>
      <c r="J212" s="21" t="s">
        <v>25</v>
      </c>
      <c r="K212" s="21" t="s">
        <v>183</v>
      </c>
      <c r="L212" s="21" t="s">
        <v>83</v>
      </c>
      <c r="M212" s="21" t="s">
        <v>86</v>
      </c>
    </row>
    <row r="213" spans="1:26" x14ac:dyDescent="0.2">
      <c r="A213" s="1493" t="s">
        <v>201</v>
      </c>
      <c r="B213" s="515">
        <v>-98016386649</v>
      </c>
      <c r="C213" s="4">
        <v>-91638870000</v>
      </c>
      <c r="D213" s="4">
        <v>-64205350000</v>
      </c>
      <c r="E213" s="4">
        <v>-49033810000</v>
      </c>
      <c r="F213" s="4">
        <v>-41053250000</v>
      </c>
      <c r="G213" s="516">
        <v>-37820000000</v>
      </c>
      <c r="H213" s="517">
        <v>-34289660000</v>
      </c>
      <c r="I213" s="4">
        <v>-32941900000</v>
      </c>
      <c r="J213" s="4">
        <v>-25970400000</v>
      </c>
      <c r="K213" s="4">
        <v>-25901970000</v>
      </c>
      <c r="L213" s="4">
        <v>-24516887821</v>
      </c>
      <c r="M213" s="4">
        <v>-23745350000</v>
      </c>
    </row>
    <row r="214" spans="1:26" x14ac:dyDescent="0.2">
      <c r="A214" s="1493" t="s">
        <v>200</v>
      </c>
      <c r="B214" s="21" t="s">
        <v>21</v>
      </c>
      <c r="C214" s="21" t="s">
        <v>15</v>
      </c>
      <c r="D214" s="21" t="s">
        <v>99</v>
      </c>
      <c r="E214" s="21" t="s">
        <v>6</v>
      </c>
      <c r="F214" s="21" t="s">
        <v>5</v>
      </c>
      <c r="G214" s="21" t="s">
        <v>18</v>
      </c>
      <c r="H214" s="21" t="s">
        <v>17</v>
      </c>
      <c r="I214" s="21" t="s">
        <v>9</v>
      </c>
      <c r="J214" s="21" t="s">
        <v>23</v>
      </c>
      <c r="K214" s="21" t="s">
        <v>24</v>
      </c>
      <c r="L214" s="21" t="s">
        <v>88</v>
      </c>
      <c r="M214" s="21" t="s">
        <v>171</v>
      </c>
      <c r="N214" s="1493" t="s">
        <v>381</v>
      </c>
      <c r="O214" s="21" t="s">
        <v>24</v>
      </c>
      <c r="P214" s="21" t="s">
        <v>21</v>
      </c>
      <c r="Q214" s="21" t="s">
        <v>12</v>
      </c>
      <c r="R214" s="21" t="s">
        <v>70</v>
      </c>
      <c r="S214" s="21" t="s">
        <v>15</v>
      </c>
      <c r="T214" s="21" t="s">
        <v>14</v>
      </c>
      <c r="U214" s="21" t="s">
        <v>65</v>
      </c>
      <c r="V214" s="21" t="s">
        <v>64</v>
      </c>
      <c r="W214" s="21" t="s">
        <v>171</v>
      </c>
      <c r="X214" s="21" t="s">
        <v>29</v>
      </c>
      <c r="Y214" s="21" t="s">
        <v>9</v>
      </c>
      <c r="Z214" s="21" t="s">
        <v>27</v>
      </c>
    </row>
    <row r="215" spans="1:26" x14ac:dyDescent="0.2">
      <c r="A215" s="1493" t="s">
        <v>200</v>
      </c>
      <c r="B215" s="4">
        <v>-126701830000</v>
      </c>
      <c r="C215" s="4">
        <v>-105951480000</v>
      </c>
      <c r="D215" s="510">
        <v>-80455250000</v>
      </c>
      <c r="E215" s="4">
        <v>-66804530000</v>
      </c>
      <c r="F215" s="4">
        <v>-64402350000</v>
      </c>
      <c r="G215" s="4">
        <v>-52136070000</v>
      </c>
      <c r="H215" s="4">
        <v>-37670830000</v>
      </c>
      <c r="I215" s="4">
        <v>-34484660000</v>
      </c>
      <c r="J215" s="4">
        <v>-34305370000</v>
      </c>
      <c r="K215" s="4">
        <v>-32872440000</v>
      </c>
      <c r="L215" s="511">
        <v>-28149660000</v>
      </c>
      <c r="M215" s="4">
        <v>-21476690000</v>
      </c>
      <c r="N215" s="1493" t="s">
        <v>381</v>
      </c>
      <c r="O215" s="4">
        <v>-515134170000</v>
      </c>
      <c r="P215" s="4">
        <v>-314629190000</v>
      </c>
      <c r="Q215" s="4">
        <v>-140573530000</v>
      </c>
      <c r="R215" s="4">
        <v>-119212760000</v>
      </c>
      <c r="S215" s="4">
        <v>-113520940000</v>
      </c>
      <c r="T215" s="4">
        <v>-109763220000</v>
      </c>
      <c r="U215" s="4">
        <v>-80563840000</v>
      </c>
      <c r="V215" s="4">
        <v>-80177720000</v>
      </c>
      <c r="W215" s="4">
        <v>-78875080000</v>
      </c>
      <c r="X215" s="4">
        <v>-69333704428</v>
      </c>
      <c r="Y215" s="4">
        <v>-55738380000</v>
      </c>
      <c r="Z215" s="4">
        <v>-53163330000</v>
      </c>
    </row>
    <row r="216" spans="1:26" x14ac:dyDescent="0.2">
      <c r="A216" s="1493" t="s">
        <v>199</v>
      </c>
      <c r="B216" s="21" t="s">
        <v>21</v>
      </c>
      <c r="C216" s="21" t="s">
        <v>24</v>
      </c>
      <c r="D216" s="21" t="s">
        <v>89</v>
      </c>
      <c r="E216" s="21" t="s">
        <v>12</v>
      </c>
      <c r="F216" s="21" t="s">
        <v>17</v>
      </c>
      <c r="G216" s="21" t="s">
        <v>14</v>
      </c>
      <c r="H216" s="21" t="s">
        <v>99</v>
      </c>
      <c r="I216" s="21" t="s">
        <v>13</v>
      </c>
      <c r="J216" s="21" t="s">
        <v>163</v>
      </c>
      <c r="K216" s="21" t="s">
        <v>325</v>
      </c>
      <c r="L216" s="21" t="s">
        <v>71</v>
      </c>
      <c r="M216" s="21" t="s">
        <v>88</v>
      </c>
    </row>
    <row r="217" spans="1:26" x14ac:dyDescent="0.2">
      <c r="A217" s="1493" t="s">
        <v>199</v>
      </c>
      <c r="B217" s="505">
        <v>-153327650000</v>
      </c>
      <c r="C217" s="4">
        <v>-88668810000</v>
      </c>
      <c r="D217" s="506">
        <v>-74696900000</v>
      </c>
      <c r="E217" s="4">
        <v>-58236870000</v>
      </c>
      <c r="F217" s="4">
        <v>-57118700000</v>
      </c>
      <c r="G217" s="4">
        <v>-48069730000</v>
      </c>
      <c r="H217" s="4">
        <v>-25761500000</v>
      </c>
      <c r="I217" s="4">
        <v>-24024510000</v>
      </c>
      <c r="J217" s="4">
        <v>-20451450000</v>
      </c>
      <c r="K217" s="4">
        <v>-20167830000</v>
      </c>
      <c r="L217" s="4">
        <v>-19294770000</v>
      </c>
      <c r="M217" s="4">
        <v>-14649060000</v>
      </c>
    </row>
    <row r="218" spans="1:26" x14ac:dyDescent="0.2">
      <c r="A218" s="1493" t="s">
        <v>196</v>
      </c>
      <c r="B218" s="21" t="s">
        <v>24</v>
      </c>
      <c r="C218" s="21" t="s">
        <v>11</v>
      </c>
      <c r="D218" s="21" t="s">
        <v>9</v>
      </c>
      <c r="E218" s="21" t="s">
        <v>29</v>
      </c>
      <c r="F218" s="21" t="s">
        <v>86</v>
      </c>
      <c r="G218" s="21" t="s">
        <v>64</v>
      </c>
      <c r="H218" s="21" t="s">
        <v>21</v>
      </c>
      <c r="I218" s="21" t="s">
        <v>336</v>
      </c>
      <c r="J218" s="21" t="s">
        <v>12</v>
      </c>
      <c r="K218" s="21" t="s">
        <v>10</v>
      </c>
      <c r="L218" s="21" t="s">
        <v>36</v>
      </c>
      <c r="M218" s="21" t="s">
        <v>6</v>
      </c>
    </row>
    <row r="219" spans="1:26" x14ac:dyDescent="0.2">
      <c r="A219" s="1493" t="s">
        <v>196</v>
      </c>
      <c r="B219" s="500">
        <v>-215915230000</v>
      </c>
      <c r="C219" s="4">
        <v>-116251910000</v>
      </c>
      <c r="D219" s="501">
        <v>-55145180000</v>
      </c>
      <c r="E219" s="4">
        <v>-38347735901</v>
      </c>
      <c r="F219" s="4">
        <v>-37893230000</v>
      </c>
      <c r="G219" s="4">
        <v>-31269410000</v>
      </c>
      <c r="H219" s="4">
        <v>-28830280000</v>
      </c>
      <c r="I219" s="502">
        <v>-28235990000</v>
      </c>
      <c r="J219" s="4">
        <v>-27926800000</v>
      </c>
      <c r="K219" s="4">
        <v>-24081175740</v>
      </c>
      <c r="L219" s="4">
        <v>-21346350000</v>
      </c>
      <c r="M219" s="4">
        <v>-18014800000</v>
      </c>
    </row>
    <row r="220" spans="1:26" x14ac:dyDescent="0.2">
      <c r="A220" s="1493" t="s">
        <v>195</v>
      </c>
      <c r="B220" s="21" t="s">
        <v>5</v>
      </c>
      <c r="C220" s="21" t="s">
        <v>24</v>
      </c>
      <c r="D220" s="21" t="s">
        <v>21</v>
      </c>
      <c r="E220" s="21" t="s">
        <v>65</v>
      </c>
      <c r="F220" s="21" t="s">
        <v>70</v>
      </c>
      <c r="G220" s="21" t="s">
        <v>12</v>
      </c>
      <c r="H220" s="21" t="s">
        <v>18</v>
      </c>
      <c r="I220" s="21" t="s">
        <v>171</v>
      </c>
      <c r="J220" s="21" t="s">
        <v>9</v>
      </c>
      <c r="K220" s="21" t="s">
        <v>84</v>
      </c>
      <c r="L220" s="21" t="s">
        <v>11</v>
      </c>
      <c r="M220" s="21" t="s">
        <v>169</v>
      </c>
    </row>
    <row r="221" spans="1:26" x14ac:dyDescent="0.2">
      <c r="A221" s="1493" t="s">
        <v>195</v>
      </c>
      <c r="B221" s="496">
        <v>-136097160000</v>
      </c>
      <c r="C221" s="4">
        <v>-124899670000</v>
      </c>
      <c r="D221" s="4">
        <v>-39515570000</v>
      </c>
      <c r="E221" s="4">
        <v>-38667970000</v>
      </c>
      <c r="F221" s="4">
        <v>-37742940000</v>
      </c>
      <c r="G221" s="4">
        <v>-37275180000</v>
      </c>
      <c r="H221" s="4">
        <v>-31879710000</v>
      </c>
      <c r="I221" s="4">
        <v>-22392980000</v>
      </c>
      <c r="J221" s="4">
        <v>-20478700000</v>
      </c>
      <c r="K221" s="497">
        <v>-17579700000</v>
      </c>
      <c r="L221" s="4">
        <v>-16894280000</v>
      </c>
      <c r="M221" s="4">
        <v>-15573970000</v>
      </c>
    </row>
    <row r="222" spans="1:26" x14ac:dyDescent="0.2">
      <c r="A222" s="1493" t="s">
        <v>193</v>
      </c>
      <c r="B222" s="21" t="s">
        <v>14</v>
      </c>
      <c r="C222" s="21" t="s">
        <v>70</v>
      </c>
      <c r="D222" s="21" t="s">
        <v>25</v>
      </c>
      <c r="E222" s="21" t="s">
        <v>24</v>
      </c>
      <c r="F222" s="21" t="s">
        <v>69</v>
      </c>
      <c r="G222" s="21" t="s">
        <v>169</v>
      </c>
      <c r="H222" s="21" t="s">
        <v>64</v>
      </c>
      <c r="I222" s="21" t="s">
        <v>29</v>
      </c>
      <c r="J222" s="21" t="s">
        <v>163</v>
      </c>
      <c r="K222" s="21" t="s">
        <v>65</v>
      </c>
      <c r="L222" s="21" t="s">
        <v>12</v>
      </c>
      <c r="M222" s="21" t="s">
        <v>97</v>
      </c>
    </row>
    <row r="223" spans="1:26" x14ac:dyDescent="0.2">
      <c r="A223" s="1493" t="s">
        <v>193</v>
      </c>
      <c r="B223" s="4">
        <v>-109369880000</v>
      </c>
      <c r="C223" s="489">
        <v>-88574230000</v>
      </c>
      <c r="D223" s="4">
        <v>-58101350000</v>
      </c>
      <c r="E223" s="4">
        <v>-52778020000</v>
      </c>
      <c r="F223" s="490">
        <v>-47999440000</v>
      </c>
      <c r="G223" s="491">
        <v>-39558190000</v>
      </c>
      <c r="H223" s="4">
        <v>-38451310000</v>
      </c>
      <c r="I223" s="4">
        <v>-37165624674</v>
      </c>
      <c r="J223" s="492">
        <v>-32323020000</v>
      </c>
      <c r="K223" s="4">
        <v>-28170540000</v>
      </c>
      <c r="L223" s="4">
        <v>-25632270000</v>
      </c>
      <c r="M223" s="4">
        <v>-21625360000</v>
      </c>
    </row>
    <row r="224" spans="1:26" x14ac:dyDescent="0.2">
      <c r="A224" s="1493" t="s">
        <v>189</v>
      </c>
      <c r="B224" s="21" t="s">
        <v>21</v>
      </c>
      <c r="C224" s="21" t="s">
        <v>14</v>
      </c>
      <c r="D224" s="21" t="s">
        <v>24</v>
      </c>
      <c r="E224" s="21" t="s">
        <v>28</v>
      </c>
      <c r="F224" s="21" t="s">
        <v>22</v>
      </c>
      <c r="G224" s="21" t="s">
        <v>29</v>
      </c>
      <c r="H224" s="21" t="s">
        <v>23</v>
      </c>
      <c r="I224" s="21" t="s">
        <v>69</v>
      </c>
      <c r="J224" s="21" t="s">
        <v>67</v>
      </c>
      <c r="K224" s="21" t="s">
        <v>267</v>
      </c>
      <c r="L224" s="21" t="s">
        <v>171</v>
      </c>
      <c r="M224" s="21" t="s">
        <v>97</v>
      </c>
      <c r="N224" s="1493" t="s">
        <v>380</v>
      </c>
      <c r="O224" s="21" t="s">
        <v>21</v>
      </c>
      <c r="P224" s="21" t="s">
        <v>24</v>
      </c>
      <c r="Q224" s="21" t="s">
        <v>22</v>
      </c>
      <c r="R224" s="21" t="s">
        <v>23</v>
      </c>
      <c r="S224" s="21" t="s">
        <v>15</v>
      </c>
      <c r="T224" s="21" t="s">
        <v>29</v>
      </c>
      <c r="U224" s="21" t="s">
        <v>13</v>
      </c>
      <c r="V224" s="21" t="s">
        <v>30</v>
      </c>
      <c r="W224" s="21" t="s">
        <v>171</v>
      </c>
      <c r="X224" s="21" t="s">
        <v>70</v>
      </c>
      <c r="Y224" s="21" t="s">
        <v>64</v>
      </c>
      <c r="Z224" s="21" t="s">
        <v>28</v>
      </c>
    </row>
    <row r="225" spans="1:26" x14ac:dyDescent="0.2">
      <c r="A225" s="1493" t="s">
        <v>189</v>
      </c>
      <c r="B225" s="482">
        <v>-135007920000</v>
      </c>
      <c r="C225" s="4">
        <v>-89027570000</v>
      </c>
      <c r="D225" s="4">
        <v>-41104890000</v>
      </c>
      <c r="E225" s="483">
        <v>-40993530000</v>
      </c>
      <c r="F225" s="4">
        <v>-38635160000</v>
      </c>
      <c r="G225" s="4">
        <v>-38060857054</v>
      </c>
      <c r="H225" s="4">
        <v>-31889590000</v>
      </c>
      <c r="I225" s="4">
        <v>-31885900000</v>
      </c>
      <c r="J225" s="4">
        <v>-27958580000</v>
      </c>
      <c r="K225" s="484">
        <v>-24342220000</v>
      </c>
      <c r="L225" s="4">
        <v>-21151430000</v>
      </c>
      <c r="M225" s="4">
        <v>-16294540000</v>
      </c>
      <c r="N225" s="1493" t="s">
        <v>380</v>
      </c>
      <c r="O225" s="4">
        <v>-302051140000</v>
      </c>
      <c r="P225" s="4">
        <v>-285397830000</v>
      </c>
      <c r="Q225" s="4">
        <v>-188968450000</v>
      </c>
      <c r="R225" s="4">
        <v>-146369910000</v>
      </c>
      <c r="S225" s="4">
        <v>-136434540000</v>
      </c>
      <c r="T225" s="4">
        <v>-133551782736</v>
      </c>
      <c r="U225" s="4">
        <v>-119173850000</v>
      </c>
      <c r="V225" s="4">
        <v>-100024410000</v>
      </c>
      <c r="W225" s="4">
        <v>-92410920000</v>
      </c>
      <c r="X225" s="4">
        <v>-78923570000</v>
      </c>
      <c r="Y225" s="4">
        <v>-73030730000</v>
      </c>
      <c r="Z225" s="4">
        <v>-67742910000</v>
      </c>
    </row>
    <row r="226" spans="1:26" x14ac:dyDescent="0.2">
      <c r="A226" s="1493" t="s">
        <v>185</v>
      </c>
      <c r="B226" s="21" t="s">
        <v>24</v>
      </c>
      <c r="C226" s="21" t="s">
        <v>22</v>
      </c>
      <c r="D226" s="21" t="s">
        <v>21</v>
      </c>
      <c r="E226" s="21" t="s">
        <v>8</v>
      </c>
      <c r="F226" s="21" t="s">
        <v>29</v>
      </c>
      <c r="G226" s="21" t="s">
        <v>12</v>
      </c>
      <c r="H226" s="21" t="s">
        <v>65</v>
      </c>
      <c r="I226" s="21" t="s">
        <v>271</v>
      </c>
      <c r="J226" s="21" t="s">
        <v>71</v>
      </c>
      <c r="K226" s="21" t="s">
        <v>186</v>
      </c>
      <c r="L226" s="21" t="s">
        <v>64</v>
      </c>
      <c r="M226" s="21" t="s">
        <v>28</v>
      </c>
    </row>
    <row r="227" spans="1:26" x14ac:dyDescent="0.2">
      <c r="A227" s="1493" t="s">
        <v>185</v>
      </c>
      <c r="B227" s="472">
        <v>-211387070000</v>
      </c>
      <c r="C227" s="4">
        <v>-172251080000</v>
      </c>
      <c r="D227" s="4">
        <v>-115261060000</v>
      </c>
      <c r="E227" s="473">
        <v>-97911720000</v>
      </c>
      <c r="F227" s="4">
        <v>-47760816672</v>
      </c>
      <c r="G227" s="4">
        <v>-39929470000</v>
      </c>
      <c r="H227" s="4">
        <v>-36098430000</v>
      </c>
      <c r="I227" s="474">
        <v>-32912640000</v>
      </c>
      <c r="J227" s="4">
        <v>-25025360000</v>
      </c>
      <c r="K227" s="475">
        <v>-24447880000</v>
      </c>
      <c r="L227" s="4">
        <v>-21567400000</v>
      </c>
      <c r="M227" s="4">
        <v>-21322770000</v>
      </c>
    </row>
    <row r="228" spans="1:26" x14ac:dyDescent="0.2">
      <c r="A228" s="1493" t="s">
        <v>181</v>
      </c>
      <c r="B228" s="21" t="s">
        <v>97</v>
      </c>
      <c r="C228" s="21" t="s">
        <v>18</v>
      </c>
      <c r="D228" s="21" t="s">
        <v>169</v>
      </c>
      <c r="E228" s="21" t="s">
        <v>86</v>
      </c>
      <c r="F228" s="21" t="s">
        <v>23</v>
      </c>
      <c r="G228" s="21" t="s">
        <v>30</v>
      </c>
      <c r="H228" s="21" t="s">
        <v>24</v>
      </c>
      <c r="I228" s="21" t="s">
        <v>168</v>
      </c>
      <c r="J228" s="21" t="s">
        <v>171</v>
      </c>
      <c r="K228" s="21" t="s">
        <v>271</v>
      </c>
      <c r="L228" s="21" t="s">
        <v>10</v>
      </c>
      <c r="M228" s="21" t="s">
        <v>16</v>
      </c>
    </row>
    <row r="229" spans="1:26" x14ac:dyDescent="0.2">
      <c r="A229" s="1493" t="s">
        <v>181</v>
      </c>
      <c r="B229" s="466">
        <v>-69500850000</v>
      </c>
      <c r="C229" s="4">
        <v>-37064640000</v>
      </c>
      <c r="D229" s="467">
        <v>-33693840000</v>
      </c>
      <c r="E229" s="4">
        <v>-29111630000</v>
      </c>
      <c r="F229" s="4">
        <v>-26639300000</v>
      </c>
      <c r="G229" s="4">
        <v>-24501110000</v>
      </c>
      <c r="H229" s="4">
        <v>-23254800000</v>
      </c>
      <c r="I229" s="468">
        <v>-21630930000</v>
      </c>
      <c r="J229" s="4">
        <v>-21259250000</v>
      </c>
      <c r="K229" s="469">
        <v>-19707780000</v>
      </c>
      <c r="L229" s="4">
        <v>-15438785431</v>
      </c>
      <c r="M229" s="4">
        <v>-12274570000</v>
      </c>
    </row>
    <row r="230" spans="1:26" x14ac:dyDescent="0.2">
      <c r="A230" s="1493" t="s">
        <v>178</v>
      </c>
      <c r="B230" s="21" t="s">
        <v>13</v>
      </c>
      <c r="C230" s="21" t="s">
        <v>15</v>
      </c>
      <c r="D230" s="21" t="s">
        <v>70</v>
      </c>
      <c r="E230" s="21" t="s">
        <v>17</v>
      </c>
      <c r="F230" s="21" t="s">
        <v>21</v>
      </c>
      <c r="G230" s="21" t="s">
        <v>23</v>
      </c>
      <c r="H230" s="21" t="s">
        <v>29</v>
      </c>
      <c r="I230" s="21" t="s">
        <v>65</v>
      </c>
      <c r="J230" s="21" t="s">
        <v>38</v>
      </c>
      <c r="K230" s="21" t="s">
        <v>64</v>
      </c>
      <c r="L230" s="21" t="s">
        <v>16</v>
      </c>
      <c r="M230" s="21" t="s">
        <v>30</v>
      </c>
    </row>
    <row r="231" spans="1:26" x14ac:dyDescent="0.2">
      <c r="A231" s="1493" t="s">
        <v>178</v>
      </c>
      <c r="B231" s="4">
        <v>-87174720000</v>
      </c>
      <c r="C231" s="4">
        <v>-72952980000</v>
      </c>
      <c r="D231" s="462">
        <v>-64092490000</v>
      </c>
      <c r="E231" s="4">
        <v>-63258400000</v>
      </c>
      <c r="F231" s="4">
        <v>-53311060000</v>
      </c>
      <c r="G231" s="4">
        <v>-43677450000</v>
      </c>
      <c r="H231" s="4">
        <v>-43440143298</v>
      </c>
      <c r="I231" s="4">
        <v>-38687690000</v>
      </c>
      <c r="J231" s="4">
        <v>-35853160000</v>
      </c>
      <c r="K231" s="4">
        <v>-26864290000</v>
      </c>
      <c r="L231" s="4">
        <v>-26123480000</v>
      </c>
      <c r="M231" s="4">
        <v>-24249070000</v>
      </c>
    </row>
    <row r="232" spans="1:26" x14ac:dyDescent="0.2">
      <c r="A232" s="1493" t="s">
        <v>175</v>
      </c>
      <c r="B232" s="21" t="s">
        <v>13</v>
      </c>
      <c r="C232" s="21" t="s">
        <v>15</v>
      </c>
      <c r="D232" s="21" t="s">
        <v>17</v>
      </c>
      <c r="E232" s="21" t="s">
        <v>23</v>
      </c>
      <c r="F232" s="21" t="s">
        <v>70</v>
      </c>
      <c r="G232" s="21" t="s">
        <v>65</v>
      </c>
      <c r="H232" s="21" t="s">
        <v>88</v>
      </c>
      <c r="I232" s="21" t="s">
        <v>64</v>
      </c>
      <c r="J232" s="21" t="s">
        <v>86</v>
      </c>
      <c r="K232" s="21" t="s">
        <v>30</v>
      </c>
      <c r="L232" s="21" t="s">
        <v>42</v>
      </c>
      <c r="M232" s="21" t="s">
        <v>26</v>
      </c>
    </row>
    <row r="233" spans="1:26" x14ac:dyDescent="0.2">
      <c r="A233" s="1493" t="s">
        <v>175</v>
      </c>
      <c r="B233" s="457">
        <v>-173212390000</v>
      </c>
      <c r="C233" s="4">
        <v>-98621600000</v>
      </c>
      <c r="D233" s="4">
        <v>-81416940000</v>
      </c>
      <c r="E233" s="4">
        <v>-46372020000</v>
      </c>
      <c r="F233" s="4">
        <v>-35504910000</v>
      </c>
      <c r="G233" s="4">
        <v>-22380740000</v>
      </c>
      <c r="H233" s="4">
        <v>-20282760000</v>
      </c>
      <c r="I233" s="4">
        <v>-19657900000</v>
      </c>
      <c r="J233" s="4">
        <v>-19523970000</v>
      </c>
      <c r="K233" s="4">
        <v>-16540050000</v>
      </c>
      <c r="L233" s="4">
        <v>-16246850000</v>
      </c>
      <c r="M233" s="4">
        <v>-16106140000</v>
      </c>
    </row>
    <row r="234" spans="1:26" x14ac:dyDescent="0.2">
      <c r="A234" s="1493" t="s">
        <v>111</v>
      </c>
      <c r="B234" s="21" t="s">
        <v>15</v>
      </c>
      <c r="C234" s="21" t="s">
        <v>17</v>
      </c>
      <c r="D234" s="21" t="s">
        <v>11</v>
      </c>
      <c r="E234" s="21" t="s">
        <v>65</v>
      </c>
      <c r="F234" s="21" t="s">
        <v>23</v>
      </c>
      <c r="G234" s="21" t="s">
        <v>5</v>
      </c>
      <c r="H234" s="21" t="s">
        <v>59</v>
      </c>
      <c r="I234" s="21" t="s">
        <v>69</v>
      </c>
      <c r="J234" s="21" t="s">
        <v>16</v>
      </c>
      <c r="K234" s="21" t="s">
        <v>86</v>
      </c>
      <c r="L234" s="21" t="s">
        <v>29</v>
      </c>
      <c r="M234" s="21" t="s">
        <v>163</v>
      </c>
      <c r="N234" s="1493" t="s">
        <v>379</v>
      </c>
      <c r="O234" s="21" t="s">
        <v>17</v>
      </c>
      <c r="P234" s="21" t="s">
        <v>15</v>
      </c>
      <c r="Q234" s="21" t="s">
        <v>86</v>
      </c>
      <c r="R234" s="21" t="s">
        <v>14</v>
      </c>
      <c r="S234" s="21" t="s">
        <v>23</v>
      </c>
      <c r="T234" s="21" t="s">
        <v>16</v>
      </c>
      <c r="U234" s="21" t="s">
        <v>6</v>
      </c>
      <c r="V234" s="21" t="s">
        <v>8</v>
      </c>
      <c r="W234" s="21" t="s">
        <v>69</v>
      </c>
      <c r="X234" s="21" t="s">
        <v>21</v>
      </c>
      <c r="Y234" s="21" t="s">
        <v>29</v>
      </c>
      <c r="Z234" s="21" t="s">
        <v>65</v>
      </c>
    </row>
    <row r="235" spans="1:26" x14ac:dyDescent="0.2">
      <c r="A235" s="1493" t="s">
        <v>111</v>
      </c>
      <c r="B235" s="448">
        <v>-195597250000</v>
      </c>
      <c r="C235" s="449">
        <v>-183550820000</v>
      </c>
      <c r="D235" s="450">
        <v>-141870650000</v>
      </c>
      <c r="E235" s="4">
        <v>-78815980000</v>
      </c>
      <c r="F235" s="4">
        <v>-76307530000</v>
      </c>
      <c r="G235" s="4">
        <v>-65102140000</v>
      </c>
      <c r="H235" s="451">
        <v>-50248840000</v>
      </c>
      <c r="I235" s="452">
        <v>-45452720000</v>
      </c>
      <c r="J235" s="4">
        <v>-44572980000</v>
      </c>
      <c r="K235" s="4">
        <v>-42950250000</v>
      </c>
      <c r="L235" s="4">
        <v>-42868786624</v>
      </c>
      <c r="M235" s="453">
        <v>-31910850000</v>
      </c>
      <c r="N235" s="1493" t="s">
        <v>379</v>
      </c>
      <c r="O235" s="4">
        <v>-530953940000</v>
      </c>
      <c r="P235" s="4">
        <v>-454654870000</v>
      </c>
      <c r="Q235" s="4">
        <v>-243811510000</v>
      </c>
      <c r="R235" s="4">
        <v>-234354590000</v>
      </c>
      <c r="S235" s="4">
        <v>-173993760000</v>
      </c>
      <c r="T235" s="4">
        <v>-167535600000</v>
      </c>
      <c r="U235" s="4">
        <v>-149799830000</v>
      </c>
      <c r="V235" s="4">
        <v>-112504680000</v>
      </c>
      <c r="W235" s="4">
        <v>-108471910000</v>
      </c>
      <c r="X235" s="4">
        <v>-98759410000</v>
      </c>
      <c r="Y235" s="4">
        <v>-94997694432</v>
      </c>
      <c r="Z235" s="4">
        <v>-93712330000</v>
      </c>
    </row>
    <row r="236" spans="1:26" x14ac:dyDescent="0.2">
      <c r="A236" s="1493" t="s">
        <v>110</v>
      </c>
      <c r="B236" s="21" t="s">
        <v>14</v>
      </c>
      <c r="C236" s="21" t="s">
        <v>15</v>
      </c>
      <c r="D236" s="21" t="s">
        <v>23</v>
      </c>
      <c r="E236" s="21" t="s">
        <v>17</v>
      </c>
      <c r="F236" s="21" t="s">
        <v>13</v>
      </c>
      <c r="G236" s="21" t="s">
        <v>21</v>
      </c>
      <c r="H236" s="21" t="s">
        <v>16</v>
      </c>
      <c r="I236" s="21" t="s">
        <v>97</v>
      </c>
      <c r="J236" s="21" t="s">
        <v>59</v>
      </c>
      <c r="K236" s="21" t="s">
        <v>22</v>
      </c>
      <c r="L236" s="21" t="s">
        <v>42</v>
      </c>
      <c r="M236" s="21" t="s">
        <v>180</v>
      </c>
    </row>
    <row r="237" spans="1:26" x14ac:dyDescent="0.2">
      <c r="A237" s="1493" t="s">
        <v>110</v>
      </c>
      <c r="B237" s="437">
        <v>-150053210000</v>
      </c>
      <c r="C237" s="438">
        <v>-116988070000</v>
      </c>
      <c r="D237" s="439">
        <v>-109431350000</v>
      </c>
      <c r="E237" s="440">
        <v>-105485590000</v>
      </c>
      <c r="F237" s="4">
        <v>-96350110000</v>
      </c>
      <c r="G237" s="4">
        <v>-63550200000</v>
      </c>
      <c r="H237" s="441">
        <v>-54658440000</v>
      </c>
      <c r="I237" s="442">
        <v>-49218670000</v>
      </c>
      <c r="J237" s="443">
        <v>-44939510000</v>
      </c>
      <c r="K237" s="4">
        <v>-37513090000</v>
      </c>
      <c r="L237" s="4">
        <v>-36331190000</v>
      </c>
      <c r="M237" s="4">
        <v>-35683570000</v>
      </c>
    </row>
    <row r="238" spans="1:26" x14ac:dyDescent="0.2">
      <c r="A238" s="1493" t="s">
        <v>109</v>
      </c>
      <c r="B238" s="21" t="s">
        <v>14</v>
      </c>
      <c r="C238" s="21" t="s">
        <v>17</v>
      </c>
      <c r="D238" s="21" t="s">
        <v>86</v>
      </c>
      <c r="E238" s="21" t="s">
        <v>23</v>
      </c>
      <c r="F238" s="21" t="s">
        <v>72</v>
      </c>
      <c r="G238" s="21" t="s">
        <v>15</v>
      </c>
      <c r="H238" s="21" t="s">
        <v>89</v>
      </c>
      <c r="I238" s="21" t="s">
        <v>16</v>
      </c>
      <c r="J238" s="21" t="s">
        <v>22</v>
      </c>
      <c r="K238" s="21" t="s">
        <v>183</v>
      </c>
      <c r="L238" s="21" t="s">
        <v>8</v>
      </c>
      <c r="M238" s="21" t="s">
        <v>87</v>
      </c>
    </row>
    <row r="239" spans="1:26" x14ac:dyDescent="0.2">
      <c r="A239" s="1493" t="s">
        <v>109</v>
      </c>
      <c r="B239" s="428">
        <v>-147793570000</v>
      </c>
      <c r="C239" s="429">
        <v>-94703000000</v>
      </c>
      <c r="D239" s="430">
        <v>-75849460000</v>
      </c>
      <c r="E239" s="4">
        <v>-52153120000</v>
      </c>
      <c r="F239" s="4">
        <v>-50029860000</v>
      </c>
      <c r="G239" s="4">
        <v>-49663330000</v>
      </c>
      <c r="H239" s="431">
        <v>-49153840000</v>
      </c>
      <c r="I239" s="4">
        <v>-34298880000</v>
      </c>
      <c r="J239" s="4">
        <v>-31861030000</v>
      </c>
      <c r="K239" s="432">
        <v>-28309720000</v>
      </c>
      <c r="L239" s="4">
        <v>-26969440000</v>
      </c>
      <c r="M239" s="4">
        <v>-26137030000</v>
      </c>
    </row>
    <row r="240" spans="1:26" x14ac:dyDescent="0.2">
      <c r="A240" s="1493" t="s">
        <v>108</v>
      </c>
      <c r="B240" s="21" t="s">
        <v>17</v>
      </c>
      <c r="C240" s="21" t="s">
        <v>13</v>
      </c>
      <c r="D240" s="21" t="s">
        <v>15</v>
      </c>
      <c r="E240" s="21" t="s">
        <v>301</v>
      </c>
      <c r="F240" s="21" t="s">
        <v>86</v>
      </c>
      <c r="G240" s="21" t="s">
        <v>8</v>
      </c>
      <c r="H240" s="21" t="s">
        <v>69</v>
      </c>
      <c r="I240" s="21" t="s">
        <v>18</v>
      </c>
      <c r="J240" s="21" t="s">
        <v>16</v>
      </c>
      <c r="K240" s="21" t="s">
        <v>88</v>
      </c>
      <c r="L240" s="21" t="s">
        <v>42</v>
      </c>
      <c r="M240" s="21" t="s">
        <v>23</v>
      </c>
    </row>
    <row r="241" spans="1:26" x14ac:dyDescent="0.2">
      <c r="A241" s="1493" t="s">
        <v>108</v>
      </c>
      <c r="B241" s="415">
        <v>-86214660000</v>
      </c>
      <c r="C241" s="4">
        <v>-84834710000</v>
      </c>
      <c r="D241" s="416">
        <v>-74608100000</v>
      </c>
      <c r="E241" s="417">
        <v>-74318580000</v>
      </c>
      <c r="F241" s="4">
        <v>-63115280000</v>
      </c>
      <c r="G241" s="418">
        <v>-42881650000</v>
      </c>
      <c r="H241" s="419">
        <v>-33478340000</v>
      </c>
      <c r="I241" s="4">
        <v>-29944140000</v>
      </c>
      <c r="J241" s="4">
        <v>-27759990000</v>
      </c>
      <c r="K241" s="420">
        <v>-27062940000</v>
      </c>
      <c r="L241" s="4">
        <v>-22839360000</v>
      </c>
      <c r="M241" s="4">
        <v>-22616710000</v>
      </c>
    </row>
    <row r="242" spans="1:26" x14ac:dyDescent="0.2">
      <c r="A242" s="1493" t="s">
        <v>107</v>
      </c>
      <c r="B242" s="21" t="s">
        <v>6</v>
      </c>
      <c r="C242" s="21" t="s">
        <v>71</v>
      </c>
      <c r="D242" s="21" t="s">
        <v>17</v>
      </c>
      <c r="E242" s="21" t="s">
        <v>21</v>
      </c>
      <c r="F242" s="21" t="s">
        <v>18</v>
      </c>
      <c r="G242" s="21" t="s">
        <v>180</v>
      </c>
      <c r="H242" s="21" t="s">
        <v>86</v>
      </c>
      <c r="I242" s="21" t="s">
        <v>13</v>
      </c>
      <c r="J242" s="21" t="s">
        <v>168</v>
      </c>
      <c r="K242" s="21" t="s">
        <v>15</v>
      </c>
      <c r="L242" s="21" t="s">
        <v>271</v>
      </c>
      <c r="M242" s="21" t="s">
        <v>27</v>
      </c>
    </row>
    <row r="243" spans="1:26" x14ac:dyDescent="0.2">
      <c r="A243" s="1493" t="s">
        <v>107</v>
      </c>
      <c r="B243" s="404">
        <v>-146008600000</v>
      </c>
      <c r="C243" s="405">
        <v>-61426250000</v>
      </c>
      <c r="D243" s="4">
        <v>-60999870000</v>
      </c>
      <c r="E243" s="4">
        <v>-48918650000</v>
      </c>
      <c r="F243" s="4">
        <v>-36808560000</v>
      </c>
      <c r="G243" s="4">
        <v>-32294340000</v>
      </c>
      <c r="H243" s="4">
        <v>-28131260000</v>
      </c>
      <c r="I243" s="4">
        <v>-24763920000</v>
      </c>
      <c r="J243" s="406">
        <v>-18076810000</v>
      </c>
      <c r="K243" s="4">
        <v>-17798120000</v>
      </c>
      <c r="L243" s="407">
        <v>-17206800000</v>
      </c>
      <c r="M243" s="4">
        <v>-14659450000</v>
      </c>
    </row>
    <row r="244" spans="1:26" x14ac:dyDescent="0.2">
      <c r="A244" s="1493" t="s">
        <v>129</v>
      </c>
      <c r="B244" s="21" t="s">
        <v>21</v>
      </c>
      <c r="C244" s="21" t="s">
        <v>13</v>
      </c>
      <c r="D244" s="21" t="s">
        <v>6</v>
      </c>
      <c r="E244" s="21" t="s">
        <v>29</v>
      </c>
      <c r="F244" s="21" t="s">
        <v>17</v>
      </c>
      <c r="G244" s="21" t="s">
        <v>11</v>
      </c>
      <c r="H244" s="21" t="s">
        <v>16</v>
      </c>
      <c r="I244" s="21" t="s">
        <v>25</v>
      </c>
      <c r="J244" s="21" t="s">
        <v>8</v>
      </c>
      <c r="K244" s="21" t="s">
        <v>59</v>
      </c>
      <c r="L244" s="21" t="s">
        <v>180</v>
      </c>
      <c r="M244" s="21" t="s">
        <v>70</v>
      </c>
      <c r="N244" s="1493" t="s">
        <v>378</v>
      </c>
      <c r="O244" s="21" t="s">
        <v>21</v>
      </c>
      <c r="P244" s="21" t="s">
        <v>13</v>
      </c>
      <c r="Q244" s="21" t="s">
        <v>17</v>
      </c>
      <c r="R244" s="21" t="s">
        <v>6</v>
      </c>
      <c r="S244" s="21" t="s">
        <v>18</v>
      </c>
      <c r="T244" s="21" t="s">
        <v>11</v>
      </c>
      <c r="U244" s="21" t="s">
        <v>180</v>
      </c>
      <c r="V244" s="21" t="s">
        <v>22</v>
      </c>
      <c r="W244" s="21" t="s">
        <v>29</v>
      </c>
      <c r="X244" s="21" t="s">
        <v>16</v>
      </c>
      <c r="Y244" s="21" t="s">
        <v>59</v>
      </c>
      <c r="Z244" s="21" t="s">
        <v>23</v>
      </c>
    </row>
    <row r="245" spans="1:26" x14ac:dyDescent="0.2">
      <c r="A245" s="1493" t="s">
        <v>129</v>
      </c>
      <c r="B245" s="4">
        <v>-123222340000</v>
      </c>
      <c r="C245" s="392">
        <v>-119090580000</v>
      </c>
      <c r="D245" s="393">
        <v>-83417950000</v>
      </c>
      <c r="E245" s="394">
        <v>-57943461238</v>
      </c>
      <c r="F245" s="4">
        <v>-52857160000</v>
      </c>
      <c r="G245" s="395">
        <v>-49768870000</v>
      </c>
      <c r="H245" s="396">
        <v>-47128540000</v>
      </c>
      <c r="I245" s="4">
        <v>-33509070000</v>
      </c>
      <c r="J245" s="4">
        <v>-32943040000</v>
      </c>
      <c r="K245" s="4">
        <v>-32479730000</v>
      </c>
      <c r="L245" s="4">
        <v>-24749640000</v>
      </c>
      <c r="M245" s="4">
        <v>-23221940000</v>
      </c>
      <c r="N245" s="1493" t="s">
        <v>378</v>
      </c>
      <c r="O245" s="4">
        <v>-254871350000</v>
      </c>
      <c r="P245" s="4">
        <v>-165561800000</v>
      </c>
      <c r="Q245" s="4">
        <v>-137040590000</v>
      </c>
      <c r="R245" s="4">
        <v>-122896990000</v>
      </c>
      <c r="S245" s="4">
        <v>-102608750000</v>
      </c>
      <c r="T245" s="4">
        <v>-98003910000</v>
      </c>
      <c r="U245" s="4">
        <v>-90884970000</v>
      </c>
      <c r="V245" s="4">
        <v>-87561270000</v>
      </c>
      <c r="W245" s="4">
        <v>-79136673242</v>
      </c>
      <c r="X245" s="4">
        <v>-72532330000</v>
      </c>
      <c r="Y245" s="4">
        <v>-65052610000</v>
      </c>
      <c r="Z245" s="4">
        <v>-55043160000</v>
      </c>
    </row>
    <row r="246" spans="1:26" x14ac:dyDescent="0.2">
      <c r="A246" s="1493" t="s">
        <v>130</v>
      </c>
      <c r="B246" s="21" t="s">
        <v>21</v>
      </c>
      <c r="C246" s="21" t="s">
        <v>18</v>
      </c>
      <c r="D246" s="21" t="s">
        <v>17</v>
      </c>
      <c r="E246" s="21" t="s">
        <v>180</v>
      </c>
      <c r="F246" s="21" t="s">
        <v>22</v>
      </c>
      <c r="G246" s="21" t="s">
        <v>11</v>
      </c>
      <c r="H246" s="21" t="s">
        <v>13</v>
      </c>
      <c r="I246" s="21" t="s">
        <v>6</v>
      </c>
      <c r="J246" s="21" t="s">
        <v>23</v>
      </c>
      <c r="K246" s="21" t="s">
        <v>59</v>
      </c>
      <c r="L246" s="21" t="s">
        <v>99</v>
      </c>
      <c r="M246" s="21" t="s">
        <v>15</v>
      </c>
    </row>
    <row r="247" spans="1:26" x14ac:dyDescent="0.2">
      <c r="A247" s="1493" t="s">
        <v>130</v>
      </c>
      <c r="B247" s="378">
        <v>-131649010000</v>
      </c>
      <c r="C247" s="379">
        <v>-91972860000</v>
      </c>
      <c r="D247" s="380">
        <v>-84183430000</v>
      </c>
      <c r="E247" s="381">
        <v>-66135330000</v>
      </c>
      <c r="F247" s="4">
        <v>-64568820000</v>
      </c>
      <c r="G247" s="382">
        <v>-48235040000</v>
      </c>
      <c r="H247" s="383">
        <v>-46471220000</v>
      </c>
      <c r="I247" s="4">
        <v>-39479040000</v>
      </c>
      <c r="J247" s="4">
        <v>-36725100000</v>
      </c>
      <c r="K247" s="384">
        <v>-32572880000</v>
      </c>
      <c r="L247" s="4">
        <v>-31009280000</v>
      </c>
      <c r="M247" s="4">
        <v>-28883250000</v>
      </c>
    </row>
    <row r="248" spans="1:26" x14ac:dyDescent="0.2">
      <c r="A248" s="1493" t="s">
        <v>131</v>
      </c>
      <c r="B248" s="21" t="s">
        <v>72</v>
      </c>
      <c r="C248" s="21" t="s">
        <v>21</v>
      </c>
      <c r="D248" s="21" t="s">
        <v>22</v>
      </c>
      <c r="E248" s="21" t="s">
        <v>17</v>
      </c>
      <c r="F248" s="21" t="s">
        <v>180</v>
      </c>
      <c r="G248" s="21" t="s">
        <v>86</v>
      </c>
      <c r="H248" s="21" t="s">
        <v>12</v>
      </c>
      <c r="I248" s="21" t="s">
        <v>89</v>
      </c>
      <c r="J248" s="21" t="s">
        <v>11</v>
      </c>
      <c r="K248" s="21" t="s">
        <v>27</v>
      </c>
      <c r="L248" s="21" t="s">
        <v>23</v>
      </c>
      <c r="M248" s="21" t="s">
        <v>10</v>
      </c>
      <c r="N248" s="1493" t="s">
        <v>377</v>
      </c>
      <c r="O248" s="21" t="s">
        <v>10</v>
      </c>
      <c r="P248" s="21" t="s">
        <v>65</v>
      </c>
      <c r="Q248" s="21" t="s">
        <v>12</v>
      </c>
      <c r="R248" s="21" t="s">
        <v>86</v>
      </c>
      <c r="S248" s="21" t="s">
        <v>22</v>
      </c>
      <c r="T248" s="21" t="s">
        <v>17</v>
      </c>
      <c r="U248" s="21" t="s">
        <v>23</v>
      </c>
      <c r="V248" s="21" t="s">
        <v>72</v>
      </c>
      <c r="W248" s="21" t="s">
        <v>14</v>
      </c>
      <c r="X248" s="21" t="s">
        <v>24</v>
      </c>
      <c r="Y248" s="21" t="s">
        <v>21</v>
      </c>
      <c r="Z248" s="21" t="s">
        <v>30</v>
      </c>
    </row>
    <row r="249" spans="1:26" x14ac:dyDescent="0.2">
      <c r="A249" s="1493" t="s">
        <v>131</v>
      </c>
      <c r="B249" s="369">
        <v>-80796970000</v>
      </c>
      <c r="C249" s="4">
        <v>-60497890000</v>
      </c>
      <c r="D249" s="4">
        <v>-46580690000</v>
      </c>
      <c r="E249" s="4">
        <v>-45059620000</v>
      </c>
      <c r="F249" s="370">
        <v>-40151850000</v>
      </c>
      <c r="G249" s="4">
        <v>-40085820000</v>
      </c>
      <c r="H249" s="4">
        <v>-37473530000</v>
      </c>
      <c r="I249" s="371">
        <v>-34417020000</v>
      </c>
      <c r="J249" s="372">
        <v>-25215310000</v>
      </c>
      <c r="K249" s="4">
        <v>-24667260000</v>
      </c>
      <c r="L249" s="4">
        <v>-23812160000</v>
      </c>
      <c r="M249" s="4">
        <v>-18401346906</v>
      </c>
      <c r="N249" s="1493" t="s">
        <v>377</v>
      </c>
      <c r="O249" s="4">
        <v>-227446226423</v>
      </c>
      <c r="P249" s="4">
        <v>-160746550000</v>
      </c>
      <c r="Q249" s="4">
        <v>-153256970000</v>
      </c>
      <c r="R249" s="4">
        <v>-149842220000</v>
      </c>
      <c r="S249" s="4">
        <v>-128353110000</v>
      </c>
      <c r="T249" s="4">
        <v>-93491330000</v>
      </c>
      <c r="U249" s="4">
        <v>-92031110000</v>
      </c>
      <c r="V249" s="4">
        <v>-91809710000</v>
      </c>
      <c r="W249" s="4">
        <v>-90438660000</v>
      </c>
      <c r="X249" s="4">
        <v>-86845340000</v>
      </c>
      <c r="Y249" s="4">
        <v>-83426560000</v>
      </c>
      <c r="Z249" s="4">
        <v>-55922410000</v>
      </c>
    </row>
    <row r="250" spans="1:26" x14ac:dyDescent="0.2">
      <c r="A250" s="1493" t="s">
        <v>132</v>
      </c>
      <c r="B250" s="21" t="s">
        <v>10</v>
      </c>
      <c r="C250" s="21" t="s">
        <v>24</v>
      </c>
      <c r="D250" s="21" t="s">
        <v>86</v>
      </c>
      <c r="E250" s="21" t="s">
        <v>14</v>
      </c>
      <c r="F250" s="21" t="s">
        <v>12</v>
      </c>
      <c r="G250" s="21" t="s">
        <v>23</v>
      </c>
      <c r="H250" s="21" t="s">
        <v>65</v>
      </c>
      <c r="I250" s="21" t="s">
        <v>17</v>
      </c>
      <c r="J250" s="21" t="s">
        <v>21</v>
      </c>
      <c r="K250" s="21" t="s">
        <v>22</v>
      </c>
      <c r="L250" s="21" t="s">
        <v>87</v>
      </c>
      <c r="M250" s="21" t="s">
        <v>30</v>
      </c>
    </row>
    <row r="251" spans="1:26" x14ac:dyDescent="0.2">
      <c r="A251" s="1493" t="s">
        <v>132</v>
      </c>
      <c r="B251" s="4">
        <v>-89741274657</v>
      </c>
      <c r="C251" s="4">
        <v>-89643420000</v>
      </c>
      <c r="D251" s="361">
        <v>-67669830000</v>
      </c>
      <c r="E251" s="362">
        <v>-66429720000</v>
      </c>
      <c r="F251" s="363">
        <v>-60494740000</v>
      </c>
      <c r="G251" s="4">
        <v>-56355970000</v>
      </c>
      <c r="H251" s="4">
        <v>-54937490000</v>
      </c>
      <c r="I251" s="4">
        <v>-47055920000</v>
      </c>
      <c r="J251" s="4">
        <v>-44606740000</v>
      </c>
      <c r="K251" s="4">
        <v>-32181130000</v>
      </c>
      <c r="L251" s="364">
        <v>-31949760000</v>
      </c>
      <c r="M251" s="4">
        <v>-29594890000</v>
      </c>
    </row>
    <row r="252" spans="1:26" x14ac:dyDescent="0.2">
      <c r="A252" s="1493" t="s">
        <v>133</v>
      </c>
      <c r="B252" s="21" t="s">
        <v>10</v>
      </c>
      <c r="C252" s="21" t="s">
        <v>65</v>
      </c>
      <c r="D252" s="21" t="s">
        <v>12</v>
      </c>
      <c r="E252" s="21" t="s">
        <v>5</v>
      </c>
      <c r="F252" s="21" t="s">
        <v>22</v>
      </c>
      <c r="G252" s="21" t="s">
        <v>86</v>
      </c>
      <c r="H252" s="21" t="s">
        <v>14</v>
      </c>
      <c r="I252" s="21" t="s">
        <v>38</v>
      </c>
      <c r="J252" s="21" t="s">
        <v>30</v>
      </c>
      <c r="K252" s="21" t="s">
        <v>64</v>
      </c>
      <c r="L252" s="21" t="s">
        <v>59</v>
      </c>
      <c r="M252" s="21" t="s">
        <v>57</v>
      </c>
    </row>
    <row r="253" spans="1:26" x14ac:dyDescent="0.2">
      <c r="A253" s="1493" t="s">
        <v>133</v>
      </c>
      <c r="B253" s="353">
        <v>-119303604860</v>
      </c>
      <c r="C253" s="354">
        <v>-101585690000</v>
      </c>
      <c r="D253" s="355">
        <v>-55288700000</v>
      </c>
      <c r="E253" s="4">
        <v>-53070780000</v>
      </c>
      <c r="F253" s="4">
        <v>-49591290000</v>
      </c>
      <c r="G253" s="4">
        <v>-42086570000</v>
      </c>
      <c r="H253" s="356">
        <v>-39687100000</v>
      </c>
      <c r="I253" s="4">
        <v>-26967190000</v>
      </c>
      <c r="J253" s="4">
        <v>-20410210000</v>
      </c>
      <c r="K253" s="4">
        <v>-18386920000</v>
      </c>
      <c r="L253" s="357">
        <v>-17605460000</v>
      </c>
      <c r="M253" s="358">
        <v>-16340143079</v>
      </c>
    </row>
    <row r="254" spans="1:26" x14ac:dyDescent="0.2">
      <c r="A254" s="1493" t="s">
        <v>134</v>
      </c>
      <c r="B254" s="21" t="s">
        <v>21</v>
      </c>
      <c r="C254" s="21" t="s">
        <v>10</v>
      </c>
      <c r="D254" s="21" t="s">
        <v>38</v>
      </c>
      <c r="E254" s="21" t="s">
        <v>15</v>
      </c>
      <c r="F254" s="21" t="s">
        <v>86</v>
      </c>
      <c r="G254" s="21" t="s">
        <v>24</v>
      </c>
      <c r="H254" s="21" t="s">
        <v>22</v>
      </c>
      <c r="I254" s="21" t="s">
        <v>71</v>
      </c>
      <c r="J254" s="21" t="s">
        <v>65</v>
      </c>
      <c r="K254" s="21" t="s">
        <v>13</v>
      </c>
      <c r="L254" s="21" t="s">
        <v>36</v>
      </c>
      <c r="M254" s="21" t="s">
        <v>27</v>
      </c>
      <c r="N254" s="1493" t="s">
        <v>376</v>
      </c>
      <c r="O254" s="21" t="s">
        <v>22</v>
      </c>
      <c r="P254" s="21" t="s">
        <v>21</v>
      </c>
      <c r="Q254" s="21" t="s">
        <v>24</v>
      </c>
      <c r="R254" s="21" t="s">
        <v>38</v>
      </c>
      <c r="S254" s="21" t="s">
        <v>27</v>
      </c>
      <c r="T254" s="21" t="s">
        <v>64</v>
      </c>
      <c r="U254" s="21" t="s">
        <v>10</v>
      </c>
      <c r="V254" s="21" t="s">
        <v>86</v>
      </c>
      <c r="W254" s="21" t="s">
        <v>6</v>
      </c>
      <c r="X254" s="21" t="s">
        <v>12</v>
      </c>
      <c r="Y254" s="21" t="s">
        <v>88</v>
      </c>
      <c r="Z254" s="21" t="s">
        <v>271</v>
      </c>
    </row>
    <row r="255" spans="1:26" x14ac:dyDescent="0.2">
      <c r="A255" s="1493" t="s">
        <v>134</v>
      </c>
      <c r="B255" s="4">
        <v>-80357300000</v>
      </c>
      <c r="C255" s="4">
        <v>-55515705973</v>
      </c>
      <c r="D255" s="4">
        <v>-53712820000</v>
      </c>
      <c r="E255" s="342">
        <v>-42441400000</v>
      </c>
      <c r="F255" s="343">
        <v>-42139290000</v>
      </c>
      <c r="G255" s="4">
        <v>-40331720000</v>
      </c>
      <c r="H255" s="4">
        <v>-34883470000</v>
      </c>
      <c r="I255" s="4">
        <v>-32848770000</v>
      </c>
      <c r="J255" s="4">
        <v>-27670390000</v>
      </c>
      <c r="K255" s="4">
        <v>-27244160000</v>
      </c>
      <c r="L255" s="4">
        <v>-26991600000</v>
      </c>
      <c r="M255" s="4">
        <v>-25887060000</v>
      </c>
      <c r="N255" s="1493" t="s">
        <v>376</v>
      </c>
      <c r="O255" s="4">
        <v>-440690827197</v>
      </c>
      <c r="P255" s="4">
        <v>-323285923501</v>
      </c>
      <c r="Q255" s="4">
        <v>-157825950507</v>
      </c>
      <c r="R255" s="4">
        <v>-128293645746</v>
      </c>
      <c r="S255" s="4">
        <v>-122672852251</v>
      </c>
      <c r="T255" s="4">
        <v>-122099782313</v>
      </c>
      <c r="U255" s="4">
        <v>-81686019235</v>
      </c>
      <c r="V255" s="4">
        <v>-78566141794</v>
      </c>
      <c r="W255" s="4">
        <v>-63968116083</v>
      </c>
      <c r="X255" s="4">
        <v>-56561201319</v>
      </c>
      <c r="Y255" s="4">
        <v>-51406233405</v>
      </c>
      <c r="Z255" s="4">
        <v>-50655228352</v>
      </c>
    </row>
    <row r="256" spans="1:26" x14ac:dyDescent="0.2">
      <c r="A256" s="1493" t="s">
        <v>135</v>
      </c>
      <c r="B256" s="21" t="s">
        <v>24</v>
      </c>
      <c r="C256" s="21" t="s">
        <v>22</v>
      </c>
      <c r="D256" s="21" t="s">
        <v>64</v>
      </c>
      <c r="E256" s="21" t="s">
        <v>27</v>
      </c>
      <c r="F256" s="21" t="s">
        <v>15</v>
      </c>
      <c r="G256" s="21" t="s">
        <v>30</v>
      </c>
      <c r="H256" s="21" t="s">
        <v>86</v>
      </c>
      <c r="I256" s="21" t="s">
        <v>87</v>
      </c>
      <c r="J256" s="21" t="s">
        <v>67</v>
      </c>
      <c r="K256" s="21" t="s">
        <v>286</v>
      </c>
      <c r="L256" s="21" t="s">
        <v>42</v>
      </c>
      <c r="M256" s="21" t="s">
        <v>13</v>
      </c>
    </row>
    <row r="257" spans="1:26" x14ac:dyDescent="0.2">
      <c r="A257" s="1493" t="s">
        <v>135</v>
      </c>
      <c r="B257" s="4">
        <v>-72457970507</v>
      </c>
      <c r="C257" s="4">
        <v>-48521057197</v>
      </c>
      <c r="D257" s="332">
        <v>-48082330404</v>
      </c>
      <c r="E257" s="4">
        <v>-29966111857</v>
      </c>
      <c r="F257" s="333">
        <v>-27015288463</v>
      </c>
      <c r="G257" s="4">
        <v>-21162959829</v>
      </c>
      <c r="H257" s="4">
        <v>-20839799363</v>
      </c>
      <c r="I257" s="334">
        <v>-20520657433</v>
      </c>
      <c r="J257" s="4">
        <v>-20012101151</v>
      </c>
      <c r="K257" s="335">
        <v>-16053302745</v>
      </c>
      <c r="L257" s="4">
        <v>-15649855305</v>
      </c>
      <c r="M257" s="4">
        <v>-15510614979</v>
      </c>
    </row>
    <row r="258" spans="1:26" x14ac:dyDescent="0.2">
      <c r="A258" s="1493" t="s">
        <v>136</v>
      </c>
      <c r="B258" s="21" t="s">
        <v>22</v>
      </c>
      <c r="C258" s="21" t="s">
        <v>21</v>
      </c>
      <c r="D258" s="21" t="s">
        <v>6</v>
      </c>
      <c r="E258" s="21" t="s">
        <v>12</v>
      </c>
      <c r="F258" s="21" t="s">
        <v>64</v>
      </c>
      <c r="G258" s="21" t="s">
        <v>180</v>
      </c>
      <c r="H258" s="21" t="s">
        <v>27</v>
      </c>
      <c r="I258" s="21" t="s">
        <v>10</v>
      </c>
      <c r="J258" s="21" t="s">
        <v>86</v>
      </c>
      <c r="K258" s="21" t="s">
        <v>36</v>
      </c>
      <c r="L258" s="21" t="s">
        <v>88</v>
      </c>
      <c r="M258" s="21" t="s">
        <v>85</v>
      </c>
    </row>
    <row r="259" spans="1:26" x14ac:dyDescent="0.2">
      <c r="A259" s="1493" t="s">
        <v>136</v>
      </c>
      <c r="B259" s="324">
        <v>-184570080000</v>
      </c>
      <c r="C259" s="4">
        <v>-93371128842</v>
      </c>
      <c r="D259" s="325">
        <v>-69710940000</v>
      </c>
      <c r="E259" s="326">
        <v>-49740739703</v>
      </c>
      <c r="F259" s="327">
        <v>-37524871909</v>
      </c>
      <c r="G259" s="328">
        <v>-25718530000</v>
      </c>
      <c r="H259" s="4">
        <v>-23615340394</v>
      </c>
      <c r="I259" s="4">
        <v>-23114359559</v>
      </c>
      <c r="J259" s="4">
        <v>-22454362431</v>
      </c>
      <c r="K259" s="4">
        <v>-22358295454</v>
      </c>
      <c r="L259" s="4">
        <v>-21822631029</v>
      </c>
      <c r="M259" s="329">
        <v>-20806098956</v>
      </c>
    </row>
    <row r="260" spans="1:26" x14ac:dyDescent="0.2">
      <c r="A260" s="1493" t="s">
        <v>137</v>
      </c>
      <c r="B260" s="21" t="s">
        <v>22</v>
      </c>
      <c r="C260" s="21" t="s">
        <v>21</v>
      </c>
      <c r="D260" s="21" t="s">
        <v>24</v>
      </c>
      <c r="E260" s="21" t="s">
        <v>17</v>
      </c>
      <c r="F260" s="21" t="s">
        <v>9</v>
      </c>
      <c r="G260" s="21" t="s">
        <v>12</v>
      </c>
      <c r="H260" s="21" t="s">
        <v>88</v>
      </c>
      <c r="I260" s="21" t="s">
        <v>27</v>
      </c>
      <c r="J260" s="21" t="s">
        <v>25</v>
      </c>
      <c r="K260" s="21" t="s">
        <v>271</v>
      </c>
      <c r="L260" s="21" t="s">
        <v>69</v>
      </c>
      <c r="M260" s="21" t="s">
        <v>11</v>
      </c>
    </row>
    <row r="261" spans="1:26" x14ac:dyDescent="0.2">
      <c r="A261" s="1493" t="s">
        <v>137</v>
      </c>
      <c r="B261" s="312">
        <v>-141247960000</v>
      </c>
      <c r="C261" s="4">
        <v>-81820510451</v>
      </c>
      <c r="D261" s="4">
        <v>-27733740000</v>
      </c>
      <c r="E261" s="4">
        <v>-27594400000</v>
      </c>
      <c r="F261" s="313">
        <v>-26258859381</v>
      </c>
      <c r="G261" s="314">
        <v>-22168880000</v>
      </c>
      <c r="H261" s="4">
        <v>-20316440000</v>
      </c>
      <c r="I261" s="4">
        <v>-15926890000</v>
      </c>
      <c r="J261" s="4">
        <v>-14139870000</v>
      </c>
      <c r="K261" s="315">
        <v>-13815566759</v>
      </c>
      <c r="L261" s="4">
        <v>-11867551198</v>
      </c>
      <c r="M261" s="316">
        <v>-11680380000</v>
      </c>
    </row>
    <row r="262" spans="1:26" x14ac:dyDescent="0.2">
      <c r="A262" s="1493" t="s">
        <v>138</v>
      </c>
      <c r="B262" s="21" t="s">
        <v>38</v>
      </c>
      <c r="C262" s="21" t="s">
        <v>21</v>
      </c>
      <c r="D262" s="21" t="s">
        <v>23</v>
      </c>
      <c r="E262" s="21" t="s">
        <v>22</v>
      </c>
      <c r="F262" s="21" t="s">
        <v>27</v>
      </c>
      <c r="G262" s="21" t="s">
        <v>17</v>
      </c>
      <c r="H262" s="21" t="s">
        <v>8</v>
      </c>
      <c r="I262" s="21" t="s">
        <v>91</v>
      </c>
      <c r="J262" s="21" t="s">
        <v>68</v>
      </c>
      <c r="K262" s="21" t="s">
        <v>14</v>
      </c>
      <c r="L262" s="21" t="s">
        <v>295</v>
      </c>
      <c r="M262" s="21" t="s">
        <v>25</v>
      </c>
    </row>
    <row r="263" spans="1:26" x14ac:dyDescent="0.2">
      <c r="A263" s="1493" t="s">
        <v>138</v>
      </c>
      <c r="B263" s="306">
        <v>-148170660000</v>
      </c>
      <c r="C263" s="4">
        <v>-59703140000</v>
      </c>
      <c r="D263" s="4">
        <v>-34000790000</v>
      </c>
      <c r="E263" s="4">
        <v>-31468260000</v>
      </c>
      <c r="F263" s="4">
        <v>-27277450000</v>
      </c>
      <c r="G263" s="4">
        <v>-26939100000</v>
      </c>
      <c r="H263" s="4">
        <v>-22453310000</v>
      </c>
      <c r="I263" s="307">
        <v>-15431670000</v>
      </c>
      <c r="J263" s="4">
        <v>-13834836011</v>
      </c>
      <c r="K263" s="4">
        <v>-11812340000</v>
      </c>
      <c r="L263" s="4">
        <v>-11653865855</v>
      </c>
      <c r="M263" s="4">
        <v>-11161780000</v>
      </c>
    </row>
    <row r="264" spans="1:26" x14ac:dyDescent="0.2">
      <c r="A264" s="1493" t="s">
        <v>139</v>
      </c>
      <c r="B264" s="21" t="s">
        <v>24</v>
      </c>
      <c r="C264" s="21" t="s">
        <v>23</v>
      </c>
      <c r="D264" s="21" t="s">
        <v>21</v>
      </c>
      <c r="E264" s="21" t="s">
        <v>64</v>
      </c>
      <c r="F264" s="21" t="s">
        <v>30</v>
      </c>
      <c r="G264" s="21" t="s">
        <v>69</v>
      </c>
      <c r="H264" s="21" t="s">
        <v>13</v>
      </c>
      <c r="I264" s="21" t="s">
        <v>17</v>
      </c>
      <c r="J264" s="21" t="s">
        <v>5</v>
      </c>
      <c r="K264" s="21" t="s">
        <v>295</v>
      </c>
      <c r="L264" s="21" t="s">
        <v>66</v>
      </c>
      <c r="M264" s="21" t="s">
        <v>91</v>
      </c>
      <c r="N264" s="1493" t="s">
        <v>375</v>
      </c>
      <c r="O264" s="21" t="s">
        <v>21</v>
      </c>
      <c r="P264" s="21" t="s">
        <v>25</v>
      </c>
      <c r="Q264" s="21" t="s">
        <v>24</v>
      </c>
      <c r="R264" s="21" t="s">
        <v>23</v>
      </c>
      <c r="S264" s="21" t="s">
        <v>17</v>
      </c>
      <c r="T264" s="21" t="s">
        <v>6</v>
      </c>
      <c r="U264" s="21" t="s">
        <v>65</v>
      </c>
      <c r="V264" s="21" t="s">
        <v>66</v>
      </c>
      <c r="W264" s="21" t="s">
        <v>30</v>
      </c>
      <c r="X264" s="21" t="s">
        <v>28</v>
      </c>
      <c r="Y264" s="21" t="s">
        <v>99</v>
      </c>
      <c r="Z264" s="21" t="s">
        <v>64</v>
      </c>
    </row>
    <row r="265" spans="1:26" x14ac:dyDescent="0.2">
      <c r="A265" s="1493" t="s">
        <v>139</v>
      </c>
      <c r="B265" s="301">
        <v>-108276150000</v>
      </c>
      <c r="C265" s="4">
        <v>-57237820000</v>
      </c>
      <c r="D265" s="4">
        <v>-38604090000</v>
      </c>
      <c r="E265" s="302">
        <v>-27492530000</v>
      </c>
      <c r="F265" s="4">
        <v>-22485720000</v>
      </c>
      <c r="G265" s="4">
        <v>-15345160000</v>
      </c>
      <c r="H265" s="4">
        <v>-12241770000</v>
      </c>
      <c r="I265" s="4">
        <v>-11814700000</v>
      </c>
      <c r="J265" s="4">
        <v>-11343720000</v>
      </c>
      <c r="K265" s="4">
        <v>-11049321405</v>
      </c>
      <c r="L265" s="4">
        <v>-10612790000</v>
      </c>
      <c r="M265" s="303">
        <v>-8985710000</v>
      </c>
      <c r="N265" s="1493" t="s">
        <v>375</v>
      </c>
      <c r="O265" s="4">
        <v>-176691590000</v>
      </c>
      <c r="P265" s="4">
        <v>-159292290000</v>
      </c>
      <c r="Q265" s="4">
        <v>-140980040000</v>
      </c>
      <c r="R265" s="4">
        <v>-134872700000</v>
      </c>
      <c r="S265" s="4">
        <v>-102543530000</v>
      </c>
      <c r="T265" s="4">
        <v>-86908020000</v>
      </c>
      <c r="U265" s="4">
        <v>-86547540000</v>
      </c>
      <c r="V265" s="4">
        <v>-73406190000</v>
      </c>
      <c r="W265" s="4">
        <v>-72362380000</v>
      </c>
      <c r="X265" s="4">
        <v>-67256230000</v>
      </c>
      <c r="Y265" s="4">
        <v>-53149440000</v>
      </c>
      <c r="Z265" s="4">
        <v>-46562470000</v>
      </c>
    </row>
    <row r="266" spans="1:26" x14ac:dyDescent="0.2">
      <c r="A266" s="1493" t="s">
        <v>140</v>
      </c>
      <c r="B266" s="21" t="s">
        <v>25</v>
      </c>
      <c r="C266" s="21" t="s">
        <v>21</v>
      </c>
      <c r="D266" s="21" t="s">
        <v>13</v>
      </c>
      <c r="E266" s="21" t="s">
        <v>65</v>
      </c>
      <c r="F266" s="21" t="s">
        <v>6</v>
      </c>
      <c r="G266" s="21" t="s">
        <v>17</v>
      </c>
      <c r="H266" s="21" t="s">
        <v>28</v>
      </c>
      <c r="I266" s="21" t="s">
        <v>66</v>
      </c>
      <c r="J266" s="21" t="s">
        <v>30</v>
      </c>
      <c r="K266" s="21" t="s">
        <v>23</v>
      </c>
      <c r="L266" s="21" t="s">
        <v>295</v>
      </c>
      <c r="M266" s="21" t="s">
        <v>99</v>
      </c>
    </row>
    <row r="267" spans="1:26" x14ac:dyDescent="0.2">
      <c r="A267" s="1493" t="s">
        <v>140</v>
      </c>
      <c r="B267" s="294">
        <v>-58930020000</v>
      </c>
      <c r="C267" s="4">
        <v>-58789100000</v>
      </c>
      <c r="D267" s="295">
        <v>-39180250000</v>
      </c>
      <c r="E267" s="4">
        <v>-34011940000</v>
      </c>
      <c r="F267" s="4">
        <v>-30910870000</v>
      </c>
      <c r="G267" s="4">
        <v>-30576970000</v>
      </c>
      <c r="H267" s="4">
        <v>-28738710000</v>
      </c>
      <c r="I267" s="4">
        <v>-22076100000</v>
      </c>
      <c r="J267" s="4">
        <v>-20321740000</v>
      </c>
      <c r="K267" s="4">
        <v>-18635230000</v>
      </c>
      <c r="L267" s="4">
        <v>-14900012790</v>
      </c>
      <c r="M267" s="4">
        <v>-13465340000</v>
      </c>
    </row>
    <row r="268" spans="1:26" x14ac:dyDescent="0.2">
      <c r="A268" s="1493" t="s">
        <v>141</v>
      </c>
      <c r="B268" s="21" t="s">
        <v>17</v>
      </c>
      <c r="C268" s="21" t="s">
        <v>65</v>
      </c>
      <c r="D268" s="21" t="s">
        <v>21</v>
      </c>
      <c r="E268" s="21" t="s">
        <v>23</v>
      </c>
      <c r="F268" s="21" t="s">
        <v>325</v>
      </c>
      <c r="G268" s="21" t="s">
        <v>25</v>
      </c>
      <c r="H268" s="21" t="s">
        <v>22</v>
      </c>
      <c r="I268" s="21" t="s">
        <v>169</v>
      </c>
      <c r="J268" s="21" t="s">
        <v>313</v>
      </c>
      <c r="K268" s="21" t="s">
        <v>66</v>
      </c>
      <c r="L268" s="21" t="s">
        <v>30</v>
      </c>
      <c r="M268" s="21" t="s">
        <v>270</v>
      </c>
    </row>
    <row r="269" spans="1:26" x14ac:dyDescent="0.2">
      <c r="A269" s="1493" t="s">
        <v>141</v>
      </c>
      <c r="B269" s="285">
        <v>-63199720000</v>
      </c>
      <c r="C269" s="286">
        <v>-56518740000</v>
      </c>
      <c r="D269" s="4">
        <v>-52855950000</v>
      </c>
      <c r="E269" s="4">
        <v>-36601080000</v>
      </c>
      <c r="F269" s="287">
        <v>-32183630000</v>
      </c>
      <c r="G269" s="4">
        <v>-28015680000</v>
      </c>
      <c r="H269" s="4">
        <v>-23712560000</v>
      </c>
      <c r="I269" s="288">
        <v>-23566850000</v>
      </c>
      <c r="J269" s="289">
        <v>-22986640000</v>
      </c>
      <c r="K269" s="4">
        <v>-22455630000</v>
      </c>
      <c r="L269" s="4">
        <v>-13147500000</v>
      </c>
      <c r="M269" s="290">
        <v>-12137480000</v>
      </c>
    </row>
    <row r="270" spans="1:26" x14ac:dyDescent="0.2">
      <c r="A270" s="1493" t="s">
        <v>142</v>
      </c>
      <c r="B270" s="21" t="s">
        <v>25</v>
      </c>
      <c r="C270" s="21" t="s">
        <v>6</v>
      </c>
      <c r="D270" s="21" t="s">
        <v>99</v>
      </c>
      <c r="E270" s="21" t="s">
        <v>83</v>
      </c>
      <c r="F270" s="21" t="s">
        <v>17</v>
      </c>
      <c r="G270" s="21" t="s">
        <v>30</v>
      </c>
      <c r="H270" s="21" t="s">
        <v>69</v>
      </c>
      <c r="I270" s="21" t="s">
        <v>28</v>
      </c>
      <c r="J270" s="21" t="s">
        <v>179</v>
      </c>
      <c r="K270" s="21" t="s">
        <v>64</v>
      </c>
      <c r="L270" s="21" t="s">
        <v>21</v>
      </c>
      <c r="M270" s="21" t="s">
        <v>186</v>
      </c>
    </row>
    <row r="271" spans="1:26" x14ac:dyDescent="0.2">
      <c r="A271" s="1493" t="s">
        <v>142</v>
      </c>
      <c r="B271" s="4">
        <v>-54132460000</v>
      </c>
      <c r="C271" s="277">
        <v>-41532220000</v>
      </c>
      <c r="D271" s="4">
        <v>-33789110000</v>
      </c>
      <c r="E271" s="278">
        <v>-25898500006</v>
      </c>
      <c r="F271" s="4">
        <v>-23406460000</v>
      </c>
      <c r="G271" s="4">
        <v>-19165400000</v>
      </c>
      <c r="H271" s="4">
        <v>-17153720000</v>
      </c>
      <c r="I271" s="4">
        <v>-14274730000</v>
      </c>
      <c r="J271" s="279">
        <v>-13595650000</v>
      </c>
      <c r="K271" s="4">
        <v>-13105200000</v>
      </c>
      <c r="L271" s="4">
        <v>-10782500000</v>
      </c>
      <c r="M271" s="280">
        <v>-9092310000</v>
      </c>
    </row>
    <row r="272" spans="1:26" x14ac:dyDescent="0.2">
      <c r="A272" s="1493" t="s">
        <v>143</v>
      </c>
      <c r="B272" s="21" t="s">
        <v>5</v>
      </c>
      <c r="C272" s="21" t="s">
        <v>24</v>
      </c>
      <c r="D272" s="21" t="s">
        <v>23</v>
      </c>
      <c r="E272" s="21" t="s">
        <v>25</v>
      </c>
      <c r="F272" s="21" t="s">
        <v>21</v>
      </c>
      <c r="G272" s="21" t="s">
        <v>28</v>
      </c>
      <c r="H272" s="21" t="s">
        <v>68</v>
      </c>
      <c r="I272" s="21" t="s">
        <v>6</v>
      </c>
      <c r="J272" s="21" t="s">
        <v>66</v>
      </c>
      <c r="K272" s="21" t="s">
        <v>169</v>
      </c>
      <c r="L272" s="21" t="s">
        <v>11</v>
      </c>
      <c r="M272" s="21" t="s">
        <v>29</v>
      </c>
    </row>
    <row r="273" spans="1:26" x14ac:dyDescent="0.2">
      <c r="A273" s="1493" t="s">
        <v>143</v>
      </c>
      <c r="B273" s="4">
        <v>-69495530000</v>
      </c>
      <c r="C273" s="4">
        <v>-30681630000</v>
      </c>
      <c r="D273" s="4">
        <v>-23851280000</v>
      </c>
      <c r="E273" s="4">
        <v>-19033880000</v>
      </c>
      <c r="F273" s="4">
        <v>-15659950000</v>
      </c>
      <c r="G273" s="4">
        <v>-14084480000</v>
      </c>
      <c r="H273" s="4">
        <v>-13219727812</v>
      </c>
      <c r="I273" s="4">
        <v>-12419890000</v>
      </c>
      <c r="J273" s="4">
        <v>-11961090000</v>
      </c>
      <c r="K273" s="4">
        <v>-11740440000</v>
      </c>
      <c r="L273" s="270">
        <v>-10525180000</v>
      </c>
      <c r="M273" s="4">
        <v>-6596102762</v>
      </c>
    </row>
    <row r="274" spans="1:26" x14ac:dyDescent="0.2">
      <c r="A274" s="1493" t="s">
        <v>144</v>
      </c>
      <c r="B274" s="21" t="s">
        <v>5</v>
      </c>
      <c r="C274" s="21" t="s">
        <v>22</v>
      </c>
      <c r="D274" s="21" t="s">
        <v>29</v>
      </c>
      <c r="E274" s="21" t="s">
        <v>28</v>
      </c>
      <c r="F274" s="21" t="s">
        <v>6</v>
      </c>
      <c r="G274" s="21" t="s">
        <v>21</v>
      </c>
      <c r="H274" s="21" t="s">
        <v>26</v>
      </c>
      <c r="I274" s="21" t="s">
        <v>169</v>
      </c>
      <c r="J274" s="21" t="s">
        <v>27</v>
      </c>
      <c r="K274" s="21" t="s">
        <v>25</v>
      </c>
      <c r="L274" s="21" t="s">
        <v>89</v>
      </c>
      <c r="M274" s="21" t="s">
        <v>68</v>
      </c>
      <c r="N274" s="1493" t="s">
        <v>374</v>
      </c>
      <c r="O274" s="21" t="s">
        <v>22</v>
      </c>
      <c r="P274" s="21" t="s">
        <v>21</v>
      </c>
      <c r="Q274" s="21" t="s">
        <v>5</v>
      </c>
      <c r="R274" s="21" t="s">
        <v>26</v>
      </c>
      <c r="S274" s="21" t="s">
        <v>27</v>
      </c>
      <c r="T274" s="21" t="s">
        <v>28</v>
      </c>
      <c r="U274" s="21" t="s">
        <v>29</v>
      </c>
      <c r="V274" s="21" t="s">
        <v>25</v>
      </c>
      <c r="W274" s="21" t="s">
        <v>6</v>
      </c>
      <c r="X274" s="21" t="s">
        <v>69</v>
      </c>
      <c r="Y274" s="21" t="s">
        <v>30</v>
      </c>
      <c r="Z274" s="21" t="s">
        <v>68</v>
      </c>
    </row>
    <row r="275" spans="1:26" x14ac:dyDescent="0.2">
      <c r="A275" s="1493" t="s">
        <v>144</v>
      </c>
      <c r="B275" s="4">
        <v>-85908050000</v>
      </c>
      <c r="C275" s="4">
        <v>-74323240000</v>
      </c>
      <c r="D275" s="4">
        <v>-33667365016</v>
      </c>
      <c r="E275" s="4">
        <v>-30197830000</v>
      </c>
      <c r="F275" s="260">
        <v>-28530630000</v>
      </c>
      <c r="G275" s="4">
        <v>-22700550000</v>
      </c>
      <c r="H275" s="4">
        <v>-18844420000</v>
      </c>
      <c r="I275" s="4">
        <v>-17193140000</v>
      </c>
      <c r="J275" s="4">
        <v>-14833650000</v>
      </c>
      <c r="K275" s="4">
        <v>-13554890000</v>
      </c>
      <c r="L275" s="261">
        <v>-11682210000</v>
      </c>
      <c r="M275" s="4">
        <v>-10766777484</v>
      </c>
      <c r="N275" s="1493" t="s">
        <v>374</v>
      </c>
      <c r="O275" s="4">
        <v>-261694810000</v>
      </c>
      <c r="P275" s="4">
        <v>-220053250000</v>
      </c>
      <c r="Q275" s="4">
        <v>-170316860000</v>
      </c>
      <c r="R275" s="4">
        <v>-116056850000</v>
      </c>
      <c r="S275" s="4">
        <v>-101225260000</v>
      </c>
      <c r="T275" s="4">
        <v>-88063490000</v>
      </c>
      <c r="U275" s="4">
        <v>-76436919668</v>
      </c>
      <c r="V275" s="4">
        <v>-52108540000</v>
      </c>
      <c r="W275" s="4">
        <v>-51426480000</v>
      </c>
      <c r="X275" s="4">
        <v>-48575840000</v>
      </c>
      <c r="Y275" s="4">
        <v>-44243170000</v>
      </c>
      <c r="Z275" s="4">
        <v>-42774773504</v>
      </c>
    </row>
    <row r="276" spans="1:26" x14ac:dyDescent="0.2">
      <c r="A276" s="1493" t="s">
        <v>356</v>
      </c>
      <c r="B276" s="21" t="s">
        <v>22</v>
      </c>
      <c r="C276" s="21" t="s">
        <v>29</v>
      </c>
      <c r="D276" s="21" t="s">
        <v>36</v>
      </c>
      <c r="E276" s="21" t="s">
        <v>27</v>
      </c>
      <c r="F276" s="21" t="s">
        <v>70</v>
      </c>
      <c r="G276" s="21" t="s">
        <v>6</v>
      </c>
      <c r="H276" s="21" t="s">
        <v>67</v>
      </c>
      <c r="I276" s="21" t="s">
        <v>26</v>
      </c>
      <c r="J276" s="21" t="s">
        <v>28</v>
      </c>
      <c r="K276" s="21" t="s">
        <v>30</v>
      </c>
      <c r="L276" s="21" t="s">
        <v>5</v>
      </c>
      <c r="M276" s="21" t="s">
        <v>64</v>
      </c>
    </row>
    <row r="277" spans="1:26" x14ac:dyDescent="0.2">
      <c r="A277" s="1493" t="s">
        <v>356</v>
      </c>
      <c r="B277" s="4">
        <v>-54414650000</v>
      </c>
      <c r="C277" s="4">
        <v>-38531668194</v>
      </c>
      <c r="D277" s="254">
        <v>-32455310000</v>
      </c>
      <c r="E277" s="4">
        <v>-31549870000</v>
      </c>
      <c r="F277" s="4">
        <v>-29797430000</v>
      </c>
      <c r="G277" s="255">
        <v>-25685760000</v>
      </c>
      <c r="H277" s="4">
        <v>-19319580000</v>
      </c>
      <c r="I277" s="4">
        <v>-18578470000</v>
      </c>
      <c r="J277" s="4">
        <v>-17092290000</v>
      </c>
      <c r="K277" s="4">
        <v>-16685930000</v>
      </c>
      <c r="L277" s="4">
        <v>-15196160000</v>
      </c>
      <c r="M277" s="4">
        <v>-13338570000</v>
      </c>
    </row>
    <row r="278" spans="1:26" x14ac:dyDescent="0.2">
      <c r="A278" s="1493" t="s">
        <v>145</v>
      </c>
      <c r="B278" s="21" t="s">
        <v>22</v>
      </c>
      <c r="C278" s="21" t="s">
        <v>27</v>
      </c>
      <c r="D278" s="21" t="s">
        <v>25</v>
      </c>
      <c r="E278" s="21" t="s">
        <v>21</v>
      </c>
      <c r="F278" s="21" t="s">
        <v>24</v>
      </c>
      <c r="G278" s="21" t="s">
        <v>99</v>
      </c>
      <c r="H278" s="21" t="s">
        <v>30</v>
      </c>
      <c r="I278" s="21" t="s">
        <v>18</v>
      </c>
      <c r="J278" s="21" t="s">
        <v>26</v>
      </c>
      <c r="K278" s="21" t="s">
        <v>69</v>
      </c>
      <c r="L278" s="21" t="s">
        <v>287</v>
      </c>
      <c r="M278" s="21" t="s">
        <v>313</v>
      </c>
    </row>
    <row r="279" spans="1:26" x14ac:dyDescent="0.2">
      <c r="A279" s="1493" t="s">
        <v>145</v>
      </c>
      <c r="B279" s="247">
        <v>-75402410000</v>
      </c>
      <c r="C279" s="248">
        <v>-43569290000</v>
      </c>
      <c r="D279" s="4">
        <v>-43044760000</v>
      </c>
      <c r="E279" s="4">
        <v>-39251700000</v>
      </c>
      <c r="F279" s="4">
        <v>-27501890000</v>
      </c>
      <c r="G279" s="4">
        <v>-25578110000</v>
      </c>
      <c r="H279" s="4">
        <v>-23414470000</v>
      </c>
      <c r="I279" s="4">
        <v>-21077480000</v>
      </c>
      <c r="J279" s="4">
        <v>-20495530000</v>
      </c>
      <c r="K279" s="4">
        <v>-15730620000</v>
      </c>
      <c r="L279" s="249">
        <v>-9473640000</v>
      </c>
      <c r="M279" s="4">
        <v>-7333750000</v>
      </c>
    </row>
    <row r="280" spans="1:26" x14ac:dyDescent="0.2">
      <c r="A280" s="1493" t="s">
        <v>146</v>
      </c>
      <c r="B280" s="21" t="s">
        <v>5</v>
      </c>
      <c r="C280" s="21" t="s">
        <v>21</v>
      </c>
      <c r="D280" s="21" t="s">
        <v>67</v>
      </c>
      <c r="E280" s="21" t="s">
        <v>22</v>
      </c>
      <c r="F280" s="21" t="s">
        <v>26</v>
      </c>
      <c r="G280" s="21" t="s">
        <v>69</v>
      </c>
      <c r="H280" s="21" t="s">
        <v>42</v>
      </c>
      <c r="I280" s="21" t="s">
        <v>30</v>
      </c>
      <c r="J280" s="21" t="s">
        <v>64</v>
      </c>
      <c r="K280" s="21" t="s">
        <v>295</v>
      </c>
      <c r="L280" s="21" t="s">
        <v>28</v>
      </c>
      <c r="M280" s="21" t="s">
        <v>36</v>
      </c>
    </row>
    <row r="281" spans="1:26" x14ac:dyDescent="0.2">
      <c r="A281" s="1493" t="s">
        <v>146</v>
      </c>
      <c r="B281" s="4">
        <v>-66585280000</v>
      </c>
      <c r="C281" s="4">
        <v>-61149030000</v>
      </c>
      <c r="D281" s="240">
        <v>-39988030000</v>
      </c>
      <c r="E281" s="4">
        <v>-34798950000</v>
      </c>
      <c r="F281" s="4">
        <v>-23280030000</v>
      </c>
      <c r="G281" s="241">
        <v>-20913030000</v>
      </c>
      <c r="H281" s="4">
        <v>-20168110000</v>
      </c>
      <c r="I281" s="4">
        <v>-19873280000</v>
      </c>
      <c r="J281" s="242">
        <v>-16180300000</v>
      </c>
      <c r="K281" s="4">
        <v>-14975740226</v>
      </c>
      <c r="L281" s="4">
        <v>-14658840000</v>
      </c>
      <c r="M281" s="4">
        <v>-12923980000</v>
      </c>
    </row>
    <row r="282" spans="1:26" x14ac:dyDescent="0.2">
      <c r="A282" s="1493" t="s">
        <v>147</v>
      </c>
      <c r="B282" s="21" t="s">
        <v>21</v>
      </c>
      <c r="C282" s="21" t="s">
        <v>26</v>
      </c>
      <c r="D282" s="21" t="s">
        <v>22</v>
      </c>
      <c r="E282" s="21" t="s">
        <v>28</v>
      </c>
      <c r="F282" s="21" t="s">
        <v>27</v>
      </c>
      <c r="G282" s="21" t="s">
        <v>5</v>
      </c>
      <c r="H282" s="21" t="s">
        <v>68</v>
      </c>
      <c r="I282" s="21" t="s">
        <v>71</v>
      </c>
      <c r="J282" s="21" t="s">
        <v>78</v>
      </c>
      <c r="K282" s="21" t="s">
        <v>67</v>
      </c>
      <c r="L282" s="21" t="s">
        <v>87</v>
      </c>
      <c r="M282" s="21" t="s">
        <v>86</v>
      </c>
    </row>
    <row r="283" spans="1:26" x14ac:dyDescent="0.2">
      <c r="A283" s="1493" t="s">
        <v>147</v>
      </c>
      <c r="B283" s="4">
        <v>-85234940000</v>
      </c>
      <c r="C283" s="235">
        <v>-34858400000</v>
      </c>
      <c r="D283" s="4">
        <v>-22755560000</v>
      </c>
      <c r="E283" s="4">
        <v>-22450800000</v>
      </c>
      <c r="F283" s="4">
        <v>-18005800000</v>
      </c>
      <c r="G283" s="4">
        <v>-17701710000</v>
      </c>
      <c r="H283" s="236">
        <v>-15723060916</v>
      </c>
      <c r="I283" s="4">
        <v>-12670910000</v>
      </c>
      <c r="J283" s="4">
        <v>-12490940000</v>
      </c>
      <c r="K283" s="4">
        <v>-8730710000</v>
      </c>
      <c r="L283" s="4">
        <v>-6872600000</v>
      </c>
      <c r="M283" s="4">
        <v>-6054510000</v>
      </c>
    </row>
    <row r="284" spans="1:26" x14ac:dyDescent="0.2">
      <c r="A284" s="1493" t="s">
        <v>148</v>
      </c>
      <c r="B284" s="21" t="s">
        <v>21</v>
      </c>
      <c r="C284" s="21" t="s">
        <v>171</v>
      </c>
      <c r="D284" s="21" t="s">
        <v>10</v>
      </c>
      <c r="E284" s="21" t="s">
        <v>66</v>
      </c>
      <c r="F284" s="21" t="s">
        <v>26</v>
      </c>
      <c r="G284" s="21" t="s">
        <v>67</v>
      </c>
      <c r="H284" s="21" t="s">
        <v>86</v>
      </c>
      <c r="I284" s="21" t="s">
        <v>22</v>
      </c>
      <c r="J284" s="21" t="s">
        <v>169</v>
      </c>
      <c r="K284" s="21" t="s">
        <v>70</v>
      </c>
      <c r="L284" s="21" t="s">
        <v>27</v>
      </c>
      <c r="M284" s="21" t="s">
        <v>42</v>
      </c>
      <c r="N284" s="1493" t="s">
        <v>373</v>
      </c>
      <c r="O284" s="21" t="s">
        <v>21</v>
      </c>
      <c r="P284" s="21" t="s">
        <v>10</v>
      </c>
      <c r="Q284" s="21" t="s">
        <v>22</v>
      </c>
      <c r="R284" s="21" t="s">
        <v>70</v>
      </c>
      <c r="S284" s="21" t="s">
        <v>23</v>
      </c>
      <c r="T284" s="21" t="s">
        <v>26</v>
      </c>
      <c r="U284" s="21" t="s">
        <v>29</v>
      </c>
      <c r="V284" s="21" t="s">
        <v>25</v>
      </c>
      <c r="W284" s="21" t="s">
        <v>171</v>
      </c>
      <c r="X284" s="21" t="s">
        <v>24</v>
      </c>
      <c r="Y284" s="21" t="s">
        <v>67</v>
      </c>
      <c r="Z284" s="21" t="s">
        <v>28</v>
      </c>
    </row>
    <row r="285" spans="1:26" x14ac:dyDescent="0.2">
      <c r="A285" s="1493" t="s">
        <v>148</v>
      </c>
      <c r="B285" s="224">
        <v>-104764160000</v>
      </c>
      <c r="C285" s="225">
        <v>-98042190000</v>
      </c>
      <c r="D285" s="226">
        <v>-69506232335</v>
      </c>
      <c r="E285" s="227">
        <v>-34617480000</v>
      </c>
      <c r="F285" s="4">
        <v>-32625720000</v>
      </c>
      <c r="G285" s="228">
        <v>-32059370000</v>
      </c>
      <c r="H285" s="229">
        <v>-27991080000</v>
      </c>
      <c r="I285" s="4">
        <v>-22973500000</v>
      </c>
      <c r="J285" s="230">
        <v>-17348310000</v>
      </c>
      <c r="K285" s="4">
        <v>-14992840000</v>
      </c>
      <c r="L285" s="4">
        <v>-14972052451</v>
      </c>
      <c r="M285" s="4">
        <v>-13515880000</v>
      </c>
      <c r="N285" s="1493" t="s">
        <v>373</v>
      </c>
      <c r="O285" s="4">
        <v>-301001380000</v>
      </c>
      <c r="P285" s="4">
        <v>-193037085051</v>
      </c>
      <c r="Q285" s="4">
        <v>-145657050000</v>
      </c>
      <c r="R285" s="4">
        <v>-130593850000</v>
      </c>
      <c r="S285" s="4">
        <v>-129595960000</v>
      </c>
      <c r="T285" s="4">
        <v>-129444330000</v>
      </c>
      <c r="U285" s="4">
        <v>-125312029645</v>
      </c>
      <c r="V285" s="4">
        <v>-117320680000</v>
      </c>
      <c r="W285" s="4">
        <v>-115385630000</v>
      </c>
      <c r="X285" s="4">
        <v>-104971880000</v>
      </c>
      <c r="Y285" s="4">
        <v>-99765360000</v>
      </c>
      <c r="Z285" s="4">
        <v>-89986060000</v>
      </c>
    </row>
    <row r="286" spans="1:26" x14ac:dyDescent="0.2">
      <c r="A286" s="1493" t="s">
        <v>149</v>
      </c>
      <c r="B286" s="21" t="s">
        <v>10</v>
      </c>
      <c r="C286" s="21" t="s">
        <v>5</v>
      </c>
      <c r="D286" s="21" t="s">
        <v>70</v>
      </c>
      <c r="E286" s="21" t="s">
        <v>21</v>
      </c>
      <c r="F286" s="21" t="s">
        <v>22</v>
      </c>
      <c r="G286" s="21" t="s">
        <v>17</v>
      </c>
      <c r="H286" s="21" t="s">
        <v>24</v>
      </c>
      <c r="I286" s="21" t="s">
        <v>26</v>
      </c>
      <c r="J286" s="21" t="s">
        <v>25</v>
      </c>
      <c r="K286" s="21" t="s">
        <v>67</v>
      </c>
      <c r="L286" s="21" t="s">
        <v>28</v>
      </c>
      <c r="M286" s="21" t="s">
        <v>65</v>
      </c>
    </row>
    <row r="287" spans="1:26" x14ac:dyDescent="0.2">
      <c r="A287" s="1493" t="s">
        <v>149</v>
      </c>
      <c r="B287" s="216">
        <v>-66978178911</v>
      </c>
      <c r="C287" s="4">
        <v>-42730280000</v>
      </c>
      <c r="D287" s="4">
        <v>-41682800000</v>
      </c>
      <c r="E287" s="4">
        <v>-36755140000</v>
      </c>
      <c r="F287" s="4">
        <v>-34334780000</v>
      </c>
      <c r="G287" s="217">
        <v>-28160960000</v>
      </c>
      <c r="H287" s="4">
        <v>-28135990000</v>
      </c>
      <c r="I287" s="4">
        <v>-26081750000</v>
      </c>
      <c r="J287" s="4">
        <v>-25506230000</v>
      </c>
      <c r="K287" s="4">
        <v>-23451380000</v>
      </c>
      <c r="L287" s="4">
        <v>-20482880000</v>
      </c>
      <c r="M287" s="4">
        <v>-18558290000</v>
      </c>
    </row>
    <row r="288" spans="1:26" x14ac:dyDescent="0.2">
      <c r="A288" s="1493" t="s">
        <v>150</v>
      </c>
      <c r="B288" s="21" t="s">
        <v>25</v>
      </c>
      <c r="C288" s="21" t="s">
        <v>29</v>
      </c>
      <c r="D288" s="21" t="s">
        <v>21</v>
      </c>
      <c r="E288" s="21" t="s">
        <v>24</v>
      </c>
      <c r="F288" s="21" t="s">
        <v>26</v>
      </c>
      <c r="G288" s="21" t="s">
        <v>28</v>
      </c>
      <c r="H288" s="21" t="s">
        <v>30</v>
      </c>
      <c r="I288" s="21" t="s">
        <v>67</v>
      </c>
      <c r="J288" s="21" t="s">
        <v>66</v>
      </c>
      <c r="K288" s="21" t="s">
        <v>10</v>
      </c>
      <c r="L288" s="21" t="s">
        <v>65</v>
      </c>
      <c r="M288" s="21" t="s">
        <v>64</v>
      </c>
    </row>
    <row r="289" spans="1:26" x14ac:dyDescent="0.2">
      <c r="A289" s="1493" t="s">
        <v>150</v>
      </c>
      <c r="B289" s="202">
        <v>-56187670000</v>
      </c>
      <c r="C289" s="203">
        <v>-54911198640</v>
      </c>
      <c r="D289" s="4">
        <v>-51296710000</v>
      </c>
      <c r="E289" s="4">
        <v>-42370570000</v>
      </c>
      <c r="F289" s="204">
        <v>-33028900000</v>
      </c>
      <c r="G289" s="205">
        <v>-31060190000</v>
      </c>
      <c r="H289" s="206">
        <v>-30574310000</v>
      </c>
      <c r="I289" s="207">
        <v>-28333680000</v>
      </c>
      <c r="J289" s="208">
        <v>-26124680000</v>
      </c>
      <c r="K289" s="4">
        <v>-25057856462</v>
      </c>
      <c r="L289" s="4">
        <v>-16790780000</v>
      </c>
      <c r="M289" s="209">
        <v>-16010290000</v>
      </c>
    </row>
    <row r="290" spans="1:26" x14ac:dyDescent="0.2">
      <c r="A290" s="1493" t="s">
        <v>151</v>
      </c>
      <c r="B290" s="21" t="s">
        <v>21</v>
      </c>
      <c r="C290" s="21" t="s">
        <v>29</v>
      </c>
      <c r="D290" s="21" t="s">
        <v>22</v>
      </c>
      <c r="E290" s="21" t="s">
        <v>23</v>
      </c>
      <c r="F290" s="21" t="s">
        <v>70</v>
      </c>
      <c r="G290" s="21" t="s">
        <v>42</v>
      </c>
      <c r="H290" s="21" t="s">
        <v>18</v>
      </c>
      <c r="I290" s="21" t="s">
        <v>71</v>
      </c>
      <c r="J290" s="21" t="s">
        <v>10</v>
      </c>
      <c r="K290" s="21" t="s">
        <v>16</v>
      </c>
      <c r="L290" s="21" t="s">
        <v>26</v>
      </c>
      <c r="M290" s="21" t="s">
        <v>24</v>
      </c>
    </row>
    <row r="291" spans="1:26" x14ac:dyDescent="0.2">
      <c r="A291" s="1493" t="s">
        <v>151</v>
      </c>
      <c r="B291" s="188">
        <v>-73213140000</v>
      </c>
      <c r="C291" s="189">
        <v>-52038307572</v>
      </c>
      <c r="D291" s="190">
        <v>-50095540000</v>
      </c>
      <c r="E291" s="4">
        <v>-47152480000</v>
      </c>
      <c r="F291" s="191">
        <v>-43223270000</v>
      </c>
      <c r="G291" s="192">
        <v>-39733320000</v>
      </c>
      <c r="H291" s="193">
        <v>-36493410000</v>
      </c>
      <c r="I291" s="4">
        <v>-26961440000</v>
      </c>
      <c r="J291" s="194">
        <v>-26006295939</v>
      </c>
      <c r="K291" s="195">
        <v>-22044020000</v>
      </c>
      <c r="L291" s="196">
        <v>-20995430000</v>
      </c>
      <c r="M291" s="4">
        <v>-16860260000</v>
      </c>
    </row>
    <row r="292" spans="1:26" x14ac:dyDescent="0.2">
      <c r="A292" s="1493" t="s">
        <v>152</v>
      </c>
      <c r="B292" s="21" t="s">
        <v>23</v>
      </c>
      <c r="C292" s="21" t="s">
        <v>99</v>
      </c>
      <c r="D292" s="21" t="s">
        <v>71</v>
      </c>
      <c r="E292" s="21" t="s">
        <v>25</v>
      </c>
      <c r="F292" s="21" t="s">
        <v>21</v>
      </c>
      <c r="G292" s="21" t="s">
        <v>24</v>
      </c>
      <c r="H292" s="21" t="s">
        <v>22</v>
      </c>
      <c r="I292" s="21" t="s">
        <v>30</v>
      </c>
      <c r="J292" s="21" t="s">
        <v>70</v>
      </c>
      <c r="K292" s="21" t="s">
        <v>17</v>
      </c>
      <c r="L292" s="21" t="s">
        <v>86</v>
      </c>
      <c r="M292" s="21" t="s">
        <v>26</v>
      </c>
    </row>
    <row r="293" spans="1:26" x14ac:dyDescent="0.2">
      <c r="A293" s="1493" t="s">
        <v>152</v>
      </c>
      <c r="B293" s="171">
        <v>-58651930000</v>
      </c>
      <c r="C293" s="172">
        <v>-52379980000</v>
      </c>
      <c r="D293" s="173">
        <v>-40515000000</v>
      </c>
      <c r="E293" s="174">
        <v>-35515060000</v>
      </c>
      <c r="F293" s="175">
        <v>-34972230000</v>
      </c>
      <c r="G293" s="4">
        <v>-29269660000</v>
      </c>
      <c r="H293" s="4">
        <v>-23732540000</v>
      </c>
      <c r="I293" s="176">
        <v>-22840700000</v>
      </c>
      <c r="J293" s="177">
        <v>-21041640000</v>
      </c>
      <c r="K293" s="178">
        <v>-19896220000</v>
      </c>
      <c r="L293" s="179">
        <v>-18088270000</v>
      </c>
      <c r="M293" s="4">
        <v>-16712530000</v>
      </c>
    </row>
    <row r="294" spans="1:26" x14ac:dyDescent="0.2">
      <c r="A294" s="1493" t="s">
        <v>153</v>
      </c>
      <c r="B294" s="21" t="s">
        <v>24</v>
      </c>
      <c r="C294" s="21" t="s">
        <v>23</v>
      </c>
      <c r="D294" s="21" t="s">
        <v>22</v>
      </c>
      <c r="E294" s="21" t="s">
        <v>14</v>
      </c>
      <c r="F294" s="21" t="s">
        <v>88</v>
      </c>
      <c r="G294" s="21" t="s">
        <v>58</v>
      </c>
      <c r="H294" s="21" t="s">
        <v>70</v>
      </c>
      <c r="I294" s="21" t="s">
        <v>30</v>
      </c>
      <c r="J294" s="21" t="s">
        <v>21</v>
      </c>
      <c r="K294" s="21" t="s">
        <v>295</v>
      </c>
      <c r="L294" s="21" t="s">
        <v>68</v>
      </c>
      <c r="M294" s="21" t="s">
        <v>71</v>
      </c>
      <c r="N294" s="1493" t="s">
        <v>372</v>
      </c>
      <c r="O294" s="21" t="s">
        <v>24</v>
      </c>
      <c r="P294" s="21" t="s">
        <v>22</v>
      </c>
      <c r="Q294" s="21" t="s">
        <v>23</v>
      </c>
      <c r="R294" s="21" t="s">
        <v>88</v>
      </c>
      <c r="S294" s="21" t="s">
        <v>29</v>
      </c>
      <c r="T294" s="21" t="s">
        <v>26</v>
      </c>
      <c r="U294" s="21" t="s">
        <v>27</v>
      </c>
      <c r="V294" s="21" t="s">
        <v>58</v>
      </c>
      <c r="W294" s="21" t="s">
        <v>30</v>
      </c>
      <c r="X294" s="21" t="s">
        <v>14</v>
      </c>
      <c r="Y294" s="21" t="s">
        <v>5</v>
      </c>
      <c r="Z294" s="21" t="s">
        <v>99</v>
      </c>
    </row>
    <row r="295" spans="1:26" x14ac:dyDescent="0.2">
      <c r="A295" s="1493" t="s">
        <v>153</v>
      </c>
      <c r="B295" s="157">
        <v>-101269700000</v>
      </c>
      <c r="C295" s="158">
        <v>-49791340000</v>
      </c>
      <c r="D295" s="4">
        <v>-39605250000</v>
      </c>
      <c r="E295" s="159">
        <v>-26408610000</v>
      </c>
      <c r="F295" s="4">
        <v>-19439230000</v>
      </c>
      <c r="G295" s="4">
        <v>-18341920000</v>
      </c>
      <c r="H295" s="160">
        <v>-17176920000</v>
      </c>
      <c r="I295" s="4">
        <v>-16769430000</v>
      </c>
      <c r="J295" s="4">
        <v>-15741490000</v>
      </c>
      <c r="K295" s="161">
        <v>-15681729476</v>
      </c>
      <c r="L295" s="162">
        <v>-14414794790</v>
      </c>
      <c r="M295" s="163">
        <v>-13430070000</v>
      </c>
      <c r="N295" s="1493" t="s">
        <v>372</v>
      </c>
      <c r="O295" s="4">
        <v>-220156000000</v>
      </c>
      <c r="P295" s="4">
        <v>-99509250000</v>
      </c>
      <c r="Q295" s="4">
        <v>-67929780000</v>
      </c>
      <c r="R295" s="4">
        <v>-63809410000</v>
      </c>
      <c r="S295" s="4">
        <v>-54951266588</v>
      </c>
      <c r="T295" s="4">
        <v>-52763140000</v>
      </c>
      <c r="U295" s="4">
        <v>-52451990000</v>
      </c>
      <c r="V295" s="4">
        <v>-50242570000</v>
      </c>
      <c r="W295" s="4">
        <v>-49252950000</v>
      </c>
      <c r="X295" s="4">
        <v>-47697160000</v>
      </c>
      <c r="Y295" s="4">
        <v>-46990200000</v>
      </c>
      <c r="Z295" s="4">
        <v>-41374810000</v>
      </c>
    </row>
    <row r="296" spans="1:26" x14ac:dyDescent="0.2">
      <c r="A296" s="1493" t="s">
        <v>154</v>
      </c>
      <c r="B296" s="21" t="s">
        <v>24</v>
      </c>
      <c r="C296" s="21" t="s">
        <v>23</v>
      </c>
      <c r="D296" s="21" t="s">
        <v>13</v>
      </c>
      <c r="E296" s="21" t="s">
        <v>65</v>
      </c>
      <c r="F296" s="21" t="s">
        <v>30</v>
      </c>
      <c r="G296" s="21" t="s">
        <v>88</v>
      </c>
      <c r="H296" s="21" t="s">
        <v>27</v>
      </c>
      <c r="I296" s="21" t="s">
        <v>21</v>
      </c>
      <c r="J296" s="21" t="s">
        <v>26</v>
      </c>
      <c r="K296" s="21" t="s">
        <v>58</v>
      </c>
      <c r="L296" s="21" t="s">
        <v>78</v>
      </c>
      <c r="M296" s="21" t="s">
        <v>61</v>
      </c>
    </row>
    <row r="297" spans="1:26" x14ac:dyDescent="0.2">
      <c r="A297" s="1493" t="s">
        <v>154</v>
      </c>
      <c r="B297" s="142">
        <v>-92614390000</v>
      </c>
      <c r="C297" s="143">
        <v>-27109610000</v>
      </c>
      <c r="D297" s="4">
        <v>-26950630000</v>
      </c>
      <c r="E297" s="144">
        <v>-26901650000</v>
      </c>
      <c r="F297" s="145">
        <v>-22204600000</v>
      </c>
      <c r="G297" s="4">
        <v>-21615820000</v>
      </c>
      <c r="H297" s="146">
        <v>-21237330000</v>
      </c>
      <c r="I297" s="147">
        <v>-21223500000</v>
      </c>
      <c r="J297" s="148">
        <v>-19814300000</v>
      </c>
      <c r="K297" s="149">
        <v>-18638360000</v>
      </c>
      <c r="L297" s="150">
        <v>-13475900000</v>
      </c>
      <c r="M297" s="151">
        <v>-12637730000</v>
      </c>
    </row>
    <row r="298" spans="1:26" x14ac:dyDescent="0.2">
      <c r="A298" s="1493" t="s">
        <v>155</v>
      </c>
      <c r="B298" s="21" t="s">
        <v>5</v>
      </c>
      <c r="C298" s="21" t="s">
        <v>29</v>
      </c>
      <c r="D298" s="21" t="s">
        <v>88</v>
      </c>
      <c r="E298" s="21" t="s">
        <v>25</v>
      </c>
      <c r="F298" s="21" t="s">
        <v>28</v>
      </c>
      <c r="G298" s="21" t="s">
        <v>17</v>
      </c>
      <c r="H298" s="21" t="s">
        <v>26</v>
      </c>
      <c r="I298" s="21" t="s">
        <v>85</v>
      </c>
      <c r="J298" s="21" t="s">
        <v>27</v>
      </c>
      <c r="K298" s="21" t="s">
        <v>22</v>
      </c>
      <c r="L298" s="21" t="s">
        <v>58</v>
      </c>
      <c r="M298" s="21" t="s">
        <v>62</v>
      </c>
    </row>
    <row r="299" spans="1:26" x14ac:dyDescent="0.2">
      <c r="A299" s="1493" t="s">
        <v>155</v>
      </c>
      <c r="B299" s="4">
        <v>-27615020000</v>
      </c>
      <c r="C299" s="124">
        <v>-26677412998</v>
      </c>
      <c r="D299" s="125">
        <v>-22907950000</v>
      </c>
      <c r="E299" s="126">
        <v>-22435510000</v>
      </c>
      <c r="F299" s="127">
        <v>-20135630000</v>
      </c>
      <c r="G299" s="128">
        <v>-19357930000</v>
      </c>
      <c r="H299" s="129">
        <v>-18282350000</v>
      </c>
      <c r="I299" s="130">
        <v>-12461500000</v>
      </c>
      <c r="J299" s="4">
        <v>-11806040000</v>
      </c>
      <c r="K299" s="4">
        <v>-11281650000</v>
      </c>
      <c r="L299" s="131">
        <v>-10300710000</v>
      </c>
      <c r="M299" s="132">
        <v>-9529150000</v>
      </c>
    </row>
    <row r="300" spans="1:26" x14ac:dyDescent="0.2">
      <c r="A300" s="1493" t="s">
        <v>156</v>
      </c>
      <c r="B300" s="21" t="s">
        <v>5</v>
      </c>
      <c r="C300" s="21" t="s">
        <v>22</v>
      </c>
      <c r="D300" s="21" t="s">
        <v>8</v>
      </c>
      <c r="E300" s="21" t="s">
        <v>13</v>
      </c>
      <c r="F300" s="21" t="s">
        <v>24</v>
      </c>
      <c r="G300" s="21" t="s">
        <v>171</v>
      </c>
      <c r="H300" s="21" t="s">
        <v>99</v>
      </c>
      <c r="I300" s="21" t="s">
        <v>29</v>
      </c>
      <c r="J300" s="21" t="s">
        <v>27</v>
      </c>
      <c r="K300" s="21" t="s">
        <v>59</v>
      </c>
      <c r="L300" s="21" t="s">
        <v>68</v>
      </c>
      <c r="M300" s="21" t="s">
        <v>96</v>
      </c>
    </row>
    <row r="301" spans="1:26" x14ac:dyDescent="0.2">
      <c r="A301" s="1493" t="s">
        <v>156</v>
      </c>
      <c r="B301" s="102">
        <v>-89032000000</v>
      </c>
      <c r="C301" s="103">
        <v>-40132370000</v>
      </c>
      <c r="D301" s="104">
        <v>-37320860000</v>
      </c>
      <c r="E301" s="105">
        <v>-35201660000</v>
      </c>
      <c r="F301" s="106">
        <v>-24768050000</v>
      </c>
      <c r="G301" s="107">
        <v>-23863250000</v>
      </c>
      <c r="H301" s="108">
        <v>-21365050000</v>
      </c>
      <c r="I301" s="109">
        <v>-17940316127</v>
      </c>
      <c r="J301" s="110">
        <v>-17737770000</v>
      </c>
      <c r="K301" s="111">
        <v>-13243540000</v>
      </c>
      <c r="L301" s="112">
        <v>-11723058060</v>
      </c>
      <c r="M301" s="113">
        <v>-7848130000</v>
      </c>
    </row>
    <row r="302" spans="1:26" x14ac:dyDescent="0.2">
      <c r="A302" s="1493" t="s">
        <v>153</v>
      </c>
      <c r="B302" s="21" t="s">
        <v>24</v>
      </c>
      <c r="C302" s="21" t="s">
        <v>23</v>
      </c>
      <c r="D302" s="21" t="s">
        <v>22</v>
      </c>
      <c r="E302" s="21" t="s">
        <v>14</v>
      </c>
      <c r="F302" s="21" t="s">
        <v>88</v>
      </c>
      <c r="G302" s="21" t="s">
        <v>58</v>
      </c>
      <c r="H302" s="21" t="s">
        <v>70</v>
      </c>
      <c r="I302" s="21" t="s">
        <v>30</v>
      </c>
      <c r="J302" s="21" t="s">
        <v>21</v>
      </c>
      <c r="K302" s="21" t="s">
        <v>295</v>
      </c>
      <c r="L302" s="21" t="s">
        <v>68</v>
      </c>
      <c r="M302" s="21" t="s">
        <v>71</v>
      </c>
      <c r="N302" s="1493" t="s">
        <v>372</v>
      </c>
      <c r="O302" s="21" t="s">
        <v>24</v>
      </c>
      <c r="P302" s="21" t="s">
        <v>22</v>
      </c>
      <c r="Q302" s="21" t="s">
        <v>23</v>
      </c>
      <c r="R302" s="21" t="s">
        <v>88</v>
      </c>
      <c r="S302" s="21" t="s">
        <v>29</v>
      </c>
      <c r="T302" s="21" t="s">
        <v>26</v>
      </c>
      <c r="U302" s="21" t="s">
        <v>27</v>
      </c>
      <c r="V302" s="21" t="s">
        <v>58</v>
      </c>
      <c r="W302" s="21" t="s">
        <v>30</v>
      </c>
      <c r="X302" s="21" t="s">
        <v>14</v>
      </c>
      <c r="Y302" s="21" t="s">
        <v>5</v>
      </c>
      <c r="Z302" s="21" t="s">
        <v>99</v>
      </c>
    </row>
    <row r="303" spans="1:26" x14ac:dyDescent="0.2">
      <c r="A303" s="1493" t="s">
        <v>153</v>
      </c>
      <c r="B303" s="78">
        <v>-101269700000</v>
      </c>
      <c r="C303" s="79">
        <v>-49791340000</v>
      </c>
      <c r="D303" s="80">
        <v>-39605250000</v>
      </c>
      <c r="E303" s="81">
        <v>-26408610000</v>
      </c>
      <c r="F303" s="82">
        <v>-19439230000</v>
      </c>
      <c r="G303" s="83">
        <v>-18341920000</v>
      </c>
      <c r="H303" s="84">
        <v>-17176920000</v>
      </c>
      <c r="I303" s="85">
        <v>-16769430000</v>
      </c>
      <c r="J303" s="86">
        <v>-15741490000</v>
      </c>
      <c r="K303" s="87">
        <v>-15681729476</v>
      </c>
      <c r="L303" s="88">
        <v>-14414794790</v>
      </c>
      <c r="M303" s="89">
        <v>-13430070000</v>
      </c>
      <c r="N303" s="1493" t="s">
        <v>372</v>
      </c>
      <c r="O303" s="4">
        <v>-220156000000</v>
      </c>
      <c r="P303" s="4">
        <v>-99509250000</v>
      </c>
      <c r="Q303" s="4">
        <v>-67929780000</v>
      </c>
      <c r="R303" s="4">
        <v>-63809410000</v>
      </c>
      <c r="S303" s="4">
        <v>-54951266588</v>
      </c>
      <c r="T303" s="4">
        <v>-52763140000</v>
      </c>
      <c r="U303" s="4">
        <v>-52451990000</v>
      </c>
      <c r="V303" s="4">
        <v>-50242570000</v>
      </c>
      <c r="W303" s="4">
        <v>-49252950000</v>
      </c>
      <c r="X303" s="4">
        <v>-47697160000</v>
      </c>
      <c r="Y303" s="4">
        <v>-46990200000</v>
      </c>
      <c r="Z303" s="4">
        <v>-41374810000</v>
      </c>
    </row>
    <row r="304" spans="1:26" x14ac:dyDescent="0.2">
      <c r="A304" s="1493" t="s">
        <v>154</v>
      </c>
      <c r="B304" s="21" t="s">
        <v>24</v>
      </c>
      <c r="C304" s="21" t="s">
        <v>23</v>
      </c>
      <c r="D304" s="21" t="s">
        <v>13</v>
      </c>
      <c r="E304" s="21" t="s">
        <v>65</v>
      </c>
      <c r="F304" s="21" t="s">
        <v>30</v>
      </c>
      <c r="G304" s="21" t="s">
        <v>88</v>
      </c>
      <c r="H304" s="21" t="s">
        <v>27</v>
      </c>
      <c r="I304" s="21" t="s">
        <v>21</v>
      </c>
      <c r="J304" s="21" t="s">
        <v>26</v>
      </c>
      <c r="K304" s="21" t="s">
        <v>58</v>
      </c>
      <c r="L304" s="21" t="s">
        <v>78</v>
      </c>
      <c r="M304" s="21" t="s">
        <v>61</v>
      </c>
    </row>
    <row r="305" spans="1:13" x14ac:dyDescent="0.2">
      <c r="A305" s="1493" t="s">
        <v>154</v>
      </c>
      <c r="B305" s="66">
        <v>-92614390000</v>
      </c>
      <c r="C305" s="67">
        <v>-27109610000</v>
      </c>
      <c r="D305" s="68">
        <v>-26950630000</v>
      </c>
      <c r="E305" s="69">
        <v>-26901650000</v>
      </c>
      <c r="F305" s="70">
        <v>-22204600000</v>
      </c>
      <c r="G305" s="71">
        <v>-21615820000</v>
      </c>
      <c r="H305" s="72">
        <v>-21237330000</v>
      </c>
      <c r="I305" s="73">
        <v>-21223500000</v>
      </c>
      <c r="J305" s="74">
        <v>-19814300000</v>
      </c>
      <c r="K305" s="75">
        <v>-18638360000</v>
      </c>
      <c r="L305" s="76">
        <v>-13475900000</v>
      </c>
      <c r="M305" s="77">
        <v>-12637730000</v>
      </c>
    </row>
    <row r="306" spans="1:13" x14ac:dyDescent="0.2">
      <c r="A306" s="1493" t="s">
        <v>155</v>
      </c>
      <c r="B306" s="21" t="s">
        <v>5</v>
      </c>
      <c r="C306" s="21" t="s">
        <v>29</v>
      </c>
      <c r="D306" s="21" t="s">
        <v>88</v>
      </c>
      <c r="E306" s="21" t="s">
        <v>25</v>
      </c>
      <c r="F306" s="21" t="s">
        <v>28</v>
      </c>
      <c r="G306" s="21" t="s">
        <v>17</v>
      </c>
      <c r="H306" s="21" t="s">
        <v>26</v>
      </c>
      <c r="I306" s="21" t="s">
        <v>85</v>
      </c>
      <c r="J306" s="21" t="s">
        <v>27</v>
      </c>
      <c r="K306" s="21" t="s">
        <v>22</v>
      </c>
      <c r="L306" s="21" t="s">
        <v>58</v>
      </c>
      <c r="M306" s="21" t="s">
        <v>62</v>
      </c>
    </row>
    <row r="307" spans="1:13" x14ac:dyDescent="0.2">
      <c r="A307" s="1493" t="s">
        <v>155</v>
      </c>
      <c r="B307" s="54">
        <v>-27615020000</v>
      </c>
      <c r="C307" s="55">
        <v>-26677412998</v>
      </c>
      <c r="D307" s="56">
        <v>-22907950000</v>
      </c>
      <c r="E307" s="57">
        <v>-22435510000</v>
      </c>
      <c r="F307" s="58">
        <v>-20135630000</v>
      </c>
      <c r="G307" s="59">
        <v>-19357930000</v>
      </c>
      <c r="H307" s="60">
        <v>-18282350000</v>
      </c>
      <c r="I307" s="61">
        <v>-12461500000</v>
      </c>
      <c r="J307" s="62">
        <v>-11806040000</v>
      </c>
      <c r="K307" s="63">
        <v>-11281650000</v>
      </c>
      <c r="L307" s="64">
        <v>-10300710000</v>
      </c>
      <c r="M307" s="65">
        <v>-9529150000</v>
      </c>
    </row>
    <row r="308" spans="1:13" x14ac:dyDescent="0.2">
      <c r="A308" s="1493" t="s">
        <v>156</v>
      </c>
      <c r="B308" s="21" t="s">
        <v>5</v>
      </c>
      <c r="C308" s="21" t="s">
        <v>22</v>
      </c>
      <c r="D308" s="21" t="s">
        <v>8</v>
      </c>
      <c r="E308" s="21" t="s">
        <v>13</v>
      </c>
      <c r="F308" s="21" t="s">
        <v>24</v>
      </c>
      <c r="G308" s="21" t="s">
        <v>171</v>
      </c>
      <c r="H308" s="21" t="s">
        <v>99</v>
      </c>
      <c r="I308" s="21" t="s">
        <v>29</v>
      </c>
      <c r="J308" s="21" t="s">
        <v>27</v>
      </c>
      <c r="K308" s="21" t="s">
        <v>59</v>
      </c>
      <c r="L308" s="21" t="s">
        <v>68</v>
      </c>
      <c r="M308" s="21" t="s">
        <v>96</v>
      </c>
    </row>
    <row r="309" spans="1:13" x14ac:dyDescent="0.2">
      <c r="A309" s="1493" t="s">
        <v>156</v>
      </c>
      <c r="B309" s="42">
        <v>-89032000000</v>
      </c>
      <c r="C309" s="43">
        <v>-40132370000</v>
      </c>
      <c r="D309" s="44">
        <v>-37320860000</v>
      </c>
      <c r="E309" s="45">
        <v>-35201660000</v>
      </c>
      <c r="F309" s="46">
        <v>-24768050000</v>
      </c>
      <c r="G309" s="47">
        <v>-23863250000</v>
      </c>
      <c r="H309" s="48">
        <v>-21365050000</v>
      </c>
      <c r="I309" s="49">
        <v>-17940316127</v>
      </c>
      <c r="J309" s="50">
        <v>-17737770000</v>
      </c>
      <c r="K309" s="51">
        <v>-13243540000</v>
      </c>
      <c r="L309" s="52">
        <v>-11723058060</v>
      </c>
      <c r="M309" s="53">
        <v>-7848130000</v>
      </c>
    </row>
    <row r="313" spans="1:13" x14ac:dyDescent="0.2">
      <c r="A313" t="s">
        <v>368</v>
      </c>
    </row>
  </sheetData>
  <mergeCells count="189">
    <mergeCell ref="B1:M1"/>
    <mergeCell ref="O1:Z1"/>
    <mergeCell ref="A6:A7"/>
    <mergeCell ref="A10:A11"/>
    <mergeCell ref="A12:A13"/>
    <mergeCell ref="N12:N13"/>
    <mergeCell ref="A28:A29"/>
    <mergeCell ref="A26:A27"/>
    <mergeCell ref="A24:A25"/>
    <mergeCell ref="A22:A23"/>
    <mergeCell ref="N22:N23"/>
    <mergeCell ref="A20:A21"/>
    <mergeCell ref="A18:A19"/>
    <mergeCell ref="A14:A15"/>
    <mergeCell ref="A16:A17"/>
    <mergeCell ref="A4:A5"/>
    <mergeCell ref="A2:A3"/>
    <mergeCell ref="N2:N3"/>
    <mergeCell ref="A42:A43"/>
    <mergeCell ref="N42:N43"/>
    <mergeCell ref="A40:A41"/>
    <mergeCell ref="A38:A39"/>
    <mergeCell ref="A36:A37"/>
    <mergeCell ref="A34:A35"/>
    <mergeCell ref="A32:A33"/>
    <mergeCell ref="N32:N33"/>
    <mergeCell ref="A30:A31"/>
    <mergeCell ref="A98:A99"/>
    <mergeCell ref="A96:A97"/>
    <mergeCell ref="A94:A95"/>
    <mergeCell ref="A92:A93"/>
    <mergeCell ref="N92:N93"/>
    <mergeCell ref="A90:A91"/>
    <mergeCell ref="A88:A89"/>
    <mergeCell ref="A86:A87"/>
    <mergeCell ref="A84:A85"/>
    <mergeCell ref="A82:A83"/>
    <mergeCell ref="N82:N83"/>
    <mergeCell ref="A80:A81"/>
    <mergeCell ref="A78:A79"/>
    <mergeCell ref="A76:A77"/>
    <mergeCell ref="A74:A75"/>
    <mergeCell ref="A72:A73"/>
    <mergeCell ref="N72:N73"/>
    <mergeCell ref="A70:A71"/>
    <mergeCell ref="A68:A69"/>
    <mergeCell ref="A66:A67"/>
    <mergeCell ref="A64:A65"/>
    <mergeCell ref="A62:A63"/>
    <mergeCell ref="N62:N63"/>
    <mergeCell ref="A60:A61"/>
    <mergeCell ref="A58:A59"/>
    <mergeCell ref="A56:A57"/>
    <mergeCell ref="A54:A55"/>
    <mergeCell ref="A52:A53"/>
    <mergeCell ref="N52:N53"/>
    <mergeCell ref="A50:A51"/>
    <mergeCell ref="A48:A49"/>
    <mergeCell ref="A46:A47"/>
    <mergeCell ref="A44:A45"/>
    <mergeCell ref="A152:A153"/>
    <mergeCell ref="A150:A151"/>
    <mergeCell ref="A148:A149"/>
    <mergeCell ref="A146:A147"/>
    <mergeCell ref="N146:N147"/>
    <mergeCell ref="A144:A145"/>
    <mergeCell ref="A142:A143"/>
    <mergeCell ref="N142:N143"/>
    <mergeCell ref="A140:A141"/>
    <mergeCell ref="A138:A139"/>
    <mergeCell ref="A136:A137"/>
    <mergeCell ref="A134:A135"/>
    <mergeCell ref="A132:A133"/>
    <mergeCell ref="N132:N133"/>
    <mergeCell ref="A130:A131"/>
    <mergeCell ref="A128:A129"/>
    <mergeCell ref="A126:A127"/>
    <mergeCell ref="A124:A125"/>
    <mergeCell ref="A102:A103"/>
    <mergeCell ref="N102:N103"/>
    <mergeCell ref="A100:A101"/>
    <mergeCell ref="A206:A207"/>
    <mergeCell ref="A204:A205"/>
    <mergeCell ref="N204:N205"/>
    <mergeCell ref="A202:A203"/>
    <mergeCell ref="A200:A201"/>
    <mergeCell ref="A198:A199"/>
    <mergeCell ref="A196:A197"/>
    <mergeCell ref="A194:A195"/>
    <mergeCell ref="N194:N195"/>
    <mergeCell ref="A192:A193"/>
    <mergeCell ref="A190:A191"/>
    <mergeCell ref="A188:A189"/>
    <mergeCell ref="A186:A187"/>
    <mergeCell ref="A184:A185"/>
    <mergeCell ref="N184:N185"/>
    <mergeCell ref="A182:A183"/>
    <mergeCell ref="A180:A181"/>
    <mergeCell ref="A178:A179"/>
    <mergeCell ref="A122:A123"/>
    <mergeCell ref="N122:N123"/>
    <mergeCell ref="A120:A121"/>
    <mergeCell ref="N164:N165"/>
    <mergeCell ref="A108:A109"/>
    <mergeCell ref="A106:A107"/>
    <mergeCell ref="A104:A105"/>
    <mergeCell ref="A118:A119"/>
    <mergeCell ref="A116:A117"/>
    <mergeCell ref="A114:A115"/>
    <mergeCell ref="A112:A113"/>
    <mergeCell ref="N112:N113"/>
    <mergeCell ref="A110:A111"/>
    <mergeCell ref="A162:A163"/>
    <mergeCell ref="A160:A161"/>
    <mergeCell ref="A158:A159"/>
    <mergeCell ref="A156:A157"/>
    <mergeCell ref="N156:N157"/>
    <mergeCell ref="A154:A155"/>
    <mergeCell ref="A292:A293"/>
    <mergeCell ref="A290:A291"/>
    <mergeCell ref="A288:A289"/>
    <mergeCell ref="A286:A287"/>
    <mergeCell ref="A284:A285"/>
    <mergeCell ref="N284:N285"/>
    <mergeCell ref="A282:A283"/>
    <mergeCell ref="A280:A281"/>
    <mergeCell ref="A176:A177"/>
    <mergeCell ref="A278:A279"/>
    <mergeCell ref="A276:A277"/>
    <mergeCell ref="A274:A275"/>
    <mergeCell ref="N274:N275"/>
    <mergeCell ref="A272:A273"/>
    <mergeCell ref="A270:A271"/>
    <mergeCell ref="A268:A269"/>
    <mergeCell ref="A266:A267"/>
    <mergeCell ref="A264:A265"/>
    <mergeCell ref="N264:N265"/>
    <mergeCell ref="A262:A263"/>
    <mergeCell ref="A260:A261"/>
    <mergeCell ref="A258:A259"/>
    <mergeCell ref="A256:A257"/>
    <mergeCell ref="A254:A255"/>
    <mergeCell ref="A308:A309"/>
    <mergeCell ref="A306:A307"/>
    <mergeCell ref="A304:A305"/>
    <mergeCell ref="A302:A303"/>
    <mergeCell ref="N302:N303"/>
    <mergeCell ref="A300:A301"/>
    <mergeCell ref="A298:A299"/>
    <mergeCell ref="A296:A297"/>
    <mergeCell ref="A294:A295"/>
    <mergeCell ref="N294:N295"/>
    <mergeCell ref="N174:N175"/>
    <mergeCell ref="N254:N255"/>
    <mergeCell ref="A252:A253"/>
    <mergeCell ref="A250:A251"/>
    <mergeCell ref="A248:A249"/>
    <mergeCell ref="N248:N249"/>
    <mergeCell ref="A246:A247"/>
    <mergeCell ref="A244:A245"/>
    <mergeCell ref="N244:N245"/>
    <mergeCell ref="A242:A243"/>
    <mergeCell ref="N234:N235"/>
    <mergeCell ref="N214:N215"/>
    <mergeCell ref="N224:N225"/>
    <mergeCell ref="A172:A173"/>
    <mergeCell ref="A170:A171"/>
    <mergeCell ref="A8:A9"/>
    <mergeCell ref="A168:A169"/>
    <mergeCell ref="A166:A167"/>
    <mergeCell ref="A240:A241"/>
    <mergeCell ref="A238:A239"/>
    <mergeCell ref="A236:A237"/>
    <mergeCell ref="A234:A235"/>
    <mergeCell ref="A216:A217"/>
    <mergeCell ref="A214:A215"/>
    <mergeCell ref="A212:A213"/>
    <mergeCell ref="A210:A211"/>
    <mergeCell ref="A208:A209"/>
    <mergeCell ref="A232:A233"/>
    <mergeCell ref="A230:A231"/>
    <mergeCell ref="A228:A229"/>
    <mergeCell ref="A226:A227"/>
    <mergeCell ref="A224:A225"/>
    <mergeCell ref="A222:A223"/>
    <mergeCell ref="A220:A221"/>
    <mergeCell ref="A218:A219"/>
    <mergeCell ref="A174:A175"/>
    <mergeCell ref="A164:A16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6725-3DE9-D546-B28B-ADA5590013D4}">
  <dimension ref="A1:Z314"/>
  <sheetViews>
    <sheetView workbookViewId="0">
      <selection activeCell="K28" sqref="K28"/>
    </sheetView>
  </sheetViews>
  <sheetFormatPr baseColWidth="10" defaultRowHeight="16" x14ac:dyDescent="0.2"/>
  <cols>
    <col min="2" max="6" width="14.6640625" bestFit="1" customWidth="1"/>
    <col min="7" max="13" width="13.6640625" bestFit="1" customWidth="1"/>
    <col min="15" max="20" width="14.6640625" bestFit="1" customWidth="1"/>
    <col min="21" max="26" width="13.6640625" bestFit="1" customWidth="1"/>
  </cols>
  <sheetData>
    <row r="1" spans="1:26" x14ac:dyDescent="0.2">
      <c r="A1" s="40" t="s">
        <v>105</v>
      </c>
      <c r="B1" s="1494" t="s">
        <v>369</v>
      </c>
      <c r="C1" s="1494"/>
      <c r="D1" s="1494"/>
      <c r="E1" s="1494"/>
      <c r="F1" s="1494"/>
      <c r="G1" s="1494"/>
      <c r="H1" s="1494"/>
      <c r="I1" s="1494"/>
      <c r="J1" s="1494"/>
      <c r="K1" s="1494"/>
      <c r="L1" s="1494"/>
      <c r="M1" s="1494"/>
      <c r="N1" s="41" t="s">
        <v>371</v>
      </c>
      <c r="O1" s="1494" t="s">
        <v>370</v>
      </c>
      <c r="P1" s="1494"/>
      <c r="Q1" s="1494"/>
      <c r="R1" s="1494"/>
      <c r="S1" s="1494"/>
      <c r="T1" s="1494"/>
      <c r="U1" s="1494"/>
      <c r="V1" s="1494"/>
      <c r="W1" s="1494"/>
      <c r="X1" s="1494"/>
      <c r="Y1" s="1494"/>
      <c r="Z1" s="1494"/>
    </row>
    <row r="2" spans="1:26" x14ac:dyDescent="0.2">
      <c r="A2" s="1493" t="s">
        <v>508</v>
      </c>
      <c r="B2" s="21" t="s">
        <v>202</v>
      </c>
      <c r="C2" s="21" t="s">
        <v>15</v>
      </c>
      <c r="D2" s="21" t="s">
        <v>25</v>
      </c>
      <c r="E2" s="21" t="s">
        <v>24</v>
      </c>
      <c r="F2" s="21" t="s">
        <v>34</v>
      </c>
      <c r="G2" s="21" t="s">
        <v>99</v>
      </c>
      <c r="H2" s="21" t="s">
        <v>32</v>
      </c>
      <c r="I2" s="21" t="s">
        <v>21</v>
      </c>
      <c r="J2" s="21" t="s">
        <v>35</v>
      </c>
      <c r="K2" s="21" t="s">
        <v>29</v>
      </c>
      <c r="L2" s="21" t="s">
        <v>12</v>
      </c>
      <c r="M2" s="21" t="s">
        <v>297</v>
      </c>
      <c r="N2" s="1493" t="s">
        <v>509</v>
      </c>
      <c r="O2" s="21" t="s">
        <v>5</v>
      </c>
      <c r="P2" s="21" t="s">
        <v>35</v>
      </c>
      <c r="Q2" s="21" t="s">
        <v>28</v>
      </c>
      <c r="R2" s="21" t="s">
        <v>42</v>
      </c>
      <c r="S2" s="21" t="s">
        <v>165</v>
      </c>
      <c r="T2" s="21" t="s">
        <v>20</v>
      </c>
      <c r="U2" s="21" t="s">
        <v>163</v>
      </c>
      <c r="V2" s="21" t="s">
        <v>9</v>
      </c>
      <c r="W2" s="21" t="s">
        <v>17</v>
      </c>
      <c r="X2" s="21" t="s">
        <v>87</v>
      </c>
      <c r="Y2" s="21" t="s">
        <v>29</v>
      </c>
      <c r="Z2" s="21" t="s">
        <v>8</v>
      </c>
    </row>
    <row r="3" spans="1:26" x14ac:dyDescent="0.2">
      <c r="A3" s="1493" t="s">
        <v>508</v>
      </c>
      <c r="B3" s="1464">
        <v>11487280000</v>
      </c>
      <c r="C3" s="4">
        <v>8190278000</v>
      </c>
      <c r="D3" s="4">
        <v>3669500000</v>
      </c>
      <c r="E3" s="4">
        <v>2974550000</v>
      </c>
      <c r="F3" s="4">
        <v>2967195000</v>
      </c>
      <c r="G3" s="4">
        <v>2530060000</v>
      </c>
      <c r="H3" s="4">
        <v>2066890000</v>
      </c>
      <c r="I3" s="4">
        <v>1990860000</v>
      </c>
      <c r="J3" s="4">
        <v>1908385000</v>
      </c>
      <c r="K3" s="4">
        <v>1900000000</v>
      </c>
      <c r="L3" s="4">
        <v>1014580000</v>
      </c>
      <c r="M3" s="4">
        <v>885700000</v>
      </c>
      <c r="N3" s="1493" t="s">
        <v>509</v>
      </c>
      <c r="O3" s="4">
        <v>130027751000</v>
      </c>
      <c r="P3" s="4">
        <v>85353695000</v>
      </c>
      <c r="Q3" s="4">
        <v>68821190000</v>
      </c>
      <c r="R3" s="4">
        <v>57976270000</v>
      </c>
      <c r="S3" s="4">
        <v>51071685000</v>
      </c>
      <c r="T3" s="4">
        <v>45528034400</v>
      </c>
      <c r="U3" s="4">
        <v>44139591000</v>
      </c>
      <c r="V3" s="4">
        <v>44063325000</v>
      </c>
      <c r="W3" s="4">
        <v>43012762000</v>
      </c>
      <c r="X3" s="4">
        <v>41474820000</v>
      </c>
      <c r="Y3" s="4">
        <v>40165320000</v>
      </c>
      <c r="Z3" s="4">
        <v>40020355000</v>
      </c>
    </row>
    <row r="4" spans="1:26" x14ac:dyDescent="0.2">
      <c r="A4" s="1493" t="s">
        <v>505</v>
      </c>
      <c r="B4" s="21" t="s">
        <v>34</v>
      </c>
      <c r="C4" s="21" t="s">
        <v>163</v>
      </c>
      <c r="D4" s="21" t="s">
        <v>35</v>
      </c>
      <c r="E4" s="21" t="s">
        <v>26</v>
      </c>
      <c r="F4" s="21" t="s">
        <v>29</v>
      </c>
      <c r="G4" s="21" t="s">
        <v>273</v>
      </c>
      <c r="H4" s="21" t="s">
        <v>21</v>
      </c>
      <c r="I4" s="21" t="s">
        <v>99</v>
      </c>
      <c r="J4" s="21" t="s">
        <v>72</v>
      </c>
      <c r="K4" s="21" t="s">
        <v>297</v>
      </c>
      <c r="L4" s="21" t="s">
        <v>95</v>
      </c>
      <c r="M4" s="21" t="s">
        <v>11</v>
      </c>
    </row>
    <row r="5" spans="1:26" x14ac:dyDescent="0.2">
      <c r="A5" s="1493" t="s">
        <v>505</v>
      </c>
      <c r="B5" s="4">
        <v>5993725000</v>
      </c>
      <c r="C5" s="4">
        <v>5786385000</v>
      </c>
      <c r="D5" s="4">
        <v>5541180000</v>
      </c>
      <c r="E5" s="4">
        <v>4632820000</v>
      </c>
      <c r="F5" s="4">
        <v>4059600000</v>
      </c>
      <c r="G5" s="1462">
        <v>2915260000</v>
      </c>
      <c r="H5" s="4">
        <v>2804150000</v>
      </c>
      <c r="I5" s="4">
        <v>2784845000</v>
      </c>
      <c r="J5" s="4">
        <v>1034375000</v>
      </c>
      <c r="K5" s="4">
        <v>922135000</v>
      </c>
      <c r="L5" s="4">
        <v>713620000</v>
      </c>
      <c r="M5" s="4">
        <v>701530000</v>
      </c>
    </row>
    <row r="6" spans="1:26" x14ac:dyDescent="0.2">
      <c r="A6" s="1493" t="s">
        <v>503</v>
      </c>
      <c r="B6" s="21" t="s">
        <v>17</v>
      </c>
      <c r="C6" s="21" t="s">
        <v>163</v>
      </c>
      <c r="D6" s="21" t="s">
        <v>284</v>
      </c>
      <c r="E6" s="21" t="s">
        <v>35</v>
      </c>
      <c r="F6" s="21" t="s">
        <v>273</v>
      </c>
      <c r="G6" s="21" t="s">
        <v>42</v>
      </c>
      <c r="H6" s="21" t="s">
        <v>504</v>
      </c>
      <c r="I6" s="21" t="s">
        <v>357</v>
      </c>
      <c r="J6" s="21" t="s">
        <v>190</v>
      </c>
      <c r="K6" s="21" t="s">
        <v>297</v>
      </c>
      <c r="L6" s="21" t="s">
        <v>95</v>
      </c>
      <c r="M6" s="21" t="s">
        <v>287</v>
      </c>
    </row>
    <row r="7" spans="1:26" x14ac:dyDescent="0.2">
      <c r="A7" s="1493" t="s">
        <v>503</v>
      </c>
      <c r="B7" s="4">
        <v>38297420000</v>
      </c>
      <c r="C7" s="4">
        <v>19323810000</v>
      </c>
      <c r="D7" s="4">
        <v>3050750000</v>
      </c>
      <c r="E7" s="4">
        <v>3040280000</v>
      </c>
      <c r="F7" s="4">
        <v>1219330000</v>
      </c>
      <c r="G7" s="4">
        <v>1037920000</v>
      </c>
      <c r="H7" s="1460">
        <v>832400000</v>
      </c>
      <c r="I7" s="4">
        <v>789060000</v>
      </c>
      <c r="J7" s="4">
        <v>704470000</v>
      </c>
      <c r="K7" s="4">
        <v>435800000</v>
      </c>
      <c r="L7" s="4">
        <v>317500000</v>
      </c>
      <c r="M7" s="4">
        <v>221540000</v>
      </c>
    </row>
    <row r="8" spans="1:26" x14ac:dyDescent="0.2">
      <c r="A8" s="1493" t="s">
        <v>500</v>
      </c>
      <c r="B8" s="21" t="s">
        <v>33</v>
      </c>
      <c r="C8" s="21" t="s">
        <v>35</v>
      </c>
      <c r="D8" s="21" t="s">
        <v>14</v>
      </c>
      <c r="E8" s="21" t="s">
        <v>17</v>
      </c>
      <c r="F8" s="21" t="s">
        <v>28</v>
      </c>
      <c r="G8" s="21" t="s">
        <v>32</v>
      </c>
      <c r="H8" s="21" t="s">
        <v>5</v>
      </c>
      <c r="I8" s="21" t="s">
        <v>23</v>
      </c>
      <c r="J8" s="21" t="s">
        <v>13</v>
      </c>
      <c r="K8" s="21" t="s">
        <v>165</v>
      </c>
      <c r="L8" s="21" t="s">
        <v>24</v>
      </c>
      <c r="M8" s="21" t="s">
        <v>64</v>
      </c>
    </row>
    <row r="9" spans="1:26" x14ac:dyDescent="0.2">
      <c r="A9" s="1493" t="s">
        <v>500</v>
      </c>
      <c r="B9" s="1448">
        <v>66530990000</v>
      </c>
      <c r="C9" s="1449">
        <v>50973505000</v>
      </c>
      <c r="D9" s="4">
        <v>40514957000</v>
      </c>
      <c r="E9" s="4">
        <v>38001682000</v>
      </c>
      <c r="F9" s="4">
        <v>33204510000</v>
      </c>
      <c r="G9" s="4">
        <v>26363803000</v>
      </c>
      <c r="H9" s="4">
        <v>23457105000</v>
      </c>
      <c r="I9" s="4">
        <v>23085820000</v>
      </c>
      <c r="J9" s="4">
        <v>21587002000</v>
      </c>
      <c r="K9" s="4">
        <v>20757930000</v>
      </c>
      <c r="L9" s="4">
        <v>14188075000</v>
      </c>
      <c r="M9" s="4">
        <v>13525660000</v>
      </c>
    </row>
    <row r="10" spans="1:26" x14ac:dyDescent="0.2">
      <c r="A10" s="1493" t="s">
        <v>497</v>
      </c>
      <c r="B10" s="21" t="s">
        <v>5</v>
      </c>
      <c r="C10" s="21" t="s">
        <v>42</v>
      </c>
      <c r="D10" s="21" t="s">
        <v>8</v>
      </c>
      <c r="E10" s="21" t="s">
        <v>20</v>
      </c>
      <c r="F10" s="21" t="s">
        <v>9</v>
      </c>
      <c r="G10" s="21" t="s">
        <v>87</v>
      </c>
      <c r="H10" s="21" t="s">
        <v>28</v>
      </c>
      <c r="I10" s="21" t="s">
        <v>165</v>
      </c>
      <c r="J10" s="21" t="s">
        <v>17</v>
      </c>
      <c r="K10" s="21" t="s">
        <v>35</v>
      </c>
      <c r="L10" s="21" t="s">
        <v>29</v>
      </c>
      <c r="M10" s="21" t="s">
        <v>163</v>
      </c>
    </row>
    <row r="11" spans="1:26" x14ac:dyDescent="0.2">
      <c r="A11" s="1493" t="s">
        <v>497</v>
      </c>
      <c r="B11" s="1434">
        <v>116101726000</v>
      </c>
      <c r="C11" s="1435">
        <v>57188100000</v>
      </c>
      <c r="D11" s="1436">
        <v>45801210000</v>
      </c>
      <c r="E11" s="1437">
        <v>45241534400</v>
      </c>
      <c r="F11" s="1438">
        <v>44829140000</v>
      </c>
      <c r="G11" s="1439">
        <v>41575580000</v>
      </c>
      <c r="H11" s="1440">
        <v>36375730000</v>
      </c>
      <c r="I11" s="4">
        <v>30350925000</v>
      </c>
      <c r="J11" s="4">
        <v>26157610000</v>
      </c>
      <c r="K11" s="4">
        <v>23890345000</v>
      </c>
      <c r="L11" s="4">
        <v>22925000000</v>
      </c>
      <c r="M11" s="4">
        <v>19184990000</v>
      </c>
    </row>
    <row r="12" spans="1:26" x14ac:dyDescent="0.2">
      <c r="A12" s="1493" t="s">
        <v>494</v>
      </c>
      <c r="B12" s="21" t="s">
        <v>40</v>
      </c>
      <c r="C12" s="21" t="s">
        <v>79</v>
      </c>
      <c r="D12" s="21" t="s">
        <v>176</v>
      </c>
      <c r="E12" s="21" t="s">
        <v>36</v>
      </c>
      <c r="F12" s="21" t="s">
        <v>265</v>
      </c>
      <c r="G12" s="21" t="s">
        <v>27</v>
      </c>
      <c r="H12" s="21" t="s">
        <v>348</v>
      </c>
      <c r="I12" s="21" t="s">
        <v>18</v>
      </c>
      <c r="J12" s="21" t="s">
        <v>59</v>
      </c>
      <c r="K12" s="21" t="s">
        <v>74</v>
      </c>
      <c r="L12" s="21" t="s">
        <v>15</v>
      </c>
      <c r="M12" s="21" t="s">
        <v>29</v>
      </c>
      <c r="N12" s="1493" t="s">
        <v>495</v>
      </c>
      <c r="O12" s="21" t="s">
        <v>40</v>
      </c>
      <c r="P12" s="21" t="s">
        <v>79</v>
      </c>
      <c r="Q12" s="21" t="s">
        <v>35</v>
      </c>
      <c r="R12" s="21" t="s">
        <v>176</v>
      </c>
      <c r="S12" s="21" t="s">
        <v>165</v>
      </c>
      <c r="T12" s="21" t="s">
        <v>265</v>
      </c>
      <c r="U12" s="21" t="s">
        <v>36</v>
      </c>
      <c r="V12" s="21" t="s">
        <v>99</v>
      </c>
      <c r="W12" s="21" t="s">
        <v>18</v>
      </c>
      <c r="X12" s="21" t="s">
        <v>29</v>
      </c>
      <c r="Y12" s="21" t="s">
        <v>59</v>
      </c>
      <c r="Z12" s="21" t="s">
        <v>64</v>
      </c>
    </row>
    <row r="13" spans="1:26" x14ac:dyDescent="0.2">
      <c r="A13" s="1493" t="s">
        <v>494</v>
      </c>
      <c r="B13" s="1427">
        <v>134144480000</v>
      </c>
      <c r="C13" s="4">
        <v>105630270000</v>
      </c>
      <c r="D13" s="4">
        <v>52605380000</v>
      </c>
      <c r="E13" s="4">
        <v>37073420000</v>
      </c>
      <c r="F13" s="4">
        <v>21171810000</v>
      </c>
      <c r="G13" s="4">
        <v>19263000000</v>
      </c>
      <c r="H13" s="1428">
        <v>18820225000</v>
      </c>
      <c r="I13" s="4">
        <v>18687595000</v>
      </c>
      <c r="J13" s="4">
        <v>15887700000</v>
      </c>
      <c r="K13" s="4">
        <v>15586027000</v>
      </c>
      <c r="L13" s="4">
        <v>15222541000</v>
      </c>
      <c r="M13" s="4">
        <v>14014910000</v>
      </c>
      <c r="N13" s="1493" t="s">
        <v>495</v>
      </c>
      <c r="O13" s="4">
        <v>191024850000</v>
      </c>
      <c r="P13" s="4">
        <v>173683904000</v>
      </c>
      <c r="Q13" s="4">
        <v>82147798000</v>
      </c>
      <c r="R13" s="4">
        <v>82003390000</v>
      </c>
      <c r="S13" s="4">
        <v>76907830000</v>
      </c>
      <c r="T13" s="4">
        <v>70319665000</v>
      </c>
      <c r="U13" s="4">
        <v>68603900000</v>
      </c>
      <c r="V13" s="4">
        <v>51341685000</v>
      </c>
      <c r="W13" s="4">
        <v>38939890000</v>
      </c>
      <c r="X13" s="4">
        <v>35397860000</v>
      </c>
      <c r="Y13" s="4">
        <v>33120450000</v>
      </c>
      <c r="Z13" s="4">
        <v>32833220000</v>
      </c>
    </row>
    <row r="14" spans="1:26" x14ac:dyDescent="0.2">
      <c r="A14" s="1493" t="s">
        <v>492</v>
      </c>
      <c r="B14" s="21" t="s">
        <v>79</v>
      </c>
      <c r="C14" s="21" t="s">
        <v>33</v>
      </c>
      <c r="D14" s="21" t="s">
        <v>21</v>
      </c>
      <c r="E14" s="21" t="s">
        <v>165</v>
      </c>
      <c r="F14" s="21" t="s">
        <v>35</v>
      </c>
      <c r="G14" s="21" t="s">
        <v>64</v>
      </c>
      <c r="H14" s="21" t="s">
        <v>40</v>
      </c>
      <c r="I14" s="21" t="s">
        <v>265</v>
      </c>
      <c r="J14" s="21" t="s">
        <v>14</v>
      </c>
      <c r="K14" s="21" t="s">
        <v>15</v>
      </c>
      <c r="L14" s="21" t="s">
        <v>32</v>
      </c>
      <c r="M14" s="21" t="s">
        <v>59</v>
      </c>
    </row>
    <row r="15" spans="1:26" x14ac:dyDescent="0.2">
      <c r="A15" s="1493" t="s">
        <v>492</v>
      </c>
      <c r="B15" s="4">
        <v>109418575000</v>
      </c>
      <c r="C15" s="1413">
        <v>85962222000</v>
      </c>
      <c r="D15" s="4">
        <v>74738040000</v>
      </c>
      <c r="E15" s="1414">
        <v>71352585000</v>
      </c>
      <c r="F15" s="1415">
        <v>56971250000</v>
      </c>
      <c r="G15" s="1416">
        <v>51935870000</v>
      </c>
      <c r="H15" s="4">
        <v>51205450000</v>
      </c>
      <c r="I15" s="1417">
        <v>49147855000</v>
      </c>
      <c r="J15" s="4">
        <v>46654305000</v>
      </c>
      <c r="K15" s="4">
        <v>40802556000</v>
      </c>
      <c r="L15" s="4">
        <v>39061934000</v>
      </c>
      <c r="M15" s="4">
        <v>34681280000</v>
      </c>
    </row>
    <row r="16" spans="1:26" x14ac:dyDescent="0.2">
      <c r="A16" s="1493" t="s">
        <v>491</v>
      </c>
      <c r="B16" s="21" t="s">
        <v>99</v>
      </c>
      <c r="C16" s="21" t="s">
        <v>36</v>
      </c>
      <c r="D16" s="21" t="s">
        <v>296</v>
      </c>
      <c r="E16" s="21" t="s">
        <v>8</v>
      </c>
      <c r="F16" s="21" t="s">
        <v>29</v>
      </c>
      <c r="G16" s="21" t="s">
        <v>84</v>
      </c>
      <c r="H16" s="21" t="s">
        <v>176</v>
      </c>
      <c r="I16" s="21" t="s">
        <v>34</v>
      </c>
      <c r="J16" s="21" t="s">
        <v>95</v>
      </c>
      <c r="K16" s="21" t="s">
        <v>7</v>
      </c>
      <c r="L16" s="21" t="s">
        <v>20</v>
      </c>
      <c r="M16" s="21" t="s">
        <v>183</v>
      </c>
    </row>
    <row r="17" spans="1:26" x14ac:dyDescent="0.2">
      <c r="A17" s="1493" t="s">
        <v>491</v>
      </c>
      <c r="B17" s="4">
        <v>14592820000</v>
      </c>
      <c r="C17" s="4">
        <v>10078720000</v>
      </c>
      <c r="D17" s="4">
        <v>9503450000</v>
      </c>
      <c r="E17" s="4">
        <v>9079800000</v>
      </c>
      <c r="F17" s="4">
        <v>5726040000</v>
      </c>
      <c r="G17" s="4">
        <v>4908515000</v>
      </c>
      <c r="H17" s="4">
        <v>4258500000</v>
      </c>
      <c r="I17" s="4">
        <v>4048186000</v>
      </c>
      <c r="J17" s="4">
        <v>3405000000</v>
      </c>
      <c r="K17" s="4">
        <v>3040000000</v>
      </c>
      <c r="L17" s="4">
        <v>2909000000</v>
      </c>
      <c r="M17" s="4">
        <v>2655225000</v>
      </c>
    </row>
    <row r="18" spans="1:26" x14ac:dyDescent="0.2">
      <c r="A18" s="1493" t="s">
        <v>485</v>
      </c>
      <c r="B18" s="21" t="s">
        <v>35</v>
      </c>
      <c r="C18" s="21" t="s">
        <v>99</v>
      </c>
      <c r="D18" s="21" t="s">
        <v>42</v>
      </c>
      <c r="E18" s="21" t="s">
        <v>57</v>
      </c>
      <c r="F18" s="21" t="s">
        <v>176</v>
      </c>
      <c r="G18" s="21" t="s">
        <v>32</v>
      </c>
      <c r="H18" s="21" t="s">
        <v>18</v>
      </c>
      <c r="I18" s="21" t="s">
        <v>77</v>
      </c>
      <c r="J18" s="21" t="s">
        <v>296</v>
      </c>
      <c r="K18" s="21" t="s">
        <v>12</v>
      </c>
      <c r="L18" s="21" t="s">
        <v>29</v>
      </c>
      <c r="M18" s="21" t="s">
        <v>163</v>
      </c>
    </row>
    <row r="19" spans="1:26" x14ac:dyDescent="0.2">
      <c r="A19" s="1493" t="s">
        <v>485</v>
      </c>
      <c r="B19" s="4">
        <v>18346408000</v>
      </c>
      <c r="C19" s="4">
        <v>11880975000</v>
      </c>
      <c r="D19" s="4">
        <v>11866485000</v>
      </c>
      <c r="E19" s="4">
        <v>9720000000</v>
      </c>
      <c r="F19" s="4">
        <v>9036740000</v>
      </c>
      <c r="G19" s="4">
        <v>7698015000</v>
      </c>
      <c r="H19" s="4">
        <v>6640000000</v>
      </c>
      <c r="I19" s="4">
        <v>6371207000</v>
      </c>
      <c r="J19" s="4">
        <v>6272440000</v>
      </c>
      <c r="K19" s="4">
        <v>5150800000</v>
      </c>
      <c r="L19" s="4">
        <v>3679000000</v>
      </c>
      <c r="M19" s="4">
        <v>3515190000</v>
      </c>
    </row>
    <row r="20" spans="1:26" x14ac:dyDescent="0.2">
      <c r="A20" s="1493" t="s">
        <v>483</v>
      </c>
      <c r="B20" s="21" t="s">
        <v>21</v>
      </c>
      <c r="C20" s="21" t="s">
        <v>35</v>
      </c>
      <c r="D20" s="21" t="s">
        <v>22</v>
      </c>
      <c r="E20" s="21" t="s">
        <v>296</v>
      </c>
      <c r="F20" s="21" t="s">
        <v>66</v>
      </c>
      <c r="G20" s="21" t="s">
        <v>183</v>
      </c>
      <c r="H20" s="21" t="s">
        <v>57</v>
      </c>
      <c r="I20" s="21" t="s">
        <v>34</v>
      </c>
      <c r="J20" s="21" t="s">
        <v>40</v>
      </c>
      <c r="K20" s="21" t="s">
        <v>36</v>
      </c>
      <c r="L20" s="21" t="s">
        <v>29</v>
      </c>
      <c r="M20" s="21" t="s">
        <v>176</v>
      </c>
    </row>
    <row r="21" spans="1:26" x14ac:dyDescent="0.2">
      <c r="A21" s="1493" t="s">
        <v>483</v>
      </c>
      <c r="B21" s="4">
        <v>30223650000</v>
      </c>
      <c r="C21" s="4">
        <v>20310130000</v>
      </c>
      <c r="D21" s="4">
        <v>5357640000</v>
      </c>
      <c r="E21" s="4">
        <v>4806500000</v>
      </c>
      <c r="F21" s="4">
        <v>4197960000</v>
      </c>
      <c r="G21" s="4">
        <v>3455620000</v>
      </c>
      <c r="H21" s="4">
        <v>2805390000</v>
      </c>
      <c r="I21" s="4">
        <v>2657305000</v>
      </c>
      <c r="J21" s="4">
        <v>2437820000</v>
      </c>
      <c r="K21" s="4">
        <v>2148680000</v>
      </c>
      <c r="L21" s="4">
        <v>2078000000</v>
      </c>
      <c r="M21" s="4">
        <v>1515440000</v>
      </c>
    </row>
    <row r="22" spans="1:26" x14ac:dyDescent="0.2">
      <c r="A22" s="1493" t="s">
        <v>477</v>
      </c>
      <c r="B22" s="21" t="s">
        <v>71</v>
      </c>
      <c r="C22" s="21" t="s">
        <v>14</v>
      </c>
      <c r="D22" s="21" t="s">
        <v>296</v>
      </c>
      <c r="E22" s="21" t="s">
        <v>57</v>
      </c>
      <c r="F22" s="21" t="s">
        <v>166</v>
      </c>
      <c r="G22" s="21" t="s">
        <v>198</v>
      </c>
      <c r="H22" s="21" t="s">
        <v>297</v>
      </c>
      <c r="I22" s="21" t="s">
        <v>30</v>
      </c>
      <c r="J22" s="21" t="s">
        <v>190</v>
      </c>
      <c r="N22" s="1493" t="s">
        <v>478</v>
      </c>
      <c r="O22" s="21" t="s">
        <v>17</v>
      </c>
      <c r="P22" s="21" t="s">
        <v>15</v>
      </c>
      <c r="Q22" s="21" t="s">
        <v>35</v>
      </c>
      <c r="R22" s="21" t="s">
        <v>33</v>
      </c>
      <c r="S22" s="21" t="s">
        <v>14</v>
      </c>
      <c r="T22" s="21" t="s">
        <v>13</v>
      </c>
      <c r="U22" s="21" t="s">
        <v>12</v>
      </c>
      <c r="V22" s="21" t="s">
        <v>79</v>
      </c>
      <c r="W22" s="21" t="s">
        <v>32</v>
      </c>
      <c r="X22" s="21" t="s">
        <v>25</v>
      </c>
      <c r="Y22" s="21" t="s">
        <v>23</v>
      </c>
      <c r="Z22" s="21" t="s">
        <v>64</v>
      </c>
    </row>
    <row r="23" spans="1:26" x14ac:dyDescent="0.2">
      <c r="A23" s="1493" t="s">
        <v>477</v>
      </c>
      <c r="B23" s="4">
        <v>24247570000</v>
      </c>
      <c r="C23" s="4">
        <v>13186685000</v>
      </c>
      <c r="D23" s="4">
        <v>10459050000</v>
      </c>
      <c r="E23" s="4">
        <v>9137420000</v>
      </c>
      <c r="F23" s="4">
        <v>898820000</v>
      </c>
      <c r="G23" s="4">
        <v>616010000</v>
      </c>
      <c r="H23" s="4">
        <v>582255000</v>
      </c>
      <c r="I23" s="4">
        <v>542460000</v>
      </c>
      <c r="J23" s="4">
        <v>473400000</v>
      </c>
      <c r="N23" s="1493" t="s">
        <v>478</v>
      </c>
      <c r="O23" s="4">
        <v>192264470000</v>
      </c>
      <c r="P23" s="4">
        <v>184872592000</v>
      </c>
      <c r="Q23" s="4">
        <v>145023730000</v>
      </c>
      <c r="R23" s="4">
        <v>133998623000</v>
      </c>
      <c r="S23" s="4">
        <v>123411360000</v>
      </c>
      <c r="T23" s="4">
        <v>118327870000</v>
      </c>
      <c r="U23" s="4">
        <v>85361120000</v>
      </c>
      <c r="V23" s="4">
        <v>83196925000</v>
      </c>
      <c r="W23" s="4">
        <v>70425072000</v>
      </c>
      <c r="X23" s="4">
        <v>60315060000</v>
      </c>
      <c r="Y23" s="4">
        <v>48867300000</v>
      </c>
      <c r="Z23" s="4">
        <v>42691045000</v>
      </c>
    </row>
    <row r="24" spans="1:26" x14ac:dyDescent="0.2">
      <c r="A24" s="1493" t="s">
        <v>473</v>
      </c>
      <c r="B24" s="21" t="s">
        <v>468</v>
      </c>
      <c r="C24" s="21" t="s">
        <v>35</v>
      </c>
      <c r="D24" s="21" t="s">
        <v>12</v>
      </c>
      <c r="E24" s="21" t="s">
        <v>9</v>
      </c>
      <c r="F24" s="21" t="s">
        <v>95</v>
      </c>
      <c r="G24" s="21" t="s">
        <v>64</v>
      </c>
      <c r="H24" s="21" t="s">
        <v>297</v>
      </c>
      <c r="I24" s="21" t="s">
        <v>6</v>
      </c>
      <c r="J24" s="21" t="s">
        <v>36</v>
      </c>
      <c r="K24" s="21" t="s">
        <v>163</v>
      </c>
      <c r="L24" s="21" t="s">
        <v>19</v>
      </c>
      <c r="M24" s="21" t="s">
        <v>172</v>
      </c>
    </row>
    <row r="25" spans="1:26" x14ac:dyDescent="0.2">
      <c r="A25" s="1493" t="s">
        <v>473</v>
      </c>
      <c r="B25" s="1400">
        <v>41635880000</v>
      </c>
      <c r="C25" s="4">
        <v>32494145000</v>
      </c>
      <c r="D25" s="4">
        <v>9371010000</v>
      </c>
      <c r="E25" s="4">
        <v>4707540000</v>
      </c>
      <c r="F25" s="4">
        <v>3375000000</v>
      </c>
      <c r="G25" s="4">
        <v>3027175000</v>
      </c>
      <c r="H25" s="1401">
        <v>1607090000</v>
      </c>
      <c r="I25" s="4">
        <v>1016425000</v>
      </c>
      <c r="J25" s="4">
        <v>955990000</v>
      </c>
      <c r="K25" s="4">
        <v>890595000</v>
      </c>
      <c r="L25" s="4">
        <v>792575000</v>
      </c>
      <c r="M25" s="4">
        <v>773700000</v>
      </c>
    </row>
    <row r="26" spans="1:26" x14ac:dyDescent="0.2">
      <c r="A26" s="1493" t="s">
        <v>472</v>
      </c>
      <c r="B26" s="21" t="s">
        <v>17</v>
      </c>
      <c r="C26" s="21" t="s">
        <v>33</v>
      </c>
      <c r="D26" s="21" t="s">
        <v>15</v>
      </c>
      <c r="E26" s="21" t="s">
        <v>13</v>
      </c>
      <c r="F26" s="21" t="s">
        <v>35</v>
      </c>
      <c r="G26" s="21" t="s">
        <v>14</v>
      </c>
      <c r="H26" s="21" t="s">
        <v>79</v>
      </c>
      <c r="I26" s="21" t="s">
        <v>32</v>
      </c>
      <c r="J26" s="21" t="s">
        <v>12</v>
      </c>
      <c r="K26" s="21" t="s">
        <v>23</v>
      </c>
      <c r="L26" s="21" t="s">
        <v>24</v>
      </c>
      <c r="M26" s="21" t="s">
        <v>64</v>
      </c>
    </row>
    <row r="27" spans="1:26" x14ac:dyDescent="0.2">
      <c r="A27" s="1493" t="s">
        <v>472</v>
      </c>
      <c r="B27" s="1398">
        <v>132468550000</v>
      </c>
      <c r="C27" s="1399">
        <v>93883560000</v>
      </c>
      <c r="D27" s="4">
        <v>81518866000</v>
      </c>
      <c r="E27" s="4">
        <v>46523800000</v>
      </c>
      <c r="F27" s="4">
        <v>44252615000</v>
      </c>
      <c r="G27" s="4">
        <v>39380595000</v>
      </c>
      <c r="H27" s="4">
        <v>38847335000</v>
      </c>
      <c r="I27" s="4">
        <v>35396130000</v>
      </c>
      <c r="J27" s="4">
        <v>32410500000</v>
      </c>
      <c r="K27" s="4">
        <v>28778080000</v>
      </c>
      <c r="L27" s="4">
        <v>23722665000</v>
      </c>
      <c r="M27" s="4">
        <v>22676420000</v>
      </c>
    </row>
    <row r="28" spans="1:26" x14ac:dyDescent="0.2">
      <c r="A28" s="1493" t="s">
        <v>428</v>
      </c>
      <c r="B28" s="21" t="s">
        <v>13</v>
      </c>
      <c r="C28" s="21" t="s">
        <v>33</v>
      </c>
      <c r="D28" s="21" t="s">
        <v>79</v>
      </c>
      <c r="E28" s="21" t="s">
        <v>15</v>
      </c>
      <c r="F28" s="21" t="s">
        <v>17</v>
      </c>
      <c r="G28" s="21" t="s">
        <v>32</v>
      </c>
      <c r="H28" s="21" t="s">
        <v>14</v>
      </c>
      <c r="I28" s="21" t="s">
        <v>35</v>
      </c>
      <c r="J28" s="21" t="s">
        <v>12</v>
      </c>
      <c r="K28" s="21" t="s">
        <v>59</v>
      </c>
      <c r="L28" s="21" t="s">
        <v>25</v>
      </c>
      <c r="M28" s="21" t="s">
        <v>5</v>
      </c>
    </row>
    <row r="29" spans="1:26" x14ac:dyDescent="0.2">
      <c r="A29" s="1493" t="s">
        <v>428</v>
      </c>
      <c r="B29" s="4">
        <v>56182755000</v>
      </c>
      <c r="C29" s="4">
        <v>45359050000</v>
      </c>
      <c r="D29" s="4">
        <v>44959700000</v>
      </c>
      <c r="E29" s="4">
        <v>43324952000</v>
      </c>
      <c r="F29" s="4">
        <v>42388790000</v>
      </c>
      <c r="G29" s="4">
        <v>42318095000</v>
      </c>
      <c r="H29" s="4">
        <v>40817205000</v>
      </c>
      <c r="I29" s="4">
        <v>39944890000</v>
      </c>
      <c r="J29" s="4">
        <v>26828920000</v>
      </c>
      <c r="K29" s="4">
        <v>23672480000</v>
      </c>
      <c r="L29" s="1394">
        <v>21509910000</v>
      </c>
      <c r="M29" s="4">
        <v>19505240000</v>
      </c>
    </row>
    <row r="30" spans="1:26" x14ac:dyDescent="0.2">
      <c r="A30" s="1493" t="s">
        <v>427</v>
      </c>
      <c r="B30" s="21" t="s">
        <v>15</v>
      </c>
      <c r="C30" s="21" t="s">
        <v>14</v>
      </c>
      <c r="D30" s="21" t="s">
        <v>33</v>
      </c>
      <c r="E30" s="21" t="s">
        <v>13</v>
      </c>
      <c r="F30" s="21" t="s">
        <v>35</v>
      </c>
      <c r="G30" s="21" t="s">
        <v>17</v>
      </c>
      <c r="H30" s="21" t="s">
        <v>79</v>
      </c>
      <c r="I30" s="21" t="s">
        <v>99</v>
      </c>
      <c r="J30" s="21" t="s">
        <v>12</v>
      </c>
      <c r="K30" s="21" t="s">
        <v>32</v>
      </c>
      <c r="L30" s="21" t="s">
        <v>25</v>
      </c>
      <c r="M30" s="21" t="s">
        <v>176</v>
      </c>
    </row>
    <row r="31" spans="1:26" x14ac:dyDescent="0.2">
      <c r="A31" s="1493" t="s">
        <v>427</v>
      </c>
      <c r="B31" s="4">
        <v>80065545000</v>
      </c>
      <c r="C31" s="4">
        <v>58754085000</v>
      </c>
      <c r="D31" s="4">
        <v>52126010000</v>
      </c>
      <c r="E31" s="4">
        <v>48148725000</v>
      </c>
      <c r="F31" s="4">
        <v>39446205000</v>
      </c>
      <c r="G31" s="4">
        <v>36156180000</v>
      </c>
      <c r="H31" s="4">
        <v>30989370000</v>
      </c>
      <c r="I31" s="4">
        <v>28272505000</v>
      </c>
      <c r="J31" s="4">
        <v>26782060000</v>
      </c>
      <c r="K31" s="4">
        <v>23302312000</v>
      </c>
      <c r="L31" s="1390">
        <v>22622360000</v>
      </c>
      <c r="M31" s="4">
        <v>16313190000</v>
      </c>
    </row>
    <row r="32" spans="1:26" x14ac:dyDescent="0.2">
      <c r="A32" s="1493" t="s">
        <v>425</v>
      </c>
      <c r="B32" s="21" t="s">
        <v>14</v>
      </c>
      <c r="C32" s="21" t="s">
        <v>33</v>
      </c>
      <c r="D32" s="21" t="s">
        <v>34</v>
      </c>
      <c r="E32" s="21" t="s">
        <v>79</v>
      </c>
      <c r="F32" s="21" t="s">
        <v>171</v>
      </c>
      <c r="G32" s="21" t="s">
        <v>65</v>
      </c>
      <c r="H32" s="21" t="s">
        <v>15</v>
      </c>
      <c r="I32" s="21" t="s">
        <v>24</v>
      </c>
      <c r="J32" s="21" t="s">
        <v>12</v>
      </c>
      <c r="K32" s="21" t="s">
        <v>18</v>
      </c>
      <c r="L32" s="21" t="s">
        <v>99</v>
      </c>
      <c r="M32" s="21" t="s">
        <v>165</v>
      </c>
      <c r="N32" s="1493" t="s">
        <v>426</v>
      </c>
      <c r="O32" s="21" t="s">
        <v>415</v>
      </c>
      <c r="P32" s="21" t="s">
        <v>171</v>
      </c>
      <c r="Q32" s="21" t="s">
        <v>99</v>
      </c>
      <c r="R32" s="21" t="s">
        <v>165</v>
      </c>
      <c r="S32" s="21" t="s">
        <v>282</v>
      </c>
      <c r="T32" s="21" t="s">
        <v>67</v>
      </c>
      <c r="U32" s="21" t="s">
        <v>40</v>
      </c>
      <c r="V32" s="21" t="s">
        <v>25</v>
      </c>
      <c r="W32" s="21" t="s">
        <v>57</v>
      </c>
      <c r="X32" s="21" t="s">
        <v>68</v>
      </c>
      <c r="Y32" s="21" t="s">
        <v>33</v>
      </c>
      <c r="Z32" s="21" t="s">
        <v>20</v>
      </c>
    </row>
    <row r="33" spans="1:26" x14ac:dyDescent="0.2">
      <c r="A33" s="1493" t="s">
        <v>425</v>
      </c>
      <c r="B33" s="4">
        <v>85592232000</v>
      </c>
      <c r="C33" s="4">
        <v>21745040000</v>
      </c>
      <c r="D33" s="4">
        <v>14660310000</v>
      </c>
      <c r="E33" s="4">
        <v>13230700000</v>
      </c>
      <c r="F33" s="4">
        <v>8012350000</v>
      </c>
      <c r="G33" s="4">
        <v>7825918000</v>
      </c>
      <c r="H33" s="4">
        <v>7698665000</v>
      </c>
      <c r="I33" s="4">
        <v>6821795000</v>
      </c>
      <c r="J33" s="4">
        <v>6426034000</v>
      </c>
      <c r="K33" s="4">
        <v>5892565000</v>
      </c>
      <c r="L33" s="4">
        <v>5689980000</v>
      </c>
      <c r="M33" s="4">
        <v>5022000000</v>
      </c>
      <c r="N33" s="1493" t="s">
        <v>426</v>
      </c>
      <c r="O33" s="4">
        <v>55650000000</v>
      </c>
      <c r="P33" s="4">
        <v>39741720000</v>
      </c>
      <c r="Q33" s="4">
        <v>36287695000</v>
      </c>
      <c r="R33" s="4">
        <v>35865980000</v>
      </c>
      <c r="S33" s="4">
        <v>34530682300</v>
      </c>
      <c r="T33" s="4">
        <v>21859351000</v>
      </c>
      <c r="U33" s="4">
        <v>18831060000</v>
      </c>
      <c r="V33" s="4">
        <v>14135260000</v>
      </c>
      <c r="W33" s="4">
        <v>13630370000</v>
      </c>
      <c r="X33" s="4">
        <v>9733420000</v>
      </c>
      <c r="Y33" s="4">
        <v>8242347000</v>
      </c>
      <c r="Z33" s="4">
        <v>7506000000</v>
      </c>
    </row>
    <row r="34" spans="1:26" x14ac:dyDescent="0.2">
      <c r="A34" s="1493" t="s">
        <v>424</v>
      </c>
      <c r="B34" s="21" t="s">
        <v>415</v>
      </c>
      <c r="C34" s="21" t="s">
        <v>171</v>
      </c>
      <c r="D34" s="21" t="s">
        <v>14</v>
      </c>
      <c r="E34" s="21" t="s">
        <v>165</v>
      </c>
      <c r="F34" s="21" t="s">
        <v>33</v>
      </c>
      <c r="G34" s="21" t="s">
        <v>187</v>
      </c>
      <c r="H34" s="21" t="s">
        <v>348</v>
      </c>
      <c r="I34" s="21" t="s">
        <v>68</v>
      </c>
      <c r="J34" s="21" t="s">
        <v>40</v>
      </c>
      <c r="K34" s="21" t="s">
        <v>99</v>
      </c>
      <c r="L34" s="21" t="s">
        <v>212</v>
      </c>
      <c r="M34" s="21" t="s">
        <v>22</v>
      </c>
    </row>
    <row r="35" spans="1:26" x14ac:dyDescent="0.2">
      <c r="A35" s="1493" t="s">
        <v>424</v>
      </c>
      <c r="B35" s="1378">
        <v>55650000000</v>
      </c>
      <c r="C35" s="1379">
        <v>24956200000</v>
      </c>
      <c r="D35" s="4">
        <v>18403109000</v>
      </c>
      <c r="E35" s="1380">
        <v>12245080000</v>
      </c>
      <c r="F35" s="4">
        <v>11358087000</v>
      </c>
      <c r="G35" s="1381">
        <v>8636120000</v>
      </c>
      <c r="H35" s="1382">
        <v>5065295000</v>
      </c>
      <c r="I35" s="4">
        <v>4725000000</v>
      </c>
      <c r="J35" s="4">
        <v>4709850000</v>
      </c>
      <c r="K35" s="4">
        <v>4561260000</v>
      </c>
      <c r="L35" s="4">
        <v>3953990000</v>
      </c>
      <c r="M35" s="4">
        <v>3241845000</v>
      </c>
    </row>
    <row r="36" spans="1:26" x14ac:dyDescent="0.2">
      <c r="A36" s="1493" t="s">
        <v>423</v>
      </c>
      <c r="B36" s="21" t="s">
        <v>77</v>
      </c>
      <c r="C36" s="21" t="s">
        <v>23</v>
      </c>
      <c r="D36" s="21" t="s">
        <v>17</v>
      </c>
      <c r="E36" s="21" t="s">
        <v>40</v>
      </c>
      <c r="F36" s="21" t="s">
        <v>36</v>
      </c>
      <c r="G36" s="21" t="s">
        <v>99</v>
      </c>
      <c r="H36" s="21" t="s">
        <v>25</v>
      </c>
      <c r="I36" s="21" t="s">
        <v>67</v>
      </c>
      <c r="J36" s="21" t="s">
        <v>57</v>
      </c>
      <c r="K36" s="21" t="s">
        <v>171</v>
      </c>
      <c r="L36" s="21" t="s">
        <v>21</v>
      </c>
      <c r="M36" s="21" t="s">
        <v>165</v>
      </c>
    </row>
    <row r="37" spans="1:26" x14ac:dyDescent="0.2">
      <c r="A37" s="1493" t="s">
        <v>423</v>
      </c>
      <c r="B37" s="1376">
        <v>86439410000</v>
      </c>
      <c r="C37" s="4">
        <v>29441124000</v>
      </c>
      <c r="D37" s="4">
        <v>28852091000</v>
      </c>
      <c r="E37" s="4">
        <v>19124800000</v>
      </c>
      <c r="F37" s="4">
        <v>11664200000</v>
      </c>
      <c r="G37" s="4">
        <v>11327085000</v>
      </c>
      <c r="H37" s="4">
        <v>11319750000</v>
      </c>
      <c r="I37" s="4">
        <v>10753011000</v>
      </c>
      <c r="J37" s="4">
        <v>7023000000</v>
      </c>
      <c r="K37" s="4">
        <v>6995930000</v>
      </c>
      <c r="L37" s="4">
        <v>6815460000</v>
      </c>
      <c r="M37" s="4">
        <v>6671895000</v>
      </c>
    </row>
    <row r="38" spans="1:26" x14ac:dyDescent="0.2">
      <c r="A38" s="1493" t="s">
        <v>422</v>
      </c>
      <c r="B38" s="21" t="s">
        <v>17</v>
      </c>
      <c r="C38" s="21" t="s">
        <v>77</v>
      </c>
      <c r="D38" s="21" t="s">
        <v>24</v>
      </c>
      <c r="E38" s="21" t="s">
        <v>99</v>
      </c>
      <c r="F38" s="21" t="s">
        <v>27</v>
      </c>
      <c r="G38" s="21" t="s">
        <v>12</v>
      </c>
      <c r="H38" s="21" t="s">
        <v>348</v>
      </c>
      <c r="I38" s="21" t="s">
        <v>86</v>
      </c>
      <c r="J38" s="21" t="s">
        <v>79</v>
      </c>
      <c r="K38" s="21" t="s">
        <v>25</v>
      </c>
      <c r="L38" s="21" t="s">
        <v>20</v>
      </c>
      <c r="M38" s="21" t="s">
        <v>70</v>
      </c>
    </row>
    <row r="39" spans="1:26" x14ac:dyDescent="0.2">
      <c r="A39" s="1493" t="s">
        <v>422</v>
      </c>
      <c r="B39" s="4">
        <v>22872756000</v>
      </c>
      <c r="C39" s="1375">
        <v>19222392000</v>
      </c>
      <c r="D39" s="4">
        <v>6223915000</v>
      </c>
      <c r="E39" s="4">
        <v>3753920000</v>
      </c>
      <c r="F39" s="4">
        <v>3073565000</v>
      </c>
      <c r="G39" s="4">
        <v>2474121000</v>
      </c>
      <c r="H39" s="4">
        <v>2010145000</v>
      </c>
      <c r="I39" s="4">
        <v>1999300000</v>
      </c>
      <c r="J39" s="4">
        <v>1803650000</v>
      </c>
      <c r="K39" s="4">
        <v>1689750000</v>
      </c>
      <c r="L39" s="4">
        <v>1505000000</v>
      </c>
      <c r="M39" s="4">
        <v>1369920000</v>
      </c>
    </row>
    <row r="40" spans="1:26" x14ac:dyDescent="0.2">
      <c r="A40" s="1493" t="s">
        <v>420</v>
      </c>
      <c r="B40" s="21" t="s">
        <v>59</v>
      </c>
      <c r="C40" s="21" t="s">
        <v>13</v>
      </c>
      <c r="D40" s="21" t="s">
        <v>282</v>
      </c>
      <c r="E40" s="21" t="s">
        <v>296</v>
      </c>
      <c r="F40" s="21" t="s">
        <v>166</v>
      </c>
      <c r="G40" s="21" t="s">
        <v>67</v>
      </c>
      <c r="H40" s="21" t="s">
        <v>165</v>
      </c>
      <c r="I40" s="21" t="s">
        <v>99</v>
      </c>
      <c r="J40" s="21" t="s">
        <v>35</v>
      </c>
      <c r="K40" s="21" t="s">
        <v>20</v>
      </c>
      <c r="L40" s="21" t="s">
        <v>38</v>
      </c>
      <c r="M40" s="21" t="s">
        <v>158</v>
      </c>
    </row>
    <row r="41" spans="1:26" x14ac:dyDescent="0.2">
      <c r="A41" s="1493" t="s">
        <v>420</v>
      </c>
      <c r="B41" s="1370">
        <v>437650524000</v>
      </c>
      <c r="C41" s="4">
        <v>308732200000</v>
      </c>
      <c r="D41" s="4">
        <v>203568330000</v>
      </c>
      <c r="E41" s="1371">
        <v>166018424000</v>
      </c>
      <c r="F41" s="1372">
        <v>109893645000</v>
      </c>
      <c r="G41" s="4">
        <v>12393713000</v>
      </c>
      <c r="H41" s="1373">
        <v>11644615000</v>
      </c>
      <c r="I41" s="4">
        <v>10955450000</v>
      </c>
      <c r="J41" s="4">
        <v>8436555000</v>
      </c>
      <c r="K41" s="4">
        <v>5453500000</v>
      </c>
      <c r="L41" s="4">
        <v>3123825000</v>
      </c>
      <c r="M41" s="4">
        <v>1650000000</v>
      </c>
    </row>
    <row r="42" spans="1:26" x14ac:dyDescent="0.2">
      <c r="A42" s="1493" t="s">
        <v>418</v>
      </c>
      <c r="B42" s="21" t="s">
        <v>17</v>
      </c>
      <c r="C42" s="21" t="s">
        <v>35</v>
      </c>
      <c r="D42" s="21" t="s">
        <v>13</v>
      </c>
      <c r="E42" s="21" t="s">
        <v>165</v>
      </c>
      <c r="F42" s="21" t="s">
        <v>40</v>
      </c>
      <c r="G42" s="21" t="s">
        <v>79</v>
      </c>
      <c r="H42" s="21" t="s">
        <v>23</v>
      </c>
      <c r="I42" s="21" t="s">
        <v>69</v>
      </c>
      <c r="J42" s="21" t="s">
        <v>26</v>
      </c>
      <c r="K42" s="21" t="s">
        <v>176</v>
      </c>
      <c r="L42" s="21" t="s">
        <v>12</v>
      </c>
      <c r="M42" s="21" t="s">
        <v>5</v>
      </c>
      <c r="N42" s="1493" t="s">
        <v>419</v>
      </c>
      <c r="O42" s="21" t="s">
        <v>33</v>
      </c>
      <c r="P42" s="21" t="s">
        <v>59</v>
      </c>
      <c r="Q42" s="21" t="s">
        <v>13</v>
      </c>
      <c r="R42" s="21" t="s">
        <v>17</v>
      </c>
      <c r="S42" s="21" t="s">
        <v>79</v>
      </c>
      <c r="T42" s="21" t="s">
        <v>23</v>
      </c>
      <c r="U42" s="21" t="s">
        <v>69</v>
      </c>
      <c r="V42" s="21" t="s">
        <v>64</v>
      </c>
      <c r="W42" s="21" t="s">
        <v>12</v>
      </c>
      <c r="X42" s="21" t="s">
        <v>21</v>
      </c>
      <c r="Y42" s="21" t="s">
        <v>15</v>
      </c>
      <c r="Z42" s="21" t="s">
        <v>18</v>
      </c>
    </row>
    <row r="43" spans="1:26" x14ac:dyDescent="0.2">
      <c r="A43" s="1493" t="s">
        <v>418</v>
      </c>
      <c r="B43" s="4">
        <v>23781023000</v>
      </c>
      <c r="C43" s="4">
        <v>19806965000</v>
      </c>
      <c r="D43" s="4">
        <v>12479270000</v>
      </c>
      <c r="E43" s="1368">
        <v>10983590000</v>
      </c>
      <c r="F43" s="4">
        <v>9803690000</v>
      </c>
      <c r="G43" s="4">
        <v>8933815000</v>
      </c>
      <c r="H43" s="4">
        <v>8330266000</v>
      </c>
      <c r="I43" s="4">
        <v>5899650000</v>
      </c>
      <c r="J43" s="4">
        <v>5568000000</v>
      </c>
      <c r="K43" s="4">
        <v>5359869000</v>
      </c>
      <c r="L43" s="4">
        <v>5194306000</v>
      </c>
      <c r="M43" s="4">
        <v>4471939000</v>
      </c>
      <c r="N43" s="1493" t="s">
        <v>419</v>
      </c>
      <c r="O43" s="4">
        <v>137628904000</v>
      </c>
      <c r="P43" s="4">
        <v>133440232000</v>
      </c>
      <c r="Q43" s="4">
        <v>92719927000</v>
      </c>
      <c r="R43" s="4">
        <v>78382414000</v>
      </c>
      <c r="S43" s="4">
        <v>59172145000</v>
      </c>
      <c r="T43" s="4">
        <v>55206259000</v>
      </c>
      <c r="U43" s="4">
        <v>47051900000</v>
      </c>
      <c r="V43" s="4">
        <v>36440500000</v>
      </c>
      <c r="W43" s="4">
        <v>33170523000</v>
      </c>
      <c r="X43" s="4">
        <v>30160320000</v>
      </c>
      <c r="Y43" s="4">
        <v>29451930000</v>
      </c>
      <c r="Z43" s="4">
        <v>24120976000</v>
      </c>
    </row>
    <row r="44" spans="1:26" x14ac:dyDescent="0.2">
      <c r="A44" s="1493" t="s">
        <v>417</v>
      </c>
      <c r="B44" s="21" t="s">
        <v>33</v>
      </c>
      <c r="C44" s="21" t="s">
        <v>17</v>
      </c>
      <c r="D44" s="21" t="s">
        <v>79</v>
      </c>
      <c r="E44" s="21" t="s">
        <v>14</v>
      </c>
      <c r="F44" s="21" t="s">
        <v>32</v>
      </c>
      <c r="G44" s="21" t="s">
        <v>15</v>
      </c>
      <c r="H44" s="21" t="s">
        <v>64</v>
      </c>
      <c r="I44" s="21" t="s">
        <v>23</v>
      </c>
      <c r="J44" s="21" t="s">
        <v>34</v>
      </c>
      <c r="K44" s="21" t="s">
        <v>176</v>
      </c>
      <c r="L44" s="21" t="s">
        <v>77</v>
      </c>
      <c r="M44" s="21" t="s">
        <v>5</v>
      </c>
    </row>
    <row r="45" spans="1:26" x14ac:dyDescent="0.2">
      <c r="A45" s="1493" t="s">
        <v>417</v>
      </c>
      <c r="B45" s="1363">
        <v>88965950000</v>
      </c>
      <c r="C45" s="4">
        <v>72761789000</v>
      </c>
      <c r="D45" s="4">
        <v>49224395000</v>
      </c>
      <c r="E45" s="4">
        <v>39784295000</v>
      </c>
      <c r="F45" s="4">
        <v>36421165000</v>
      </c>
      <c r="G45" s="4">
        <v>28245795000</v>
      </c>
      <c r="H45" s="4">
        <v>21169210000</v>
      </c>
      <c r="I45" s="4">
        <v>19440601000</v>
      </c>
      <c r="J45" s="4">
        <v>18676705000</v>
      </c>
      <c r="K45" s="4">
        <v>17257180000</v>
      </c>
      <c r="L45" s="1364">
        <v>16441690000</v>
      </c>
      <c r="M45" s="4">
        <v>14389307000</v>
      </c>
    </row>
    <row r="46" spans="1:26" x14ac:dyDescent="0.2">
      <c r="A46" s="1493" t="s">
        <v>416</v>
      </c>
      <c r="B46" s="21" t="s">
        <v>59</v>
      </c>
      <c r="C46" s="21" t="s">
        <v>33</v>
      </c>
      <c r="D46" s="21" t="s">
        <v>69</v>
      </c>
      <c r="E46" s="21" t="s">
        <v>17</v>
      </c>
      <c r="F46" s="21" t="s">
        <v>79</v>
      </c>
      <c r="G46" s="21" t="s">
        <v>66</v>
      </c>
      <c r="H46" s="21" t="s">
        <v>21</v>
      </c>
      <c r="I46" s="21" t="s">
        <v>15</v>
      </c>
      <c r="J46" s="21" t="s">
        <v>12</v>
      </c>
      <c r="K46" s="21" t="s">
        <v>25</v>
      </c>
      <c r="L46" s="21" t="s">
        <v>64</v>
      </c>
      <c r="M46" s="21" t="s">
        <v>13</v>
      </c>
    </row>
    <row r="47" spans="1:26" x14ac:dyDescent="0.2">
      <c r="A47" s="1493" t="s">
        <v>416</v>
      </c>
      <c r="B47" s="4">
        <v>49606180000</v>
      </c>
      <c r="C47" s="4">
        <v>48412630000</v>
      </c>
      <c r="D47" s="4">
        <v>27246260000</v>
      </c>
      <c r="E47" s="4">
        <v>22177003000</v>
      </c>
      <c r="F47" s="4">
        <v>19813985000</v>
      </c>
      <c r="G47" s="4">
        <v>18960101000</v>
      </c>
      <c r="H47" s="4">
        <v>16255280000</v>
      </c>
      <c r="I47" s="4">
        <v>14927667000</v>
      </c>
      <c r="J47" s="4">
        <v>13618852000</v>
      </c>
      <c r="K47" s="4">
        <v>11092350000</v>
      </c>
      <c r="L47" s="4">
        <v>10696235000</v>
      </c>
      <c r="M47" s="4">
        <v>10475877000</v>
      </c>
    </row>
    <row r="48" spans="1:26" x14ac:dyDescent="0.2">
      <c r="A48" s="1493" t="s">
        <v>414</v>
      </c>
      <c r="B48" s="21" t="s">
        <v>33</v>
      </c>
      <c r="C48" s="21" t="s">
        <v>21</v>
      </c>
      <c r="D48" s="21" t="s">
        <v>23</v>
      </c>
      <c r="E48" s="21" t="s">
        <v>79</v>
      </c>
      <c r="F48" s="21" t="s">
        <v>24</v>
      </c>
      <c r="G48" s="21" t="s">
        <v>64</v>
      </c>
      <c r="H48" s="21" t="s">
        <v>13</v>
      </c>
      <c r="I48" s="21" t="s">
        <v>36</v>
      </c>
      <c r="J48" s="21" t="s">
        <v>12</v>
      </c>
      <c r="K48" s="21" t="s">
        <v>59</v>
      </c>
      <c r="L48" s="21" t="s">
        <v>18</v>
      </c>
      <c r="M48" s="21" t="s">
        <v>22</v>
      </c>
    </row>
    <row r="49" spans="1:26" x14ac:dyDescent="0.2">
      <c r="A49" s="1493" t="s">
        <v>414</v>
      </c>
      <c r="B49" s="1359">
        <v>93477100000</v>
      </c>
      <c r="C49" s="4">
        <v>32909810000</v>
      </c>
      <c r="D49" s="4">
        <v>31280104000</v>
      </c>
      <c r="E49" s="4">
        <v>23226265000</v>
      </c>
      <c r="F49" s="4">
        <v>21380645000</v>
      </c>
      <c r="G49" s="4">
        <v>16354750000</v>
      </c>
      <c r="H49" s="4">
        <v>15793585000</v>
      </c>
      <c r="I49" s="4">
        <v>13018020000</v>
      </c>
      <c r="J49" s="4">
        <v>11862794000</v>
      </c>
      <c r="K49" s="4">
        <v>11835435000</v>
      </c>
      <c r="L49" s="4">
        <v>11094981000</v>
      </c>
      <c r="M49" s="4">
        <v>10763000000</v>
      </c>
    </row>
    <row r="50" spans="1:26" x14ac:dyDescent="0.2">
      <c r="A50" s="1493" t="s">
        <v>413</v>
      </c>
      <c r="B50" s="21" t="s">
        <v>59</v>
      </c>
      <c r="C50" s="21" t="s">
        <v>13</v>
      </c>
      <c r="D50" s="21" t="s">
        <v>282</v>
      </c>
      <c r="E50" s="21" t="s">
        <v>166</v>
      </c>
      <c r="F50" s="21" t="s">
        <v>23</v>
      </c>
      <c r="G50" s="21" t="s">
        <v>30</v>
      </c>
      <c r="H50" s="21" t="s">
        <v>99</v>
      </c>
      <c r="I50" s="21" t="s">
        <v>163</v>
      </c>
      <c r="J50" s="21" t="s">
        <v>42</v>
      </c>
      <c r="K50" s="21" t="s">
        <v>86</v>
      </c>
      <c r="L50" s="21" t="s">
        <v>29</v>
      </c>
    </row>
    <row r="51" spans="1:26" x14ac:dyDescent="0.2">
      <c r="A51" s="1493" t="s">
        <v>413</v>
      </c>
      <c r="B51" s="1354">
        <v>434848706000</v>
      </c>
      <c r="C51" s="1355">
        <v>348596355000</v>
      </c>
      <c r="D51" s="1356">
        <v>208009320000</v>
      </c>
      <c r="E51" s="1357">
        <v>108913390000</v>
      </c>
      <c r="F51" s="4">
        <v>22324944000</v>
      </c>
      <c r="G51" s="4">
        <v>5920049000</v>
      </c>
      <c r="H51" s="4">
        <v>4675585000</v>
      </c>
      <c r="I51" s="4">
        <v>3661319000</v>
      </c>
      <c r="J51" s="4">
        <v>716345000</v>
      </c>
      <c r="K51" s="4">
        <v>328305000</v>
      </c>
      <c r="L51" s="4">
        <v>26852900</v>
      </c>
    </row>
    <row r="52" spans="1:26" x14ac:dyDescent="0.2">
      <c r="A52" s="1493" t="s">
        <v>367</v>
      </c>
      <c r="B52" s="21" t="s">
        <v>14</v>
      </c>
      <c r="C52" s="21" t="s">
        <v>15</v>
      </c>
      <c r="D52" s="21" t="s">
        <v>295</v>
      </c>
      <c r="E52" s="21" t="s">
        <v>70</v>
      </c>
      <c r="F52" s="21" t="s">
        <v>12</v>
      </c>
      <c r="G52" s="21" t="s">
        <v>99</v>
      </c>
      <c r="H52" s="21" t="s">
        <v>13</v>
      </c>
      <c r="I52" s="21" t="s">
        <v>21</v>
      </c>
      <c r="J52" s="21" t="s">
        <v>30</v>
      </c>
      <c r="K52" s="21" t="s">
        <v>17</v>
      </c>
      <c r="L52" s="21" t="s">
        <v>89</v>
      </c>
      <c r="M52" s="21" t="s">
        <v>68</v>
      </c>
      <c r="N52" s="1493" t="s">
        <v>398</v>
      </c>
      <c r="O52" s="21" t="s">
        <v>14</v>
      </c>
      <c r="P52" s="21" t="s">
        <v>295</v>
      </c>
      <c r="Q52" s="21" t="s">
        <v>186</v>
      </c>
      <c r="R52" s="21" t="s">
        <v>15</v>
      </c>
      <c r="S52" s="21" t="s">
        <v>183</v>
      </c>
      <c r="T52" s="21" t="s">
        <v>13</v>
      </c>
      <c r="U52" s="21" t="s">
        <v>25</v>
      </c>
      <c r="V52" s="21" t="s">
        <v>99</v>
      </c>
      <c r="W52" s="21" t="s">
        <v>61</v>
      </c>
      <c r="X52" s="21" t="s">
        <v>27</v>
      </c>
      <c r="Y52" s="21" t="s">
        <v>21</v>
      </c>
      <c r="Z52" s="21" t="s">
        <v>89</v>
      </c>
    </row>
    <row r="53" spans="1:26" x14ac:dyDescent="0.2">
      <c r="A53" s="1493" t="s">
        <v>367</v>
      </c>
      <c r="B53" s="4">
        <v>72210583000</v>
      </c>
      <c r="C53" s="4">
        <v>55404877000</v>
      </c>
      <c r="D53" s="1350">
        <v>50000000000</v>
      </c>
      <c r="E53" s="4">
        <v>17255520000</v>
      </c>
      <c r="F53" s="4">
        <v>9540270000</v>
      </c>
      <c r="G53" s="4">
        <v>7026140000</v>
      </c>
      <c r="H53" s="4">
        <v>5867000000</v>
      </c>
      <c r="I53" s="4">
        <v>5724380000</v>
      </c>
      <c r="J53" s="4">
        <v>4204151000</v>
      </c>
      <c r="K53" s="4">
        <v>4099247000</v>
      </c>
      <c r="L53" s="4">
        <v>3768050000</v>
      </c>
      <c r="M53" s="4">
        <v>2522400000</v>
      </c>
      <c r="N53" s="1493" t="s">
        <v>398</v>
      </c>
      <c r="O53" s="4">
        <v>169121539000</v>
      </c>
      <c r="P53" s="4">
        <v>50000000000</v>
      </c>
      <c r="Q53" s="4">
        <v>37878775000</v>
      </c>
      <c r="R53" s="4">
        <v>37730213000</v>
      </c>
      <c r="S53" s="4">
        <v>36168576000</v>
      </c>
      <c r="T53" s="4">
        <v>14737860000</v>
      </c>
      <c r="U53" s="4">
        <v>14300730000</v>
      </c>
      <c r="V53" s="4">
        <v>14033029000</v>
      </c>
      <c r="W53" s="4">
        <v>12437715000</v>
      </c>
      <c r="X53" s="4">
        <v>11491520000</v>
      </c>
      <c r="Y53" s="4">
        <v>6457990000</v>
      </c>
      <c r="Z53" s="4">
        <v>6307110000</v>
      </c>
    </row>
    <row r="54" spans="1:26" x14ac:dyDescent="0.2">
      <c r="A54" s="1493" t="s">
        <v>365</v>
      </c>
      <c r="B54" s="21" t="s">
        <v>186</v>
      </c>
      <c r="C54" s="21" t="s">
        <v>61</v>
      </c>
      <c r="D54" s="21" t="s">
        <v>15</v>
      </c>
      <c r="E54" s="21" t="s">
        <v>13</v>
      </c>
      <c r="F54" s="21" t="s">
        <v>183</v>
      </c>
      <c r="G54" s="21" t="s">
        <v>5</v>
      </c>
      <c r="H54" s="21" t="s">
        <v>27</v>
      </c>
      <c r="I54" s="21" t="s">
        <v>17</v>
      </c>
      <c r="J54" s="21" t="s">
        <v>21</v>
      </c>
      <c r="K54" s="21" t="s">
        <v>12</v>
      </c>
      <c r="L54" s="21" t="s">
        <v>91</v>
      </c>
      <c r="M54" s="21" t="s">
        <v>6</v>
      </c>
    </row>
    <row r="55" spans="1:26" x14ac:dyDescent="0.2">
      <c r="A55" s="1493" t="s">
        <v>365</v>
      </c>
      <c r="B55" s="1349">
        <v>38595560000</v>
      </c>
      <c r="C55" s="4">
        <v>17372860000</v>
      </c>
      <c r="D55" s="4">
        <v>16938135000</v>
      </c>
      <c r="E55" s="4">
        <v>12049260000</v>
      </c>
      <c r="F55" s="4">
        <v>10762679000</v>
      </c>
      <c r="G55" s="4">
        <v>8149080000</v>
      </c>
      <c r="H55" s="4">
        <v>6826125000</v>
      </c>
      <c r="I55" s="4">
        <v>5236060000</v>
      </c>
      <c r="J55" s="4">
        <v>4545060000</v>
      </c>
      <c r="K55" s="4">
        <v>4182272000</v>
      </c>
      <c r="L55" s="4">
        <v>3540785000</v>
      </c>
      <c r="M55" s="4">
        <v>3035880000</v>
      </c>
    </row>
    <row r="56" spans="1:26" x14ac:dyDescent="0.2">
      <c r="A56" s="1493" t="s">
        <v>364</v>
      </c>
      <c r="B56" s="21" t="s">
        <v>14</v>
      </c>
      <c r="C56" s="21" t="s">
        <v>183</v>
      </c>
      <c r="D56" s="21" t="s">
        <v>21</v>
      </c>
      <c r="E56" s="21" t="s">
        <v>77</v>
      </c>
      <c r="F56" s="21" t="s">
        <v>17</v>
      </c>
      <c r="G56" s="21" t="s">
        <v>13</v>
      </c>
      <c r="H56" s="21" t="s">
        <v>71</v>
      </c>
      <c r="I56" s="21" t="s">
        <v>23</v>
      </c>
      <c r="J56" s="21" t="s">
        <v>24</v>
      </c>
      <c r="K56" s="21" t="s">
        <v>12</v>
      </c>
      <c r="L56" s="21" t="s">
        <v>8</v>
      </c>
      <c r="M56" s="21" t="s">
        <v>64</v>
      </c>
    </row>
    <row r="57" spans="1:26" x14ac:dyDescent="0.2">
      <c r="A57" s="1493" t="s">
        <v>364</v>
      </c>
      <c r="B57" s="4">
        <v>69923617000</v>
      </c>
      <c r="C57" s="1345">
        <v>22013427000</v>
      </c>
      <c r="D57" s="4">
        <v>9229860000</v>
      </c>
      <c r="E57" s="1346">
        <v>8277999000</v>
      </c>
      <c r="F57" s="4">
        <v>6504410000</v>
      </c>
      <c r="G57" s="4">
        <v>6465950000</v>
      </c>
      <c r="H57" s="4">
        <v>5904460000</v>
      </c>
      <c r="I57" s="4">
        <v>3479030000</v>
      </c>
      <c r="J57" s="4">
        <v>3115470000</v>
      </c>
      <c r="K57" s="4">
        <v>2818922000</v>
      </c>
      <c r="L57" s="4">
        <v>2800795000</v>
      </c>
      <c r="M57" s="4">
        <v>2322010000</v>
      </c>
    </row>
    <row r="58" spans="1:26" x14ac:dyDescent="0.2">
      <c r="A58" s="1493" t="s">
        <v>363</v>
      </c>
      <c r="B58" s="21" t="s">
        <v>14</v>
      </c>
      <c r="C58" s="21" t="s">
        <v>183</v>
      </c>
      <c r="D58" s="21" t="s">
        <v>42</v>
      </c>
      <c r="E58" s="21" t="s">
        <v>28</v>
      </c>
      <c r="F58" s="21" t="s">
        <v>194</v>
      </c>
      <c r="G58" s="21" t="s">
        <v>158</v>
      </c>
      <c r="H58" s="21" t="s">
        <v>85</v>
      </c>
      <c r="I58" s="21" t="s">
        <v>89</v>
      </c>
      <c r="J58" s="21" t="s">
        <v>26</v>
      </c>
      <c r="K58" s="21" t="s">
        <v>86</v>
      </c>
      <c r="L58" s="21" t="s">
        <v>70</v>
      </c>
      <c r="M58" s="21" t="s">
        <v>286</v>
      </c>
    </row>
    <row r="59" spans="1:26" x14ac:dyDescent="0.2">
      <c r="A59" s="1493" t="s">
        <v>363</v>
      </c>
      <c r="B59" s="4">
        <v>18181841000</v>
      </c>
      <c r="C59" s="4">
        <v>5656270000</v>
      </c>
      <c r="D59" s="4">
        <v>1308890000</v>
      </c>
      <c r="E59" s="4">
        <v>1189400000</v>
      </c>
      <c r="F59" s="4">
        <v>648115000</v>
      </c>
      <c r="G59" s="4">
        <v>475720000</v>
      </c>
      <c r="H59" s="4">
        <v>388675000</v>
      </c>
      <c r="I59" s="4">
        <v>124775000</v>
      </c>
      <c r="J59" s="4">
        <v>104850000</v>
      </c>
      <c r="K59" s="4">
        <v>83110000</v>
      </c>
      <c r="L59" s="4">
        <v>81060000</v>
      </c>
      <c r="M59" s="4">
        <v>67310000</v>
      </c>
    </row>
    <row r="60" spans="1:26" x14ac:dyDescent="0.2">
      <c r="A60" s="1493" t="s">
        <v>362</v>
      </c>
      <c r="B60" s="21" t="s">
        <v>23</v>
      </c>
      <c r="C60" s="21" t="s">
        <v>25</v>
      </c>
      <c r="D60" s="21" t="s">
        <v>14</v>
      </c>
      <c r="E60" s="21" t="s">
        <v>27</v>
      </c>
      <c r="F60" s="21" t="s">
        <v>99</v>
      </c>
      <c r="G60" s="21" t="s">
        <v>19</v>
      </c>
      <c r="H60" s="21" t="s">
        <v>28</v>
      </c>
      <c r="I60" s="21" t="s">
        <v>63</v>
      </c>
      <c r="J60" s="21" t="s">
        <v>6</v>
      </c>
      <c r="K60" s="21" t="s">
        <v>9</v>
      </c>
      <c r="L60" s="21" t="s">
        <v>89</v>
      </c>
      <c r="M60" s="21" t="s">
        <v>86</v>
      </c>
    </row>
    <row r="61" spans="1:26" x14ac:dyDescent="0.2">
      <c r="A61" s="1493" t="s">
        <v>362</v>
      </c>
      <c r="B61" s="4">
        <v>16506268000</v>
      </c>
      <c r="C61" s="4">
        <v>12794540000</v>
      </c>
      <c r="D61" s="4">
        <v>10775394000</v>
      </c>
      <c r="E61" s="4">
        <v>7517040000</v>
      </c>
      <c r="F61" s="4">
        <v>4737275000</v>
      </c>
      <c r="G61" s="4">
        <v>3545805000</v>
      </c>
      <c r="H61" s="4">
        <v>2220350000</v>
      </c>
      <c r="I61" s="4">
        <v>2157500000</v>
      </c>
      <c r="J61" s="4">
        <v>1840485000</v>
      </c>
      <c r="K61" s="4">
        <v>1787540000</v>
      </c>
      <c r="L61" s="4">
        <v>1701800000</v>
      </c>
      <c r="M61" s="4">
        <v>1687390000</v>
      </c>
    </row>
    <row r="62" spans="1:26" x14ac:dyDescent="0.2">
      <c r="A62" s="1493" t="s">
        <v>358</v>
      </c>
      <c r="B62" s="21" t="s">
        <v>97</v>
      </c>
      <c r="C62" s="21" t="s">
        <v>19</v>
      </c>
      <c r="D62" s="21" t="s">
        <v>14</v>
      </c>
      <c r="E62" s="21" t="s">
        <v>268</v>
      </c>
      <c r="F62" s="21" t="s">
        <v>15</v>
      </c>
      <c r="G62" s="21" t="s">
        <v>31</v>
      </c>
      <c r="H62" s="21" t="s">
        <v>13</v>
      </c>
      <c r="I62" s="21" t="s">
        <v>25</v>
      </c>
      <c r="J62" s="21" t="s">
        <v>21</v>
      </c>
      <c r="K62" s="21" t="s">
        <v>99</v>
      </c>
      <c r="L62" s="21" t="s">
        <v>12</v>
      </c>
      <c r="M62" s="21" t="s">
        <v>24</v>
      </c>
      <c r="N62" s="1493" t="s">
        <v>397</v>
      </c>
      <c r="O62" s="21" t="s">
        <v>19</v>
      </c>
      <c r="P62" s="21" t="s">
        <v>97</v>
      </c>
      <c r="Q62" s="21" t="s">
        <v>23</v>
      </c>
      <c r="R62" s="21" t="s">
        <v>21</v>
      </c>
      <c r="S62" s="21" t="s">
        <v>14</v>
      </c>
      <c r="T62" s="21" t="s">
        <v>13</v>
      </c>
      <c r="U62" s="21" t="s">
        <v>25</v>
      </c>
      <c r="V62" s="21" t="s">
        <v>295</v>
      </c>
      <c r="W62" s="21" t="s">
        <v>34</v>
      </c>
      <c r="X62" s="21" t="s">
        <v>35</v>
      </c>
      <c r="Y62" s="21" t="s">
        <v>268</v>
      </c>
      <c r="Z62" s="21" t="s">
        <v>86</v>
      </c>
    </row>
    <row r="63" spans="1:26" x14ac:dyDescent="0.2">
      <c r="A63" s="1493" t="s">
        <v>358</v>
      </c>
      <c r="B63" s="1336">
        <v>149905550000</v>
      </c>
      <c r="C63" s="4">
        <v>149663980000</v>
      </c>
      <c r="D63" s="4">
        <v>45180743000</v>
      </c>
      <c r="E63" s="1337">
        <v>23265640000</v>
      </c>
      <c r="F63" s="4">
        <v>20670331000</v>
      </c>
      <c r="G63" s="1338">
        <v>20000000000</v>
      </c>
      <c r="H63" s="4">
        <v>18776325000</v>
      </c>
      <c r="I63" s="4">
        <v>12432600000</v>
      </c>
      <c r="J63" s="4">
        <v>12255040000</v>
      </c>
      <c r="K63" s="4">
        <v>11977540000</v>
      </c>
      <c r="L63" s="4">
        <v>10438140000</v>
      </c>
      <c r="M63" s="4">
        <v>8808435000</v>
      </c>
      <c r="N63" s="1493" t="s">
        <v>397</v>
      </c>
      <c r="O63" s="4">
        <v>170729470000</v>
      </c>
      <c r="P63" s="4">
        <v>150031900000</v>
      </c>
      <c r="Q63" s="4">
        <v>97998375000</v>
      </c>
      <c r="R63" s="4">
        <v>95742600000</v>
      </c>
      <c r="S63" s="4">
        <v>59430305000</v>
      </c>
      <c r="T63" s="4">
        <v>53618570000</v>
      </c>
      <c r="U63" s="4">
        <v>34987170000</v>
      </c>
      <c r="V63" s="4">
        <v>34300000000</v>
      </c>
      <c r="W63" s="4">
        <v>34153005000</v>
      </c>
      <c r="X63" s="4">
        <v>24442741000</v>
      </c>
      <c r="Y63" s="4">
        <v>23415720000</v>
      </c>
      <c r="Z63" s="4">
        <v>21579560000</v>
      </c>
    </row>
    <row r="64" spans="1:26" x14ac:dyDescent="0.2">
      <c r="A64" s="1493" t="s">
        <v>354</v>
      </c>
      <c r="B64" s="21" t="s">
        <v>295</v>
      </c>
      <c r="C64" s="21" t="s">
        <v>86</v>
      </c>
      <c r="D64" s="21" t="s">
        <v>296</v>
      </c>
      <c r="E64" s="21" t="s">
        <v>99</v>
      </c>
      <c r="F64" s="21" t="s">
        <v>70</v>
      </c>
      <c r="G64" s="21" t="s">
        <v>198</v>
      </c>
      <c r="H64" s="21" t="s">
        <v>19</v>
      </c>
      <c r="I64" s="21" t="s">
        <v>37</v>
      </c>
      <c r="J64" s="21" t="s">
        <v>29</v>
      </c>
      <c r="K64" s="21" t="s">
        <v>20</v>
      </c>
      <c r="L64" s="21" t="s">
        <v>27</v>
      </c>
      <c r="M64" s="21" t="s">
        <v>183</v>
      </c>
    </row>
    <row r="65" spans="1:26" x14ac:dyDescent="0.2">
      <c r="A65" s="1493" t="s">
        <v>354</v>
      </c>
      <c r="B65" s="1334">
        <v>34300000000</v>
      </c>
      <c r="C65" s="4">
        <v>6273105000</v>
      </c>
      <c r="D65" s="4">
        <v>4186220000</v>
      </c>
      <c r="E65" s="4">
        <v>3243890000</v>
      </c>
      <c r="F65" s="4">
        <v>3110260000</v>
      </c>
      <c r="G65" s="4">
        <v>2780590000</v>
      </c>
      <c r="H65" s="4">
        <v>2334735000</v>
      </c>
      <c r="I65" s="4">
        <v>2089680000</v>
      </c>
      <c r="J65" s="4">
        <v>2053620400</v>
      </c>
      <c r="K65" s="4">
        <v>1518000000</v>
      </c>
      <c r="L65" s="4">
        <v>1359190000</v>
      </c>
      <c r="M65" s="4">
        <v>914770000</v>
      </c>
    </row>
    <row r="66" spans="1:26" x14ac:dyDescent="0.2">
      <c r="A66" s="1493" t="s">
        <v>353</v>
      </c>
      <c r="B66" s="21" t="s">
        <v>70</v>
      </c>
      <c r="C66" s="21" t="s">
        <v>14</v>
      </c>
      <c r="D66" s="21" t="s">
        <v>19</v>
      </c>
      <c r="E66" s="21" t="s">
        <v>86</v>
      </c>
      <c r="F66" s="21" t="s">
        <v>29</v>
      </c>
      <c r="G66" s="21" t="s">
        <v>25</v>
      </c>
      <c r="H66" s="21" t="s">
        <v>171</v>
      </c>
      <c r="I66" s="21" t="s">
        <v>57</v>
      </c>
      <c r="J66" s="21" t="s">
        <v>20</v>
      </c>
      <c r="K66" s="21" t="s">
        <v>99</v>
      </c>
      <c r="L66" s="21" t="s">
        <v>169</v>
      </c>
      <c r="M66" s="21" t="s">
        <v>17</v>
      </c>
    </row>
    <row r="67" spans="1:26" x14ac:dyDescent="0.2">
      <c r="A67" s="1493" t="s">
        <v>353</v>
      </c>
      <c r="B67" s="4">
        <v>13144050000</v>
      </c>
      <c r="C67" s="4">
        <v>11978721000</v>
      </c>
      <c r="D67" s="4">
        <v>11048000000</v>
      </c>
      <c r="E67" s="4">
        <v>8725695000</v>
      </c>
      <c r="F67" s="4">
        <v>8456985600</v>
      </c>
      <c r="G67" s="4">
        <v>7325580000</v>
      </c>
      <c r="H67" s="4">
        <v>6216810000</v>
      </c>
      <c r="I67" s="4">
        <v>3305500000</v>
      </c>
      <c r="J67" s="4">
        <v>3023000000</v>
      </c>
      <c r="K67" s="4">
        <v>2937500000</v>
      </c>
      <c r="L67" s="4">
        <v>2602240000</v>
      </c>
      <c r="M67" s="4">
        <v>2576958000</v>
      </c>
    </row>
    <row r="68" spans="1:26" x14ac:dyDescent="0.2">
      <c r="A68" s="1493" t="s">
        <v>352</v>
      </c>
      <c r="B68" s="21" t="s">
        <v>21</v>
      </c>
      <c r="C68" s="21" t="s">
        <v>33</v>
      </c>
      <c r="D68" s="21" t="s">
        <v>38</v>
      </c>
      <c r="E68" s="21" t="s">
        <v>34</v>
      </c>
      <c r="F68" s="21" t="s">
        <v>35</v>
      </c>
      <c r="G68" s="21" t="s">
        <v>14</v>
      </c>
      <c r="H68" s="21" t="s">
        <v>18</v>
      </c>
      <c r="I68" s="21" t="s">
        <v>270</v>
      </c>
      <c r="J68" s="21" t="s">
        <v>79</v>
      </c>
      <c r="K68" s="21" t="s">
        <v>13</v>
      </c>
      <c r="L68" s="21" t="s">
        <v>22</v>
      </c>
      <c r="M68" s="21" t="s">
        <v>23</v>
      </c>
    </row>
    <row r="69" spans="1:26" x14ac:dyDescent="0.2">
      <c r="A69" s="1493" t="s">
        <v>352</v>
      </c>
      <c r="B69" s="1329">
        <v>101032540000</v>
      </c>
      <c r="C69" s="4">
        <v>27193910000</v>
      </c>
      <c r="D69" s="4">
        <v>17968500000</v>
      </c>
      <c r="E69" s="4">
        <v>14550215000</v>
      </c>
      <c r="F69" s="4">
        <v>12018969000</v>
      </c>
      <c r="G69" s="4">
        <v>11414563000</v>
      </c>
      <c r="H69" s="4">
        <v>10761150000</v>
      </c>
      <c r="I69" s="1330">
        <v>10219000000</v>
      </c>
      <c r="J69" s="4">
        <v>10182260000</v>
      </c>
      <c r="K69" s="4">
        <v>7690460000</v>
      </c>
      <c r="L69" s="4">
        <v>7311140000</v>
      </c>
      <c r="M69" s="4">
        <v>7010461000</v>
      </c>
    </row>
    <row r="70" spans="1:26" x14ac:dyDescent="0.2">
      <c r="A70" s="1493" t="s">
        <v>347</v>
      </c>
      <c r="B70" s="21" t="s">
        <v>23</v>
      </c>
      <c r="C70" s="21" t="s">
        <v>13</v>
      </c>
      <c r="D70" s="21" t="s">
        <v>33</v>
      </c>
      <c r="E70" s="21" t="s">
        <v>35</v>
      </c>
      <c r="F70" s="21" t="s">
        <v>79</v>
      </c>
      <c r="G70" s="21" t="s">
        <v>14</v>
      </c>
      <c r="H70" s="21" t="s">
        <v>58</v>
      </c>
      <c r="I70" s="21" t="s">
        <v>15</v>
      </c>
      <c r="J70" s="21" t="s">
        <v>21</v>
      </c>
      <c r="K70" s="21" t="s">
        <v>59</v>
      </c>
      <c r="L70" s="21" t="s">
        <v>12</v>
      </c>
      <c r="M70" s="21" t="s">
        <v>34</v>
      </c>
    </row>
    <row r="71" spans="1:26" x14ac:dyDescent="0.2">
      <c r="A71" s="1493" t="s">
        <v>347</v>
      </c>
      <c r="B71" s="4">
        <v>114745294000</v>
      </c>
      <c r="C71" s="1324">
        <v>71394020000</v>
      </c>
      <c r="D71" s="1325">
        <v>64870870000</v>
      </c>
      <c r="E71" s="1326">
        <v>51289133000</v>
      </c>
      <c r="F71" s="4">
        <v>38315055000</v>
      </c>
      <c r="G71" s="4">
        <v>28313337000</v>
      </c>
      <c r="H71" s="4">
        <v>26144530000</v>
      </c>
      <c r="I71" s="4">
        <v>24563703000</v>
      </c>
      <c r="J71" s="4">
        <v>21505330000</v>
      </c>
      <c r="K71" s="4">
        <v>20179110000</v>
      </c>
      <c r="L71" s="4">
        <v>19390060000</v>
      </c>
      <c r="M71" s="4">
        <v>18736215000</v>
      </c>
    </row>
    <row r="72" spans="1:26" x14ac:dyDescent="0.2">
      <c r="A72" s="1493" t="s">
        <v>346</v>
      </c>
      <c r="B72" s="21" t="s">
        <v>25</v>
      </c>
      <c r="C72" s="21" t="s">
        <v>57</v>
      </c>
      <c r="D72" s="21" t="s">
        <v>29</v>
      </c>
      <c r="E72" s="21" t="s">
        <v>61</v>
      </c>
      <c r="F72" s="21" t="s">
        <v>202</v>
      </c>
      <c r="G72" s="21" t="s">
        <v>99</v>
      </c>
      <c r="H72" s="21" t="s">
        <v>297</v>
      </c>
      <c r="I72" s="21" t="s">
        <v>89</v>
      </c>
      <c r="J72" s="21" t="s">
        <v>42</v>
      </c>
      <c r="K72" s="21" t="s">
        <v>169</v>
      </c>
      <c r="L72" s="21" t="s">
        <v>301</v>
      </c>
      <c r="M72" s="21" t="s">
        <v>190</v>
      </c>
      <c r="N72" s="1493" t="s">
        <v>396</v>
      </c>
      <c r="O72" s="21" t="s">
        <v>15</v>
      </c>
      <c r="P72" s="21" t="s">
        <v>79</v>
      </c>
      <c r="Q72" s="21" t="s">
        <v>14</v>
      </c>
      <c r="R72" s="21" t="s">
        <v>21</v>
      </c>
      <c r="S72" s="21" t="s">
        <v>99</v>
      </c>
      <c r="T72" s="21" t="s">
        <v>5</v>
      </c>
      <c r="U72" s="21" t="s">
        <v>25</v>
      </c>
      <c r="V72" s="21" t="s">
        <v>70</v>
      </c>
      <c r="W72" s="21" t="s">
        <v>86</v>
      </c>
      <c r="X72" s="21" t="s">
        <v>18</v>
      </c>
      <c r="Y72" s="21" t="s">
        <v>57</v>
      </c>
      <c r="Z72" s="21" t="s">
        <v>202</v>
      </c>
    </row>
    <row r="73" spans="1:26" x14ac:dyDescent="0.2">
      <c r="A73" s="1493" t="s">
        <v>346</v>
      </c>
      <c r="B73" s="4">
        <v>10425790000</v>
      </c>
      <c r="C73" s="4">
        <v>7255000000</v>
      </c>
      <c r="D73" s="4">
        <v>6043579300</v>
      </c>
      <c r="E73" s="4">
        <v>4761860000</v>
      </c>
      <c r="F73" s="4">
        <v>3933000000</v>
      </c>
      <c r="G73" s="4">
        <v>3059390000</v>
      </c>
      <c r="H73" s="4">
        <v>504565000</v>
      </c>
      <c r="I73" s="4">
        <v>248690000</v>
      </c>
      <c r="J73" s="4">
        <v>159200000</v>
      </c>
      <c r="K73" s="4">
        <v>126250000</v>
      </c>
      <c r="L73" s="4">
        <v>123930000</v>
      </c>
      <c r="M73" s="4">
        <v>40275000</v>
      </c>
      <c r="N73" s="1493" t="s">
        <v>396</v>
      </c>
      <c r="O73" s="4">
        <v>136524740000</v>
      </c>
      <c r="P73" s="4">
        <v>103770270000</v>
      </c>
      <c r="Q73" s="4">
        <v>69623741000</v>
      </c>
      <c r="R73" s="4">
        <v>64501830000</v>
      </c>
      <c r="S73" s="4">
        <v>58843920000</v>
      </c>
      <c r="T73" s="4">
        <v>42982127000</v>
      </c>
      <c r="U73" s="4">
        <v>39908940000</v>
      </c>
      <c r="V73" s="4">
        <v>36031725000</v>
      </c>
      <c r="W73" s="4">
        <v>26946779000</v>
      </c>
      <c r="X73" s="4">
        <v>15600835000</v>
      </c>
      <c r="Y73" s="4">
        <v>14990000000</v>
      </c>
      <c r="Z73" s="4">
        <v>12966000000</v>
      </c>
    </row>
    <row r="74" spans="1:26" x14ac:dyDescent="0.2">
      <c r="A74" s="1493" t="s">
        <v>345</v>
      </c>
      <c r="B74" s="21" t="s">
        <v>79</v>
      </c>
      <c r="C74" s="21" t="s">
        <v>15</v>
      </c>
      <c r="D74" s="21" t="s">
        <v>14</v>
      </c>
      <c r="E74" s="21" t="s">
        <v>32</v>
      </c>
      <c r="F74" s="21" t="s">
        <v>21</v>
      </c>
      <c r="G74" s="21" t="s">
        <v>17</v>
      </c>
      <c r="H74" s="21" t="s">
        <v>5</v>
      </c>
      <c r="I74" s="21" t="s">
        <v>24</v>
      </c>
      <c r="J74" s="21" t="s">
        <v>23</v>
      </c>
      <c r="K74" s="21" t="s">
        <v>12</v>
      </c>
      <c r="L74" s="21" t="s">
        <v>13</v>
      </c>
      <c r="M74" s="21" t="s">
        <v>59</v>
      </c>
    </row>
    <row r="75" spans="1:26" x14ac:dyDescent="0.2">
      <c r="A75" s="1493" t="s">
        <v>345</v>
      </c>
      <c r="B75" s="1320">
        <v>125635635000</v>
      </c>
      <c r="C75" s="4">
        <v>70074105000</v>
      </c>
      <c r="D75" s="4">
        <v>51186566000</v>
      </c>
      <c r="E75" s="4">
        <v>41427410000</v>
      </c>
      <c r="F75" s="4">
        <v>33414870000</v>
      </c>
      <c r="G75" s="4">
        <v>26554041000</v>
      </c>
      <c r="H75" s="4">
        <v>25834988000</v>
      </c>
      <c r="I75" s="4">
        <v>22582585000</v>
      </c>
      <c r="J75" s="4">
        <v>20526753000</v>
      </c>
      <c r="K75" s="4">
        <v>19976080000</v>
      </c>
      <c r="L75" s="4">
        <v>19962410000</v>
      </c>
      <c r="M75" s="4">
        <v>18925350000</v>
      </c>
    </row>
    <row r="76" spans="1:26" x14ac:dyDescent="0.2">
      <c r="A76" s="1493" t="s">
        <v>344</v>
      </c>
      <c r="B76" s="21" t="s">
        <v>15</v>
      </c>
      <c r="C76" s="21" t="s">
        <v>21</v>
      </c>
      <c r="D76" s="21" t="s">
        <v>99</v>
      </c>
      <c r="E76" s="21" t="s">
        <v>202</v>
      </c>
      <c r="F76" s="21" t="s">
        <v>70</v>
      </c>
      <c r="G76" s="21" t="s">
        <v>186</v>
      </c>
      <c r="H76" s="21" t="s">
        <v>65</v>
      </c>
      <c r="I76" s="21" t="s">
        <v>57</v>
      </c>
      <c r="J76" s="21" t="s">
        <v>171</v>
      </c>
      <c r="K76" s="21" t="s">
        <v>25</v>
      </c>
      <c r="L76" s="21" t="s">
        <v>192</v>
      </c>
      <c r="M76" s="21" t="s">
        <v>27</v>
      </c>
    </row>
    <row r="77" spans="1:26" x14ac:dyDescent="0.2">
      <c r="A77" s="1493" t="s">
        <v>344</v>
      </c>
      <c r="B77" s="4">
        <v>107669110000</v>
      </c>
      <c r="C77" s="4">
        <v>27706190000</v>
      </c>
      <c r="D77" s="4">
        <v>26221250000</v>
      </c>
      <c r="E77" s="1318">
        <v>9033000000</v>
      </c>
      <c r="F77" s="4">
        <v>7541635000</v>
      </c>
      <c r="G77" s="4">
        <v>6780200000</v>
      </c>
      <c r="H77" s="4">
        <v>6352880000</v>
      </c>
      <c r="I77" s="4">
        <v>6210000000</v>
      </c>
      <c r="J77" s="4">
        <v>5696290000</v>
      </c>
      <c r="K77" s="4">
        <v>3947700000</v>
      </c>
      <c r="L77" s="4">
        <v>2247500000</v>
      </c>
      <c r="M77" s="4">
        <v>1294440000</v>
      </c>
    </row>
    <row r="78" spans="1:26" x14ac:dyDescent="0.2">
      <c r="A78" s="1493" t="s">
        <v>343</v>
      </c>
      <c r="B78" s="21" t="s">
        <v>14</v>
      </c>
      <c r="C78" s="21" t="s">
        <v>86</v>
      </c>
      <c r="D78" s="21" t="s">
        <v>33</v>
      </c>
      <c r="E78" s="21" t="s">
        <v>15</v>
      </c>
      <c r="F78" s="21" t="s">
        <v>99</v>
      </c>
      <c r="G78" s="21" t="s">
        <v>21</v>
      </c>
      <c r="H78" s="21" t="s">
        <v>70</v>
      </c>
      <c r="I78" s="21" t="s">
        <v>79</v>
      </c>
      <c r="J78" s="21" t="s">
        <v>34</v>
      </c>
      <c r="K78" s="21" t="s">
        <v>40</v>
      </c>
      <c r="L78" s="21" t="s">
        <v>5</v>
      </c>
      <c r="M78" s="21" t="s">
        <v>24</v>
      </c>
    </row>
    <row r="79" spans="1:26" x14ac:dyDescent="0.2">
      <c r="A79" s="1493" t="s">
        <v>343</v>
      </c>
      <c r="B79" s="4">
        <v>85819085000</v>
      </c>
      <c r="C79" s="4">
        <v>24484515000</v>
      </c>
      <c r="D79" s="4">
        <v>20433040000</v>
      </c>
      <c r="E79" s="4">
        <v>11419090000</v>
      </c>
      <c r="F79" s="4">
        <v>10970460000</v>
      </c>
      <c r="G79" s="4">
        <v>9814860000</v>
      </c>
      <c r="H79" s="4">
        <v>9554595000</v>
      </c>
      <c r="I79" s="4">
        <v>7970040000</v>
      </c>
      <c r="J79" s="4">
        <v>7942945000</v>
      </c>
      <c r="K79" s="4">
        <v>7682420000</v>
      </c>
      <c r="L79" s="4">
        <v>7128050000</v>
      </c>
      <c r="M79" s="4">
        <v>4714190000</v>
      </c>
    </row>
    <row r="80" spans="1:26" x14ac:dyDescent="0.2">
      <c r="A80" s="1493" t="s">
        <v>341</v>
      </c>
      <c r="B80" s="21" t="s">
        <v>79</v>
      </c>
      <c r="C80" s="21" t="s">
        <v>263</v>
      </c>
      <c r="D80" s="21" t="s">
        <v>5</v>
      </c>
      <c r="E80" s="21" t="s">
        <v>70</v>
      </c>
      <c r="F80" s="21" t="s">
        <v>99</v>
      </c>
      <c r="G80" s="21" t="s">
        <v>25</v>
      </c>
      <c r="H80" s="21" t="s">
        <v>32</v>
      </c>
      <c r="I80" s="21" t="s">
        <v>21</v>
      </c>
      <c r="J80" s="21" t="s">
        <v>65</v>
      </c>
      <c r="K80" s="21" t="s">
        <v>33</v>
      </c>
      <c r="L80" s="21" t="s">
        <v>17</v>
      </c>
      <c r="M80" s="21" t="s">
        <v>18</v>
      </c>
    </row>
    <row r="81" spans="1:26" x14ac:dyDescent="0.2">
      <c r="A81" s="1493" t="s">
        <v>341</v>
      </c>
      <c r="B81" s="4">
        <v>78457610000</v>
      </c>
      <c r="C81" s="4">
        <v>32268750000</v>
      </c>
      <c r="D81" s="4">
        <v>24804895000</v>
      </c>
      <c r="E81" s="4">
        <v>18935495000</v>
      </c>
      <c r="F81" s="4">
        <v>14045920000</v>
      </c>
      <c r="G81" s="4">
        <v>12781950000</v>
      </c>
      <c r="H81" s="4">
        <v>9680475000</v>
      </c>
      <c r="I81" s="4">
        <v>9377490000</v>
      </c>
      <c r="J81" s="4">
        <v>9118825000</v>
      </c>
      <c r="K81" s="4">
        <v>7931940000</v>
      </c>
      <c r="L81" s="4">
        <v>6197860000</v>
      </c>
      <c r="M81" s="4">
        <v>4803345000</v>
      </c>
    </row>
    <row r="82" spans="1:26" x14ac:dyDescent="0.2">
      <c r="A82" s="1493" t="s">
        <v>340</v>
      </c>
      <c r="B82" s="21" t="s">
        <v>263</v>
      </c>
      <c r="C82" s="21" t="s">
        <v>92</v>
      </c>
      <c r="D82" s="21" t="s">
        <v>29</v>
      </c>
      <c r="E82" s="21" t="s">
        <v>7</v>
      </c>
      <c r="F82" s="21" t="s">
        <v>202</v>
      </c>
      <c r="G82" s="21" t="s">
        <v>57</v>
      </c>
      <c r="N82" s="1493" t="s">
        <v>395</v>
      </c>
      <c r="O82" s="21" t="s">
        <v>263</v>
      </c>
      <c r="P82" s="21" t="s">
        <v>296</v>
      </c>
      <c r="Q82" s="21" t="s">
        <v>15</v>
      </c>
      <c r="R82" s="21" t="s">
        <v>79</v>
      </c>
      <c r="S82" s="21" t="s">
        <v>42</v>
      </c>
      <c r="T82" s="21" t="s">
        <v>17</v>
      </c>
      <c r="U82" s="21" t="s">
        <v>23</v>
      </c>
      <c r="V82" s="21" t="s">
        <v>21</v>
      </c>
      <c r="W82" s="21" t="s">
        <v>33</v>
      </c>
      <c r="X82" s="21" t="s">
        <v>28</v>
      </c>
      <c r="Y82" s="21" t="s">
        <v>32</v>
      </c>
      <c r="Z82" s="21" t="s">
        <v>12</v>
      </c>
    </row>
    <row r="83" spans="1:26" x14ac:dyDescent="0.2">
      <c r="A83" s="1493" t="s">
        <v>340</v>
      </c>
      <c r="B83" s="1314">
        <v>44883510000</v>
      </c>
      <c r="C83" s="4">
        <v>10410000000</v>
      </c>
      <c r="D83" s="4">
        <v>4419930000</v>
      </c>
      <c r="E83" s="4">
        <v>1911100000</v>
      </c>
      <c r="F83" s="4">
        <v>1295000000</v>
      </c>
      <c r="G83" s="4">
        <v>164910000</v>
      </c>
      <c r="N83" s="1493" t="s">
        <v>395</v>
      </c>
      <c r="O83" s="4">
        <v>97368320000</v>
      </c>
      <c r="P83" s="4">
        <v>86947140000</v>
      </c>
      <c r="Q83" s="4">
        <v>82442995000</v>
      </c>
      <c r="R83" s="4">
        <v>67575777000</v>
      </c>
      <c r="S83" s="4">
        <v>61868600000</v>
      </c>
      <c r="T83" s="4">
        <v>45872979000</v>
      </c>
      <c r="U83" s="4">
        <v>45149492000</v>
      </c>
      <c r="V83" s="4">
        <v>42719610000</v>
      </c>
      <c r="W83" s="4">
        <v>26539480000</v>
      </c>
      <c r="X83" s="4">
        <v>25297190000</v>
      </c>
      <c r="Y83" s="4">
        <v>21678616000</v>
      </c>
      <c r="Z83" s="4">
        <v>20780022000</v>
      </c>
    </row>
    <row r="84" spans="1:26" x14ac:dyDescent="0.2">
      <c r="A84" s="1493" t="s">
        <v>338</v>
      </c>
      <c r="B84" s="21" t="s">
        <v>33</v>
      </c>
      <c r="C84" s="21" t="s">
        <v>14</v>
      </c>
      <c r="D84" s="21" t="s">
        <v>13</v>
      </c>
      <c r="E84" s="21" t="s">
        <v>79</v>
      </c>
      <c r="F84" s="21" t="s">
        <v>21</v>
      </c>
      <c r="G84" s="21" t="s">
        <v>17</v>
      </c>
      <c r="H84" s="21" t="s">
        <v>23</v>
      </c>
      <c r="I84" s="21" t="s">
        <v>263</v>
      </c>
      <c r="J84" s="21" t="s">
        <v>12</v>
      </c>
      <c r="K84" s="21" t="s">
        <v>296</v>
      </c>
      <c r="L84" s="21" t="s">
        <v>32</v>
      </c>
      <c r="M84" s="21" t="s">
        <v>24</v>
      </c>
    </row>
    <row r="85" spans="1:26" x14ac:dyDescent="0.2">
      <c r="A85" s="1493" t="s">
        <v>338</v>
      </c>
      <c r="B85" s="1311">
        <v>112590600000</v>
      </c>
      <c r="C85" s="4">
        <v>60880505000</v>
      </c>
      <c r="D85" s="4">
        <v>44107485000</v>
      </c>
      <c r="E85" s="4">
        <v>42316545000</v>
      </c>
      <c r="F85" s="4">
        <v>30474640000</v>
      </c>
      <c r="G85" s="4">
        <v>28592390000</v>
      </c>
      <c r="H85" s="4">
        <v>19071190000</v>
      </c>
      <c r="I85" s="1312">
        <v>19006850000</v>
      </c>
      <c r="J85" s="4">
        <v>15967950000</v>
      </c>
      <c r="K85" s="4">
        <v>15877120000</v>
      </c>
      <c r="L85" s="4">
        <v>15435790000</v>
      </c>
      <c r="M85" s="4">
        <v>14505320000</v>
      </c>
    </row>
    <row r="86" spans="1:26" x14ac:dyDescent="0.2">
      <c r="A86" s="1493" t="s">
        <v>334</v>
      </c>
      <c r="B86" s="21" t="s">
        <v>42</v>
      </c>
      <c r="C86" s="21" t="s">
        <v>296</v>
      </c>
      <c r="D86" s="21" t="s">
        <v>28</v>
      </c>
      <c r="E86" s="21" t="s">
        <v>263</v>
      </c>
      <c r="F86" s="21" t="s">
        <v>15</v>
      </c>
      <c r="G86" s="21" t="s">
        <v>79</v>
      </c>
      <c r="H86" s="21" t="s">
        <v>41</v>
      </c>
      <c r="I86" s="21" t="s">
        <v>63</v>
      </c>
      <c r="J86" s="21" t="s">
        <v>68</v>
      </c>
      <c r="K86" s="21" t="s">
        <v>179</v>
      </c>
      <c r="L86" s="21" t="s">
        <v>67</v>
      </c>
      <c r="M86" s="21" t="s">
        <v>37</v>
      </c>
    </row>
    <row r="87" spans="1:26" x14ac:dyDescent="0.2">
      <c r="A87" s="1493" t="s">
        <v>334</v>
      </c>
      <c r="B87" s="1302">
        <v>57936870000</v>
      </c>
      <c r="C87" s="1303">
        <v>26395940000</v>
      </c>
      <c r="D87" s="1304">
        <v>25297190000</v>
      </c>
      <c r="E87" s="1305">
        <v>22152620000</v>
      </c>
      <c r="F87" s="4">
        <v>12289715000</v>
      </c>
      <c r="G87" s="4">
        <v>11255465000</v>
      </c>
      <c r="H87" s="1306">
        <v>7974470000</v>
      </c>
      <c r="I87" s="1307">
        <v>7896010000</v>
      </c>
      <c r="J87" s="4">
        <v>7890850000</v>
      </c>
      <c r="K87" s="1308">
        <v>7379165000</v>
      </c>
      <c r="L87" s="4">
        <v>6935067000</v>
      </c>
      <c r="M87" s="4">
        <v>6272915000</v>
      </c>
    </row>
    <row r="88" spans="1:26" x14ac:dyDescent="0.2">
      <c r="A88" s="1493" t="s">
        <v>332</v>
      </c>
      <c r="B88" s="21" t="s">
        <v>14</v>
      </c>
      <c r="C88" s="21" t="s">
        <v>23</v>
      </c>
      <c r="D88" s="21" t="s">
        <v>17</v>
      </c>
      <c r="E88" s="21" t="s">
        <v>35</v>
      </c>
      <c r="F88" s="21" t="s">
        <v>296</v>
      </c>
      <c r="G88" s="21" t="s">
        <v>15</v>
      </c>
      <c r="H88" s="21" t="s">
        <v>32</v>
      </c>
      <c r="I88" s="21" t="s">
        <v>86</v>
      </c>
      <c r="J88" s="21" t="s">
        <v>263</v>
      </c>
      <c r="K88" s="21" t="s">
        <v>21</v>
      </c>
      <c r="L88" s="21" t="s">
        <v>29</v>
      </c>
      <c r="M88" s="21" t="s">
        <v>12</v>
      </c>
    </row>
    <row r="89" spans="1:26" x14ac:dyDescent="0.2">
      <c r="A89" s="1493" t="s">
        <v>332</v>
      </c>
      <c r="B89" s="4">
        <v>43060827000</v>
      </c>
      <c r="C89" s="4">
        <v>34537692000</v>
      </c>
      <c r="D89" s="4">
        <v>25293403000</v>
      </c>
      <c r="E89" s="4">
        <v>24496380000</v>
      </c>
      <c r="F89" s="4">
        <v>19777720000</v>
      </c>
      <c r="G89" s="4">
        <v>12512640000</v>
      </c>
      <c r="H89" s="4">
        <v>11093435000</v>
      </c>
      <c r="I89" s="4">
        <v>8142620000</v>
      </c>
      <c r="J89" s="4">
        <v>6890900000</v>
      </c>
      <c r="K89" s="4">
        <v>6019010000</v>
      </c>
      <c r="L89" s="4">
        <v>3089098000</v>
      </c>
      <c r="M89" s="4">
        <v>2938420000</v>
      </c>
    </row>
    <row r="90" spans="1:26" x14ac:dyDescent="0.2">
      <c r="A90" s="1493" t="s">
        <v>331</v>
      </c>
      <c r="B90" s="21" t="s">
        <v>15</v>
      </c>
      <c r="C90" s="21" t="s">
        <v>296</v>
      </c>
      <c r="D90" s="21" t="s">
        <v>79</v>
      </c>
      <c r="E90" s="21" t="s">
        <v>66</v>
      </c>
      <c r="F90" s="21" t="s">
        <v>5</v>
      </c>
      <c r="G90" s="21" t="s">
        <v>57</v>
      </c>
      <c r="H90" s="21" t="s">
        <v>37</v>
      </c>
      <c r="I90" s="21" t="s">
        <v>263</v>
      </c>
      <c r="J90" s="21" t="s">
        <v>284</v>
      </c>
      <c r="K90" s="21" t="s">
        <v>34</v>
      </c>
      <c r="L90" s="21" t="s">
        <v>29</v>
      </c>
      <c r="M90" s="21" t="s">
        <v>21</v>
      </c>
    </row>
    <row r="91" spans="1:26" x14ac:dyDescent="0.2">
      <c r="A91" s="1493" t="s">
        <v>331</v>
      </c>
      <c r="B91" s="4">
        <v>43938960000</v>
      </c>
      <c r="C91" s="1297">
        <v>24896360000</v>
      </c>
      <c r="D91" s="4">
        <v>17625482000</v>
      </c>
      <c r="E91" s="4">
        <v>7806010000</v>
      </c>
      <c r="F91" s="4">
        <v>5791075000</v>
      </c>
      <c r="G91" s="4">
        <v>4730000000</v>
      </c>
      <c r="H91" s="4">
        <v>4543840000</v>
      </c>
      <c r="I91" s="4">
        <v>4434440000</v>
      </c>
      <c r="J91" s="1298">
        <v>3982370000</v>
      </c>
      <c r="K91" s="4">
        <v>3930820000</v>
      </c>
      <c r="L91" s="4">
        <v>3551847000</v>
      </c>
      <c r="M91" s="4">
        <v>3404520000</v>
      </c>
    </row>
    <row r="92" spans="1:26" x14ac:dyDescent="0.2">
      <c r="A92" s="1493" t="s">
        <v>327</v>
      </c>
      <c r="B92" s="21" t="s">
        <v>14</v>
      </c>
      <c r="C92" s="21" t="s">
        <v>15</v>
      </c>
      <c r="D92" s="21" t="s">
        <v>79</v>
      </c>
      <c r="E92" s="21" t="s">
        <v>35</v>
      </c>
      <c r="F92" s="21" t="s">
        <v>57</v>
      </c>
      <c r="G92" s="21" t="s">
        <v>68</v>
      </c>
      <c r="H92" s="21" t="s">
        <v>18</v>
      </c>
      <c r="I92" s="21" t="s">
        <v>30</v>
      </c>
      <c r="J92" s="21" t="s">
        <v>296</v>
      </c>
      <c r="K92" s="21" t="s">
        <v>263</v>
      </c>
      <c r="L92" s="21" t="s">
        <v>5</v>
      </c>
      <c r="M92" s="21" t="s">
        <v>92</v>
      </c>
      <c r="N92" s="1493" t="s">
        <v>394</v>
      </c>
      <c r="O92" s="21" t="s">
        <v>17</v>
      </c>
      <c r="P92" s="21" t="s">
        <v>15</v>
      </c>
      <c r="Q92" s="21" t="s">
        <v>18</v>
      </c>
      <c r="R92" s="21" t="s">
        <v>66</v>
      </c>
      <c r="S92" s="21" t="s">
        <v>74</v>
      </c>
      <c r="T92" s="21" t="s">
        <v>61</v>
      </c>
      <c r="U92" s="21" t="s">
        <v>296</v>
      </c>
      <c r="V92" s="21" t="s">
        <v>99</v>
      </c>
      <c r="W92" s="21" t="s">
        <v>186</v>
      </c>
      <c r="X92" s="21" t="s">
        <v>36</v>
      </c>
      <c r="Y92" s="21" t="s">
        <v>68</v>
      </c>
      <c r="Z92" s="21" t="s">
        <v>33</v>
      </c>
    </row>
    <row r="93" spans="1:26" x14ac:dyDescent="0.2">
      <c r="A93" s="1493" t="s">
        <v>327</v>
      </c>
      <c r="B93" s="4">
        <v>53441245000</v>
      </c>
      <c r="C93" s="4">
        <v>27980405000</v>
      </c>
      <c r="D93" s="4">
        <v>18927175000</v>
      </c>
      <c r="E93" s="4">
        <v>14860545000</v>
      </c>
      <c r="F93" s="1296">
        <v>13006830000</v>
      </c>
      <c r="G93" s="4">
        <v>10683500000</v>
      </c>
      <c r="H93" s="4">
        <v>9977450000</v>
      </c>
      <c r="I93" s="4">
        <v>8082906000</v>
      </c>
      <c r="J93" s="4">
        <v>6802180000</v>
      </c>
      <c r="K93" s="4">
        <v>5974640000</v>
      </c>
      <c r="L93" s="4">
        <v>5357476000</v>
      </c>
      <c r="M93" s="4">
        <v>5207060000</v>
      </c>
      <c r="N93" s="1493" t="s">
        <v>394</v>
      </c>
      <c r="O93" s="4">
        <v>154054972000</v>
      </c>
      <c r="P93" s="4">
        <v>91623622000</v>
      </c>
      <c r="Q93" s="4">
        <v>65694355000</v>
      </c>
      <c r="R93" s="4">
        <v>46414505000</v>
      </c>
      <c r="S93" s="4">
        <v>38676460000</v>
      </c>
      <c r="T93" s="4">
        <v>38085625000</v>
      </c>
      <c r="U93" s="4">
        <v>30853940000</v>
      </c>
      <c r="V93" s="4">
        <v>30699530000</v>
      </c>
      <c r="W93" s="4">
        <v>27706887000</v>
      </c>
      <c r="X93" s="4">
        <v>20430690000</v>
      </c>
      <c r="Y93" s="4">
        <v>19489500000</v>
      </c>
      <c r="Z93" s="4">
        <v>18777195000</v>
      </c>
    </row>
    <row r="94" spans="1:26" x14ac:dyDescent="0.2">
      <c r="A94" s="1493" t="s">
        <v>324</v>
      </c>
      <c r="B94" s="21" t="s">
        <v>14</v>
      </c>
      <c r="C94" s="21" t="s">
        <v>186</v>
      </c>
      <c r="D94" s="21" t="s">
        <v>66</v>
      </c>
      <c r="E94" s="21" t="s">
        <v>61</v>
      </c>
      <c r="F94" s="21" t="s">
        <v>190</v>
      </c>
      <c r="G94" s="21" t="s">
        <v>70</v>
      </c>
      <c r="H94" s="21" t="s">
        <v>36</v>
      </c>
      <c r="I94" s="21" t="s">
        <v>179</v>
      </c>
      <c r="J94" s="21" t="s">
        <v>57</v>
      </c>
      <c r="K94" s="21" t="s">
        <v>92</v>
      </c>
      <c r="L94" s="21" t="s">
        <v>74</v>
      </c>
      <c r="M94" s="21" t="s">
        <v>71</v>
      </c>
    </row>
    <row r="95" spans="1:26" x14ac:dyDescent="0.2">
      <c r="A95" s="1493" t="s">
        <v>324</v>
      </c>
      <c r="B95" s="4">
        <v>33199757000</v>
      </c>
      <c r="C95" s="4">
        <v>25216430000</v>
      </c>
      <c r="D95" s="1293">
        <v>23491045000</v>
      </c>
      <c r="E95" s="4">
        <v>18844505000</v>
      </c>
      <c r="F95" s="1294">
        <v>12467335000</v>
      </c>
      <c r="G95" s="4">
        <v>6556233000</v>
      </c>
      <c r="H95" s="4">
        <v>5944550000</v>
      </c>
      <c r="I95" s="1295">
        <v>5831380000</v>
      </c>
      <c r="J95" s="4">
        <v>4760000000</v>
      </c>
      <c r="K95" s="4">
        <v>4467710000</v>
      </c>
      <c r="L95" s="4">
        <v>3988380000</v>
      </c>
      <c r="M95" s="4">
        <v>3696321000</v>
      </c>
    </row>
    <row r="96" spans="1:26" x14ac:dyDescent="0.2">
      <c r="A96" s="1493" t="s">
        <v>323</v>
      </c>
      <c r="B96" s="21" t="s">
        <v>17</v>
      </c>
      <c r="C96" s="21" t="s">
        <v>15</v>
      </c>
      <c r="D96" s="21" t="s">
        <v>33</v>
      </c>
      <c r="E96" s="21" t="s">
        <v>99</v>
      </c>
      <c r="F96" s="21" t="s">
        <v>21</v>
      </c>
      <c r="G96" s="21" t="s">
        <v>18</v>
      </c>
      <c r="H96" s="21" t="s">
        <v>66</v>
      </c>
      <c r="I96" s="21" t="s">
        <v>32</v>
      </c>
      <c r="J96" s="21" t="s">
        <v>74</v>
      </c>
      <c r="K96" s="21" t="s">
        <v>61</v>
      </c>
      <c r="L96" s="21" t="s">
        <v>5</v>
      </c>
      <c r="M96" s="21" t="s">
        <v>59</v>
      </c>
    </row>
    <row r="97" spans="1:26" x14ac:dyDescent="0.2">
      <c r="A97" s="1493" t="s">
        <v>323</v>
      </c>
      <c r="B97" s="1287">
        <v>130084530000</v>
      </c>
      <c r="C97" s="4">
        <v>109683290000</v>
      </c>
      <c r="D97" s="4">
        <v>33191911000</v>
      </c>
      <c r="E97" s="4">
        <v>32866915000</v>
      </c>
      <c r="F97" s="4">
        <v>22750570000</v>
      </c>
      <c r="G97" s="4">
        <v>21224070000</v>
      </c>
      <c r="H97" s="1288">
        <v>20615170000</v>
      </c>
      <c r="I97" s="4">
        <v>19292425000</v>
      </c>
      <c r="J97" s="1289">
        <v>17903605000</v>
      </c>
      <c r="K97" s="4">
        <v>16714585000</v>
      </c>
      <c r="L97" s="4">
        <v>15925762000</v>
      </c>
      <c r="M97" s="4">
        <v>14155640000</v>
      </c>
    </row>
    <row r="98" spans="1:26" x14ac:dyDescent="0.2">
      <c r="A98" s="1493" t="s">
        <v>321</v>
      </c>
      <c r="B98" s="21" t="s">
        <v>13</v>
      </c>
      <c r="C98" s="21" t="s">
        <v>18</v>
      </c>
      <c r="D98" s="21" t="s">
        <v>74</v>
      </c>
      <c r="E98" s="21" t="s">
        <v>296</v>
      </c>
      <c r="F98" s="21" t="s">
        <v>263</v>
      </c>
      <c r="G98" s="21" t="s">
        <v>5</v>
      </c>
      <c r="H98" s="21" t="s">
        <v>30</v>
      </c>
      <c r="I98" s="21" t="s">
        <v>29</v>
      </c>
      <c r="J98" s="21" t="s">
        <v>27</v>
      </c>
      <c r="K98" s="21" t="s">
        <v>202</v>
      </c>
      <c r="L98" s="21" t="s">
        <v>33</v>
      </c>
      <c r="M98" s="21" t="s">
        <v>66</v>
      </c>
    </row>
    <row r="99" spans="1:26" x14ac:dyDescent="0.2">
      <c r="A99" s="1493" t="s">
        <v>321</v>
      </c>
      <c r="B99" s="4">
        <v>16829270000</v>
      </c>
      <c r="C99" s="4">
        <v>13209435000</v>
      </c>
      <c r="D99" s="1284">
        <v>12967650000</v>
      </c>
      <c r="E99" s="4">
        <v>11401350000</v>
      </c>
      <c r="F99" s="1285">
        <v>10955560000</v>
      </c>
      <c r="G99" s="4">
        <v>7662358000</v>
      </c>
      <c r="H99" s="4">
        <v>7442148000</v>
      </c>
      <c r="I99" s="4">
        <v>5555870400</v>
      </c>
      <c r="J99" s="4">
        <v>5497425000</v>
      </c>
      <c r="K99" s="4">
        <v>2637800000</v>
      </c>
      <c r="L99" s="4">
        <v>2247980000</v>
      </c>
      <c r="M99" s="4">
        <v>1854850000</v>
      </c>
    </row>
    <row r="100" spans="1:26" x14ac:dyDescent="0.2">
      <c r="A100" s="1493" t="s">
        <v>317</v>
      </c>
      <c r="B100" s="21" t="s">
        <v>33</v>
      </c>
      <c r="C100" s="21" t="s">
        <v>17</v>
      </c>
      <c r="D100" s="21" t="s">
        <v>18</v>
      </c>
      <c r="E100" s="21" t="s">
        <v>79</v>
      </c>
      <c r="F100" s="21" t="s">
        <v>21</v>
      </c>
      <c r="G100" s="21" t="s">
        <v>64</v>
      </c>
      <c r="H100" s="21" t="s">
        <v>15</v>
      </c>
      <c r="I100" s="21" t="s">
        <v>23</v>
      </c>
      <c r="J100" s="21" t="s">
        <v>59</v>
      </c>
      <c r="K100" s="21" t="s">
        <v>24</v>
      </c>
      <c r="L100" s="21" t="s">
        <v>13</v>
      </c>
      <c r="M100" s="21" t="s">
        <v>296</v>
      </c>
    </row>
    <row r="101" spans="1:26" x14ac:dyDescent="0.2">
      <c r="A101" s="1493" t="s">
        <v>317</v>
      </c>
      <c r="B101" s="4">
        <v>41633714000</v>
      </c>
      <c r="C101" s="4">
        <v>40004756000</v>
      </c>
      <c r="D101" s="4">
        <v>30950235000</v>
      </c>
      <c r="E101" s="4">
        <v>29728729000</v>
      </c>
      <c r="F101" s="4">
        <v>20547780000</v>
      </c>
      <c r="G101" s="4">
        <v>19432185000</v>
      </c>
      <c r="H101" s="4">
        <v>18738190000</v>
      </c>
      <c r="I101" s="4">
        <v>18522715000</v>
      </c>
      <c r="J101" s="4">
        <v>15951065000</v>
      </c>
      <c r="K101" s="4">
        <v>15866265000</v>
      </c>
      <c r="L101" s="4">
        <v>15165963000</v>
      </c>
      <c r="M101" s="4">
        <v>12650410000</v>
      </c>
    </row>
    <row r="102" spans="1:26" x14ac:dyDescent="0.2">
      <c r="A102" s="1493" t="s">
        <v>309</v>
      </c>
      <c r="B102" s="21" t="s">
        <v>14</v>
      </c>
      <c r="C102" s="21" t="s">
        <v>18</v>
      </c>
      <c r="D102" s="21" t="s">
        <v>12</v>
      </c>
      <c r="E102" s="21" t="s">
        <v>296</v>
      </c>
      <c r="F102" s="21" t="s">
        <v>35</v>
      </c>
      <c r="G102" s="21" t="s">
        <v>33</v>
      </c>
      <c r="H102" s="21" t="s">
        <v>163</v>
      </c>
      <c r="I102" s="21" t="s">
        <v>13</v>
      </c>
      <c r="J102" s="21" t="s">
        <v>21</v>
      </c>
      <c r="K102" s="21" t="s">
        <v>79</v>
      </c>
      <c r="L102" s="21" t="s">
        <v>40</v>
      </c>
      <c r="M102" s="21" t="s">
        <v>5</v>
      </c>
      <c r="N102" s="1493" t="s">
        <v>393</v>
      </c>
      <c r="O102" s="21" t="s">
        <v>192</v>
      </c>
      <c r="P102" s="21" t="s">
        <v>18</v>
      </c>
      <c r="Q102" s="21" t="s">
        <v>271</v>
      </c>
      <c r="R102" s="21" t="s">
        <v>27</v>
      </c>
      <c r="S102" s="21" t="s">
        <v>15</v>
      </c>
      <c r="T102" s="21" t="s">
        <v>23</v>
      </c>
      <c r="U102" s="21" t="s">
        <v>71</v>
      </c>
      <c r="V102" s="21" t="s">
        <v>92</v>
      </c>
      <c r="W102" s="21" t="s">
        <v>296</v>
      </c>
      <c r="X102" s="21" t="s">
        <v>86</v>
      </c>
      <c r="Y102" s="21" t="s">
        <v>74</v>
      </c>
      <c r="Z102" s="21" t="s">
        <v>29</v>
      </c>
    </row>
    <row r="103" spans="1:26" x14ac:dyDescent="0.2">
      <c r="A103" s="1493" t="s">
        <v>309</v>
      </c>
      <c r="B103" s="4">
        <v>63484248000</v>
      </c>
      <c r="C103" s="4">
        <v>34027340000</v>
      </c>
      <c r="D103" s="4">
        <v>23023223000</v>
      </c>
      <c r="E103" s="1279">
        <v>20993770000</v>
      </c>
      <c r="F103" s="4">
        <v>17802970000</v>
      </c>
      <c r="G103" s="4">
        <v>17373680000</v>
      </c>
      <c r="H103" s="4">
        <v>14972434000</v>
      </c>
      <c r="I103" s="4">
        <v>10270080000</v>
      </c>
      <c r="J103" s="4">
        <v>10104180000</v>
      </c>
      <c r="K103" s="4">
        <v>10095020000</v>
      </c>
      <c r="L103" s="4">
        <v>9652630000</v>
      </c>
      <c r="M103" s="4">
        <v>7824432000</v>
      </c>
      <c r="N103" s="1493" t="s">
        <v>393</v>
      </c>
      <c r="O103" s="4">
        <v>196611260000</v>
      </c>
      <c r="P103" s="4">
        <v>69285020000</v>
      </c>
      <c r="Q103" s="4">
        <v>48553656000</v>
      </c>
      <c r="R103" s="4">
        <v>42224115000</v>
      </c>
      <c r="S103" s="4">
        <v>38363485000</v>
      </c>
      <c r="T103" s="4">
        <v>33725114000</v>
      </c>
      <c r="U103" s="4">
        <v>32740730000</v>
      </c>
      <c r="V103" s="4">
        <v>24782510000</v>
      </c>
      <c r="W103" s="4">
        <v>20993770000</v>
      </c>
      <c r="X103" s="4">
        <v>20915700000</v>
      </c>
      <c r="Y103" s="4">
        <v>20220795000</v>
      </c>
      <c r="Z103" s="4">
        <v>19720335000</v>
      </c>
    </row>
    <row r="104" spans="1:26" x14ac:dyDescent="0.2">
      <c r="A104" s="1493" t="s">
        <v>305</v>
      </c>
      <c r="B104" s="21" t="s">
        <v>192</v>
      </c>
      <c r="C104" s="21" t="s">
        <v>70</v>
      </c>
      <c r="D104" s="21" t="s">
        <v>99</v>
      </c>
      <c r="E104" s="21" t="s">
        <v>29</v>
      </c>
      <c r="F104" s="21" t="s">
        <v>92</v>
      </c>
      <c r="G104" s="21" t="s">
        <v>34</v>
      </c>
      <c r="H104" s="21" t="s">
        <v>74</v>
      </c>
      <c r="I104" s="21" t="s">
        <v>202</v>
      </c>
      <c r="J104" s="21" t="s">
        <v>23</v>
      </c>
      <c r="K104" s="21" t="s">
        <v>86</v>
      </c>
      <c r="L104" s="21" t="s">
        <v>302</v>
      </c>
      <c r="M104" s="21" t="s">
        <v>9</v>
      </c>
    </row>
    <row r="105" spans="1:26" x14ac:dyDescent="0.2">
      <c r="A105" s="1493" t="s">
        <v>305</v>
      </c>
      <c r="B105" s="1275">
        <v>196611260000</v>
      </c>
      <c r="C105" s="4">
        <v>17789730000</v>
      </c>
      <c r="D105" s="4">
        <v>11902960000</v>
      </c>
      <c r="E105" s="4">
        <v>7364471800</v>
      </c>
      <c r="F105" s="4">
        <v>6529590000</v>
      </c>
      <c r="G105" s="4">
        <v>5802690000</v>
      </c>
      <c r="H105" s="4">
        <v>5641840000</v>
      </c>
      <c r="I105" s="4">
        <v>3650000000</v>
      </c>
      <c r="J105" s="4">
        <v>3499715000</v>
      </c>
      <c r="K105" s="4">
        <v>2472000000</v>
      </c>
      <c r="L105" s="4">
        <v>2370705000</v>
      </c>
      <c r="M105" s="4">
        <v>1721620000</v>
      </c>
    </row>
    <row r="106" spans="1:26" x14ac:dyDescent="0.2">
      <c r="A106" s="1493" t="s">
        <v>260</v>
      </c>
      <c r="B106" s="21" t="s">
        <v>27</v>
      </c>
      <c r="C106" s="21" t="s">
        <v>14</v>
      </c>
      <c r="D106" s="21" t="s">
        <v>271</v>
      </c>
      <c r="E106" s="21" t="s">
        <v>15</v>
      </c>
      <c r="F106" s="21" t="s">
        <v>86</v>
      </c>
      <c r="G106" s="21" t="s">
        <v>97</v>
      </c>
      <c r="H106" s="21" t="s">
        <v>92</v>
      </c>
      <c r="I106" s="21" t="s">
        <v>34</v>
      </c>
      <c r="J106" s="21" t="s">
        <v>29</v>
      </c>
      <c r="K106" s="21" t="s">
        <v>74</v>
      </c>
      <c r="L106" s="21" t="s">
        <v>16</v>
      </c>
      <c r="M106" s="21" t="s">
        <v>8</v>
      </c>
    </row>
    <row r="107" spans="1:26" x14ac:dyDescent="0.2">
      <c r="A107" s="1493" t="s">
        <v>260</v>
      </c>
      <c r="B107" s="1270">
        <v>38085320000</v>
      </c>
      <c r="C107" s="4">
        <v>37300959000</v>
      </c>
      <c r="D107" s="4">
        <v>23868205000</v>
      </c>
      <c r="E107" s="4">
        <v>20127630000</v>
      </c>
      <c r="F107" s="4">
        <v>18443700000</v>
      </c>
      <c r="G107" s="1271">
        <v>14893110000</v>
      </c>
      <c r="H107" s="1272">
        <v>13744700000</v>
      </c>
      <c r="I107" s="4">
        <v>9489814000</v>
      </c>
      <c r="J107" s="4">
        <v>8068525500</v>
      </c>
      <c r="K107" s="1273">
        <v>7128805000</v>
      </c>
      <c r="L107" s="4">
        <v>5098950000</v>
      </c>
      <c r="M107" s="4">
        <v>5040060000</v>
      </c>
    </row>
    <row r="108" spans="1:26" x14ac:dyDescent="0.2">
      <c r="A108" s="1493" t="s">
        <v>259</v>
      </c>
      <c r="B108" s="21" t="s">
        <v>18</v>
      </c>
      <c r="C108" s="21" t="s">
        <v>71</v>
      </c>
      <c r="D108" s="21" t="s">
        <v>271</v>
      </c>
      <c r="E108" s="21" t="s">
        <v>194</v>
      </c>
      <c r="F108" s="21" t="s">
        <v>34</v>
      </c>
      <c r="G108" s="21" t="s">
        <v>35</v>
      </c>
      <c r="H108" s="21" t="s">
        <v>20</v>
      </c>
      <c r="I108" s="21" t="s">
        <v>14</v>
      </c>
      <c r="J108" s="21" t="s">
        <v>26</v>
      </c>
      <c r="K108" s="21" t="s">
        <v>21</v>
      </c>
      <c r="L108" s="21" t="s">
        <v>198</v>
      </c>
      <c r="M108" s="21" t="s">
        <v>302</v>
      </c>
    </row>
    <row r="109" spans="1:26" x14ac:dyDescent="0.2">
      <c r="A109" s="1493" t="s">
        <v>259</v>
      </c>
      <c r="B109" s="1269">
        <v>40732570000</v>
      </c>
      <c r="C109" s="4">
        <v>29779555000</v>
      </c>
      <c r="D109" s="4">
        <v>24685451000</v>
      </c>
      <c r="E109" s="4">
        <v>15689930000</v>
      </c>
      <c r="F109" s="4">
        <v>13623154000</v>
      </c>
      <c r="G109" s="4">
        <v>12411900000</v>
      </c>
      <c r="H109" s="4">
        <v>8431660000</v>
      </c>
      <c r="I109" s="4">
        <v>7280474000</v>
      </c>
      <c r="J109" s="4">
        <v>6907270000</v>
      </c>
      <c r="K109" s="4">
        <v>4908670000</v>
      </c>
      <c r="L109" s="4">
        <v>3030150000</v>
      </c>
      <c r="M109" s="4">
        <v>2277795000</v>
      </c>
    </row>
    <row r="110" spans="1:26" x14ac:dyDescent="0.2">
      <c r="A110" s="1493" t="s">
        <v>258</v>
      </c>
      <c r="B110" s="21" t="s">
        <v>14</v>
      </c>
      <c r="C110" s="21" t="s">
        <v>15</v>
      </c>
      <c r="D110" s="21" t="s">
        <v>23</v>
      </c>
      <c r="E110" s="21" t="s">
        <v>35</v>
      </c>
      <c r="F110" s="21" t="s">
        <v>301</v>
      </c>
      <c r="G110" s="21" t="s">
        <v>67</v>
      </c>
      <c r="H110" s="21" t="s">
        <v>13</v>
      </c>
      <c r="I110" s="21" t="s">
        <v>79</v>
      </c>
      <c r="J110" s="21" t="s">
        <v>99</v>
      </c>
      <c r="K110" s="21" t="s">
        <v>17</v>
      </c>
      <c r="L110" s="21" t="s">
        <v>5</v>
      </c>
      <c r="M110" s="21" t="s">
        <v>194</v>
      </c>
    </row>
    <row r="111" spans="1:26" x14ac:dyDescent="0.2">
      <c r="A111" s="1493" t="s">
        <v>258</v>
      </c>
      <c r="B111" s="4">
        <v>44577210000</v>
      </c>
      <c r="C111" s="4">
        <v>36082830000</v>
      </c>
      <c r="D111" s="4">
        <v>35608278000</v>
      </c>
      <c r="E111" s="4">
        <v>16728410000</v>
      </c>
      <c r="F111" s="4">
        <v>12527075000</v>
      </c>
      <c r="G111" s="4">
        <v>6810963000</v>
      </c>
      <c r="H111" s="4">
        <v>5651215000</v>
      </c>
      <c r="I111" s="4">
        <v>4768255000</v>
      </c>
      <c r="J111" s="4">
        <v>4085695000</v>
      </c>
      <c r="K111" s="4">
        <v>3215619000</v>
      </c>
      <c r="L111" s="4">
        <v>2484551000</v>
      </c>
      <c r="M111" s="4">
        <v>2265375000</v>
      </c>
    </row>
    <row r="112" spans="1:26" x14ac:dyDescent="0.2">
      <c r="A112" s="1493" t="s">
        <v>257</v>
      </c>
      <c r="B112" s="21" t="s">
        <v>86</v>
      </c>
      <c r="C112" s="21" t="s">
        <v>67</v>
      </c>
      <c r="D112" s="21" t="s">
        <v>301</v>
      </c>
      <c r="E112" s="21" t="s">
        <v>40</v>
      </c>
      <c r="F112" s="21" t="s">
        <v>8</v>
      </c>
      <c r="G112" s="21" t="s">
        <v>30</v>
      </c>
      <c r="H112" s="21" t="s">
        <v>36</v>
      </c>
      <c r="I112" s="21" t="s">
        <v>176</v>
      </c>
      <c r="J112" s="21" t="s">
        <v>58</v>
      </c>
      <c r="K112" s="21" t="s">
        <v>194</v>
      </c>
      <c r="L112" s="21" t="s">
        <v>68</v>
      </c>
      <c r="M112" s="21" t="s">
        <v>25</v>
      </c>
      <c r="N112" s="1493" t="s">
        <v>392</v>
      </c>
      <c r="O112" s="21" t="s">
        <v>33</v>
      </c>
      <c r="P112" s="21" t="s">
        <v>26</v>
      </c>
      <c r="Q112" s="21" t="s">
        <v>86</v>
      </c>
      <c r="R112" s="21" t="s">
        <v>40</v>
      </c>
      <c r="S112" s="21" t="s">
        <v>12</v>
      </c>
      <c r="T112" s="21" t="s">
        <v>186</v>
      </c>
      <c r="U112" s="21" t="s">
        <v>36</v>
      </c>
      <c r="V112" s="21" t="s">
        <v>301</v>
      </c>
      <c r="W112" s="21" t="s">
        <v>67</v>
      </c>
      <c r="X112" s="21" t="s">
        <v>69</v>
      </c>
      <c r="Y112" s="21" t="s">
        <v>8</v>
      </c>
      <c r="Z112" s="21" t="s">
        <v>73</v>
      </c>
    </row>
    <row r="113" spans="1:26" x14ac:dyDescent="0.2">
      <c r="A113" s="1493" t="s">
        <v>257</v>
      </c>
      <c r="B113" s="1262">
        <v>53991560000</v>
      </c>
      <c r="C113" s="1263">
        <v>46380335000</v>
      </c>
      <c r="D113" s="1264">
        <v>27612235000</v>
      </c>
      <c r="E113" s="4">
        <v>16598480000</v>
      </c>
      <c r="F113" s="4">
        <v>16236200000</v>
      </c>
      <c r="G113" s="4">
        <v>11510294000</v>
      </c>
      <c r="H113" s="4">
        <v>7465970000</v>
      </c>
      <c r="I113" s="4">
        <v>6889820000</v>
      </c>
      <c r="J113" s="4">
        <v>6633360000</v>
      </c>
      <c r="K113" s="4">
        <v>5465000000</v>
      </c>
      <c r="L113" s="4">
        <v>4769800000</v>
      </c>
      <c r="M113" s="4">
        <v>4723980000</v>
      </c>
      <c r="N113" s="1493" t="s">
        <v>392</v>
      </c>
      <c r="O113" s="4">
        <v>95117387499</v>
      </c>
      <c r="P113" s="4">
        <v>91684281150</v>
      </c>
      <c r="Q113" s="4">
        <v>53991560000</v>
      </c>
      <c r="R113" s="4">
        <v>48359332000</v>
      </c>
      <c r="S113" s="4">
        <v>44161888880</v>
      </c>
      <c r="T113" s="4">
        <v>42661487490</v>
      </c>
      <c r="U113" s="4">
        <v>38519100000</v>
      </c>
      <c r="V113" s="4">
        <v>31821255000</v>
      </c>
      <c r="W113" s="4">
        <v>27255840290</v>
      </c>
      <c r="X113" s="4">
        <v>25339535000</v>
      </c>
      <c r="Y113" s="4">
        <v>16236200000</v>
      </c>
      <c r="Z113" s="4">
        <v>10691959000</v>
      </c>
    </row>
    <row r="114" spans="1:26" x14ac:dyDescent="0.2">
      <c r="A114" s="1493" t="s">
        <v>256</v>
      </c>
      <c r="B114" s="21" t="s">
        <v>33</v>
      </c>
      <c r="C114" s="21" t="s">
        <v>26</v>
      </c>
      <c r="D114" s="21" t="s">
        <v>15</v>
      </c>
      <c r="E114" s="21" t="s">
        <v>186</v>
      </c>
      <c r="F114" s="21" t="s">
        <v>40</v>
      </c>
      <c r="G114" s="21" t="s">
        <v>36</v>
      </c>
      <c r="H114" s="21" t="s">
        <v>23</v>
      </c>
      <c r="I114" s="21" t="s">
        <v>59</v>
      </c>
      <c r="J114" s="21" t="s">
        <v>69</v>
      </c>
      <c r="K114" s="21" t="s">
        <v>21</v>
      </c>
      <c r="L114" s="21" t="s">
        <v>12</v>
      </c>
      <c r="M114" s="21" t="s">
        <v>79</v>
      </c>
    </row>
    <row r="115" spans="1:26" x14ac:dyDescent="0.2">
      <c r="A115" s="1493" t="s">
        <v>256</v>
      </c>
      <c r="B115" s="4">
        <v>62485861000</v>
      </c>
      <c r="C115" s="1258">
        <v>60666265000</v>
      </c>
      <c r="D115" s="4">
        <v>30921165000</v>
      </c>
      <c r="E115" s="1259">
        <v>28541500000</v>
      </c>
      <c r="F115" s="4">
        <v>26981560000</v>
      </c>
      <c r="G115" s="4">
        <v>25192090000</v>
      </c>
      <c r="H115" s="4">
        <v>22397149000</v>
      </c>
      <c r="I115" s="4">
        <v>17921605000</v>
      </c>
      <c r="J115" s="4">
        <v>17751790000</v>
      </c>
      <c r="K115" s="4">
        <v>13477390000</v>
      </c>
      <c r="L115" s="4">
        <v>12439072000</v>
      </c>
      <c r="M115" s="4">
        <v>12377655000</v>
      </c>
    </row>
    <row r="116" spans="1:26" x14ac:dyDescent="0.2">
      <c r="A116" s="1493" t="s">
        <v>255</v>
      </c>
      <c r="B116" s="21" t="s">
        <v>33</v>
      </c>
      <c r="C116" s="21" t="s">
        <v>79</v>
      </c>
      <c r="D116" s="21" t="s">
        <v>35</v>
      </c>
      <c r="E116" s="21" t="s">
        <v>12</v>
      </c>
      <c r="F116" s="21" t="s">
        <v>26</v>
      </c>
      <c r="G116" s="21" t="s">
        <v>14</v>
      </c>
      <c r="H116" s="21" t="s">
        <v>32</v>
      </c>
      <c r="I116" s="21" t="s">
        <v>23</v>
      </c>
      <c r="J116" s="21" t="s">
        <v>186</v>
      </c>
      <c r="K116" s="21" t="s">
        <v>21</v>
      </c>
      <c r="L116" s="21" t="s">
        <v>59</v>
      </c>
      <c r="M116" s="21" t="s">
        <v>69</v>
      </c>
    </row>
    <row r="117" spans="1:26" x14ac:dyDescent="0.2">
      <c r="A117" s="1493" t="s">
        <v>255</v>
      </c>
      <c r="B117" s="4">
        <v>60108110000</v>
      </c>
      <c r="C117" s="4">
        <v>40445885000</v>
      </c>
      <c r="D117" s="4">
        <v>37760950000</v>
      </c>
      <c r="E117" s="4">
        <v>36705744000</v>
      </c>
      <c r="F117" s="1253">
        <v>31065670000</v>
      </c>
      <c r="G117" s="4">
        <v>19249217000</v>
      </c>
      <c r="H117" s="4">
        <v>18694515000</v>
      </c>
      <c r="I117" s="4">
        <v>15188428000</v>
      </c>
      <c r="J117" s="4">
        <v>14119075000</v>
      </c>
      <c r="K117" s="4">
        <v>9379940000</v>
      </c>
      <c r="L117" s="4">
        <v>8764910000</v>
      </c>
      <c r="M117" s="4">
        <v>7587745000</v>
      </c>
    </row>
    <row r="118" spans="1:26" x14ac:dyDescent="0.2">
      <c r="A118" s="1493" t="s">
        <v>254</v>
      </c>
      <c r="B118" s="21" t="s">
        <v>71</v>
      </c>
      <c r="C118" s="21" t="s">
        <v>17</v>
      </c>
      <c r="D118" s="21" t="s">
        <v>79</v>
      </c>
      <c r="E118" s="21" t="s">
        <v>99</v>
      </c>
      <c r="F118" s="21" t="s">
        <v>12</v>
      </c>
      <c r="G118" s="21" t="s">
        <v>18</v>
      </c>
      <c r="H118" s="21" t="s">
        <v>183</v>
      </c>
      <c r="I118" s="21" t="s">
        <v>286</v>
      </c>
      <c r="J118" s="21" t="s">
        <v>169</v>
      </c>
      <c r="K118" s="21" t="s">
        <v>76</v>
      </c>
      <c r="L118" s="21" t="s">
        <v>488</v>
      </c>
      <c r="M118" s="21" t="s">
        <v>65</v>
      </c>
    </row>
    <row r="119" spans="1:26" x14ac:dyDescent="0.2">
      <c r="A119" s="1493" t="s">
        <v>254</v>
      </c>
      <c r="B119" s="4">
        <v>60325900</v>
      </c>
      <c r="C119" s="4">
        <v>47806590</v>
      </c>
      <c r="D119" s="4">
        <v>21008520</v>
      </c>
      <c r="E119" s="4">
        <v>15247370</v>
      </c>
      <c r="F119" s="4">
        <v>7911100</v>
      </c>
      <c r="G119" s="4">
        <v>3996050</v>
      </c>
      <c r="H119" s="4">
        <v>3084410</v>
      </c>
      <c r="I119" s="4">
        <v>1932460</v>
      </c>
      <c r="J119" s="4">
        <v>1645770</v>
      </c>
      <c r="K119" s="4">
        <v>1595450</v>
      </c>
      <c r="L119" s="1252">
        <v>1456870</v>
      </c>
      <c r="M119" s="4">
        <v>1436310</v>
      </c>
    </row>
    <row r="120" spans="1:26" x14ac:dyDescent="0.2">
      <c r="A120" s="1493" t="s">
        <v>253</v>
      </c>
      <c r="B120" s="21" t="s">
        <v>79</v>
      </c>
      <c r="C120" s="21" t="s">
        <v>17</v>
      </c>
      <c r="D120" s="21" t="s">
        <v>5</v>
      </c>
      <c r="E120" s="21" t="s">
        <v>21</v>
      </c>
      <c r="F120" s="21" t="s">
        <v>40</v>
      </c>
      <c r="G120" s="21" t="s">
        <v>22</v>
      </c>
      <c r="H120" s="21" t="s">
        <v>9</v>
      </c>
      <c r="I120" s="21" t="s">
        <v>18</v>
      </c>
      <c r="J120" s="21" t="s">
        <v>35</v>
      </c>
      <c r="K120" s="21" t="s">
        <v>65</v>
      </c>
    </row>
    <row r="121" spans="1:26" x14ac:dyDescent="0.2">
      <c r="A121" s="1493" t="s">
        <v>253</v>
      </c>
      <c r="B121" s="4">
        <v>37467870</v>
      </c>
      <c r="C121" s="4">
        <v>36111580</v>
      </c>
      <c r="D121" s="4">
        <v>17177850</v>
      </c>
      <c r="E121" s="4">
        <v>10608480</v>
      </c>
      <c r="F121" s="4">
        <v>9448270</v>
      </c>
      <c r="G121" s="4">
        <v>5852450</v>
      </c>
      <c r="H121" s="4">
        <v>3310860</v>
      </c>
      <c r="I121" s="4">
        <v>2877380</v>
      </c>
      <c r="J121" s="4">
        <v>1616970</v>
      </c>
      <c r="K121" s="4">
        <v>849310</v>
      </c>
    </row>
    <row r="122" spans="1:26" x14ac:dyDescent="0.2">
      <c r="A122" s="1493" t="s">
        <v>252</v>
      </c>
      <c r="B122" s="21" t="s">
        <v>71</v>
      </c>
      <c r="C122" s="21" t="s">
        <v>66</v>
      </c>
      <c r="D122" s="21" t="s">
        <v>88</v>
      </c>
      <c r="E122" s="21" t="s">
        <v>12</v>
      </c>
      <c r="F122" s="21" t="s">
        <v>69</v>
      </c>
      <c r="G122" s="21" t="s">
        <v>61</v>
      </c>
      <c r="H122" s="21" t="s">
        <v>40</v>
      </c>
      <c r="I122" s="21" t="s">
        <v>68</v>
      </c>
      <c r="J122" s="21" t="s">
        <v>17</v>
      </c>
      <c r="K122" s="21" t="s">
        <v>36</v>
      </c>
      <c r="L122" s="21" t="s">
        <v>285</v>
      </c>
      <c r="M122" s="21" t="s">
        <v>79</v>
      </c>
      <c r="N122" s="1493" t="s">
        <v>391</v>
      </c>
      <c r="O122" s="21" t="s">
        <v>71</v>
      </c>
      <c r="P122" s="21" t="s">
        <v>79</v>
      </c>
      <c r="Q122" s="21" t="s">
        <v>32</v>
      </c>
      <c r="R122" s="21" t="s">
        <v>12</v>
      </c>
      <c r="S122" s="21" t="s">
        <v>15</v>
      </c>
      <c r="T122" s="21" t="s">
        <v>21</v>
      </c>
      <c r="U122" s="21" t="s">
        <v>86</v>
      </c>
      <c r="V122" s="21" t="s">
        <v>99</v>
      </c>
      <c r="W122" s="21" t="s">
        <v>14</v>
      </c>
      <c r="X122" s="21" t="s">
        <v>24</v>
      </c>
      <c r="Y122" s="21" t="s">
        <v>64</v>
      </c>
      <c r="Z122" s="21" t="s">
        <v>37</v>
      </c>
    </row>
    <row r="123" spans="1:26" x14ac:dyDescent="0.2">
      <c r="A123" s="1493" t="s">
        <v>252</v>
      </c>
      <c r="B123" s="1249">
        <v>232315895000</v>
      </c>
      <c r="C123" s="4">
        <v>14502855000</v>
      </c>
      <c r="D123" s="4">
        <v>13172205000</v>
      </c>
      <c r="E123" s="4">
        <v>12608041000</v>
      </c>
      <c r="F123" s="4">
        <v>9309000000</v>
      </c>
      <c r="G123" s="4">
        <v>7549975000</v>
      </c>
      <c r="H123" s="4">
        <v>7181387000</v>
      </c>
      <c r="I123" s="4">
        <v>6888000000</v>
      </c>
      <c r="J123" s="4">
        <v>5614025000</v>
      </c>
      <c r="K123" s="4">
        <v>5230890000</v>
      </c>
      <c r="L123" s="4">
        <v>4864485000</v>
      </c>
      <c r="M123" s="4">
        <v>4168550000</v>
      </c>
      <c r="N123" s="1493" t="s">
        <v>391</v>
      </c>
      <c r="O123" s="4">
        <v>238386935000</v>
      </c>
      <c r="P123" s="4">
        <v>147360328000</v>
      </c>
      <c r="Q123" s="4">
        <v>111853332000</v>
      </c>
      <c r="R123" s="4">
        <v>96063033000</v>
      </c>
      <c r="S123" s="4">
        <v>88659716000</v>
      </c>
      <c r="T123" s="4">
        <v>72146370000</v>
      </c>
      <c r="U123" s="4">
        <v>58775925000</v>
      </c>
      <c r="V123" s="4">
        <v>54869798000</v>
      </c>
      <c r="W123" s="4">
        <v>54207059000</v>
      </c>
      <c r="X123" s="4">
        <v>52116565000</v>
      </c>
      <c r="Y123" s="4">
        <v>47779240000</v>
      </c>
      <c r="Z123" s="4">
        <v>46354815000</v>
      </c>
    </row>
    <row r="124" spans="1:26" x14ac:dyDescent="0.2">
      <c r="A124" s="1493" t="s">
        <v>251</v>
      </c>
      <c r="B124" s="21" t="s">
        <v>79</v>
      </c>
      <c r="C124" s="21" t="s">
        <v>32</v>
      </c>
      <c r="D124" s="21" t="s">
        <v>15</v>
      </c>
      <c r="E124" s="21" t="s">
        <v>12</v>
      </c>
      <c r="F124" s="21" t="s">
        <v>21</v>
      </c>
      <c r="G124" s="21" t="s">
        <v>13</v>
      </c>
      <c r="H124" s="21" t="s">
        <v>37</v>
      </c>
      <c r="I124" s="21" t="s">
        <v>14</v>
      </c>
      <c r="J124" s="21" t="s">
        <v>64</v>
      </c>
      <c r="K124" s="21" t="s">
        <v>5</v>
      </c>
      <c r="L124" s="21" t="s">
        <v>261</v>
      </c>
      <c r="M124" s="21" t="s">
        <v>24</v>
      </c>
    </row>
    <row r="125" spans="1:26" x14ac:dyDescent="0.2">
      <c r="A125" s="1493" t="s">
        <v>251</v>
      </c>
      <c r="B125" s="1241">
        <v>112662494000</v>
      </c>
      <c r="C125" s="4">
        <v>98950131000</v>
      </c>
      <c r="D125" s="4">
        <v>69846485000</v>
      </c>
      <c r="E125" s="1242">
        <v>68175432000</v>
      </c>
      <c r="F125" s="1243">
        <v>56252460000</v>
      </c>
      <c r="G125" s="1244">
        <v>48957070000</v>
      </c>
      <c r="H125" s="1245">
        <v>43770705000</v>
      </c>
      <c r="I125" s="4">
        <v>40799348000</v>
      </c>
      <c r="J125" s="1246">
        <v>40791940000</v>
      </c>
      <c r="K125" s="4">
        <v>39688660000</v>
      </c>
      <c r="L125" s="1247">
        <v>38828910000</v>
      </c>
      <c r="M125" s="4">
        <v>37134855000</v>
      </c>
    </row>
    <row r="126" spans="1:26" x14ac:dyDescent="0.2">
      <c r="A126" s="1493" t="s">
        <v>250</v>
      </c>
      <c r="B126" s="21" t="s">
        <v>32</v>
      </c>
      <c r="C126" s="21" t="s">
        <v>35</v>
      </c>
      <c r="D126" s="21" t="s">
        <v>21</v>
      </c>
      <c r="E126" s="21" t="s">
        <v>15</v>
      </c>
      <c r="F126" s="21" t="s">
        <v>194</v>
      </c>
      <c r="G126" s="21" t="s">
        <v>99</v>
      </c>
      <c r="H126" s="21" t="s">
        <v>58</v>
      </c>
      <c r="I126" s="21" t="s">
        <v>79</v>
      </c>
      <c r="J126" s="21" t="s">
        <v>12</v>
      </c>
      <c r="K126" s="21" t="s">
        <v>24</v>
      </c>
      <c r="L126" s="21" t="s">
        <v>64</v>
      </c>
      <c r="M126" s="21" t="s">
        <v>66</v>
      </c>
    </row>
    <row r="127" spans="1:26" x14ac:dyDescent="0.2">
      <c r="A127" s="1493" t="s">
        <v>250</v>
      </c>
      <c r="B127" s="4">
        <v>34527002000</v>
      </c>
      <c r="C127" s="4">
        <v>22571397000</v>
      </c>
      <c r="D127" s="4">
        <v>22237110000</v>
      </c>
      <c r="E127" s="4">
        <v>19870740000</v>
      </c>
      <c r="F127" s="1237">
        <v>18223620000</v>
      </c>
      <c r="G127" s="4">
        <v>18094975000</v>
      </c>
      <c r="H127" s="4">
        <v>17856665000</v>
      </c>
      <c r="I127" s="4">
        <v>16817979000</v>
      </c>
      <c r="J127" s="4">
        <v>16070144000</v>
      </c>
      <c r="K127" s="4">
        <v>15369800000</v>
      </c>
      <c r="L127" s="4">
        <v>15179050000</v>
      </c>
      <c r="M127" s="1238">
        <v>14985695000</v>
      </c>
    </row>
    <row r="128" spans="1:26" x14ac:dyDescent="0.2">
      <c r="A128" s="1493" t="s">
        <v>249</v>
      </c>
      <c r="B128" s="21" t="s">
        <v>15</v>
      </c>
      <c r="C128" s="21" t="s">
        <v>163</v>
      </c>
      <c r="D128" s="21" t="s">
        <v>14</v>
      </c>
      <c r="E128" s="21" t="s">
        <v>194</v>
      </c>
      <c r="F128" s="21" t="s">
        <v>34</v>
      </c>
      <c r="G128" s="21" t="s">
        <v>57</v>
      </c>
      <c r="H128" s="21" t="s">
        <v>27</v>
      </c>
      <c r="I128" s="21" t="s">
        <v>86</v>
      </c>
      <c r="J128" s="21" t="s">
        <v>18</v>
      </c>
      <c r="K128" s="21" t="s">
        <v>5</v>
      </c>
      <c r="L128" s="21" t="s">
        <v>58</v>
      </c>
      <c r="M128" s="21" t="s">
        <v>171</v>
      </c>
    </row>
    <row r="129" spans="1:26" x14ac:dyDescent="0.2">
      <c r="A129" s="1493" t="s">
        <v>249</v>
      </c>
      <c r="B129" s="4">
        <v>37492420000</v>
      </c>
      <c r="C129" s="4">
        <v>28835239000</v>
      </c>
      <c r="D129" s="4">
        <v>13482407000</v>
      </c>
      <c r="E129" s="4">
        <v>10258230000</v>
      </c>
      <c r="F129" s="4">
        <v>9388485000</v>
      </c>
      <c r="G129" s="4">
        <v>8559540000</v>
      </c>
      <c r="H129" s="1235">
        <v>8526215000</v>
      </c>
      <c r="I129" s="4">
        <v>8520370000</v>
      </c>
      <c r="J129" s="4">
        <v>8434135000</v>
      </c>
      <c r="K129" s="4">
        <v>7531090000</v>
      </c>
      <c r="L129" s="4">
        <v>7518880000</v>
      </c>
      <c r="M129" s="1236">
        <v>7277510000</v>
      </c>
    </row>
    <row r="130" spans="1:26" x14ac:dyDescent="0.2">
      <c r="A130" s="1493" t="s">
        <v>248</v>
      </c>
      <c r="B130" s="21" t="s">
        <v>262</v>
      </c>
      <c r="C130" s="21" t="s">
        <v>35</v>
      </c>
      <c r="D130" s="21" t="s">
        <v>163</v>
      </c>
      <c r="E130" s="21" t="s">
        <v>32</v>
      </c>
      <c r="F130" s="21" t="s">
        <v>8</v>
      </c>
      <c r="G130" s="21" t="s">
        <v>38</v>
      </c>
      <c r="H130" s="21" t="s">
        <v>79</v>
      </c>
      <c r="I130" s="21" t="s">
        <v>194</v>
      </c>
      <c r="J130" s="21" t="s">
        <v>33</v>
      </c>
      <c r="K130" s="21" t="s">
        <v>24</v>
      </c>
      <c r="L130" s="21" t="s">
        <v>21</v>
      </c>
      <c r="M130" s="21" t="s">
        <v>5</v>
      </c>
    </row>
    <row r="131" spans="1:26" x14ac:dyDescent="0.2">
      <c r="A131" s="1493" t="s">
        <v>248</v>
      </c>
      <c r="B131" s="1233">
        <v>33904800000</v>
      </c>
      <c r="C131" s="4">
        <v>31000570000</v>
      </c>
      <c r="D131" s="4">
        <v>23773718000</v>
      </c>
      <c r="E131" s="4">
        <v>19285334000</v>
      </c>
      <c r="F131" s="4">
        <v>17194295000</v>
      </c>
      <c r="G131" s="4">
        <v>16756550000</v>
      </c>
      <c r="H131" s="4">
        <v>13952975000</v>
      </c>
      <c r="I131" s="1234">
        <v>13145840000</v>
      </c>
      <c r="J131" s="4">
        <v>12500090000</v>
      </c>
      <c r="K131" s="4">
        <v>12293430000</v>
      </c>
      <c r="L131" s="4">
        <v>11871810000</v>
      </c>
      <c r="M131" s="4">
        <v>11269090000</v>
      </c>
    </row>
    <row r="132" spans="1:26" x14ac:dyDescent="0.2">
      <c r="A132" s="1493" t="s">
        <v>247</v>
      </c>
      <c r="B132" s="21" t="s">
        <v>32</v>
      </c>
      <c r="C132" s="21" t="s">
        <v>18</v>
      </c>
      <c r="D132" s="21" t="s">
        <v>86</v>
      </c>
      <c r="E132" s="21" t="s">
        <v>8</v>
      </c>
      <c r="F132" s="21" t="s">
        <v>79</v>
      </c>
      <c r="G132" s="21" t="s">
        <v>35</v>
      </c>
      <c r="H132" s="21" t="s">
        <v>5</v>
      </c>
      <c r="I132" s="21" t="s">
        <v>70</v>
      </c>
      <c r="J132" s="21" t="s">
        <v>198</v>
      </c>
      <c r="K132" s="21" t="s">
        <v>37</v>
      </c>
      <c r="L132" s="21" t="s">
        <v>27</v>
      </c>
      <c r="M132" s="21" t="s">
        <v>19</v>
      </c>
      <c r="N132" s="1493" t="s">
        <v>390</v>
      </c>
      <c r="O132" s="21" t="s">
        <v>271</v>
      </c>
      <c r="P132" s="21" t="s">
        <v>86</v>
      </c>
      <c r="Q132" s="21" t="s">
        <v>30</v>
      </c>
      <c r="R132" s="21" t="s">
        <v>14</v>
      </c>
      <c r="S132" s="21" t="s">
        <v>18</v>
      </c>
      <c r="T132" s="21" t="s">
        <v>72</v>
      </c>
      <c r="U132" s="21" t="s">
        <v>37</v>
      </c>
      <c r="V132" s="21" t="s">
        <v>8</v>
      </c>
      <c r="W132" s="21" t="s">
        <v>194</v>
      </c>
      <c r="X132" s="21" t="s">
        <v>84</v>
      </c>
      <c r="Y132" s="21" t="s">
        <v>163</v>
      </c>
      <c r="Z132" s="21" t="s">
        <v>9</v>
      </c>
    </row>
    <row r="133" spans="1:26" x14ac:dyDescent="0.2">
      <c r="A133" s="1493" t="s">
        <v>247</v>
      </c>
      <c r="B133" s="4">
        <v>47545369000</v>
      </c>
      <c r="C133" s="4">
        <v>33267092000</v>
      </c>
      <c r="D133" s="4">
        <v>11518320000</v>
      </c>
      <c r="E133" s="4">
        <v>10458310000</v>
      </c>
      <c r="F133" s="4">
        <v>6875130000</v>
      </c>
      <c r="G133" s="4">
        <v>6860915000</v>
      </c>
      <c r="H133" s="4">
        <v>6008030000</v>
      </c>
      <c r="I133" s="4">
        <v>3701405000</v>
      </c>
      <c r="J133" s="4">
        <v>3629750000</v>
      </c>
      <c r="K133" s="4">
        <v>3185360000</v>
      </c>
      <c r="L133" s="4">
        <v>2928515000</v>
      </c>
      <c r="M133" s="4">
        <v>2240475000</v>
      </c>
      <c r="N133" s="1493" t="s">
        <v>390</v>
      </c>
      <c r="O133" s="4">
        <v>82000000000</v>
      </c>
      <c r="P133" s="4">
        <v>77174685000</v>
      </c>
      <c r="Q133" s="4">
        <v>61958641000</v>
      </c>
      <c r="R133" s="4">
        <v>41139698000</v>
      </c>
      <c r="S133" s="4">
        <v>35867427000</v>
      </c>
      <c r="T133" s="4">
        <v>16300000000</v>
      </c>
      <c r="U133" s="4">
        <v>15712205000</v>
      </c>
      <c r="V133" s="4">
        <v>10458310000</v>
      </c>
      <c r="W133" s="4">
        <v>8524375000</v>
      </c>
      <c r="X133" s="4">
        <v>8434500000</v>
      </c>
      <c r="Y133" s="4">
        <v>8256325000</v>
      </c>
      <c r="Z133" s="4">
        <v>6686120000</v>
      </c>
    </row>
    <row r="134" spans="1:26" x14ac:dyDescent="0.2">
      <c r="A134" s="1493" t="s">
        <v>243</v>
      </c>
      <c r="B134" s="21" t="s">
        <v>17</v>
      </c>
      <c r="C134" s="21" t="s">
        <v>33</v>
      </c>
      <c r="D134" s="21" t="s">
        <v>14</v>
      </c>
      <c r="E134" s="21" t="s">
        <v>15</v>
      </c>
      <c r="F134" s="21" t="s">
        <v>35</v>
      </c>
      <c r="G134" s="21" t="s">
        <v>37</v>
      </c>
      <c r="H134" s="21" t="s">
        <v>28</v>
      </c>
      <c r="I134" s="21" t="s">
        <v>13</v>
      </c>
      <c r="J134" s="21" t="s">
        <v>9</v>
      </c>
      <c r="K134" s="21" t="s">
        <v>25</v>
      </c>
      <c r="L134" s="21" t="s">
        <v>29</v>
      </c>
      <c r="M134" s="21" t="s">
        <v>64</v>
      </c>
    </row>
    <row r="135" spans="1:26" x14ac:dyDescent="0.2">
      <c r="A135" s="1493" t="s">
        <v>243</v>
      </c>
      <c r="B135" s="4">
        <v>74101500000</v>
      </c>
      <c r="C135" s="4">
        <v>35997704000</v>
      </c>
      <c r="D135" s="4">
        <v>19317294000</v>
      </c>
      <c r="E135" s="4">
        <v>8381795000</v>
      </c>
      <c r="F135" s="4">
        <v>7972065000</v>
      </c>
      <c r="G135" s="1231">
        <v>7282445000</v>
      </c>
      <c r="H135" s="4">
        <v>6460230000</v>
      </c>
      <c r="I135" s="4">
        <v>5880235000</v>
      </c>
      <c r="J135" s="4">
        <v>4014215000</v>
      </c>
      <c r="K135" s="4">
        <v>3155730000</v>
      </c>
      <c r="L135" s="4">
        <v>2555785000</v>
      </c>
      <c r="M135" s="4">
        <v>2399540000</v>
      </c>
    </row>
    <row r="136" spans="1:26" x14ac:dyDescent="0.2">
      <c r="A136" s="1493" t="s">
        <v>242</v>
      </c>
      <c r="B136" s="21" t="s">
        <v>271</v>
      </c>
      <c r="C136" s="21" t="s">
        <v>30</v>
      </c>
      <c r="D136" s="21" t="s">
        <v>35</v>
      </c>
      <c r="E136" s="21" t="s">
        <v>86</v>
      </c>
      <c r="F136" s="21" t="s">
        <v>72</v>
      </c>
      <c r="G136" s="21" t="s">
        <v>163</v>
      </c>
      <c r="H136" s="21" t="s">
        <v>158</v>
      </c>
      <c r="I136" s="21" t="s">
        <v>38</v>
      </c>
      <c r="J136" s="21" t="s">
        <v>91</v>
      </c>
      <c r="K136" s="21" t="s">
        <v>180</v>
      </c>
      <c r="L136" s="21" t="s">
        <v>22</v>
      </c>
      <c r="M136" s="21" t="s">
        <v>194</v>
      </c>
    </row>
    <row r="137" spans="1:26" x14ac:dyDescent="0.2">
      <c r="A137" s="1493" t="s">
        <v>242</v>
      </c>
      <c r="B137" s="1226">
        <v>82000000000</v>
      </c>
      <c r="C137" s="4">
        <v>40687681000</v>
      </c>
      <c r="D137" s="4">
        <v>26410430000</v>
      </c>
      <c r="E137" s="4">
        <v>20872620000</v>
      </c>
      <c r="F137" s="4">
        <v>8160000000</v>
      </c>
      <c r="G137" s="4">
        <v>4895780000</v>
      </c>
      <c r="H137" s="1227">
        <v>3188090000</v>
      </c>
      <c r="I137" s="4">
        <v>1990425000</v>
      </c>
      <c r="J137" s="4">
        <v>1600000000</v>
      </c>
      <c r="K137" s="4">
        <v>970630000</v>
      </c>
      <c r="L137" s="4">
        <v>965980000</v>
      </c>
      <c r="M137" s="4">
        <v>644000000</v>
      </c>
    </row>
    <row r="138" spans="1:26" x14ac:dyDescent="0.2">
      <c r="A138" s="1493" t="s">
        <v>241</v>
      </c>
      <c r="B138" s="21" t="s">
        <v>30</v>
      </c>
      <c r="C138" s="21" t="s">
        <v>86</v>
      </c>
      <c r="D138" s="21" t="s">
        <v>266</v>
      </c>
      <c r="E138" s="21" t="s">
        <v>37</v>
      </c>
      <c r="F138" s="21" t="s">
        <v>267</v>
      </c>
      <c r="G138" s="21" t="s">
        <v>180</v>
      </c>
      <c r="H138" s="21" t="s">
        <v>91</v>
      </c>
      <c r="I138" s="21" t="s">
        <v>84</v>
      </c>
      <c r="J138" s="21" t="s">
        <v>194</v>
      </c>
      <c r="K138" s="21" t="s">
        <v>99</v>
      </c>
      <c r="L138" s="21" t="s">
        <v>163</v>
      </c>
      <c r="M138" s="21" t="s">
        <v>14</v>
      </c>
    </row>
    <row r="139" spans="1:26" x14ac:dyDescent="0.2">
      <c r="A139" s="1493" t="s">
        <v>241</v>
      </c>
      <c r="B139" s="4">
        <v>23571580000</v>
      </c>
      <c r="C139" s="4">
        <v>20846645000</v>
      </c>
      <c r="D139" s="1220">
        <v>12849770000</v>
      </c>
      <c r="E139" s="1221">
        <v>6371420000</v>
      </c>
      <c r="F139" s="1222">
        <v>5564545000</v>
      </c>
      <c r="G139" s="4">
        <v>4261050000</v>
      </c>
      <c r="H139" s="4">
        <v>3697635000</v>
      </c>
      <c r="I139" s="4">
        <v>3647500000</v>
      </c>
      <c r="J139" s="4">
        <v>3640940000</v>
      </c>
      <c r="K139" s="4">
        <v>3615420000</v>
      </c>
      <c r="L139" s="4">
        <v>2073310000</v>
      </c>
      <c r="M139" s="4">
        <v>1779175000</v>
      </c>
    </row>
    <row r="140" spans="1:26" x14ac:dyDescent="0.2">
      <c r="A140" s="1493" t="s">
        <v>240</v>
      </c>
      <c r="B140" s="21" t="s">
        <v>13</v>
      </c>
      <c r="C140" s="21" t="s">
        <v>14</v>
      </c>
      <c r="D140" s="21" t="s">
        <v>86</v>
      </c>
      <c r="E140" s="21" t="s">
        <v>23</v>
      </c>
      <c r="F140" s="21" t="s">
        <v>15</v>
      </c>
      <c r="G140" s="21" t="s">
        <v>33</v>
      </c>
      <c r="H140" s="21" t="s">
        <v>21</v>
      </c>
      <c r="I140" s="21" t="s">
        <v>72</v>
      </c>
      <c r="J140" s="21" t="s">
        <v>12</v>
      </c>
      <c r="K140" s="21" t="s">
        <v>183</v>
      </c>
      <c r="L140" s="21" t="s">
        <v>84</v>
      </c>
      <c r="M140" s="21" t="s">
        <v>18</v>
      </c>
    </row>
    <row r="141" spans="1:26" x14ac:dyDescent="0.2">
      <c r="A141" s="1493" t="s">
        <v>240</v>
      </c>
      <c r="B141" s="4">
        <v>45533045000</v>
      </c>
      <c r="C141" s="4">
        <v>36852050000</v>
      </c>
      <c r="D141" s="4">
        <v>23937100000</v>
      </c>
      <c r="E141" s="4">
        <v>19141280000</v>
      </c>
      <c r="F141" s="4">
        <v>16359480000</v>
      </c>
      <c r="G141" s="4">
        <v>13108609000</v>
      </c>
      <c r="H141" s="4">
        <v>9147940000</v>
      </c>
      <c r="I141" s="4">
        <v>8140000000</v>
      </c>
      <c r="J141" s="4">
        <v>6959424000</v>
      </c>
      <c r="K141" s="4">
        <v>4957900000</v>
      </c>
      <c r="L141" s="1216">
        <v>4224000000</v>
      </c>
      <c r="M141" s="4">
        <v>2886790000</v>
      </c>
    </row>
    <row r="142" spans="1:26" x14ac:dyDescent="0.2">
      <c r="A142" s="1493" t="s">
        <v>239</v>
      </c>
      <c r="B142" s="21" t="s">
        <v>36</v>
      </c>
      <c r="C142" s="21" t="s">
        <v>59</v>
      </c>
      <c r="D142" s="21" t="s">
        <v>40</v>
      </c>
      <c r="E142" s="21" t="s">
        <v>58</v>
      </c>
      <c r="F142" s="21" t="s">
        <v>79</v>
      </c>
      <c r="G142" s="21" t="s">
        <v>176</v>
      </c>
      <c r="H142" s="21" t="s">
        <v>32</v>
      </c>
      <c r="I142" s="21" t="s">
        <v>86</v>
      </c>
      <c r="J142" s="21" t="s">
        <v>67</v>
      </c>
      <c r="K142" s="21" t="s">
        <v>20</v>
      </c>
      <c r="L142" s="21" t="s">
        <v>22</v>
      </c>
      <c r="M142" s="21" t="s">
        <v>261</v>
      </c>
      <c r="N142" s="1493" t="s">
        <v>389</v>
      </c>
      <c r="O142" s="21" t="s">
        <v>36</v>
      </c>
      <c r="P142" s="21" t="s">
        <v>59</v>
      </c>
      <c r="Q142" s="21" t="s">
        <v>40</v>
      </c>
      <c r="R142" s="21" t="s">
        <v>58</v>
      </c>
      <c r="S142" s="21" t="s">
        <v>32</v>
      </c>
      <c r="T142" s="21" t="s">
        <v>86</v>
      </c>
      <c r="U142" s="21" t="s">
        <v>176</v>
      </c>
      <c r="V142" s="21" t="s">
        <v>79</v>
      </c>
      <c r="W142" s="21" t="s">
        <v>22</v>
      </c>
      <c r="X142" s="21" t="s">
        <v>67</v>
      </c>
      <c r="Y142" s="21" t="s">
        <v>183</v>
      </c>
      <c r="Z142" s="21" t="s">
        <v>20</v>
      </c>
    </row>
    <row r="143" spans="1:26" x14ac:dyDescent="0.2">
      <c r="A143" s="1493" t="s">
        <v>239</v>
      </c>
      <c r="B143" s="1208">
        <v>170678160000</v>
      </c>
      <c r="C143" s="1209">
        <v>134194415000</v>
      </c>
      <c r="D143" s="1210">
        <v>130049660000</v>
      </c>
      <c r="E143" s="1211">
        <v>103669225000</v>
      </c>
      <c r="F143" s="4">
        <v>76852395000</v>
      </c>
      <c r="G143" s="1212">
        <v>76166320000</v>
      </c>
      <c r="H143" s="4">
        <v>57789325000</v>
      </c>
      <c r="I143" s="4">
        <v>43325850000</v>
      </c>
      <c r="J143" s="1213">
        <v>25236370000</v>
      </c>
      <c r="K143" s="4">
        <v>20098700000</v>
      </c>
      <c r="L143" s="4">
        <v>20010325000</v>
      </c>
      <c r="M143" s="1214">
        <v>10657270000</v>
      </c>
      <c r="N143" s="1493" t="s">
        <v>389</v>
      </c>
      <c r="O143" s="4">
        <v>183650370000</v>
      </c>
      <c r="P143" s="4">
        <v>150175975000</v>
      </c>
      <c r="Q143" s="4">
        <v>129806816000</v>
      </c>
      <c r="R143" s="4">
        <v>122139835000</v>
      </c>
      <c r="S143" s="4">
        <v>73446725000</v>
      </c>
      <c r="T143" s="4">
        <v>70477465000</v>
      </c>
      <c r="U143" s="4">
        <v>65715760000</v>
      </c>
      <c r="V143" s="4">
        <v>65543445000</v>
      </c>
      <c r="W143" s="4">
        <v>55972140000</v>
      </c>
      <c r="X143" s="4">
        <v>36950325000</v>
      </c>
      <c r="Y143" s="4">
        <v>19378855000</v>
      </c>
      <c r="Z143" s="4">
        <v>17202700000</v>
      </c>
    </row>
    <row r="144" spans="1:26" x14ac:dyDescent="0.2">
      <c r="A144" s="1493" t="s">
        <v>238</v>
      </c>
      <c r="B144" s="21" t="s">
        <v>22</v>
      </c>
      <c r="C144" s="21" t="s">
        <v>86</v>
      </c>
      <c r="D144" s="21" t="s">
        <v>58</v>
      </c>
      <c r="E144" s="21" t="s">
        <v>59</v>
      </c>
      <c r="F144" s="21" t="s">
        <v>32</v>
      </c>
      <c r="G144" s="21" t="s">
        <v>36</v>
      </c>
      <c r="H144" s="21" t="s">
        <v>67</v>
      </c>
      <c r="I144" s="21" t="s">
        <v>89</v>
      </c>
      <c r="J144" s="21" t="s">
        <v>183</v>
      </c>
      <c r="K144" s="21" t="s">
        <v>13</v>
      </c>
      <c r="L144" s="21" t="s">
        <v>61</v>
      </c>
      <c r="M144" s="21" t="s">
        <v>19</v>
      </c>
    </row>
    <row r="145" spans="1:26" x14ac:dyDescent="0.2">
      <c r="A145" s="1493" t="s">
        <v>238</v>
      </c>
      <c r="B145" s="1205">
        <v>35961815000</v>
      </c>
      <c r="C145" s="4">
        <v>27151615000</v>
      </c>
      <c r="D145" s="4">
        <v>18470610000</v>
      </c>
      <c r="E145" s="4">
        <v>15981560000</v>
      </c>
      <c r="F145" s="4">
        <v>15657400000</v>
      </c>
      <c r="G145" s="1206">
        <v>12972210000</v>
      </c>
      <c r="H145" s="4">
        <v>11713955000</v>
      </c>
      <c r="I145" s="4">
        <v>10126350000</v>
      </c>
      <c r="J145" s="4">
        <v>9273070000</v>
      </c>
      <c r="K145" s="4">
        <v>7459845000</v>
      </c>
      <c r="L145" s="4">
        <v>6335475000</v>
      </c>
      <c r="M145" s="4">
        <v>4948945000</v>
      </c>
    </row>
    <row r="146" spans="1:26" x14ac:dyDescent="0.2">
      <c r="A146" s="1493" t="s">
        <v>237</v>
      </c>
      <c r="B146" s="21" t="s">
        <v>86</v>
      </c>
      <c r="C146" s="21" t="s">
        <v>29</v>
      </c>
      <c r="D146" s="21" t="s">
        <v>20</v>
      </c>
      <c r="E146" s="21" t="s">
        <v>38</v>
      </c>
      <c r="F146" s="21" t="s">
        <v>58</v>
      </c>
      <c r="G146" s="21" t="s">
        <v>19</v>
      </c>
      <c r="H146" s="21" t="s">
        <v>89</v>
      </c>
      <c r="I146" s="21" t="s">
        <v>39</v>
      </c>
      <c r="J146" s="21" t="s">
        <v>186</v>
      </c>
      <c r="K146" s="21" t="s">
        <v>61</v>
      </c>
      <c r="L146" s="21" t="s">
        <v>276</v>
      </c>
      <c r="M146" s="21" t="s">
        <v>67</v>
      </c>
      <c r="N146" s="1493" t="s">
        <v>388</v>
      </c>
      <c r="O146" s="21" t="s">
        <v>15</v>
      </c>
      <c r="P146" s="21" t="s">
        <v>86</v>
      </c>
      <c r="Q146" s="21" t="s">
        <v>20</v>
      </c>
      <c r="R146" s="21" t="s">
        <v>38</v>
      </c>
      <c r="S146" s="21" t="s">
        <v>19</v>
      </c>
      <c r="T146" s="21" t="s">
        <v>75</v>
      </c>
      <c r="U146" s="21" t="s">
        <v>58</v>
      </c>
      <c r="V146" s="21" t="s">
        <v>29</v>
      </c>
      <c r="W146" s="21" t="s">
        <v>89</v>
      </c>
      <c r="X146" s="21" t="s">
        <v>279</v>
      </c>
      <c r="Y146" s="21" t="s">
        <v>163</v>
      </c>
      <c r="Z146" s="21" t="s">
        <v>6</v>
      </c>
    </row>
    <row r="147" spans="1:26" x14ac:dyDescent="0.2">
      <c r="A147" s="1493" t="s">
        <v>237</v>
      </c>
      <c r="B147" s="1203">
        <v>44295690000</v>
      </c>
      <c r="C147" s="4">
        <v>14572020000</v>
      </c>
      <c r="D147" s="4">
        <v>13522610000</v>
      </c>
      <c r="E147" s="4">
        <v>12571420000</v>
      </c>
      <c r="F147" s="4">
        <v>11520710000</v>
      </c>
      <c r="G147" s="4">
        <v>9587525000</v>
      </c>
      <c r="H147" s="4">
        <v>5712475000</v>
      </c>
      <c r="I147" s="4">
        <v>4870167000</v>
      </c>
      <c r="J147" s="4">
        <v>2597935000</v>
      </c>
      <c r="K147" s="4">
        <v>2114775000</v>
      </c>
      <c r="L147" s="1204">
        <v>1951939000</v>
      </c>
      <c r="M147" s="4">
        <v>1449255000</v>
      </c>
      <c r="N147" s="1493" t="s">
        <v>388</v>
      </c>
      <c r="O147" s="4">
        <v>471633995000</v>
      </c>
      <c r="P147" s="4">
        <v>105437750000</v>
      </c>
      <c r="Q147" s="4">
        <v>84427820000</v>
      </c>
      <c r="R147" s="4">
        <v>54684085000</v>
      </c>
      <c r="S147" s="4">
        <v>50282891000</v>
      </c>
      <c r="T147" s="4">
        <v>27262970000</v>
      </c>
      <c r="U147" s="4">
        <v>26980325000</v>
      </c>
      <c r="V147" s="4">
        <v>21907420000</v>
      </c>
      <c r="W147" s="4">
        <v>18103650000</v>
      </c>
      <c r="X147" s="4">
        <v>15213710000</v>
      </c>
      <c r="Y147" s="4">
        <v>12627379000</v>
      </c>
      <c r="Z147" s="4">
        <v>11265220000</v>
      </c>
    </row>
    <row r="148" spans="1:26" x14ac:dyDescent="0.2">
      <c r="A148" s="1493" t="s">
        <v>236</v>
      </c>
      <c r="B148" s="21" t="s">
        <v>86</v>
      </c>
      <c r="C148" s="21" t="s">
        <v>20</v>
      </c>
      <c r="D148" s="21" t="s">
        <v>163</v>
      </c>
      <c r="E148" s="21" t="s">
        <v>38</v>
      </c>
      <c r="F148" s="21" t="s">
        <v>19</v>
      </c>
      <c r="G148" s="21" t="s">
        <v>91</v>
      </c>
      <c r="H148" s="21" t="s">
        <v>29</v>
      </c>
      <c r="I148" s="21" t="s">
        <v>282</v>
      </c>
      <c r="J148" s="21" t="s">
        <v>276</v>
      </c>
      <c r="K148" s="21" t="s">
        <v>279</v>
      </c>
      <c r="L148" s="21" t="s">
        <v>66</v>
      </c>
      <c r="M148" s="21" t="s">
        <v>6</v>
      </c>
    </row>
    <row r="149" spans="1:26" x14ac:dyDescent="0.2">
      <c r="A149" s="1493" t="s">
        <v>236</v>
      </c>
      <c r="B149" s="1195">
        <v>39353415000</v>
      </c>
      <c r="C149" s="1196">
        <v>27959180000</v>
      </c>
      <c r="D149" s="4">
        <v>25832355000</v>
      </c>
      <c r="E149" s="4">
        <v>24220970000</v>
      </c>
      <c r="F149" s="4">
        <v>6934260000</v>
      </c>
      <c r="G149" s="4">
        <v>4867815000</v>
      </c>
      <c r="H149" s="4">
        <v>4326400000</v>
      </c>
      <c r="I149" s="4">
        <v>2415000000</v>
      </c>
      <c r="J149" s="1197">
        <v>1719378000</v>
      </c>
      <c r="K149" s="4">
        <v>1397970000</v>
      </c>
      <c r="L149" s="4">
        <v>1180020000</v>
      </c>
      <c r="M149" s="4">
        <v>1139860000</v>
      </c>
    </row>
    <row r="150" spans="1:26" x14ac:dyDescent="0.2">
      <c r="A150" s="1493" t="s">
        <v>235</v>
      </c>
      <c r="B150" s="21" t="s">
        <v>15</v>
      </c>
      <c r="C150" s="21" t="s">
        <v>20</v>
      </c>
      <c r="D150" s="21" t="s">
        <v>86</v>
      </c>
      <c r="E150" s="21" t="s">
        <v>38</v>
      </c>
      <c r="F150" s="21" t="s">
        <v>19</v>
      </c>
      <c r="G150" s="21" t="s">
        <v>12</v>
      </c>
      <c r="H150" s="21" t="s">
        <v>5</v>
      </c>
      <c r="I150" s="21" t="s">
        <v>64</v>
      </c>
      <c r="J150" s="21" t="s">
        <v>79</v>
      </c>
      <c r="K150" s="21" t="s">
        <v>75</v>
      </c>
      <c r="L150" s="21" t="s">
        <v>183</v>
      </c>
      <c r="M150" s="21" t="s">
        <v>24</v>
      </c>
    </row>
    <row r="151" spans="1:26" x14ac:dyDescent="0.2">
      <c r="A151" s="1493" t="s">
        <v>235</v>
      </c>
      <c r="B151" s="4">
        <v>164145465000</v>
      </c>
      <c r="C151" s="1192">
        <v>22085200000</v>
      </c>
      <c r="D151" s="4">
        <v>18298425000</v>
      </c>
      <c r="E151" s="4">
        <v>17891695000</v>
      </c>
      <c r="F151" s="4">
        <v>17824125000</v>
      </c>
      <c r="G151" s="4">
        <v>14900710000</v>
      </c>
      <c r="H151" s="4">
        <v>14151878000</v>
      </c>
      <c r="I151" s="4">
        <v>8101930000</v>
      </c>
      <c r="J151" s="4">
        <v>7714882000</v>
      </c>
      <c r="K151" s="4">
        <v>6549320000</v>
      </c>
      <c r="L151" s="4">
        <v>5745300000</v>
      </c>
      <c r="M151" s="4">
        <v>5507270000</v>
      </c>
    </row>
    <row r="152" spans="1:26" x14ac:dyDescent="0.2">
      <c r="A152" s="1493" t="s">
        <v>234</v>
      </c>
      <c r="B152" s="21" t="s">
        <v>15</v>
      </c>
      <c r="C152" s="21" t="s">
        <v>20</v>
      </c>
      <c r="D152" s="21" t="s">
        <v>75</v>
      </c>
      <c r="E152" s="21" t="s">
        <v>29</v>
      </c>
      <c r="F152" s="21" t="s">
        <v>183</v>
      </c>
      <c r="G152" s="21" t="s">
        <v>72</v>
      </c>
      <c r="H152" s="21" t="s">
        <v>99</v>
      </c>
      <c r="I152" s="21" t="s">
        <v>57</v>
      </c>
      <c r="J152" s="21" t="s">
        <v>78</v>
      </c>
      <c r="K152" s="21" t="s">
        <v>68</v>
      </c>
      <c r="L152" s="21" t="s">
        <v>87</v>
      </c>
      <c r="M152" s="21" t="s">
        <v>61</v>
      </c>
    </row>
    <row r="153" spans="1:26" x14ac:dyDescent="0.2">
      <c r="A153" s="1493" t="s">
        <v>234</v>
      </c>
      <c r="B153" s="4">
        <v>66804980000</v>
      </c>
      <c r="C153" s="4">
        <v>10913640000</v>
      </c>
      <c r="D153" s="4">
        <v>10857770000</v>
      </c>
      <c r="E153" s="4">
        <v>6103000000</v>
      </c>
      <c r="F153" s="4">
        <v>4405140000</v>
      </c>
      <c r="G153" s="4">
        <v>3780000000</v>
      </c>
      <c r="H153" s="4">
        <v>2998520000</v>
      </c>
      <c r="I153" s="4">
        <v>2730000000</v>
      </c>
      <c r="J153" s="4">
        <v>2524965000</v>
      </c>
      <c r="K153" s="4">
        <v>2408600000</v>
      </c>
      <c r="L153" s="4">
        <v>2175040000</v>
      </c>
      <c r="M153" s="4">
        <v>2080920000</v>
      </c>
    </row>
    <row r="154" spans="1:26" x14ac:dyDescent="0.2">
      <c r="A154" s="1493" t="s">
        <v>233</v>
      </c>
      <c r="B154" s="21" t="s">
        <v>15</v>
      </c>
      <c r="C154" s="21" t="s">
        <v>19</v>
      </c>
      <c r="D154" s="21" t="s">
        <v>58</v>
      </c>
      <c r="E154" s="21" t="s">
        <v>89</v>
      </c>
      <c r="F154" s="21" t="s">
        <v>28</v>
      </c>
      <c r="G154" s="21" t="s">
        <v>25</v>
      </c>
      <c r="H154" s="21" t="s">
        <v>279</v>
      </c>
      <c r="I154" s="21" t="s">
        <v>20</v>
      </c>
      <c r="J154" s="21" t="s">
        <v>75</v>
      </c>
      <c r="K154" s="21" t="s">
        <v>7</v>
      </c>
      <c r="L154" s="21" t="s">
        <v>163</v>
      </c>
      <c r="M154" s="21" t="s">
        <v>263</v>
      </c>
    </row>
    <row r="155" spans="1:26" x14ac:dyDescent="0.2">
      <c r="A155" s="1493" t="s">
        <v>233</v>
      </c>
      <c r="B155" s="4">
        <v>276423965000</v>
      </c>
      <c r="C155" s="4">
        <v>15936981000</v>
      </c>
      <c r="D155" s="4">
        <v>15459615000</v>
      </c>
      <c r="E155" s="4">
        <v>12258565000</v>
      </c>
      <c r="F155" s="1184">
        <v>12125710000</v>
      </c>
      <c r="G155" s="4">
        <v>10478860000</v>
      </c>
      <c r="H155" s="1185">
        <v>10201160000</v>
      </c>
      <c r="I155" s="4">
        <v>9947190000</v>
      </c>
      <c r="J155" s="4">
        <v>9855880000</v>
      </c>
      <c r="K155" s="4">
        <v>9560000000</v>
      </c>
      <c r="L155" s="4">
        <v>9113200000</v>
      </c>
      <c r="M155" s="1186">
        <v>8456700000</v>
      </c>
    </row>
    <row r="156" spans="1:26" x14ac:dyDescent="0.2">
      <c r="A156" s="1493" t="s">
        <v>232</v>
      </c>
      <c r="B156" s="21" t="s">
        <v>33</v>
      </c>
      <c r="C156" s="21" t="s">
        <v>35</v>
      </c>
      <c r="D156" s="21" t="s">
        <v>163</v>
      </c>
      <c r="E156" s="21" t="s">
        <v>17</v>
      </c>
      <c r="F156" s="21" t="s">
        <v>14</v>
      </c>
      <c r="G156" s="21" t="s">
        <v>18</v>
      </c>
      <c r="H156" s="21" t="s">
        <v>32</v>
      </c>
      <c r="I156" s="21" t="s">
        <v>79</v>
      </c>
      <c r="J156" s="21" t="s">
        <v>58</v>
      </c>
      <c r="K156" s="21" t="s">
        <v>40</v>
      </c>
      <c r="L156" s="21" t="s">
        <v>23</v>
      </c>
      <c r="M156" s="21" t="s">
        <v>29</v>
      </c>
      <c r="N156" s="1493" t="s">
        <v>387</v>
      </c>
      <c r="O156" s="21" t="s">
        <v>15</v>
      </c>
      <c r="P156" s="21" t="s">
        <v>35</v>
      </c>
      <c r="Q156" s="21" t="s">
        <v>14</v>
      </c>
      <c r="R156" s="21" t="s">
        <v>33</v>
      </c>
      <c r="S156" s="21" t="s">
        <v>17</v>
      </c>
      <c r="T156" s="21" t="s">
        <v>32</v>
      </c>
      <c r="U156" s="21" t="s">
        <v>5</v>
      </c>
      <c r="V156" s="21" t="s">
        <v>18</v>
      </c>
      <c r="W156" s="21" t="s">
        <v>29</v>
      </c>
      <c r="X156" s="21" t="s">
        <v>59</v>
      </c>
      <c r="Y156" s="21" t="s">
        <v>21</v>
      </c>
      <c r="Z156" s="21" t="s">
        <v>79</v>
      </c>
    </row>
    <row r="157" spans="1:26" x14ac:dyDescent="0.2">
      <c r="A157" s="1493" t="s">
        <v>232</v>
      </c>
      <c r="B157" s="4">
        <v>54687700000</v>
      </c>
      <c r="C157" s="1183">
        <v>53203088000</v>
      </c>
      <c r="D157" s="4">
        <v>38452090000</v>
      </c>
      <c r="E157" s="4">
        <v>36789950000</v>
      </c>
      <c r="F157" s="4">
        <v>36311845000</v>
      </c>
      <c r="G157" s="4">
        <v>31414635000</v>
      </c>
      <c r="H157" s="4">
        <v>27226185000</v>
      </c>
      <c r="I157" s="4">
        <v>20248580000</v>
      </c>
      <c r="J157" s="4">
        <v>18229970000</v>
      </c>
      <c r="K157" s="4">
        <v>17906810000</v>
      </c>
      <c r="L157" s="4">
        <v>17773200000</v>
      </c>
      <c r="M157" s="4">
        <v>17382780000</v>
      </c>
      <c r="N157" s="1493" t="s">
        <v>387</v>
      </c>
      <c r="O157" s="4">
        <v>518280141000</v>
      </c>
      <c r="P157" s="4">
        <v>218213538000</v>
      </c>
      <c r="Q157" s="4">
        <v>146625341000</v>
      </c>
      <c r="R157" s="4">
        <v>144960129000</v>
      </c>
      <c r="S157" s="4">
        <v>129025050000</v>
      </c>
      <c r="T157" s="4">
        <v>96639935000</v>
      </c>
      <c r="U157" s="4">
        <v>78110852000</v>
      </c>
      <c r="V157" s="4">
        <v>68210090000</v>
      </c>
      <c r="W157" s="4">
        <v>57892630000</v>
      </c>
      <c r="X157" s="4">
        <v>57588998000</v>
      </c>
      <c r="Y157" s="4">
        <v>57504203000</v>
      </c>
      <c r="Z157" s="4">
        <v>56346040000</v>
      </c>
    </row>
    <row r="158" spans="1:26" x14ac:dyDescent="0.2">
      <c r="A158" s="1493" t="s">
        <v>231</v>
      </c>
      <c r="B158" s="21" t="s">
        <v>35</v>
      </c>
      <c r="C158" s="21" t="s">
        <v>13</v>
      </c>
      <c r="D158" s="21" t="s">
        <v>68</v>
      </c>
      <c r="E158" s="21" t="s">
        <v>25</v>
      </c>
      <c r="F158" s="21" t="s">
        <v>20</v>
      </c>
      <c r="G158" s="21" t="s">
        <v>279</v>
      </c>
      <c r="H158" s="21" t="s">
        <v>86</v>
      </c>
      <c r="I158" s="21" t="s">
        <v>38</v>
      </c>
      <c r="J158" s="21" t="s">
        <v>8</v>
      </c>
      <c r="K158" s="21" t="s">
        <v>28</v>
      </c>
      <c r="L158" s="21" t="s">
        <v>263</v>
      </c>
      <c r="M158" s="21" t="s">
        <v>67</v>
      </c>
    </row>
    <row r="159" spans="1:26" x14ac:dyDescent="0.2">
      <c r="A159" s="1493" t="s">
        <v>231</v>
      </c>
      <c r="B159" s="1180">
        <v>61632170000</v>
      </c>
      <c r="C159" s="4">
        <v>36053845000</v>
      </c>
      <c r="D159" s="4">
        <v>8942250000</v>
      </c>
      <c r="E159" s="4">
        <v>8523740000</v>
      </c>
      <c r="F159" s="4">
        <v>7101370000</v>
      </c>
      <c r="G159" s="4">
        <v>7029100000</v>
      </c>
      <c r="H159" s="4">
        <v>6738365000</v>
      </c>
      <c r="I159" s="4">
        <v>6617650000</v>
      </c>
      <c r="J159" s="4">
        <v>6481345000</v>
      </c>
      <c r="K159" s="4">
        <v>6258260000</v>
      </c>
      <c r="L159" s="1181">
        <v>4014890000</v>
      </c>
      <c r="M159" s="4">
        <v>3990240000</v>
      </c>
    </row>
    <row r="160" spans="1:26" x14ac:dyDescent="0.2">
      <c r="A160" s="1493" t="s">
        <v>230</v>
      </c>
      <c r="B160" s="21" t="s">
        <v>15</v>
      </c>
      <c r="C160" s="21" t="s">
        <v>14</v>
      </c>
      <c r="D160" s="21" t="s">
        <v>33</v>
      </c>
      <c r="E160" s="21" t="s">
        <v>35</v>
      </c>
      <c r="F160" s="21" t="s">
        <v>79</v>
      </c>
      <c r="G160" s="21" t="s">
        <v>32</v>
      </c>
      <c r="H160" s="21" t="s">
        <v>5</v>
      </c>
      <c r="I160" s="21" t="s">
        <v>17</v>
      </c>
      <c r="J160" s="21" t="s">
        <v>12</v>
      </c>
      <c r="K160" s="21" t="s">
        <v>21</v>
      </c>
      <c r="L160" s="21" t="s">
        <v>59</v>
      </c>
      <c r="M160" s="21" t="s">
        <v>64</v>
      </c>
    </row>
    <row r="161" spans="1:26" x14ac:dyDescent="0.2">
      <c r="A161" s="1493" t="s">
        <v>230</v>
      </c>
      <c r="B161" s="1174">
        <v>514517373000</v>
      </c>
      <c r="C161" s="4">
        <v>94669976000</v>
      </c>
      <c r="D161" s="1175">
        <v>76186619000</v>
      </c>
      <c r="E161" s="1176">
        <v>66428110000</v>
      </c>
      <c r="F161" s="4">
        <v>62006885000</v>
      </c>
      <c r="G161" s="4">
        <v>60107970000</v>
      </c>
      <c r="H161" s="4">
        <v>59430728000</v>
      </c>
      <c r="I161" s="4">
        <v>54211390000</v>
      </c>
      <c r="J161" s="1177">
        <v>42813310000</v>
      </c>
      <c r="K161" s="4">
        <v>39962240000</v>
      </c>
      <c r="L161" s="1178">
        <v>37357290000</v>
      </c>
      <c r="M161" s="1179">
        <v>30558690000</v>
      </c>
    </row>
    <row r="162" spans="1:26" x14ac:dyDescent="0.2">
      <c r="A162" s="1493" t="s">
        <v>229</v>
      </c>
      <c r="B162" s="21" t="s">
        <v>17</v>
      </c>
      <c r="C162" s="21" t="s">
        <v>33</v>
      </c>
      <c r="D162" s="21" t="s">
        <v>32</v>
      </c>
      <c r="E162" s="21" t="s">
        <v>15</v>
      </c>
      <c r="F162" s="21" t="s">
        <v>14</v>
      </c>
      <c r="G162" s="21" t="s">
        <v>35</v>
      </c>
      <c r="H162" s="21" t="s">
        <v>38</v>
      </c>
      <c r="I162" s="21" t="s">
        <v>29</v>
      </c>
      <c r="J162" s="21" t="s">
        <v>295</v>
      </c>
      <c r="K162" s="21" t="s">
        <v>23</v>
      </c>
      <c r="L162" s="21" t="s">
        <v>58</v>
      </c>
      <c r="M162" s="21" t="s">
        <v>34</v>
      </c>
    </row>
    <row r="163" spans="1:26" x14ac:dyDescent="0.2">
      <c r="A163" s="1493" t="s">
        <v>229</v>
      </c>
      <c r="B163" s="4">
        <v>66226775000</v>
      </c>
      <c r="C163" s="1169">
        <v>65480970000</v>
      </c>
      <c r="D163" s="4">
        <v>50855045000</v>
      </c>
      <c r="E163" s="1170">
        <v>43673640000</v>
      </c>
      <c r="F163" s="4">
        <v>37307055000</v>
      </c>
      <c r="G163" s="4">
        <v>36950170000</v>
      </c>
      <c r="H163" s="4">
        <v>32314750000</v>
      </c>
      <c r="I163" s="1171">
        <v>30838530000</v>
      </c>
      <c r="J163" s="1172">
        <v>28462500000</v>
      </c>
      <c r="K163" s="4">
        <v>28161280000</v>
      </c>
      <c r="L163" s="1173">
        <v>26533700000</v>
      </c>
      <c r="M163" s="4">
        <v>24761560000</v>
      </c>
    </row>
    <row r="164" spans="1:26" x14ac:dyDescent="0.2">
      <c r="A164" s="1493" t="s">
        <v>228</v>
      </c>
      <c r="B164" s="21" t="s">
        <v>17</v>
      </c>
      <c r="C164" s="21" t="s">
        <v>24</v>
      </c>
      <c r="D164" s="21" t="s">
        <v>13</v>
      </c>
      <c r="E164" s="21" t="s">
        <v>21</v>
      </c>
      <c r="F164" s="21" t="s">
        <v>14</v>
      </c>
      <c r="G164" s="21" t="s">
        <v>38</v>
      </c>
      <c r="H164" s="21" t="s">
        <v>64</v>
      </c>
      <c r="I164" s="21" t="s">
        <v>5</v>
      </c>
      <c r="J164" s="21" t="s">
        <v>12</v>
      </c>
      <c r="K164" s="21" t="s">
        <v>95</v>
      </c>
      <c r="L164" s="21" t="s">
        <v>23</v>
      </c>
      <c r="M164" s="21" t="s">
        <v>61</v>
      </c>
      <c r="N164" s="1493" t="s">
        <v>386</v>
      </c>
      <c r="O164" s="21" t="s">
        <v>487</v>
      </c>
      <c r="P164" s="21" t="s">
        <v>38</v>
      </c>
      <c r="Q164" s="21" t="s">
        <v>29</v>
      </c>
      <c r="R164" s="21" t="s">
        <v>75</v>
      </c>
      <c r="S164" s="21" t="s">
        <v>95</v>
      </c>
      <c r="T164" s="21" t="s">
        <v>70</v>
      </c>
      <c r="U164" s="21" t="s">
        <v>172</v>
      </c>
      <c r="V164" s="21" t="s">
        <v>97</v>
      </c>
      <c r="W164" s="21" t="s">
        <v>61</v>
      </c>
      <c r="X164" s="21" t="s">
        <v>303</v>
      </c>
      <c r="Y164" s="21" t="s">
        <v>30</v>
      </c>
      <c r="Z164" s="21" t="s">
        <v>183</v>
      </c>
    </row>
    <row r="165" spans="1:26" x14ac:dyDescent="0.2">
      <c r="A165" s="1493" t="s">
        <v>228</v>
      </c>
      <c r="B165" s="4">
        <v>37869090000</v>
      </c>
      <c r="C165" s="4">
        <v>28295595000</v>
      </c>
      <c r="D165" s="4">
        <v>16766655000</v>
      </c>
      <c r="E165" s="4">
        <v>16597110000</v>
      </c>
      <c r="F165" s="4">
        <v>15816480000</v>
      </c>
      <c r="G165" s="4">
        <v>11332180000</v>
      </c>
      <c r="H165" s="4">
        <v>8195770000</v>
      </c>
      <c r="I165" s="4">
        <v>7600120000</v>
      </c>
      <c r="J165" s="4">
        <v>7544860000</v>
      </c>
      <c r="K165" s="4">
        <v>6607730000</v>
      </c>
      <c r="L165" s="4">
        <v>6171370000</v>
      </c>
      <c r="M165" s="4">
        <v>6106985000</v>
      </c>
      <c r="N165" s="1493" t="s">
        <v>386</v>
      </c>
      <c r="O165" s="4">
        <v>442380945000</v>
      </c>
      <c r="P165" s="4">
        <v>128920475000</v>
      </c>
      <c r="Q165" s="4">
        <v>45455890000</v>
      </c>
      <c r="R165" s="4">
        <v>38750350000</v>
      </c>
      <c r="S165" s="4">
        <v>36860090000</v>
      </c>
      <c r="T165" s="4">
        <v>27990115000</v>
      </c>
      <c r="U165" s="4">
        <v>19006265000</v>
      </c>
      <c r="V165" s="4">
        <v>12444150000</v>
      </c>
      <c r="W165" s="4">
        <v>9565840000</v>
      </c>
      <c r="X165" s="4">
        <v>8441282000</v>
      </c>
      <c r="Y165" s="4">
        <v>5975300000</v>
      </c>
      <c r="Z165" s="4">
        <v>5960115000</v>
      </c>
    </row>
    <row r="166" spans="1:26" x14ac:dyDescent="0.2">
      <c r="A166" s="1493" t="s">
        <v>227</v>
      </c>
      <c r="B166" s="21" t="s">
        <v>487</v>
      </c>
      <c r="C166" s="21" t="s">
        <v>21</v>
      </c>
      <c r="D166" s="21" t="s">
        <v>58</v>
      </c>
      <c r="E166" s="21" t="s">
        <v>59</v>
      </c>
      <c r="F166" s="21" t="s">
        <v>36</v>
      </c>
      <c r="G166" s="21" t="s">
        <v>95</v>
      </c>
      <c r="H166" s="21" t="s">
        <v>70</v>
      </c>
      <c r="I166" s="21" t="s">
        <v>34</v>
      </c>
      <c r="J166" s="21" t="s">
        <v>303</v>
      </c>
      <c r="K166" s="21" t="s">
        <v>40</v>
      </c>
      <c r="L166" s="21" t="s">
        <v>32</v>
      </c>
      <c r="M166" s="21" t="s">
        <v>23</v>
      </c>
    </row>
    <row r="167" spans="1:26" x14ac:dyDescent="0.2">
      <c r="A167" s="1493" t="s">
        <v>227</v>
      </c>
      <c r="B167" s="1165">
        <v>442380945000</v>
      </c>
      <c r="C167" s="4">
        <v>17525210000</v>
      </c>
      <c r="D167" s="4">
        <v>15243810000</v>
      </c>
      <c r="E167" s="4">
        <v>11469800000</v>
      </c>
      <c r="F167" s="4">
        <v>10626030000</v>
      </c>
      <c r="G167" s="4">
        <v>9557110000</v>
      </c>
      <c r="H167" s="4">
        <v>8608805000</v>
      </c>
      <c r="I167" s="4">
        <v>5724745000</v>
      </c>
      <c r="J167" s="1166">
        <v>5663798000</v>
      </c>
      <c r="K167" s="4">
        <v>5416080000</v>
      </c>
      <c r="L167" s="4">
        <v>4860990000</v>
      </c>
      <c r="M167" s="4">
        <v>4733840000</v>
      </c>
    </row>
    <row r="168" spans="1:26" x14ac:dyDescent="0.2">
      <c r="A168" s="1493" t="s">
        <v>226</v>
      </c>
      <c r="B168" s="21" t="s">
        <v>38</v>
      </c>
      <c r="C168" s="21" t="s">
        <v>29</v>
      </c>
      <c r="D168" s="21" t="s">
        <v>75</v>
      </c>
      <c r="E168" s="21" t="s">
        <v>70</v>
      </c>
      <c r="F168" s="21" t="s">
        <v>95</v>
      </c>
      <c r="G168" s="21" t="s">
        <v>303</v>
      </c>
      <c r="H168" s="21" t="s">
        <v>86</v>
      </c>
      <c r="I168" s="21" t="s">
        <v>172</v>
      </c>
      <c r="J168" s="21" t="s">
        <v>301</v>
      </c>
      <c r="K168" s="21" t="s">
        <v>61</v>
      </c>
      <c r="L168" s="21" t="s">
        <v>57</v>
      </c>
    </row>
    <row r="169" spans="1:26" x14ac:dyDescent="0.2">
      <c r="A169" s="1493" t="s">
        <v>226</v>
      </c>
      <c r="B169" s="1163">
        <v>57129410000</v>
      </c>
      <c r="C169" s="4">
        <v>23060000000</v>
      </c>
      <c r="D169" s="4">
        <v>19933480000</v>
      </c>
      <c r="E169" s="4">
        <v>18941550000</v>
      </c>
      <c r="F169" s="4">
        <v>9535960000</v>
      </c>
      <c r="G169" s="4">
        <v>5259475000</v>
      </c>
      <c r="H169" s="4">
        <v>3391160000</v>
      </c>
      <c r="I169" s="4">
        <v>2760190000</v>
      </c>
      <c r="J169" s="4">
        <v>1804270000</v>
      </c>
      <c r="K169" s="4">
        <v>1472645000</v>
      </c>
      <c r="L169" s="4">
        <v>980000000</v>
      </c>
    </row>
    <row r="170" spans="1:26" x14ac:dyDescent="0.2">
      <c r="A170" s="1493" t="s">
        <v>225</v>
      </c>
      <c r="B170" s="21" t="s">
        <v>38</v>
      </c>
      <c r="C170" s="21" t="s">
        <v>75</v>
      </c>
      <c r="D170" s="21" t="s">
        <v>24</v>
      </c>
      <c r="E170" s="21" t="s">
        <v>95</v>
      </c>
      <c r="F170" s="21" t="s">
        <v>303</v>
      </c>
      <c r="G170" s="21" t="s">
        <v>29</v>
      </c>
      <c r="H170" s="21" t="s">
        <v>26</v>
      </c>
      <c r="I170" s="21" t="s">
        <v>172</v>
      </c>
      <c r="J170" s="21" t="s">
        <v>5</v>
      </c>
      <c r="K170" s="21" t="s">
        <v>21</v>
      </c>
      <c r="L170" s="21" t="s">
        <v>64</v>
      </c>
      <c r="M170" s="21" t="s">
        <v>212</v>
      </c>
    </row>
    <row r="171" spans="1:26" x14ac:dyDescent="0.2">
      <c r="A171" s="1493" t="s">
        <v>225</v>
      </c>
      <c r="B171" s="4">
        <v>28115405000</v>
      </c>
      <c r="C171" s="4">
        <v>18816870000</v>
      </c>
      <c r="D171" s="4">
        <v>17197315000</v>
      </c>
      <c r="E171" s="4">
        <v>8103020000</v>
      </c>
      <c r="F171" s="1160">
        <v>5595092000</v>
      </c>
      <c r="G171" s="4">
        <v>5498000000</v>
      </c>
      <c r="H171" s="4">
        <v>2683160000</v>
      </c>
      <c r="I171" s="4">
        <v>2545150000</v>
      </c>
      <c r="J171" s="4">
        <v>2535125000</v>
      </c>
      <c r="K171" s="4">
        <v>1437400000</v>
      </c>
      <c r="L171" s="4">
        <v>1268105000</v>
      </c>
      <c r="M171" s="4">
        <v>1246700000</v>
      </c>
    </row>
    <row r="172" spans="1:26" x14ac:dyDescent="0.2">
      <c r="A172" s="1493" t="s">
        <v>224</v>
      </c>
      <c r="B172" s="21" t="s">
        <v>38</v>
      </c>
      <c r="C172" s="21" t="s">
        <v>17</v>
      </c>
      <c r="D172" s="21" t="s">
        <v>29</v>
      </c>
      <c r="E172" s="21" t="s">
        <v>97</v>
      </c>
      <c r="F172" s="21" t="s">
        <v>35</v>
      </c>
      <c r="G172" s="21" t="s">
        <v>40</v>
      </c>
      <c r="H172" s="21" t="s">
        <v>36</v>
      </c>
      <c r="I172" s="21" t="s">
        <v>25</v>
      </c>
      <c r="J172" s="21" t="s">
        <v>71</v>
      </c>
      <c r="K172" s="21" t="s">
        <v>172</v>
      </c>
      <c r="L172" s="21" t="s">
        <v>95</v>
      </c>
      <c r="M172" s="21" t="s">
        <v>67</v>
      </c>
    </row>
    <row r="173" spans="1:26" x14ac:dyDescent="0.2">
      <c r="A173" s="1493" t="s">
        <v>224</v>
      </c>
      <c r="B173" s="4">
        <v>32343480000</v>
      </c>
      <c r="C173" s="4">
        <v>17568610000</v>
      </c>
      <c r="D173" s="4">
        <v>14805000000</v>
      </c>
      <c r="E173" s="1155">
        <v>12444150000</v>
      </c>
      <c r="F173" s="4">
        <v>8977960000</v>
      </c>
      <c r="G173" s="4">
        <v>6026590000</v>
      </c>
      <c r="H173" s="4">
        <v>5703720000</v>
      </c>
      <c r="I173" s="4">
        <v>4787490000</v>
      </c>
      <c r="J173" s="4">
        <v>3968950000</v>
      </c>
      <c r="K173" s="4">
        <v>3788890000</v>
      </c>
      <c r="L173" s="4">
        <v>3056270000</v>
      </c>
      <c r="M173" s="4">
        <v>2835465000</v>
      </c>
    </row>
    <row r="174" spans="1:26" x14ac:dyDescent="0.2">
      <c r="A174" s="1493" t="s">
        <v>223</v>
      </c>
      <c r="B174" s="21" t="s">
        <v>35</v>
      </c>
      <c r="C174" s="21" t="s">
        <v>79</v>
      </c>
      <c r="D174" s="21" t="s">
        <v>5</v>
      </c>
      <c r="E174" s="21" t="s">
        <v>14</v>
      </c>
      <c r="F174" s="21" t="s">
        <v>42</v>
      </c>
      <c r="G174" s="21" t="s">
        <v>38</v>
      </c>
      <c r="H174" s="21" t="s">
        <v>17</v>
      </c>
      <c r="I174" s="21" t="s">
        <v>163</v>
      </c>
      <c r="J174" s="21" t="s">
        <v>29</v>
      </c>
      <c r="K174" s="21" t="s">
        <v>23</v>
      </c>
      <c r="L174" s="21" t="s">
        <v>33</v>
      </c>
      <c r="M174" s="21" t="s">
        <v>58</v>
      </c>
      <c r="N174" s="1493" t="s">
        <v>385</v>
      </c>
      <c r="O174" s="21" t="s">
        <v>14</v>
      </c>
      <c r="P174" s="21" t="s">
        <v>5</v>
      </c>
      <c r="Q174" s="21" t="s">
        <v>79</v>
      </c>
      <c r="R174" s="21" t="s">
        <v>35</v>
      </c>
      <c r="S174" s="21" t="s">
        <v>86</v>
      </c>
      <c r="T174" s="21" t="s">
        <v>163</v>
      </c>
      <c r="U174" s="21" t="s">
        <v>42</v>
      </c>
      <c r="V174" s="21" t="s">
        <v>30</v>
      </c>
      <c r="W174" s="21" t="s">
        <v>59</v>
      </c>
      <c r="X174" s="21" t="s">
        <v>32</v>
      </c>
      <c r="Y174" s="21" t="s">
        <v>12</v>
      </c>
      <c r="Z174" s="21" t="s">
        <v>17</v>
      </c>
    </row>
    <row r="175" spans="1:26" x14ac:dyDescent="0.2">
      <c r="A175" s="1493" t="s">
        <v>223</v>
      </c>
      <c r="B175" s="1150">
        <v>109641009000</v>
      </c>
      <c r="C175" s="1151">
        <v>82102625000</v>
      </c>
      <c r="D175" s="4">
        <v>65988100000</v>
      </c>
      <c r="E175" s="4">
        <v>51696240000</v>
      </c>
      <c r="F175" s="1152">
        <v>40505375000</v>
      </c>
      <c r="G175" s="1153">
        <v>39750400000</v>
      </c>
      <c r="H175" s="4">
        <v>25885920000</v>
      </c>
      <c r="I175" s="4">
        <v>15858150000</v>
      </c>
      <c r="J175" s="4">
        <v>13748000000</v>
      </c>
      <c r="K175" s="4">
        <v>12173940000</v>
      </c>
      <c r="L175" s="4">
        <v>10172534000</v>
      </c>
      <c r="M175" s="4">
        <v>5454565000</v>
      </c>
      <c r="N175" s="1493" t="s">
        <v>385</v>
      </c>
      <c r="O175" s="4">
        <v>153052285000</v>
      </c>
      <c r="P175" s="4">
        <v>84180115000</v>
      </c>
      <c r="Q175" s="4">
        <v>62338448000</v>
      </c>
      <c r="R175" s="4">
        <v>60530146000</v>
      </c>
      <c r="S175" s="4">
        <v>52886155000</v>
      </c>
      <c r="T175" s="4">
        <v>52520018000</v>
      </c>
      <c r="U175" s="4">
        <v>44630060000</v>
      </c>
      <c r="V175" s="4">
        <v>42532328000</v>
      </c>
      <c r="W175" s="4">
        <v>35263705000</v>
      </c>
      <c r="X175" s="4">
        <v>35090177000</v>
      </c>
      <c r="Y175" s="4">
        <v>32758786000</v>
      </c>
      <c r="Z175" s="4">
        <v>32327142000</v>
      </c>
    </row>
    <row r="176" spans="1:26" x14ac:dyDescent="0.2">
      <c r="A176" s="1493" t="s">
        <v>222</v>
      </c>
      <c r="B176" s="21" t="s">
        <v>14</v>
      </c>
      <c r="C176" s="21" t="s">
        <v>33</v>
      </c>
      <c r="D176" s="21" t="s">
        <v>79</v>
      </c>
      <c r="E176" s="21" t="s">
        <v>15</v>
      </c>
      <c r="F176" s="21" t="s">
        <v>23</v>
      </c>
      <c r="G176" s="21" t="s">
        <v>64</v>
      </c>
      <c r="H176" s="21" t="s">
        <v>35</v>
      </c>
      <c r="I176" s="21" t="s">
        <v>59</v>
      </c>
      <c r="J176" s="21" t="s">
        <v>12</v>
      </c>
      <c r="K176" s="21" t="s">
        <v>169</v>
      </c>
      <c r="L176" s="21" t="s">
        <v>32</v>
      </c>
      <c r="M176" s="21" t="s">
        <v>5</v>
      </c>
    </row>
    <row r="177" spans="1:26" x14ac:dyDescent="0.2">
      <c r="A177" s="1493" t="s">
        <v>222</v>
      </c>
      <c r="B177" s="4">
        <v>94597400000</v>
      </c>
      <c r="C177" s="4">
        <v>55534600000</v>
      </c>
      <c r="D177" s="1143">
        <v>48265530000</v>
      </c>
      <c r="E177" s="1144">
        <v>43752575000</v>
      </c>
      <c r="F177" s="4">
        <v>39706990000</v>
      </c>
      <c r="G177" s="1145">
        <v>29913455000</v>
      </c>
      <c r="H177" s="4">
        <v>28463768000</v>
      </c>
      <c r="I177" s="4">
        <v>27186515000</v>
      </c>
      <c r="J177" s="1146">
        <v>26877070000</v>
      </c>
      <c r="K177" s="1147">
        <v>25514600000</v>
      </c>
      <c r="L177" s="4">
        <v>25309285000</v>
      </c>
      <c r="M177" s="4">
        <v>22665040000</v>
      </c>
    </row>
    <row r="178" spans="1:26" x14ac:dyDescent="0.2">
      <c r="A178" s="1493" t="s">
        <v>221</v>
      </c>
      <c r="B178" s="21" t="s">
        <v>30</v>
      </c>
      <c r="C178" s="21" t="s">
        <v>7</v>
      </c>
      <c r="D178" s="21" t="s">
        <v>88</v>
      </c>
      <c r="E178" s="21" t="s">
        <v>271</v>
      </c>
      <c r="F178" s="21" t="s">
        <v>8</v>
      </c>
      <c r="G178" s="21" t="s">
        <v>336</v>
      </c>
      <c r="H178" s="21" t="s">
        <v>63</v>
      </c>
      <c r="I178" s="21" t="s">
        <v>158</v>
      </c>
      <c r="J178" s="21" t="s">
        <v>194</v>
      </c>
      <c r="K178" s="21" t="s">
        <v>62</v>
      </c>
      <c r="L178" s="21" t="s">
        <v>38</v>
      </c>
      <c r="M178" s="21" t="s">
        <v>42</v>
      </c>
    </row>
    <row r="179" spans="1:26" x14ac:dyDescent="0.2">
      <c r="A179" s="1493" t="s">
        <v>221</v>
      </c>
      <c r="B179" s="4">
        <v>36638926000</v>
      </c>
      <c r="C179" s="1137">
        <v>15467000000</v>
      </c>
      <c r="D179" s="4">
        <v>6419190000</v>
      </c>
      <c r="E179" s="4">
        <v>4397565000</v>
      </c>
      <c r="F179" s="4">
        <v>4228365000</v>
      </c>
      <c r="G179" s="4">
        <v>1386100000</v>
      </c>
      <c r="H179" s="4">
        <v>1297900000</v>
      </c>
      <c r="I179" s="1138">
        <v>887960000</v>
      </c>
      <c r="J179" s="4">
        <v>816370000</v>
      </c>
      <c r="K179" s="4">
        <v>740525000</v>
      </c>
      <c r="L179" s="4">
        <v>651240000</v>
      </c>
      <c r="M179" s="4">
        <v>594345000</v>
      </c>
    </row>
    <row r="180" spans="1:26" x14ac:dyDescent="0.2">
      <c r="A180" s="1493" t="s">
        <v>220</v>
      </c>
      <c r="B180" s="21" t="s">
        <v>163</v>
      </c>
      <c r="C180" s="21" t="s">
        <v>35</v>
      </c>
      <c r="D180" s="21" t="s">
        <v>14</v>
      </c>
      <c r="E180" s="21" t="s">
        <v>21</v>
      </c>
      <c r="F180" s="21" t="s">
        <v>15</v>
      </c>
      <c r="G180" s="21" t="s">
        <v>86</v>
      </c>
      <c r="H180" s="21" t="s">
        <v>33</v>
      </c>
      <c r="I180" s="21" t="s">
        <v>34</v>
      </c>
      <c r="J180" s="21" t="s">
        <v>12</v>
      </c>
      <c r="K180" s="21" t="s">
        <v>59</v>
      </c>
      <c r="L180" s="21" t="s">
        <v>17</v>
      </c>
      <c r="M180" s="21" t="s">
        <v>32</v>
      </c>
    </row>
    <row r="181" spans="1:26" x14ac:dyDescent="0.2">
      <c r="A181" s="1493" t="s">
        <v>220</v>
      </c>
      <c r="B181" s="4">
        <v>24769641000</v>
      </c>
      <c r="C181" s="4">
        <v>19568225000</v>
      </c>
      <c r="D181" s="4">
        <v>17582100000</v>
      </c>
      <c r="E181" s="4">
        <v>16892590000</v>
      </c>
      <c r="F181" s="4">
        <v>15493150000</v>
      </c>
      <c r="G181" s="4">
        <v>12306390000</v>
      </c>
      <c r="H181" s="4">
        <v>11126880000</v>
      </c>
      <c r="I181" s="4">
        <v>8637005000</v>
      </c>
      <c r="J181" s="4">
        <v>7531006000</v>
      </c>
      <c r="K181" s="4">
        <v>6544340000</v>
      </c>
      <c r="L181" s="4">
        <v>5939562000</v>
      </c>
      <c r="M181" s="4">
        <v>5092015000</v>
      </c>
    </row>
    <row r="182" spans="1:26" x14ac:dyDescent="0.2">
      <c r="A182" s="1493" t="s">
        <v>219</v>
      </c>
      <c r="B182" s="21" t="s">
        <v>14</v>
      </c>
      <c r="C182" s="21" t="s">
        <v>86</v>
      </c>
      <c r="D182" s="21" t="s">
        <v>5</v>
      </c>
      <c r="E182" s="21" t="s">
        <v>33</v>
      </c>
      <c r="F182" s="21" t="s">
        <v>35</v>
      </c>
      <c r="G182" s="21" t="s">
        <v>21</v>
      </c>
      <c r="H182" s="21" t="s">
        <v>13</v>
      </c>
      <c r="I182" s="21" t="s">
        <v>79</v>
      </c>
      <c r="J182" s="21" t="s">
        <v>15</v>
      </c>
      <c r="K182" s="21" t="s">
        <v>32</v>
      </c>
      <c r="L182" s="21" t="s">
        <v>17</v>
      </c>
      <c r="M182" s="21" t="s">
        <v>163</v>
      </c>
    </row>
    <row r="183" spans="1:26" x14ac:dyDescent="0.2">
      <c r="A183" s="1493" t="s">
        <v>219</v>
      </c>
      <c r="B183" s="4">
        <v>42257635000</v>
      </c>
      <c r="C183" s="1131">
        <v>30149490000</v>
      </c>
      <c r="D183" s="4">
        <v>24572377000</v>
      </c>
      <c r="E183" s="4">
        <v>23359800000</v>
      </c>
      <c r="F183" s="4">
        <v>22864117000</v>
      </c>
      <c r="G183" s="4">
        <v>20731840000</v>
      </c>
      <c r="H183" s="4">
        <v>20042450000</v>
      </c>
      <c r="I183" s="4">
        <v>19632845000</v>
      </c>
      <c r="J183" s="4">
        <v>16425532000</v>
      </c>
      <c r="K183" s="4">
        <v>16377765000</v>
      </c>
      <c r="L183" s="4">
        <v>15620850000</v>
      </c>
      <c r="M183" s="4">
        <v>9157410000</v>
      </c>
    </row>
    <row r="184" spans="1:26" x14ac:dyDescent="0.2">
      <c r="A184" s="1493" t="s">
        <v>218</v>
      </c>
      <c r="B184" s="21" t="s">
        <v>15</v>
      </c>
      <c r="C184" s="21" t="s">
        <v>33</v>
      </c>
      <c r="D184" s="21" t="s">
        <v>13</v>
      </c>
      <c r="E184" s="21" t="s">
        <v>163</v>
      </c>
      <c r="F184" s="21" t="s">
        <v>24</v>
      </c>
      <c r="G184" s="21" t="s">
        <v>75</v>
      </c>
      <c r="H184" s="21" t="s">
        <v>42</v>
      </c>
      <c r="I184" s="21" t="s">
        <v>39</v>
      </c>
      <c r="J184" s="21" t="s">
        <v>180</v>
      </c>
      <c r="K184" s="21" t="s">
        <v>6</v>
      </c>
      <c r="L184" s="21" t="s">
        <v>301</v>
      </c>
      <c r="M184" s="21" t="s">
        <v>12</v>
      </c>
      <c r="N184" s="1493" t="s">
        <v>384</v>
      </c>
      <c r="O184" s="21" t="s">
        <v>15</v>
      </c>
      <c r="P184" s="21" t="s">
        <v>19</v>
      </c>
      <c r="Q184" s="21" t="s">
        <v>5</v>
      </c>
      <c r="R184" s="21" t="s">
        <v>301</v>
      </c>
      <c r="S184" s="21" t="s">
        <v>89</v>
      </c>
      <c r="T184" s="21" t="s">
        <v>75</v>
      </c>
      <c r="U184" s="21" t="s">
        <v>34</v>
      </c>
      <c r="V184" s="21" t="s">
        <v>72</v>
      </c>
      <c r="W184" s="21" t="s">
        <v>8</v>
      </c>
      <c r="X184" s="21" t="s">
        <v>163</v>
      </c>
      <c r="Y184" s="21" t="s">
        <v>342</v>
      </c>
      <c r="Z184" s="21" t="s">
        <v>194</v>
      </c>
    </row>
    <row r="185" spans="1:26" x14ac:dyDescent="0.2">
      <c r="A185" s="1493" t="s">
        <v>218</v>
      </c>
      <c r="B185" s="1128">
        <v>220688565000</v>
      </c>
      <c r="C185" s="4">
        <v>18464610000</v>
      </c>
      <c r="D185" s="4">
        <v>10110870000</v>
      </c>
      <c r="E185" s="4">
        <v>8345650000</v>
      </c>
      <c r="F185" s="4">
        <v>5210530000</v>
      </c>
      <c r="G185" s="4">
        <v>4833525000</v>
      </c>
      <c r="H185" s="4">
        <v>4629375000</v>
      </c>
      <c r="I185" s="4">
        <v>4497500000</v>
      </c>
      <c r="J185" s="4">
        <v>3710225000</v>
      </c>
      <c r="K185" s="4">
        <v>2272770000</v>
      </c>
      <c r="L185" s="4">
        <v>1872900000</v>
      </c>
      <c r="M185" s="4">
        <v>1718500000</v>
      </c>
      <c r="N185" s="1493" t="s">
        <v>384</v>
      </c>
      <c r="O185" s="4">
        <v>177409125000</v>
      </c>
      <c r="P185" s="4">
        <v>62950225000</v>
      </c>
      <c r="Q185" s="4">
        <v>43645254000</v>
      </c>
      <c r="R185" s="4">
        <v>29491400000</v>
      </c>
      <c r="S185" s="4">
        <v>22459140000</v>
      </c>
      <c r="T185" s="4">
        <v>20420085000</v>
      </c>
      <c r="U185" s="4">
        <v>20162970000</v>
      </c>
      <c r="V185" s="4">
        <v>17433500000</v>
      </c>
      <c r="W185" s="4">
        <v>12413470000</v>
      </c>
      <c r="X185" s="4">
        <v>7016030000</v>
      </c>
      <c r="Y185" s="4">
        <v>6405098000</v>
      </c>
      <c r="Z185" s="4">
        <v>6223495000</v>
      </c>
    </row>
    <row r="186" spans="1:26" x14ac:dyDescent="0.2">
      <c r="A186" s="1493" t="s">
        <v>217</v>
      </c>
      <c r="B186" s="21" t="s">
        <v>29</v>
      </c>
      <c r="C186" s="21" t="s">
        <v>57</v>
      </c>
    </row>
    <row r="187" spans="1:26" x14ac:dyDescent="0.2">
      <c r="A187" s="1493" t="s">
        <v>217</v>
      </c>
      <c r="B187" s="4">
        <v>8761390000</v>
      </c>
      <c r="C187" s="4">
        <v>965000000</v>
      </c>
    </row>
    <row r="188" spans="1:26" x14ac:dyDescent="0.2">
      <c r="A188" s="1493" t="s">
        <v>216</v>
      </c>
      <c r="B188" s="21" t="s">
        <v>23</v>
      </c>
      <c r="C188" s="21" t="s">
        <v>301</v>
      </c>
      <c r="D188" s="21" t="s">
        <v>71</v>
      </c>
      <c r="E188" s="21" t="s">
        <v>37</v>
      </c>
      <c r="F188" s="21" t="s">
        <v>89</v>
      </c>
      <c r="G188" s="21" t="s">
        <v>198</v>
      </c>
      <c r="H188" s="21" t="s">
        <v>194</v>
      </c>
      <c r="I188" s="21" t="s">
        <v>34</v>
      </c>
      <c r="J188" s="21" t="s">
        <v>88</v>
      </c>
      <c r="K188" s="21" t="s">
        <v>190</v>
      </c>
      <c r="L188" s="21" t="s">
        <v>20</v>
      </c>
      <c r="M188" s="21" t="s">
        <v>6</v>
      </c>
    </row>
    <row r="189" spans="1:26" x14ac:dyDescent="0.2">
      <c r="A189" s="1493" t="s">
        <v>216</v>
      </c>
      <c r="B189" s="1126">
        <v>202055550000</v>
      </c>
      <c r="C189" s="4">
        <v>2747325000</v>
      </c>
      <c r="D189" s="4">
        <v>2725910000</v>
      </c>
      <c r="E189" s="1127">
        <v>2546735000</v>
      </c>
      <c r="F189" s="4">
        <v>2034610000</v>
      </c>
      <c r="G189" s="4">
        <v>1637580000</v>
      </c>
      <c r="H189" s="4">
        <v>1202450000</v>
      </c>
      <c r="I189" s="4">
        <v>985672000</v>
      </c>
      <c r="J189" s="4">
        <v>852155000</v>
      </c>
      <c r="K189" s="4">
        <v>584070000</v>
      </c>
      <c r="L189" s="4">
        <v>170230000</v>
      </c>
      <c r="M189" s="4">
        <v>16855000</v>
      </c>
    </row>
    <row r="190" spans="1:26" x14ac:dyDescent="0.2">
      <c r="A190" s="1493" t="s">
        <v>215</v>
      </c>
      <c r="B190" s="21" t="s">
        <v>15</v>
      </c>
      <c r="C190" s="21" t="s">
        <v>13</v>
      </c>
      <c r="D190" s="21" t="s">
        <v>17</v>
      </c>
      <c r="E190" s="21" t="s">
        <v>5</v>
      </c>
      <c r="F190" s="21" t="s">
        <v>75</v>
      </c>
      <c r="G190" s="21" t="s">
        <v>301</v>
      </c>
      <c r="H190" s="21" t="s">
        <v>64</v>
      </c>
      <c r="I190" s="21" t="s">
        <v>79</v>
      </c>
      <c r="J190" s="21" t="s">
        <v>32</v>
      </c>
      <c r="K190" s="21" t="s">
        <v>35</v>
      </c>
      <c r="L190" s="21" t="s">
        <v>14</v>
      </c>
      <c r="M190" s="21" t="s">
        <v>12</v>
      </c>
    </row>
    <row r="191" spans="1:26" x14ac:dyDescent="0.2">
      <c r="A191" s="1493" t="s">
        <v>215</v>
      </c>
      <c r="B191" s="4">
        <v>31516990000</v>
      </c>
      <c r="C191" s="4">
        <v>25949155000</v>
      </c>
      <c r="D191" s="4">
        <v>21256840000</v>
      </c>
      <c r="E191" s="4">
        <v>20421565000</v>
      </c>
      <c r="F191" s="4">
        <v>15586560000</v>
      </c>
      <c r="G191" s="1122">
        <v>13411165000</v>
      </c>
      <c r="H191" s="4">
        <v>12664440000</v>
      </c>
      <c r="I191" s="4">
        <v>11287780000</v>
      </c>
      <c r="J191" s="4">
        <v>10665274000</v>
      </c>
      <c r="K191" s="4">
        <v>10598190000</v>
      </c>
      <c r="L191" s="4">
        <v>10385995000</v>
      </c>
      <c r="M191" s="4">
        <v>9186370000</v>
      </c>
    </row>
    <row r="192" spans="1:26" x14ac:dyDescent="0.2">
      <c r="A192" s="1493" t="s">
        <v>214</v>
      </c>
      <c r="B192" s="21" t="s">
        <v>19</v>
      </c>
      <c r="C192" s="21" t="s">
        <v>5</v>
      </c>
      <c r="D192" s="21" t="s">
        <v>72</v>
      </c>
      <c r="E192" s="21" t="s">
        <v>34</v>
      </c>
      <c r="F192" s="21" t="s">
        <v>8</v>
      </c>
      <c r="G192" s="21" t="s">
        <v>301</v>
      </c>
      <c r="H192" s="21" t="s">
        <v>89</v>
      </c>
      <c r="I192" s="21" t="s">
        <v>35</v>
      </c>
      <c r="J192" s="21" t="s">
        <v>194</v>
      </c>
      <c r="K192" s="21" t="s">
        <v>71</v>
      </c>
      <c r="L192" s="21" t="s">
        <v>87</v>
      </c>
      <c r="M192" s="21" t="s">
        <v>20</v>
      </c>
    </row>
    <row r="193" spans="1:26" x14ac:dyDescent="0.2">
      <c r="A193" s="1493" t="s">
        <v>214</v>
      </c>
      <c r="B193" s="4">
        <v>64990035000</v>
      </c>
      <c r="C193" s="4">
        <v>42479500000</v>
      </c>
      <c r="D193" s="1118">
        <v>17433500000</v>
      </c>
      <c r="E193" s="4">
        <v>13119805000</v>
      </c>
      <c r="F193" s="4">
        <v>12413470000</v>
      </c>
      <c r="G193" s="1119">
        <v>11460010000</v>
      </c>
      <c r="H193" s="4">
        <v>11248480000</v>
      </c>
      <c r="I193" s="4">
        <v>5077935000</v>
      </c>
      <c r="J193" s="1120">
        <v>4120645000</v>
      </c>
      <c r="K193" s="4">
        <v>3073010000</v>
      </c>
      <c r="L193" s="4">
        <v>2619375000</v>
      </c>
      <c r="M193" s="4">
        <v>1765000000</v>
      </c>
    </row>
    <row r="194" spans="1:26" x14ac:dyDescent="0.2">
      <c r="A194" s="1493" t="s">
        <v>213</v>
      </c>
      <c r="B194" s="21" t="s">
        <v>99</v>
      </c>
      <c r="C194" s="21" t="s">
        <v>5</v>
      </c>
      <c r="D194" s="21" t="s">
        <v>40</v>
      </c>
      <c r="E194" s="21" t="s">
        <v>36</v>
      </c>
      <c r="F194" s="21" t="s">
        <v>29</v>
      </c>
      <c r="G194" s="21" t="s">
        <v>69</v>
      </c>
      <c r="H194" s="21" t="s">
        <v>87</v>
      </c>
      <c r="I194" s="21" t="s">
        <v>30</v>
      </c>
      <c r="J194" s="21" t="s">
        <v>7</v>
      </c>
      <c r="K194" s="21" t="s">
        <v>25</v>
      </c>
      <c r="L194" s="21" t="s">
        <v>24</v>
      </c>
      <c r="M194" s="21" t="s">
        <v>78</v>
      </c>
      <c r="N194" s="1493" t="s">
        <v>383</v>
      </c>
      <c r="O194" s="21" t="s">
        <v>23</v>
      </c>
      <c r="P194" s="21" t="s">
        <v>14</v>
      </c>
      <c r="Q194" s="21" t="s">
        <v>30</v>
      </c>
      <c r="R194" s="21" t="s">
        <v>99</v>
      </c>
      <c r="S194" s="21" t="s">
        <v>24</v>
      </c>
      <c r="T194" s="21" t="s">
        <v>89</v>
      </c>
      <c r="U194" s="21" t="s">
        <v>5</v>
      </c>
      <c r="V194" s="21" t="s">
        <v>313</v>
      </c>
      <c r="W194" s="21" t="s">
        <v>26</v>
      </c>
      <c r="X194" s="21" t="s">
        <v>7</v>
      </c>
      <c r="Y194" s="21" t="s">
        <v>186</v>
      </c>
      <c r="Z194" s="21" t="s">
        <v>93</v>
      </c>
    </row>
    <row r="195" spans="1:26" x14ac:dyDescent="0.2">
      <c r="A195" s="1493" t="s">
        <v>213</v>
      </c>
      <c r="B195" s="1115">
        <v>57956545000</v>
      </c>
      <c r="C195" s="4">
        <v>39092665000</v>
      </c>
      <c r="D195" s="4">
        <v>20476960000</v>
      </c>
      <c r="E195" s="1116">
        <v>12349900000</v>
      </c>
      <c r="F195" s="4">
        <v>7636000000</v>
      </c>
      <c r="G195" s="1117">
        <v>7221020000</v>
      </c>
      <c r="H195" s="4">
        <v>6539940000</v>
      </c>
      <c r="I195" s="4">
        <v>5093970000</v>
      </c>
      <c r="J195" s="4">
        <v>5046000000</v>
      </c>
      <c r="K195" s="4">
        <v>4817350000</v>
      </c>
      <c r="L195" s="4">
        <v>4033890000</v>
      </c>
      <c r="M195" s="4">
        <v>3700360000</v>
      </c>
      <c r="N195" s="1493" t="s">
        <v>383</v>
      </c>
      <c r="O195" s="4">
        <v>121305557000</v>
      </c>
      <c r="P195" s="4">
        <v>119814750000</v>
      </c>
      <c r="Q195" s="4">
        <v>99853920000</v>
      </c>
      <c r="R195" s="4">
        <v>65800760000</v>
      </c>
      <c r="S195" s="4">
        <v>54414500000</v>
      </c>
      <c r="T195" s="4">
        <v>52235510000</v>
      </c>
      <c r="U195" s="4">
        <v>46830015000</v>
      </c>
      <c r="V195" s="4">
        <v>29783190000</v>
      </c>
      <c r="W195" s="4">
        <v>26832725000</v>
      </c>
      <c r="X195" s="4">
        <v>19190550000</v>
      </c>
      <c r="Y195" s="4">
        <v>17220660000</v>
      </c>
      <c r="Z195" s="4">
        <v>14555160000</v>
      </c>
    </row>
    <row r="196" spans="1:26" x14ac:dyDescent="0.2">
      <c r="A196" s="1493" t="s">
        <v>211</v>
      </c>
      <c r="B196" s="21" t="s">
        <v>23</v>
      </c>
      <c r="C196" s="21" t="s">
        <v>24</v>
      </c>
      <c r="D196" s="21" t="s">
        <v>89</v>
      </c>
      <c r="E196" s="21" t="s">
        <v>13</v>
      </c>
      <c r="F196" s="21" t="s">
        <v>15</v>
      </c>
      <c r="G196" s="21" t="s">
        <v>14</v>
      </c>
      <c r="H196" s="21" t="s">
        <v>33</v>
      </c>
      <c r="I196" s="21" t="s">
        <v>32</v>
      </c>
      <c r="J196" s="21" t="s">
        <v>21</v>
      </c>
      <c r="K196" s="21" t="s">
        <v>313</v>
      </c>
      <c r="L196" s="21" t="s">
        <v>79</v>
      </c>
      <c r="M196" s="21" t="s">
        <v>12</v>
      </c>
    </row>
    <row r="197" spans="1:26" x14ac:dyDescent="0.2">
      <c r="A197" s="1493" t="s">
        <v>211</v>
      </c>
      <c r="B197" s="1109">
        <v>141018730000</v>
      </c>
      <c r="C197" s="1110">
        <v>67907385000</v>
      </c>
      <c r="D197" s="1111">
        <v>52235510000</v>
      </c>
      <c r="E197" s="4">
        <v>42898945000</v>
      </c>
      <c r="F197" s="1112">
        <v>41092530000</v>
      </c>
      <c r="G197" s="4">
        <v>34687530000</v>
      </c>
      <c r="H197" s="4">
        <v>33390040000</v>
      </c>
      <c r="I197" s="4">
        <v>32240935000</v>
      </c>
      <c r="J197" s="4">
        <v>30060740000</v>
      </c>
      <c r="K197" s="1113">
        <v>26351460000</v>
      </c>
      <c r="L197" s="4">
        <v>25621505000</v>
      </c>
      <c r="M197" s="4">
        <v>24747550000</v>
      </c>
    </row>
    <row r="198" spans="1:26" x14ac:dyDescent="0.2">
      <c r="A198" s="1493" t="s">
        <v>210</v>
      </c>
      <c r="B198" s="21" t="s">
        <v>30</v>
      </c>
      <c r="C198" s="21" t="s">
        <v>14</v>
      </c>
      <c r="D198" s="21" t="s">
        <v>5</v>
      </c>
      <c r="E198" s="21" t="s">
        <v>27</v>
      </c>
      <c r="F198" s="21" t="s">
        <v>12</v>
      </c>
      <c r="G198" s="21" t="s">
        <v>6</v>
      </c>
      <c r="H198" s="21" t="s">
        <v>301</v>
      </c>
      <c r="I198" s="21" t="s">
        <v>190</v>
      </c>
      <c r="J198" s="21" t="s">
        <v>42</v>
      </c>
      <c r="K198" s="21" t="s">
        <v>169</v>
      </c>
      <c r="L198" s="21" t="s">
        <v>9</v>
      </c>
      <c r="M198" s="21" t="s">
        <v>23</v>
      </c>
    </row>
    <row r="199" spans="1:26" x14ac:dyDescent="0.2">
      <c r="A199" s="1493" t="s">
        <v>210</v>
      </c>
      <c r="B199" s="1102">
        <v>48322170000</v>
      </c>
      <c r="C199" s="4">
        <v>6135075000</v>
      </c>
      <c r="D199" s="4">
        <v>4392630000</v>
      </c>
      <c r="E199" s="1103">
        <v>4349710000</v>
      </c>
      <c r="F199" s="4">
        <v>4142960000</v>
      </c>
      <c r="G199" s="4">
        <v>3549140000</v>
      </c>
      <c r="H199" s="1104">
        <v>3448875000</v>
      </c>
      <c r="I199" s="4">
        <v>2987515000</v>
      </c>
      <c r="J199" s="4">
        <v>2336330000</v>
      </c>
      <c r="K199" s="4">
        <v>2006830000</v>
      </c>
      <c r="L199" s="1105">
        <v>1951280000</v>
      </c>
      <c r="M199" s="4">
        <v>1549370000</v>
      </c>
    </row>
    <row r="200" spans="1:26" x14ac:dyDescent="0.2">
      <c r="A200" s="1493" t="s">
        <v>209</v>
      </c>
      <c r="B200" s="21" t="s">
        <v>93</v>
      </c>
      <c r="C200" s="21" t="s">
        <v>25</v>
      </c>
      <c r="D200" s="21" t="s">
        <v>26</v>
      </c>
      <c r="E200" s="21" t="s">
        <v>169</v>
      </c>
      <c r="F200" s="21" t="s">
        <v>183</v>
      </c>
      <c r="G200" s="21" t="s">
        <v>99</v>
      </c>
      <c r="H200" s="21" t="s">
        <v>30</v>
      </c>
      <c r="I200" s="21" t="s">
        <v>190</v>
      </c>
      <c r="J200" s="21" t="s">
        <v>312</v>
      </c>
      <c r="K200" s="21" t="s">
        <v>66</v>
      </c>
      <c r="L200" s="21" t="s">
        <v>188</v>
      </c>
      <c r="M200" s="21" t="s">
        <v>313</v>
      </c>
    </row>
    <row r="201" spans="1:26" x14ac:dyDescent="0.2">
      <c r="A201" s="1493" t="s">
        <v>209</v>
      </c>
      <c r="B201" s="1096">
        <v>6734300000</v>
      </c>
      <c r="C201" s="4">
        <v>3251440000</v>
      </c>
      <c r="D201" s="4">
        <v>2933505000</v>
      </c>
      <c r="E201" s="4">
        <v>2431750000</v>
      </c>
      <c r="F201" s="4">
        <v>2199995000</v>
      </c>
      <c r="G201" s="4">
        <v>1817320000</v>
      </c>
      <c r="H201" s="4">
        <v>1189570000</v>
      </c>
      <c r="I201" s="4">
        <v>967785000</v>
      </c>
      <c r="J201" s="4">
        <v>775000000</v>
      </c>
      <c r="K201" s="4">
        <v>602570000</v>
      </c>
      <c r="L201" s="4">
        <v>587440000</v>
      </c>
      <c r="M201" s="4">
        <v>576460000</v>
      </c>
    </row>
    <row r="202" spans="1:26" x14ac:dyDescent="0.2">
      <c r="A202" s="1493" t="s">
        <v>208</v>
      </c>
      <c r="B202" s="21" t="s">
        <v>14</v>
      </c>
      <c r="C202" s="21" t="s">
        <v>35</v>
      </c>
      <c r="D202" s="21" t="s">
        <v>30</v>
      </c>
      <c r="E202" s="21" t="s">
        <v>33</v>
      </c>
      <c r="F202" s="21" t="s">
        <v>79</v>
      </c>
      <c r="G202" s="21" t="s">
        <v>29</v>
      </c>
      <c r="H202" s="21" t="s">
        <v>32</v>
      </c>
      <c r="I202" s="21" t="s">
        <v>26</v>
      </c>
      <c r="J202" s="21" t="s">
        <v>22</v>
      </c>
      <c r="K202" s="21" t="s">
        <v>17</v>
      </c>
      <c r="L202" s="21" t="s">
        <v>23</v>
      </c>
      <c r="M202" s="21" t="s">
        <v>18</v>
      </c>
    </row>
    <row r="203" spans="1:26" x14ac:dyDescent="0.2">
      <c r="A203" s="1493" t="s">
        <v>208</v>
      </c>
      <c r="B203" s="1089">
        <v>115951325000</v>
      </c>
      <c r="C203" s="1090">
        <v>76633090000</v>
      </c>
      <c r="D203" s="1091">
        <v>37358030000</v>
      </c>
      <c r="E203" s="4">
        <v>31366470000</v>
      </c>
      <c r="F203" s="4">
        <v>31141080000</v>
      </c>
      <c r="G203" s="1092">
        <v>27720080000</v>
      </c>
      <c r="H203" s="4">
        <v>25932355000</v>
      </c>
      <c r="I203" s="1093">
        <v>23899220000</v>
      </c>
      <c r="J203" s="1094">
        <v>21726886000</v>
      </c>
      <c r="K203" s="4">
        <v>21613905000</v>
      </c>
      <c r="L203" s="4">
        <v>17494447000</v>
      </c>
      <c r="M203" s="4">
        <v>15128604000</v>
      </c>
    </row>
    <row r="204" spans="1:26" x14ac:dyDescent="0.2">
      <c r="A204" s="1493" t="s">
        <v>206</v>
      </c>
      <c r="B204" s="21" t="s">
        <v>61</v>
      </c>
      <c r="C204" s="21" t="s">
        <v>21</v>
      </c>
      <c r="D204" s="21" t="s">
        <v>30</v>
      </c>
      <c r="E204" s="21" t="s">
        <v>23</v>
      </c>
      <c r="F204" s="21" t="s">
        <v>64</v>
      </c>
      <c r="G204" s="21" t="s">
        <v>17</v>
      </c>
      <c r="H204" s="21" t="s">
        <v>12</v>
      </c>
      <c r="I204" s="21" t="s">
        <v>79</v>
      </c>
      <c r="J204" s="21" t="s">
        <v>342</v>
      </c>
      <c r="K204" s="21" t="s">
        <v>14</v>
      </c>
      <c r="L204" s="21" t="s">
        <v>59</v>
      </c>
      <c r="M204" s="21" t="s">
        <v>15</v>
      </c>
      <c r="N204" s="1493" t="s">
        <v>382</v>
      </c>
      <c r="O204" s="21" t="s">
        <v>11</v>
      </c>
      <c r="P204" s="21" t="s">
        <v>61</v>
      </c>
      <c r="Q204" s="21" t="s">
        <v>14</v>
      </c>
      <c r="R204" s="21" t="s">
        <v>172</v>
      </c>
      <c r="S204" s="21" t="s">
        <v>30</v>
      </c>
      <c r="T204" s="21" t="s">
        <v>24</v>
      </c>
      <c r="U204" s="21" t="s">
        <v>21</v>
      </c>
      <c r="V204" s="21" t="s">
        <v>13</v>
      </c>
      <c r="W204" s="21" t="s">
        <v>26</v>
      </c>
      <c r="X204" s="21" t="s">
        <v>32</v>
      </c>
      <c r="Y204" s="21" t="s">
        <v>17</v>
      </c>
      <c r="Z204" s="21" t="s">
        <v>75</v>
      </c>
    </row>
    <row r="205" spans="1:26" x14ac:dyDescent="0.2">
      <c r="A205" s="1493" t="s">
        <v>206</v>
      </c>
      <c r="B205" s="4">
        <v>27891685000</v>
      </c>
      <c r="C205" s="4">
        <v>20604890000</v>
      </c>
      <c r="D205" s="4">
        <v>20147980000</v>
      </c>
      <c r="E205" s="4">
        <v>16191200000</v>
      </c>
      <c r="F205" s="4">
        <v>14922755000</v>
      </c>
      <c r="G205" s="4">
        <v>13413675000</v>
      </c>
      <c r="H205" s="4">
        <v>13283010000</v>
      </c>
      <c r="I205" s="4">
        <v>10562810000</v>
      </c>
      <c r="J205" s="1085">
        <v>9916490000</v>
      </c>
      <c r="K205" s="4">
        <v>9891820000</v>
      </c>
      <c r="L205" s="4">
        <v>9865219000</v>
      </c>
      <c r="M205" s="4">
        <v>8936205000</v>
      </c>
      <c r="N205" s="1493" t="s">
        <v>382</v>
      </c>
      <c r="O205" s="4">
        <v>191722265000</v>
      </c>
      <c r="P205" s="4">
        <v>73964585000</v>
      </c>
      <c r="Q205" s="4">
        <v>64857760000</v>
      </c>
      <c r="R205" s="4">
        <v>62944710000</v>
      </c>
      <c r="S205" s="4">
        <v>59007534000</v>
      </c>
      <c r="T205" s="4">
        <v>43451990000</v>
      </c>
      <c r="U205" s="4">
        <v>39405700000</v>
      </c>
      <c r="V205" s="4">
        <v>39106966000</v>
      </c>
      <c r="W205" s="4">
        <v>29485665000</v>
      </c>
      <c r="X205" s="4">
        <v>27961499000</v>
      </c>
      <c r="Y205" s="4">
        <v>24672932000</v>
      </c>
      <c r="Z205" s="4">
        <v>23271765000</v>
      </c>
    </row>
    <row r="206" spans="1:26" x14ac:dyDescent="0.2">
      <c r="A206" s="1493" t="s">
        <v>205</v>
      </c>
      <c r="B206" s="21" t="s">
        <v>61</v>
      </c>
      <c r="C206" s="21" t="s">
        <v>24</v>
      </c>
      <c r="D206" s="21" t="s">
        <v>30</v>
      </c>
      <c r="E206" s="21" t="s">
        <v>75</v>
      </c>
      <c r="F206" s="21" t="s">
        <v>20</v>
      </c>
      <c r="G206" s="21" t="s">
        <v>99</v>
      </c>
      <c r="H206" s="21" t="s">
        <v>32</v>
      </c>
      <c r="I206" s="21" t="s">
        <v>14</v>
      </c>
      <c r="J206" s="21" t="s">
        <v>198</v>
      </c>
      <c r="K206" s="21" t="s">
        <v>34</v>
      </c>
      <c r="L206" s="21" t="s">
        <v>8</v>
      </c>
      <c r="M206" s="21" t="s">
        <v>303</v>
      </c>
    </row>
    <row r="207" spans="1:26" x14ac:dyDescent="0.2">
      <c r="A207" s="1493" t="s">
        <v>205</v>
      </c>
      <c r="B207" s="1077">
        <v>46072900000</v>
      </c>
      <c r="C207" s="1078">
        <v>42543905000</v>
      </c>
      <c r="D207" s="1079">
        <v>34120630000</v>
      </c>
      <c r="E207" s="4">
        <v>23271765000</v>
      </c>
      <c r="F207" s="1080">
        <v>14158970000</v>
      </c>
      <c r="G207" s="1081">
        <v>12117740000</v>
      </c>
      <c r="H207" s="4">
        <v>9673194000</v>
      </c>
      <c r="I207" s="4">
        <v>8964600000</v>
      </c>
      <c r="J207" s="1082">
        <v>8244690000</v>
      </c>
      <c r="K207" s="4">
        <v>6849200000</v>
      </c>
      <c r="L207" s="4">
        <v>5568340000</v>
      </c>
      <c r="M207" s="1083">
        <v>3744365000</v>
      </c>
    </row>
    <row r="208" spans="1:26" x14ac:dyDescent="0.2">
      <c r="A208" s="1493" t="s">
        <v>204</v>
      </c>
      <c r="B208" s="21" t="s">
        <v>11</v>
      </c>
      <c r="C208" s="21" t="s">
        <v>21</v>
      </c>
      <c r="D208" s="21" t="s">
        <v>172</v>
      </c>
      <c r="E208" s="21" t="s">
        <v>15</v>
      </c>
      <c r="F208" s="21" t="s">
        <v>17</v>
      </c>
      <c r="G208" s="21" t="s">
        <v>32</v>
      </c>
      <c r="H208" s="21" t="s">
        <v>26</v>
      </c>
      <c r="I208" s="21" t="s">
        <v>64</v>
      </c>
      <c r="J208" s="21" t="s">
        <v>22</v>
      </c>
      <c r="K208" s="21" t="s">
        <v>12</v>
      </c>
      <c r="L208" s="21" t="s">
        <v>59</v>
      </c>
      <c r="M208" s="21" t="s">
        <v>58</v>
      </c>
    </row>
    <row r="209" spans="1:26" x14ac:dyDescent="0.2">
      <c r="A209" s="1493" t="s">
        <v>204</v>
      </c>
      <c r="B209" s="1072">
        <v>191722265000</v>
      </c>
      <c r="C209" s="4">
        <v>38396540000</v>
      </c>
      <c r="D209" s="4">
        <v>24076850000</v>
      </c>
      <c r="E209" s="4">
        <v>20598345000</v>
      </c>
      <c r="F209" s="4">
        <v>18721740000</v>
      </c>
      <c r="G209" s="4">
        <v>18566700000</v>
      </c>
      <c r="H209" s="1073">
        <v>17387015000</v>
      </c>
      <c r="I209" s="4">
        <v>17277315000</v>
      </c>
      <c r="J209" s="4">
        <v>16069920000</v>
      </c>
      <c r="K209" s="4">
        <v>12701450000</v>
      </c>
      <c r="L209" s="4">
        <v>11089640000</v>
      </c>
      <c r="M209" s="4">
        <v>10598460000</v>
      </c>
    </row>
    <row r="210" spans="1:26" x14ac:dyDescent="0.2">
      <c r="A210" s="1493" t="s">
        <v>203</v>
      </c>
      <c r="B210" s="21" t="s">
        <v>172</v>
      </c>
      <c r="C210" s="21" t="s">
        <v>13</v>
      </c>
      <c r="D210" s="21" t="s">
        <v>35</v>
      </c>
      <c r="E210" s="21" t="s">
        <v>71</v>
      </c>
      <c r="F210" s="21" t="s">
        <v>14</v>
      </c>
      <c r="G210" s="21" t="s">
        <v>26</v>
      </c>
      <c r="H210" s="21" t="s">
        <v>183</v>
      </c>
      <c r="I210" s="21" t="s">
        <v>99</v>
      </c>
      <c r="J210" s="21" t="s">
        <v>190</v>
      </c>
      <c r="K210" s="21" t="s">
        <v>5</v>
      </c>
      <c r="L210" s="21" t="s">
        <v>293</v>
      </c>
      <c r="M210" s="21" t="s">
        <v>176</v>
      </c>
    </row>
    <row r="211" spans="1:26" x14ac:dyDescent="0.2">
      <c r="A211" s="1493" t="s">
        <v>203</v>
      </c>
      <c r="B211" s="4">
        <v>31156100000</v>
      </c>
      <c r="C211" s="4">
        <v>21058546000</v>
      </c>
      <c r="D211" s="4">
        <v>16763320000</v>
      </c>
      <c r="E211" s="4">
        <v>12269170000</v>
      </c>
      <c r="F211" s="4">
        <v>11202310000</v>
      </c>
      <c r="G211" s="1071">
        <v>8629205000</v>
      </c>
      <c r="H211" s="4">
        <v>4826620000</v>
      </c>
      <c r="I211" s="4">
        <v>3106545000</v>
      </c>
      <c r="J211" s="4">
        <v>2543857000</v>
      </c>
      <c r="K211" s="4">
        <v>1364940000</v>
      </c>
      <c r="L211" s="4">
        <v>1341900000</v>
      </c>
      <c r="M211" s="4">
        <v>1113180000</v>
      </c>
    </row>
    <row r="212" spans="1:26" x14ac:dyDescent="0.2">
      <c r="A212" s="1493" t="s">
        <v>201</v>
      </c>
      <c r="B212" s="21" t="s">
        <v>13</v>
      </c>
      <c r="C212" s="21" t="s">
        <v>14</v>
      </c>
      <c r="D212" s="21" t="s">
        <v>33</v>
      </c>
      <c r="E212" s="21" t="s">
        <v>79</v>
      </c>
      <c r="F212" s="21" t="s">
        <v>29</v>
      </c>
      <c r="G212" s="21" t="s">
        <v>295</v>
      </c>
      <c r="H212" s="21" t="s">
        <v>32</v>
      </c>
      <c r="I212" s="21" t="s">
        <v>12</v>
      </c>
      <c r="J212" s="21" t="s">
        <v>17</v>
      </c>
      <c r="K212" s="21" t="s">
        <v>38</v>
      </c>
      <c r="L212" s="21" t="s">
        <v>18</v>
      </c>
      <c r="M212" s="21" t="s">
        <v>64</v>
      </c>
    </row>
    <row r="213" spans="1:26" x14ac:dyDescent="0.2">
      <c r="A213" s="1493" t="s">
        <v>201</v>
      </c>
      <c r="B213" s="4">
        <v>38229685000</v>
      </c>
      <c r="C213" s="4">
        <v>26909880000</v>
      </c>
      <c r="D213" s="4">
        <v>23664670000</v>
      </c>
      <c r="E213" s="4">
        <v>18088055000</v>
      </c>
      <c r="F213" s="1068">
        <v>17971000000</v>
      </c>
      <c r="G213" s="1069">
        <v>14215000000</v>
      </c>
      <c r="H213" s="4">
        <v>12939635000</v>
      </c>
      <c r="I213" s="4">
        <v>11217140000</v>
      </c>
      <c r="J213" s="4">
        <v>11169062000</v>
      </c>
      <c r="K213" s="4">
        <v>10075200000</v>
      </c>
      <c r="L213" s="4">
        <v>9650780000</v>
      </c>
      <c r="M213" s="4">
        <v>8062300000</v>
      </c>
    </row>
    <row r="214" spans="1:26" x14ac:dyDescent="0.2">
      <c r="A214" s="1493" t="s">
        <v>200</v>
      </c>
      <c r="B214" s="21" t="s">
        <v>14</v>
      </c>
      <c r="C214" s="21" t="s">
        <v>172</v>
      </c>
      <c r="D214" s="21" t="s">
        <v>38</v>
      </c>
      <c r="E214" s="21" t="s">
        <v>13</v>
      </c>
      <c r="F214" s="21" t="s">
        <v>23</v>
      </c>
      <c r="G214" s="21" t="s">
        <v>15</v>
      </c>
      <c r="H214" s="21" t="s">
        <v>163</v>
      </c>
      <c r="I214" s="21" t="s">
        <v>18</v>
      </c>
      <c r="J214" s="21" t="s">
        <v>35</v>
      </c>
      <c r="K214" s="21" t="s">
        <v>183</v>
      </c>
      <c r="L214" s="21" t="s">
        <v>5</v>
      </c>
      <c r="M214" s="21" t="s">
        <v>30</v>
      </c>
      <c r="N214" s="1493" t="s">
        <v>381</v>
      </c>
      <c r="O214" s="21" t="s">
        <v>21</v>
      </c>
      <c r="P214" s="21" t="s">
        <v>23</v>
      </c>
      <c r="Q214" s="21" t="s">
        <v>14</v>
      </c>
      <c r="R214" s="21" t="s">
        <v>38</v>
      </c>
      <c r="S214" s="21" t="s">
        <v>13</v>
      </c>
      <c r="T214" s="21" t="s">
        <v>70</v>
      </c>
      <c r="U214" s="21" t="s">
        <v>172</v>
      </c>
      <c r="V214" s="21" t="s">
        <v>163</v>
      </c>
      <c r="W214" s="21" t="s">
        <v>19</v>
      </c>
      <c r="X214" s="21" t="s">
        <v>42</v>
      </c>
      <c r="Y214" s="21" t="s">
        <v>183</v>
      </c>
      <c r="Z214" s="21" t="s">
        <v>28</v>
      </c>
    </row>
    <row r="215" spans="1:26" x14ac:dyDescent="0.2">
      <c r="A215" s="1493" t="s">
        <v>200</v>
      </c>
      <c r="B215" s="4">
        <v>39205410000</v>
      </c>
      <c r="C215" s="1061">
        <v>38208885000</v>
      </c>
      <c r="D215" s="1062">
        <v>34988660000</v>
      </c>
      <c r="E215" s="4">
        <v>33379355000</v>
      </c>
      <c r="F215" s="4">
        <v>31722570000</v>
      </c>
      <c r="G215" s="4">
        <v>26169920000</v>
      </c>
      <c r="H215" s="4">
        <v>25641720000</v>
      </c>
      <c r="I215" s="4">
        <v>21420090000</v>
      </c>
      <c r="J215" s="4">
        <v>18099960000</v>
      </c>
      <c r="K215" s="4">
        <v>15955050000</v>
      </c>
      <c r="L215" s="4">
        <v>15354863000</v>
      </c>
      <c r="M215" s="4">
        <v>13640960000</v>
      </c>
      <c r="N215" s="1493" t="s">
        <v>381</v>
      </c>
      <c r="O215" s="4">
        <v>88264980000</v>
      </c>
      <c r="P215" s="4">
        <v>73785790000</v>
      </c>
      <c r="Q215" s="4">
        <v>56482026000</v>
      </c>
      <c r="R215" s="4">
        <v>54873525000</v>
      </c>
      <c r="S215" s="4">
        <v>41415500000</v>
      </c>
      <c r="T215" s="4">
        <v>40687135000</v>
      </c>
      <c r="U215" s="4">
        <v>38208885000</v>
      </c>
      <c r="V215" s="4">
        <v>25885400000</v>
      </c>
      <c r="W215" s="4">
        <v>18991815000</v>
      </c>
      <c r="X215" s="4">
        <v>16834260000</v>
      </c>
      <c r="Y215" s="4">
        <v>13607745000</v>
      </c>
      <c r="Z215" s="4">
        <v>11143720000</v>
      </c>
    </row>
    <row r="216" spans="1:26" x14ac:dyDescent="0.2">
      <c r="A216" s="1493" t="s">
        <v>199</v>
      </c>
      <c r="B216" s="21" t="s">
        <v>23</v>
      </c>
      <c r="C216" s="21" t="s">
        <v>13</v>
      </c>
      <c r="D216" s="21" t="s">
        <v>21</v>
      </c>
      <c r="E216" s="21" t="s">
        <v>70</v>
      </c>
      <c r="F216" s="21" t="s">
        <v>38</v>
      </c>
      <c r="G216" s="21" t="s">
        <v>14</v>
      </c>
      <c r="H216" s="21" t="s">
        <v>35</v>
      </c>
      <c r="I216" s="21" t="s">
        <v>24</v>
      </c>
      <c r="J216" s="21" t="s">
        <v>28</v>
      </c>
      <c r="K216" s="21" t="s">
        <v>32</v>
      </c>
      <c r="L216" s="21" t="s">
        <v>97</v>
      </c>
      <c r="M216" s="21" t="s">
        <v>188</v>
      </c>
    </row>
    <row r="217" spans="1:26" x14ac:dyDescent="0.2">
      <c r="A217" s="1493" t="s">
        <v>199</v>
      </c>
      <c r="B217" s="1051">
        <v>66748740000</v>
      </c>
      <c r="C217" s="4">
        <v>35472585000</v>
      </c>
      <c r="D217" s="4">
        <v>26710460000</v>
      </c>
      <c r="E217" s="1052">
        <v>24617275000</v>
      </c>
      <c r="F217" s="1053">
        <v>19884865000</v>
      </c>
      <c r="G217" s="4">
        <v>14292685000</v>
      </c>
      <c r="H217" s="4">
        <v>12428645000</v>
      </c>
      <c r="I217" s="4">
        <v>11197025000</v>
      </c>
      <c r="J217" s="1054">
        <v>11143720000</v>
      </c>
      <c r="K217" s="4">
        <v>10384134000</v>
      </c>
      <c r="L217" s="1055">
        <v>9077870000</v>
      </c>
      <c r="M217" s="1056">
        <v>7307010000</v>
      </c>
    </row>
    <row r="218" spans="1:26" x14ac:dyDescent="0.2">
      <c r="A218" s="1493" t="s">
        <v>196</v>
      </c>
      <c r="B218" s="21" t="s">
        <v>70</v>
      </c>
      <c r="C218" s="21" t="s">
        <v>34</v>
      </c>
      <c r="D218" s="21" t="s">
        <v>14</v>
      </c>
      <c r="E218" s="21" t="s">
        <v>336</v>
      </c>
      <c r="F218" s="21" t="s">
        <v>176</v>
      </c>
      <c r="G218" s="21" t="s">
        <v>86</v>
      </c>
      <c r="H218" s="21" t="s">
        <v>42</v>
      </c>
      <c r="I218" s="21" t="s">
        <v>99</v>
      </c>
      <c r="J218" s="21" t="s">
        <v>198</v>
      </c>
      <c r="K218" s="21" t="s">
        <v>10</v>
      </c>
      <c r="L218" s="21" t="s">
        <v>92</v>
      </c>
      <c r="M218" s="21" t="s">
        <v>271</v>
      </c>
    </row>
    <row r="219" spans="1:26" x14ac:dyDescent="0.2">
      <c r="A219" s="1493" t="s">
        <v>196</v>
      </c>
      <c r="B219" s="4">
        <v>16069860000</v>
      </c>
      <c r="C219" s="4">
        <v>10902664000</v>
      </c>
      <c r="D219" s="4">
        <v>8291285000</v>
      </c>
      <c r="E219" s="1047">
        <v>5472500000</v>
      </c>
      <c r="F219" s="4">
        <v>5354330000</v>
      </c>
      <c r="G219" s="1048">
        <v>5086055000</v>
      </c>
      <c r="H219" s="4">
        <v>4431350000</v>
      </c>
      <c r="I219" s="4">
        <v>4256055000</v>
      </c>
      <c r="J219" s="1049">
        <v>4015950000</v>
      </c>
      <c r="K219" s="4">
        <v>3600400000</v>
      </c>
      <c r="L219" s="4">
        <v>3075000000</v>
      </c>
      <c r="M219" s="4">
        <v>2085800000</v>
      </c>
    </row>
    <row r="220" spans="1:26" x14ac:dyDescent="0.2">
      <c r="A220" s="1493" t="s">
        <v>195</v>
      </c>
      <c r="B220" s="21" t="s">
        <v>21</v>
      </c>
      <c r="C220" s="21" t="s">
        <v>42</v>
      </c>
      <c r="D220" s="21" t="s">
        <v>190</v>
      </c>
      <c r="E220" s="21" t="s">
        <v>6</v>
      </c>
      <c r="F220" s="21" t="s">
        <v>19</v>
      </c>
      <c r="G220" s="21" t="s">
        <v>198</v>
      </c>
      <c r="H220" s="21" t="s">
        <v>34</v>
      </c>
      <c r="I220" s="21" t="s">
        <v>271</v>
      </c>
      <c r="J220" s="21" t="s">
        <v>8</v>
      </c>
      <c r="K220" s="21" t="s">
        <v>92</v>
      </c>
      <c r="L220" s="21" t="s">
        <v>65</v>
      </c>
      <c r="M220" s="21" t="s">
        <v>69</v>
      </c>
    </row>
    <row r="221" spans="1:26" x14ac:dyDescent="0.2">
      <c r="A221" s="1493" t="s">
        <v>195</v>
      </c>
      <c r="B221" s="4">
        <v>31313350000</v>
      </c>
      <c r="C221" s="4">
        <v>4879550000</v>
      </c>
      <c r="D221" s="1044">
        <v>4742650000</v>
      </c>
      <c r="E221" s="4">
        <v>3980430000</v>
      </c>
      <c r="F221" s="4">
        <v>2486585000</v>
      </c>
      <c r="G221" s="4">
        <v>2300710000</v>
      </c>
      <c r="H221" s="4">
        <v>2232044000</v>
      </c>
      <c r="I221" s="4">
        <v>2139700000</v>
      </c>
      <c r="J221" s="4">
        <v>1608790000</v>
      </c>
      <c r="K221" s="4">
        <v>1475750000</v>
      </c>
      <c r="L221" s="4">
        <v>1247362000</v>
      </c>
      <c r="M221" s="4">
        <v>1095155000</v>
      </c>
    </row>
    <row r="222" spans="1:26" x14ac:dyDescent="0.2">
      <c r="A222" s="1493" t="s">
        <v>193</v>
      </c>
      <c r="B222" s="21" t="s">
        <v>21</v>
      </c>
      <c r="C222" s="21" t="s">
        <v>14</v>
      </c>
      <c r="D222" s="21" t="s">
        <v>176</v>
      </c>
      <c r="E222" s="21" t="s">
        <v>6</v>
      </c>
      <c r="F222" s="21" t="s">
        <v>10</v>
      </c>
      <c r="G222" s="21" t="s">
        <v>57</v>
      </c>
      <c r="H222" s="21" t="s">
        <v>25</v>
      </c>
      <c r="I222" s="21" t="s">
        <v>13</v>
      </c>
      <c r="J222" s="21" t="s">
        <v>30</v>
      </c>
      <c r="K222" s="21" t="s">
        <v>89</v>
      </c>
      <c r="L222" s="21" t="s">
        <v>62</v>
      </c>
      <c r="M222" s="21" t="s">
        <v>163</v>
      </c>
    </row>
    <row r="223" spans="1:26" x14ac:dyDescent="0.2">
      <c r="A223" s="1493" t="s">
        <v>193</v>
      </c>
      <c r="B223" s="4">
        <v>39653200000</v>
      </c>
      <c r="C223" s="4">
        <v>29742220000</v>
      </c>
      <c r="D223" s="1043">
        <v>6136400000</v>
      </c>
      <c r="E223" s="4">
        <v>3896570000</v>
      </c>
      <c r="F223" s="4">
        <v>3660000000</v>
      </c>
      <c r="G223" s="4">
        <v>2985000000</v>
      </c>
      <c r="H223" s="4">
        <v>2208400000</v>
      </c>
      <c r="I223" s="4">
        <v>2038285000</v>
      </c>
      <c r="J223" s="4">
        <v>1492200000</v>
      </c>
      <c r="K223" s="4">
        <v>1319670000</v>
      </c>
      <c r="L223" s="4">
        <v>1190735000</v>
      </c>
      <c r="M223" s="4">
        <v>1129010000</v>
      </c>
    </row>
    <row r="224" spans="1:26" x14ac:dyDescent="0.2">
      <c r="A224" s="1493" t="s">
        <v>189</v>
      </c>
      <c r="B224" s="21" t="s">
        <v>14</v>
      </c>
      <c r="C224" s="21" t="s">
        <v>21</v>
      </c>
      <c r="D224" s="21" t="s">
        <v>24</v>
      </c>
      <c r="E224" s="21" t="s">
        <v>23</v>
      </c>
      <c r="F224" s="21" t="s">
        <v>5</v>
      </c>
      <c r="G224" s="21" t="s">
        <v>64</v>
      </c>
      <c r="H224" s="21" t="s">
        <v>12</v>
      </c>
      <c r="I224" s="21" t="s">
        <v>15</v>
      </c>
      <c r="J224" s="21" t="s">
        <v>22</v>
      </c>
      <c r="K224" s="21" t="s">
        <v>59</v>
      </c>
      <c r="L224" s="21" t="s">
        <v>212</v>
      </c>
      <c r="M224" s="21" t="s">
        <v>35</v>
      </c>
      <c r="N224" s="1493" t="s">
        <v>380</v>
      </c>
      <c r="O224" s="21" t="s">
        <v>11</v>
      </c>
      <c r="P224" s="21" t="s">
        <v>19</v>
      </c>
      <c r="Q224" s="21" t="s">
        <v>21</v>
      </c>
      <c r="R224" s="21" t="s">
        <v>39</v>
      </c>
      <c r="S224" s="21" t="s">
        <v>23</v>
      </c>
      <c r="T224" s="21" t="s">
        <v>30</v>
      </c>
      <c r="U224" s="21" t="s">
        <v>22</v>
      </c>
      <c r="V224" s="21" t="s">
        <v>38</v>
      </c>
      <c r="W224" s="21" t="s">
        <v>59</v>
      </c>
      <c r="X224" s="21" t="s">
        <v>57</v>
      </c>
      <c r="Y224" s="21" t="s">
        <v>12</v>
      </c>
      <c r="Z224" s="21" t="s">
        <v>89</v>
      </c>
    </row>
    <row r="225" spans="1:26" x14ac:dyDescent="0.2">
      <c r="A225" s="1493" t="s">
        <v>189</v>
      </c>
      <c r="B225" s="4">
        <v>30065630000</v>
      </c>
      <c r="C225" s="4">
        <v>22058500000</v>
      </c>
      <c r="D225" s="1039">
        <v>20194215000</v>
      </c>
      <c r="E225" s="4">
        <v>19799430000</v>
      </c>
      <c r="F225" s="4">
        <v>18231035000</v>
      </c>
      <c r="G225" s="4">
        <v>14510735000</v>
      </c>
      <c r="H225" s="4">
        <v>14143320000</v>
      </c>
      <c r="I225" s="4">
        <v>11311140000</v>
      </c>
      <c r="J225" s="4">
        <v>9976490000</v>
      </c>
      <c r="K225" s="4">
        <v>7874338000</v>
      </c>
      <c r="L225" s="1040">
        <v>7239890000</v>
      </c>
      <c r="M225" s="4">
        <v>6906605000</v>
      </c>
      <c r="N225" s="1493" t="s">
        <v>380</v>
      </c>
      <c r="O225" s="4">
        <v>49974515000</v>
      </c>
      <c r="P225" s="4">
        <v>43244221000</v>
      </c>
      <c r="Q225" s="4">
        <v>42330480000</v>
      </c>
      <c r="R225" s="4">
        <v>41551065000</v>
      </c>
      <c r="S225" s="4">
        <v>31504400000</v>
      </c>
      <c r="T225" s="4">
        <v>25263940000</v>
      </c>
      <c r="U225" s="4">
        <v>24604880000</v>
      </c>
      <c r="V225" s="4">
        <v>23924418000</v>
      </c>
      <c r="W225" s="4">
        <v>19420292000</v>
      </c>
      <c r="X225" s="4">
        <v>18687880000</v>
      </c>
      <c r="Y225" s="4">
        <v>10683240000</v>
      </c>
      <c r="Z225" s="4">
        <v>10487150000</v>
      </c>
    </row>
    <row r="226" spans="1:26" x14ac:dyDescent="0.2">
      <c r="A226" s="1493" t="s">
        <v>185</v>
      </c>
      <c r="B226" s="21" t="s">
        <v>21</v>
      </c>
      <c r="C226" s="21" t="s">
        <v>22</v>
      </c>
      <c r="D226" s="21" t="s">
        <v>79</v>
      </c>
      <c r="E226" s="21" t="s">
        <v>30</v>
      </c>
      <c r="F226" s="21" t="s">
        <v>23</v>
      </c>
      <c r="G226" s="21" t="s">
        <v>15</v>
      </c>
      <c r="H226" s="21" t="s">
        <v>12</v>
      </c>
      <c r="I226" s="21" t="s">
        <v>35</v>
      </c>
      <c r="J226" s="21" t="s">
        <v>59</v>
      </c>
      <c r="K226" s="21" t="s">
        <v>57</v>
      </c>
      <c r="L226" s="21" t="s">
        <v>24</v>
      </c>
      <c r="M226" s="21" t="s">
        <v>169</v>
      </c>
    </row>
    <row r="227" spans="1:26" x14ac:dyDescent="0.2">
      <c r="A227" s="1493" t="s">
        <v>185</v>
      </c>
      <c r="B227" s="1032">
        <v>45459740000</v>
      </c>
      <c r="C227" s="1033">
        <v>18464820000</v>
      </c>
      <c r="D227" s="4">
        <v>18335045000</v>
      </c>
      <c r="E227" s="1034">
        <v>16286840000</v>
      </c>
      <c r="F227" s="4">
        <v>15752920000</v>
      </c>
      <c r="G227" s="4">
        <v>11971410000</v>
      </c>
      <c r="H227" s="4">
        <v>10235620000</v>
      </c>
      <c r="I227" s="4">
        <v>9633180000</v>
      </c>
      <c r="J227" s="4">
        <v>8197950000</v>
      </c>
      <c r="K227" s="1035">
        <v>6990130000</v>
      </c>
      <c r="L227" s="1036">
        <v>5694400000</v>
      </c>
      <c r="M227" s="1037">
        <v>4943540000</v>
      </c>
    </row>
    <row r="228" spans="1:26" x14ac:dyDescent="0.2">
      <c r="A228" s="1493" t="s">
        <v>181</v>
      </c>
      <c r="B228" s="21" t="s">
        <v>11</v>
      </c>
      <c r="C228" s="21" t="s">
        <v>33</v>
      </c>
      <c r="D228" s="21" t="s">
        <v>176</v>
      </c>
      <c r="E228" s="21" t="s">
        <v>84</v>
      </c>
      <c r="F228" s="21" t="s">
        <v>38</v>
      </c>
      <c r="G228" s="21" t="s">
        <v>22</v>
      </c>
      <c r="H228" s="21" t="s">
        <v>99</v>
      </c>
      <c r="I228" s="21" t="s">
        <v>27</v>
      </c>
      <c r="J228" s="21" t="s">
        <v>42</v>
      </c>
      <c r="K228" s="21" t="s">
        <v>40</v>
      </c>
      <c r="L228" s="21" t="s">
        <v>37</v>
      </c>
      <c r="M228" s="21" t="s">
        <v>293</v>
      </c>
    </row>
    <row r="229" spans="1:26" x14ac:dyDescent="0.2">
      <c r="A229" s="1493" t="s">
        <v>181</v>
      </c>
      <c r="B229" s="4">
        <v>41431930000</v>
      </c>
      <c r="C229" s="4">
        <v>6463920000</v>
      </c>
      <c r="D229" s="1022">
        <v>5955030000</v>
      </c>
      <c r="E229" s="1023">
        <v>3109450000</v>
      </c>
      <c r="F229" s="4">
        <v>3084880000</v>
      </c>
      <c r="G229" s="1024">
        <v>3042555000</v>
      </c>
      <c r="H229" s="4">
        <v>2568980000</v>
      </c>
      <c r="I229" s="1025">
        <v>2157965000</v>
      </c>
      <c r="J229" s="4">
        <v>1810480000</v>
      </c>
      <c r="K229" s="4">
        <v>1791340000</v>
      </c>
      <c r="L229" s="1026">
        <v>1593720000</v>
      </c>
      <c r="M229" s="1027">
        <v>1525000000</v>
      </c>
    </row>
    <row r="230" spans="1:26" x14ac:dyDescent="0.2">
      <c r="A230" s="1493" t="s">
        <v>178</v>
      </c>
      <c r="B230" s="21" t="s">
        <v>19</v>
      </c>
      <c r="C230" s="21" t="s">
        <v>38</v>
      </c>
      <c r="D230" s="21" t="s">
        <v>39</v>
      </c>
      <c r="E230" s="21" t="s">
        <v>180</v>
      </c>
      <c r="F230" s="21" t="s">
        <v>57</v>
      </c>
      <c r="G230" s="21" t="s">
        <v>42</v>
      </c>
      <c r="H230" s="21" t="s">
        <v>281</v>
      </c>
      <c r="I230" s="21" t="s">
        <v>303</v>
      </c>
      <c r="J230" s="21" t="s">
        <v>8</v>
      </c>
      <c r="K230" s="21" t="s">
        <v>84</v>
      </c>
      <c r="L230" s="21" t="s">
        <v>41</v>
      </c>
      <c r="M230" s="21" t="s">
        <v>301</v>
      </c>
    </row>
    <row r="231" spans="1:26" x14ac:dyDescent="0.2">
      <c r="A231" s="1493" t="s">
        <v>178</v>
      </c>
      <c r="B231" s="4">
        <v>42288241000</v>
      </c>
      <c r="C231" s="1012">
        <v>18511433000</v>
      </c>
      <c r="D231" s="4">
        <v>18239240000</v>
      </c>
      <c r="E231" s="1013">
        <v>5623740000</v>
      </c>
      <c r="F231" s="1014">
        <v>4850000000</v>
      </c>
      <c r="G231" s="4">
        <v>2134238000</v>
      </c>
      <c r="H231" s="1015">
        <v>1890000000</v>
      </c>
      <c r="I231" s="1016">
        <v>1833997000</v>
      </c>
      <c r="J231" s="4">
        <v>1583591000</v>
      </c>
      <c r="K231" s="1017">
        <v>932400000</v>
      </c>
      <c r="L231" s="1018">
        <v>793510000</v>
      </c>
      <c r="M231" s="4">
        <v>717670000</v>
      </c>
    </row>
    <row r="232" spans="1:26" x14ac:dyDescent="0.2">
      <c r="A232" s="1493" t="s">
        <v>175</v>
      </c>
      <c r="B232" s="21" t="s">
        <v>13</v>
      </c>
      <c r="C232" s="21" t="s">
        <v>75</v>
      </c>
      <c r="D232" s="21" t="s">
        <v>14</v>
      </c>
      <c r="E232" s="21" t="s">
        <v>39</v>
      </c>
      <c r="F232" s="21" t="s">
        <v>23</v>
      </c>
      <c r="G232" s="21" t="s">
        <v>12</v>
      </c>
      <c r="H232" s="21" t="s">
        <v>15</v>
      </c>
      <c r="I232" s="21" t="s">
        <v>11</v>
      </c>
      <c r="J232" s="21" t="s">
        <v>64</v>
      </c>
      <c r="K232" s="21" t="s">
        <v>89</v>
      </c>
      <c r="L232" s="21" t="s">
        <v>59</v>
      </c>
      <c r="M232" s="21" t="s">
        <v>5</v>
      </c>
    </row>
    <row r="233" spans="1:26" x14ac:dyDescent="0.2">
      <c r="A233" s="1493" t="s">
        <v>175</v>
      </c>
      <c r="B233" s="4">
        <v>26496345000</v>
      </c>
      <c r="C233" s="1009">
        <v>25870670000</v>
      </c>
      <c r="D233" s="4">
        <v>23882075000</v>
      </c>
      <c r="E233" s="4">
        <v>23311825000</v>
      </c>
      <c r="F233" s="4">
        <v>11641860000</v>
      </c>
      <c r="G233" s="4">
        <v>11383560000</v>
      </c>
      <c r="H233" s="4">
        <v>11368427000</v>
      </c>
      <c r="I233" s="4">
        <v>8542585000</v>
      </c>
      <c r="J233" s="4">
        <v>7942095000</v>
      </c>
      <c r="K233" s="4">
        <v>7142150000</v>
      </c>
      <c r="L233" s="4">
        <v>6945035000</v>
      </c>
      <c r="M233" s="4">
        <v>6639833000</v>
      </c>
    </row>
    <row r="234" spans="1:26" x14ac:dyDescent="0.2">
      <c r="A234" s="1493" t="s">
        <v>111</v>
      </c>
      <c r="B234" s="21" t="s">
        <v>8</v>
      </c>
      <c r="C234" s="21" t="s">
        <v>163</v>
      </c>
      <c r="D234" s="21" t="s">
        <v>5</v>
      </c>
      <c r="E234" s="21" t="s">
        <v>14</v>
      </c>
      <c r="F234" s="21" t="s">
        <v>15</v>
      </c>
      <c r="G234" s="21" t="s">
        <v>89</v>
      </c>
      <c r="H234" s="21" t="s">
        <v>12</v>
      </c>
      <c r="I234" s="21" t="s">
        <v>59</v>
      </c>
      <c r="J234" s="21" t="s">
        <v>35</v>
      </c>
      <c r="K234" s="21" t="s">
        <v>13</v>
      </c>
      <c r="L234" s="21" t="s">
        <v>23</v>
      </c>
      <c r="M234" s="21" t="s">
        <v>21</v>
      </c>
      <c r="N234" s="1493" t="s">
        <v>379</v>
      </c>
      <c r="O234" s="21" t="s">
        <v>163</v>
      </c>
      <c r="P234" s="21" t="s">
        <v>8</v>
      </c>
      <c r="Q234" s="21" t="s">
        <v>39</v>
      </c>
      <c r="R234" s="21" t="s">
        <v>75</v>
      </c>
      <c r="S234" s="21" t="s">
        <v>99</v>
      </c>
      <c r="T234" s="21" t="s">
        <v>62</v>
      </c>
      <c r="U234" s="21" t="s">
        <v>89</v>
      </c>
      <c r="V234" s="21" t="s">
        <v>174</v>
      </c>
      <c r="W234" s="21" t="s">
        <v>92</v>
      </c>
      <c r="X234" s="21" t="s">
        <v>42</v>
      </c>
      <c r="Y234" s="21" t="s">
        <v>198</v>
      </c>
      <c r="Z234" s="21" t="s">
        <v>76</v>
      </c>
    </row>
    <row r="235" spans="1:26" x14ac:dyDescent="0.2">
      <c r="A235" s="1493" t="s">
        <v>111</v>
      </c>
      <c r="B235" s="1004">
        <v>41805335000</v>
      </c>
      <c r="C235" s="1005">
        <v>41655821000</v>
      </c>
      <c r="D235" s="4">
        <v>40110810000</v>
      </c>
      <c r="E235" s="4">
        <v>31294505000</v>
      </c>
      <c r="F235" s="4">
        <v>20750285000</v>
      </c>
      <c r="G235" s="1006">
        <v>15684050000</v>
      </c>
      <c r="H235" s="4">
        <v>15486870000</v>
      </c>
      <c r="I235" s="4">
        <v>13995960000</v>
      </c>
      <c r="J235" s="4">
        <v>12348925000</v>
      </c>
      <c r="K235" s="4">
        <v>12240555000</v>
      </c>
      <c r="L235" s="4">
        <v>12181050000</v>
      </c>
      <c r="M235" s="4">
        <v>9818580000</v>
      </c>
      <c r="N235" s="1493" t="s">
        <v>379</v>
      </c>
      <c r="O235" s="4">
        <v>75255526000</v>
      </c>
      <c r="P235" s="4">
        <v>41805335000</v>
      </c>
      <c r="Q235" s="4">
        <v>31961735000</v>
      </c>
      <c r="R235" s="4">
        <v>22704915000</v>
      </c>
      <c r="S235" s="4">
        <v>16169920000</v>
      </c>
      <c r="T235" s="4">
        <v>16076255000</v>
      </c>
      <c r="U235" s="4">
        <v>15684050000</v>
      </c>
      <c r="V235" s="4">
        <v>11714760000</v>
      </c>
      <c r="W235" s="4">
        <v>10051670000</v>
      </c>
      <c r="X235" s="4">
        <v>8792190000</v>
      </c>
      <c r="Y235" s="4">
        <v>8314060000</v>
      </c>
      <c r="Z235" s="4">
        <v>7496595000</v>
      </c>
    </row>
    <row r="236" spans="1:26" x14ac:dyDescent="0.2">
      <c r="A236" s="1493" t="s">
        <v>110</v>
      </c>
      <c r="B236" s="21" t="s">
        <v>79</v>
      </c>
      <c r="C236" s="21" t="s">
        <v>163</v>
      </c>
      <c r="D236" s="21" t="s">
        <v>64</v>
      </c>
      <c r="E236" s="21" t="s">
        <v>14</v>
      </c>
      <c r="F236" s="21" t="s">
        <v>62</v>
      </c>
      <c r="G236" s="21" t="s">
        <v>76</v>
      </c>
      <c r="H236" s="21" t="s">
        <v>198</v>
      </c>
      <c r="I236" s="21" t="s">
        <v>336</v>
      </c>
      <c r="J236" s="21" t="s">
        <v>271</v>
      </c>
      <c r="K236" s="21" t="s">
        <v>174</v>
      </c>
      <c r="L236" s="21" t="s">
        <v>357</v>
      </c>
    </row>
    <row r="237" spans="1:26" x14ac:dyDescent="0.2">
      <c r="A237" s="1493" t="s">
        <v>110</v>
      </c>
      <c r="B237" s="4">
        <v>35101487000</v>
      </c>
      <c r="C237" s="1000">
        <v>24994740000</v>
      </c>
      <c r="D237" s="4">
        <v>18358455000</v>
      </c>
      <c r="E237" s="4">
        <v>15949343000</v>
      </c>
      <c r="F237" s="1001">
        <v>12981215000</v>
      </c>
      <c r="G237" s="4">
        <v>7496595000</v>
      </c>
      <c r="H237" s="1002">
        <v>3970850000</v>
      </c>
      <c r="I237" s="1003">
        <v>2733450000</v>
      </c>
      <c r="J237" s="4">
        <v>2682750000</v>
      </c>
      <c r="K237" s="4">
        <v>2123870000</v>
      </c>
      <c r="L237" s="4">
        <v>466510000</v>
      </c>
    </row>
    <row r="238" spans="1:26" x14ac:dyDescent="0.2">
      <c r="A238" s="1493" t="s">
        <v>109</v>
      </c>
      <c r="B238" s="21" t="s">
        <v>163</v>
      </c>
      <c r="C238" s="21" t="s">
        <v>25</v>
      </c>
      <c r="D238" s="21" t="s">
        <v>99</v>
      </c>
      <c r="E238" s="21" t="s">
        <v>180</v>
      </c>
      <c r="F238" s="21" t="s">
        <v>325</v>
      </c>
      <c r="G238" s="21" t="s">
        <v>174</v>
      </c>
      <c r="H238" s="21" t="s">
        <v>29</v>
      </c>
      <c r="I238" s="21" t="s">
        <v>91</v>
      </c>
      <c r="J238" s="21" t="s">
        <v>30</v>
      </c>
      <c r="K238" s="21" t="s">
        <v>198</v>
      </c>
      <c r="L238" s="21" t="s">
        <v>92</v>
      </c>
      <c r="M238" s="21" t="s">
        <v>42</v>
      </c>
    </row>
    <row r="239" spans="1:26" x14ac:dyDescent="0.2">
      <c r="A239" s="1493" t="s">
        <v>109</v>
      </c>
      <c r="B239" s="998">
        <v>7589360000</v>
      </c>
      <c r="C239" s="4">
        <v>4538690000</v>
      </c>
      <c r="D239" s="4">
        <v>4463500000</v>
      </c>
      <c r="E239" s="4">
        <v>3128120000</v>
      </c>
      <c r="F239" s="4">
        <v>2160080000</v>
      </c>
      <c r="G239" s="4">
        <v>1893350000</v>
      </c>
      <c r="H239" s="4">
        <v>1850000000</v>
      </c>
      <c r="I239" s="4">
        <v>1688845000</v>
      </c>
      <c r="J239" s="4">
        <v>1511240000</v>
      </c>
      <c r="K239" s="4">
        <v>1495500000</v>
      </c>
      <c r="L239" s="4">
        <v>950000000</v>
      </c>
      <c r="M239" s="4">
        <v>234795000</v>
      </c>
    </row>
    <row r="240" spans="1:26" x14ac:dyDescent="0.2">
      <c r="A240" s="1493" t="s">
        <v>108</v>
      </c>
      <c r="B240" s="21" t="s">
        <v>75</v>
      </c>
      <c r="C240" s="21" t="s">
        <v>314</v>
      </c>
      <c r="D240" s="21" t="s">
        <v>183</v>
      </c>
      <c r="E240" s="21" t="s">
        <v>42</v>
      </c>
      <c r="F240" s="21" t="s">
        <v>91</v>
      </c>
      <c r="G240" s="21" t="s">
        <v>10</v>
      </c>
      <c r="H240" s="21" t="s">
        <v>99</v>
      </c>
      <c r="I240" s="21" t="s">
        <v>25</v>
      </c>
      <c r="J240" s="21" t="s">
        <v>174</v>
      </c>
      <c r="K240" s="21" t="s">
        <v>62</v>
      </c>
      <c r="L240" s="21" t="s">
        <v>92</v>
      </c>
      <c r="M240" s="21" t="s">
        <v>163</v>
      </c>
    </row>
    <row r="241" spans="1:26" x14ac:dyDescent="0.2">
      <c r="A241" s="1493" t="s">
        <v>108</v>
      </c>
      <c r="B241" s="4">
        <v>10425715000</v>
      </c>
      <c r="C241" s="995">
        <v>4950875000</v>
      </c>
      <c r="D241" s="4">
        <v>3839525000</v>
      </c>
      <c r="E241" s="4">
        <v>3477500000</v>
      </c>
      <c r="F241" s="4">
        <v>3158250000</v>
      </c>
      <c r="G241" s="4">
        <v>3019080000</v>
      </c>
      <c r="H241" s="4">
        <v>2243500000</v>
      </c>
      <c r="I241" s="4">
        <v>1929500000</v>
      </c>
      <c r="J241" s="4">
        <v>1889555000</v>
      </c>
      <c r="K241" s="4">
        <v>1705460000</v>
      </c>
      <c r="L241" s="4">
        <v>1349070000</v>
      </c>
      <c r="M241" s="996">
        <v>1015605000</v>
      </c>
    </row>
    <row r="242" spans="1:26" x14ac:dyDescent="0.2">
      <c r="A242" s="1493" t="s">
        <v>107</v>
      </c>
      <c r="B242" s="21" t="s">
        <v>39</v>
      </c>
      <c r="C242" s="21" t="s">
        <v>75</v>
      </c>
      <c r="D242" s="21" t="s">
        <v>92</v>
      </c>
      <c r="E242" s="21" t="s">
        <v>62</v>
      </c>
      <c r="F242" s="21" t="s">
        <v>174</v>
      </c>
      <c r="G242" s="21" t="s">
        <v>71</v>
      </c>
      <c r="H242" s="21" t="s">
        <v>19</v>
      </c>
      <c r="I242" s="21" t="s">
        <v>67</v>
      </c>
      <c r="J242" s="21" t="s">
        <v>69</v>
      </c>
      <c r="K242" s="21" t="s">
        <v>40</v>
      </c>
      <c r="L242" s="21" t="s">
        <v>99</v>
      </c>
    </row>
    <row r="243" spans="1:26" x14ac:dyDescent="0.2">
      <c r="A243" s="1493" t="s">
        <v>107</v>
      </c>
      <c r="B243" s="4">
        <v>31961735000</v>
      </c>
      <c r="C243" s="4">
        <v>12279200000</v>
      </c>
      <c r="D243" s="992">
        <v>7568600000</v>
      </c>
      <c r="E243" s="993">
        <v>5970505000</v>
      </c>
      <c r="F243" s="994">
        <v>5807985000</v>
      </c>
      <c r="G243" s="4">
        <v>4781700000</v>
      </c>
      <c r="H243" s="4">
        <v>3065175000</v>
      </c>
      <c r="I243" s="4">
        <v>2246935000</v>
      </c>
      <c r="J243" s="4">
        <v>1159350000</v>
      </c>
      <c r="K243" s="4">
        <v>997400000</v>
      </c>
      <c r="L243" s="4">
        <v>630180000</v>
      </c>
    </row>
    <row r="244" spans="1:26" x14ac:dyDescent="0.2">
      <c r="A244" s="1493" t="s">
        <v>129</v>
      </c>
      <c r="B244" s="21" t="s">
        <v>33</v>
      </c>
      <c r="C244" s="21" t="s">
        <v>39</v>
      </c>
      <c r="D244" s="21" t="s">
        <v>75</v>
      </c>
      <c r="E244" s="21" t="s">
        <v>15</v>
      </c>
      <c r="F244" s="21" t="s">
        <v>21</v>
      </c>
      <c r="G244" s="21" t="s">
        <v>32</v>
      </c>
      <c r="H244" s="21" t="s">
        <v>64</v>
      </c>
      <c r="I244" s="21" t="s">
        <v>42</v>
      </c>
      <c r="J244" s="21" t="s">
        <v>59</v>
      </c>
      <c r="K244" s="21" t="s">
        <v>36</v>
      </c>
      <c r="L244" s="21" t="s">
        <v>12</v>
      </c>
      <c r="M244" s="21" t="s">
        <v>89</v>
      </c>
      <c r="N244" s="1493" t="s">
        <v>378</v>
      </c>
      <c r="O244" s="21" t="s">
        <v>39</v>
      </c>
      <c r="P244" s="21" t="s">
        <v>75</v>
      </c>
      <c r="Q244" s="21" t="s">
        <v>33</v>
      </c>
      <c r="R244" s="21" t="s">
        <v>42</v>
      </c>
      <c r="S244" s="21" t="s">
        <v>180</v>
      </c>
      <c r="T244" s="21" t="s">
        <v>71</v>
      </c>
      <c r="U244" s="21" t="s">
        <v>36</v>
      </c>
      <c r="V244" s="21" t="s">
        <v>92</v>
      </c>
      <c r="W244" s="21" t="s">
        <v>89</v>
      </c>
      <c r="X244" s="21" t="s">
        <v>176</v>
      </c>
      <c r="Y244" s="21" t="s">
        <v>69</v>
      </c>
      <c r="Z244" s="21" t="s">
        <v>8</v>
      </c>
    </row>
    <row r="245" spans="1:26" x14ac:dyDescent="0.2">
      <c r="A245" s="1493" t="s">
        <v>129</v>
      </c>
      <c r="B245" s="4">
        <v>28482010000</v>
      </c>
      <c r="C245" s="4">
        <v>23372480000</v>
      </c>
      <c r="D245" s="987">
        <v>18525335000</v>
      </c>
      <c r="E245" s="4">
        <v>11582565000</v>
      </c>
      <c r="F245" s="4">
        <v>11472470000</v>
      </c>
      <c r="G245" s="4">
        <v>10269065000</v>
      </c>
      <c r="H245" s="4">
        <v>7694690000</v>
      </c>
      <c r="I245" s="4">
        <v>6140480000</v>
      </c>
      <c r="J245" s="4">
        <v>5454269000</v>
      </c>
      <c r="K245" s="4">
        <v>4776570000</v>
      </c>
      <c r="L245" s="4">
        <v>4228083000</v>
      </c>
      <c r="M245" s="4">
        <v>4126050000</v>
      </c>
      <c r="N245" s="1493" t="s">
        <v>378</v>
      </c>
      <c r="O245" s="4">
        <v>45481490000</v>
      </c>
      <c r="P245" s="4">
        <v>22309325000</v>
      </c>
      <c r="Q245" s="4">
        <v>17443090000</v>
      </c>
      <c r="R245" s="4">
        <v>6140480000</v>
      </c>
      <c r="S245" s="4">
        <v>5404890000</v>
      </c>
      <c r="T245" s="4">
        <v>5233250000</v>
      </c>
      <c r="U245" s="4">
        <v>4776570000</v>
      </c>
      <c r="V245" s="4">
        <v>4545650000</v>
      </c>
      <c r="W245" s="4">
        <v>4126050000</v>
      </c>
      <c r="X245" s="4">
        <v>4086440000</v>
      </c>
      <c r="Y245" s="4">
        <v>2703085000</v>
      </c>
      <c r="Z245" s="4">
        <v>2325960000</v>
      </c>
    </row>
    <row r="246" spans="1:26" x14ac:dyDescent="0.2">
      <c r="A246" s="1493" t="s">
        <v>130</v>
      </c>
      <c r="B246" s="21" t="s">
        <v>39</v>
      </c>
      <c r="C246" s="21" t="s">
        <v>180</v>
      </c>
      <c r="D246" s="21" t="s">
        <v>75</v>
      </c>
      <c r="E246" s="21" t="s">
        <v>71</v>
      </c>
      <c r="F246" s="21" t="s">
        <v>176</v>
      </c>
      <c r="G246" s="21" t="s">
        <v>91</v>
      </c>
      <c r="H246" s="21" t="s">
        <v>99</v>
      </c>
      <c r="I246" s="21" t="s">
        <v>92</v>
      </c>
      <c r="J246" s="21" t="s">
        <v>198</v>
      </c>
      <c r="K246" s="21" t="s">
        <v>29</v>
      </c>
    </row>
    <row r="247" spans="1:26" x14ac:dyDescent="0.2">
      <c r="A247" s="1493" t="s">
        <v>130</v>
      </c>
      <c r="B247" s="4">
        <v>22109010000</v>
      </c>
      <c r="C247" s="984">
        <v>5404890000</v>
      </c>
      <c r="D247" s="985">
        <v>3783990000</v>
      </c>
      <c r="E247" s="4">
        <v>2918000000</v>
      </c>
      <c r="F247" s="4">
        <v>2362670000</v>
      </c>
      <c r="G247" s="4">
        <v>1964670000</v>
      </c>
      <c r="H247" s="4">
        <v>1891070000</v>
      </c>
      <c r="I247" s="986">
        <v>1744490000</v>
      </c>
      <c r="J247" s="4">
        <v>831470000</v>
      </c>
      <c r="K247" s="4">
        <v>790250000</v>
      </c>
    </row>
    <row r="248" spans="1:26" x14ac:dyDescent="0.2">
      <c r="A248" s="1493" t="s">
        <v>131</v>
      </c>
      <c r="B248" s="21" t="s">
        <v>33</v>
      </c>
      <c r="C248" s="21" t="s">
        <v>59</v>
      </c>
      <c r="D248" s="21" t="s">
        <v>32</v>
      </c>
      <c r="E248" s="21" t="s">
        <v>23</v>
      </c>
      <c r="F248" s="21" t="s">
        <v>183</v>
      </c>
      <c r="G248" s="21" t="s">
        <v>69</v>
      </c>
      <c r="H248" s="21" t="s">
        <v>42</v>
      </c>
      <c r="I248" s="21" t="s">
        <v>174</v>
      </c>
      <c r="J248" s="21" t="s">
        <v>12</v>
      </c>
      <c r="K248" s="21" t="s">
        <v>13</v>
      </c>
      <c r="L248" s="21" t="s">
        <v>64</v>
      </c>
      <c r="M248" s="21" t="s">
        <v>15</v>
      </c>
      <c r="N248" s="1493" t="s">
        <v>377</v>
      </c>
      <c r="O248" s="21" t="s">
        <v>33</v>
      </c>
      <c r="P248" s="21" t="s">
        <v>34</v>
      </c>
      <c r="Q248" s="21" t="s">
        <v>183</v>
      </c>
      <c r="R248" s="21" t="s">
        <v>14</v>
      </c>
      <c r="S248" s="21" t="s">
        <v>69</v>
      </c>
      <c r="T248" s="21" t="s">
        <v>42</v>
      </c>
      <c r="U248" s="21" t="s">
        <v>91</v>
      </c>
      <c r="V248" s="21" t="s">
        <v>76</v>
      </c>
      <c r="W248" s="21" t="s">
        <v>12</v>
      </c>
      <c r="X248" s="21" t="s">
        <v>174</v>
      </c>
      <c r="Y248" s="21" t="s">
        <v>21</v>
      </c>
      <c r="Z248" s="21" t="s">
        <v>16</v>
      </c>
    </row>
    <row r="249" spans="1:26" x14ac:dyDescent="0.2">
      <c r="A249" s="1493" t="s">
        <v>131</v>
      </c>
      <c r="B249" s="4">
        <v>60693760000</v>
      </c>
      <c r="C249" s="4">
        <v>17790594000</v>
      </c>
      <c r="D249" s="4">
        <v>13537000000</v>
      </c>
      <c r="E249" s="4">
        <v>8926010000</v>
      </c>
      <c r="F249" s="4">
        <v>6589335000</v>
      </c>
      <c r="G249" s="4">
        <v>6226345000</v>
      </c>
      <c r="H249" s="4">
        <v>5945115000</v>
      </c>
      <c r="I249" s="980">
        <v>5131520000</v>
      </c>
      <c r="J249" s="4">
        <v>5018900000</v>
      </c>
      <c r="K249" s="4">
        <v>4556405000</v>
      </c>
      <c r="L249" s="4">
        <v>4509180000</v>
      </c>
      <c r="M249" s="4">
        <v>4052220000</v>
      </c>
      <c r="N249" s="1493" t="s">
        <v>377</v>
      </c>
      <c r="O249" s="4">
        <v>65614660000</v>
      </c>
      <c r="P249" s="4">
        <v>28994425000</v>
      </c>
      <c r="Q249" s="4">
        <v>22993415000</v>
      </c>
      <c r="R249" s="4">
        <v>16876909000</v>
      </c>
      <c r="S249" s="4">
        <v>16348685000</v>
      </c>
      <c r="T249" s="4">
        <v>13147145000</v>
      </c>
      <c r="U249" s="4">
        <v>8451950000</v>
      </c>
      <c r="V249" s="4">
        <v>7182575000</v>
      </c>
      <c r="W249" s="4">
        <v>7128110000</v>
      </c>
      <c r="X249" s="4">
        <v>6855310000</v>
      </c>
      <c r="Y249" s="4">
        <v>6143572000</v>
      </c>
      <c r="Z249" s="4">
        <v>5507520000</v>
      </c>
    </row>
    <row r="250" spans="1:26" x14ac:dyDescent="0.2">
      <c r="A250" s="1493" t="s">
        <v>132</v>
      </c>
      <c r="B250" s="21" t="s">
        <v>33</v>
      </c>
      <c r="C250" s="21" t="s">
        <v>91</v>
      </c>
      <c r="D250" s="21" t="s">
        <v>183</v>
      </c>
      <c r="E250" s="21" t="s">
        <v>14</v>
      </c>
      <c r="F250" s="21" t="s">
        <v>34</v>
      </c>
      <c r="G250" s="21" t="s">
        <v>21</v>
      </c>
      <c r="H250" s="21" t="s">
        <v>69</v>
      </c>
      <c r="I250" s="21" t="s">
        <v>25</v>
      </c>
      <c r="J250" s="21" t="s">
        <v>176</v>
      </c>
      <c r="K250" s="21" t="s">
        <v>312</v>
      </c>
      <c r="L250" s="21" t="s">
        <v>16</v>
      </c>
      <c r="M250" s="21" t="s">
        <v>36</v>
      </c>
    </row>
    <row r="251" spans="1:26" x14ac:dyDescent="0.2">
      <c r="A251" s="1493" t="s">
        <v>132</v>
      </c>
      <c r="B251" s="4">
        <v>9752360000</v>
      </c>
      <c r="C251" s="974">
        <v>7636100000</v>
      </c>
      <c r="D251" s="4">
        <v>6918165000</v>
      </c>
      <c r="E251" s="4">
        <v>5128665000</v>
      </c>
      <c r="F251" s="4">
        <v>4690280000</v>
      </c>
      <c r="G251" s="4">
        <v>3895102000</v>
      </c>
      <c r="H251" s="4">
        <v>3881890000</v>
      </c>
      <c r="I251" s="4">
        <v>3359970000</v>
      </c>
      <c r="J251" s="4">
        <v>2989240000</v>
      </c>
      <c r="K251" s="4">
        <v>1545000000</v>
      </c>
      <c r="L251" s="4">
        <v>1285180000</v>
      </c>
      <c r="M251" s="4">
        <v>1018000000</v>
      </c>
    </row>
    <row r="252" spans="1:26" x14ac:dyDescent="0.2">
      <c r="A252" s="1493" t="s">
        <v>133</v>
      </c>
      <c r="B252" s="21" t="s">
        <v>13</v>
      </c>
      <c r="C252" s="21" t="s">
        <v>34</v>
      </c>
      <c r="D252" s="21" t="s">
        <v>14</v>
      </c>
      <c r="E252" s="21" t="s">
        <v>21</v>
      </c>
      <c r="F252" s="21" t="s">
        <v>5</v>
      </c>
      <c r="G252" s="21" t="s">
        <v>183</v>
      </c>
      <c r="H252" s="21" t="s">
        <v>32</v>
      </c>
      <c r="I252" s="21" t="s">
        <v>42</v>
      </c>
      <c r="J252" s="21" t="s">
        <v>76</v>
      </c>
      <c r="K252" s="21" t="s">
        <v>69</v>
      </c>
      <c r="L252" s="21" t="s">
        <v>12</v>
      </c>
      <c r="M252" s="21" t="s">
        <v>279</v>
      </c>
    </row>
    <row r="253" spans="1:26" x14ac:dyDescent="0.2">
      <c r="A253" s="1493" t="s">
        <v>133</v>
      </c>
      <c r="B253" s="4">
        <v>22051395000</v>
      </c>
      <c r="C253" s="4">
        <v>20409140000</v>
      </c>
      <c r="D253" s="4">
        <v>19090549000</v>
      </c>
      <c r="E253" s="4">
        <v>14346740000</v>
      </c>
      <c r="F253" s="4">
        <v>9657913000</v>
      </c>
      <c r="G253" s="4">
        <v>9485915000</v>
      </c>
      <c r="H253" s="4">
        <v>7672970000</v>
      </c>
      <c r="I253" s="4">
        <v>7202030000</v>
      </c>
      <c r="J253" s="4">
        <v>7182575000</v>
      </c>
      <c r="K253" s="971">
        <v>6240450000</v>
      </c>
      <c r="L253" s="4">
        <v>5262650000</v>
      </c>
      <c r="M253" s="972">
        <v>5119020000</v>
      </c>
    </row>
    <row r="254" spans="1:26" x14ac:dyDescent="0.2">
      <c r="A254" s="1493" t="s">
        <v>134</v>
      </c>
      <c r="B254" s="21" t="s">
        <v>17</v>
      </c>
      <c r="C254" s="21" t="s">
        <v>40</v>
      </c>
      <c r="D254" s="21" t="s">
        <v>32</v>
      </c>
      <c r="E254" s="21" t="s">
        <v>13</v>
      </c>
      <c r="F254" s="21" t="s">
        <v>59</v>
      </c>
      <c r="G254" s="21" t="s">
        <v>23</v>
      </c>
      <c r="H254" s="21" t="s">
        <v>5</v>
      </c>
      <c r="I254" s="21" t="s">
        <v>18</v>
      </c>
      <c r="J254" s="21" t="s">
        <v>8</v>
      </c>
      <c r="K254" s="21" t="s">
        <v>71</v>
      </c>
      <c r="L254" s="21" t="s">
        <v>302</v>
      </c>
      <c r="M254" s="21" t="s">
        <v>76</v>
      </c>
      <c r="N254" s="1493" t="s">
        <v>376</v>
      </c>
      <c r="O254" s="21" t="s">
        <v>17</v>
      </c>
      <c r="P254" s="21" t="s">
        <v>32</v>
      </c>
      <c r="Q254" s="21" t="s">
        <v>13</v>
      </c>
      <c r="R254" s="21" t="s">
        <v>19</v>
      </c>
      <c r="S254" s="21" t="s">
        <v>33</v>
      </c>
      <c r="T254" s="21" t="s">
        <v>192</v>
      </c>
      <c r="U254" s="21" t="s">
        <v>23</v>
      </c>
      <c r="V254" s="21" t="s">
        <v>39</v>
      </c>
      <c r="W254" s="21" t="s">
        <v>59</v>
      </c>
      <c r="X254" s="21" t="s">
        <v>5</v>
      </c>
      <c r="Y254" s="21" t="s">
        <v>18</v>
      </c>
      <c r="Z254" s="21" t="s">
        <v>42</v>
      </c>
    </row>
    <row r="255" spans="1:26" x14ac:dyDescent="0.2">
      <c r="A255" s="1493" t="s">
        <v>134</v>
      </c>
      <c r="B255" s="965">
        <v>125614840000</v>
      </c>
      <c r="C255" s="966">
        <v>111035520000</v>
      </c>
      <c r="D255" s="967">
        <v>102339850000</v>
      </c>
      <c r="E255" s="4">
        <v>37004720000</v>
      </c>
      <c r="F255" s="968">
        <v>29508670000</v>
      </c>
      <c r="G255" s="4">
        <v>24693610000</v>
      </c>
      <c r="H255" s="4">
        <v>23703755000</v>
      </c>
      <c r="I255" s="4">
        <v>16187805000</v>
      </c>
      <c r="J255" s="969">
        <v>9957215000</v>
      </c>
      <c r="K255" s="4">
        <v>5040200000</v>
      </c>
      <c r="L255" s="970">
        <v>4979600000</v>
      </c>
      <c r="M255" s="4">
        <v>4821125000</v>
      </c>
      <c r="N255" s="1493" t="s">
        <v>376</v>
      </c>
      <c r="O255" s="4">
        <v>189155180000</v>
      </c>
      <c r="P255" s="4">
        <v>139739550000</v>
      </c>
      <c r="Q255" s="4">
        <v>102342425000</v>
      </c>
      <c r="R255" s="4">
        <v>70533963000</v>
      </c>
      <c r="S255" s="4">
        <v>60455580000</v>
      </c>
      <c r="T255" s="4">
        <v>51540000000</v>
      </c>
      <c r="U255" s="4">
        <v>46421820000</v>
      </c>
      <c r="V255" s="4">
        <v>41576725000</v>
      </c>
      <c r="W255" s="4">
        <v>41191659000</v>
      </c>
      <c r="X255" s="4">
        <v>36807981000</v>
      </c>
      <c r="Y255" s="4">
        <v>36739815000</v>
      </c>
      <c r="Z255" s="4">
        <v>24435807000</v>
      </c>
    </row>
    <row r="256" spans="1:26" x14ac:dyDescent="0.2">
      <c r="A256" s="1493" t="s">
        <v>135</v>
      </c>
      <c r="B256" s="21" t="s">
        <v>192</v>
      </c>
      <c r="C256" s="21" t="s">
        <v>32</v>
      </c>
      <c r="D256" s="21" t="s">
        <v>18</v>
      </c>
      <c r="E256" s="21" t="s">
        <v>13</v>
      </c>
      <c r="F256" s="21" t="s">
        <v>17</v>
      </c>
      <c r="G256" s="21" t="s">
        <v>33</v>
      </c>
      <c r="H256" s="21" t="s">
        <v>42</v>
      </c>
      <c r="I256" s="21" t="s">
        <v>71</v>
      </c>
      <c r="J256" s="21" t="s">
        <v>25</v>
      </c>
      <c r="K256" s="21" t="s">
        <v>59</v>
      </c>
      <c r="L256" s="21" t="s">
        <v>5</v>
      </c>
      <c r="M256" s="21" t="s">
        <v>26</v>
      </c>
    </row>
    <row r="257" spans="1:26" x14ac:dyDescent="0.2">
      <c r="A257" s="1493" t="s">
        <v>135</v>
      </c>
      <c r="B257" s="960">
        <v>50500000000</v>
      </c>
      <c r="C257" s="961">
        <v>41806755000</v>
      </c>
      <c r="D257" s="962">
        <v>34655240000</v>
      </c>
      <c r="E257" s="4">
        <v>26892675000</v>
      </c>
      <c r="F257" s="4">
        <v>24516690000</v>
      </c>
      <c r="G257" s="4">
        <v>21661470000</v>
      </c>
      <c r="H257" s="4">
        <v>8395586000</v>
      </c>
      <c r="I257" s="4">
        <v>8029680000</v>
      </c>
      <c r="J257" s="4">
        <v>7505390000</v>
      </c>
      <c r="K257" s="4">
        <v>6226870000</v>
      </c>
      <c r="L257" s="4">
        <v>4384900000</v>
      </c>
      <c r="M257" s="963">
        <v>4040245000</v>
      </c>
    </row>
    <row r="258" spans="1:26" x14ac:dyDescent="0.2">
      <c r="A258" s="1493" t="s">
        <v>136</v>
      </c>
      <c r="B258" s="21" t="s">
        <v>19</v>
      </c>
      <c r="C258" s="21" t="s">
        <v>13</v>
      </c>
      <c r="D258" s="21" t="s">
        <v>17</v>
      </c>
      <c r="E258" s="21" t="s">
        <v>33</v>
      </c>
      <c r="F258" s="21" t="s">
        <v>14</v>
      </c>
      <c r="G258" s="21" t="s">
        <v>42</v>
      </c>
      <c r="H258" s="21" t="s">
        <v>35</v>
      </c>
      <c r="I258" s="21" t="s">
        <v>29</v>
      </c>
      <c r="J258" s="21" t="s">
        <v>79</v>
      </c>
      <c r="K258" s="21" t="s">
        <v>23</v>
      </c>
      <c r="L258" s="21" t="s">
        <v>183</v>
      </c>
      <c r="M258" s="21" t="s">
        <v>26</v>
      </c>
    </row>
    <row r="259" spans="1:26" x14ac:dyDescent="0.2">
      <c r="A259" s="1493" t="s">
        <v>136</v>
      </c>
      <c r="B259" s="4">
        <v>74570320000</v>
      </c>
      <c r="C259" s="4">
        <v>38305420000</v>
      </c>
      <c r="D259" s="4">
        <v>28618980000</v>
      </c>
      <c r="E259" s="4">
        <v>20608000000</v>
      </c>
      <c r="F259" s="4">
        <v>16534760000</v>
      </c>
      <c r="G259" s="4">
        <v>6629660000</v>
      </c>
      <c r="H259" s="4">
        <v>6567785000</v>
      </c>
      <c r="I259" s="957">
        <v>6284660000</v>
      </c>
      <c r="J259" s="4">
        <v>6095960000</v>
      </c>
      <c r="K259" s="4">
        <v>4666010000</v>
      </c>
      <c r="L259" s="4">
        <v>4318615000</v>
      </c>
      <c r="M259" s="958">
        <v>3295785000</v>
      </c>
    </row>
    <row r="260" spans="1:26" x14ac:dyDescent="0.2">
      <c r="A260" s="1493" t="s">
        <v>137</v>
      </c>
      <c r="B260" s="21" t="s">
        <v>35</v>
      </c>
      <c r="C260" s="21" t="s">
        <v>15</v>
      </c>
      <c r="D260" s="21" t="s">
        <v>32</v>
      </c>
      <c r="E260" s="21" t="s">
        <v>79</v>
      </c>
      <c r="F260" s="21" t="s">
        <v>13</v>
      </c>
      <c r="G260" s="21" t="s">
        <v>21</v>
      </c>
      <c r="H260" s="21" t="s">
        <v>12</v>
      </c>
      <c r="I260" s="21" t="s">
        <v>23</v>
      </c>
      <c r="J260" s="21" t="s">
        <v>64</v>
      </c>
      <c r="K260" s="21" t="s">
        <v>5</v>
      </c>
      <c r="L260" s="21" t="s">
        <v>33</v>
      </c>
      <c r="M260" s="21" t="s">
        <v>59</v>
      </c>
    </row>
    <row r="261" spans="1:26" x14ac:dyDescent="0.2">
      <c r="A261" s="1493" t="s">
        <v>137</v>
      </c>
      <c r="B261" s="4">
        <v>18669698000</v>
      </c>
      <c r="C261" s="4">
        <v>15933695000</v>
      </c>
      <c r="D261" s="4">
        <v>14308400000</v>
      </c>
      <c r="E261" s="4">
        <v>14179990000</v>
      </c>
      <c r="F261" s="4">
        <v>13231170000</v>
      </c>
      <c r="G261" s="4">
        <v>12660220000</v>
      </c>
      <c r="H261" s="4">
        <v>11528360000</v>
      </c>
      <c r="I261" s="4">
        <v>9293100000</v>
      </c>
      <c r="J261" s="4">
        <v>9167410000</v>
      </c>
      <c r="K261" s="4">
        <v>8043138000</v>
      </c>
      <c r="L261" s="4">
        <v>7648560000</v>
      </c>
      <c r="M261" s="4">
        <v>6974339000</v>
      </c>
    </row>
    <row r="262" spans="1:26" x14ac:dyDescent="0.2">
      <c r="A262" s="1493" t="s">
        <v>138</v>
      </c>
      <c r="B262" s="21" t="s">
        <v>39</v>
      </c>
      <c r="C262" s="21" t="s">
        <v>15</v>
      </c>
      <c r="D262" s="21" t="s">
        <v>21</v>
      </c>
      <c r="E262" s="21" t="s">
        <v>23</v>
      </c>
      <c r="F262" s="21" t="s">
        <v>42</v>
      </c>
      <c r="G262" s="21" t="s">
        <v>17</v>
      </c>
      <c r="H262" s="21" t="s">
        <v>33</v>
      </c>
      <c r="I262" s="21" t="s">
        <v>12</v>
      </c>
      <c r="J262" s="21" t="s">
        <v>40</v>
      </c>
      <c r="K262" s="21" t="s">
        <v>5</v>
      </c>
      <c r="L262" s="21" t="s">
        <v>64</v>
      </c>
      <c r="M262" s="21" t="s">
        <v>59</v>
      </c>
    </row>
    <row r="263" spans="1:26" x14ac:dyDescent="0.2">
      <c r="A263" s="1493" t="s">
        <v>138</v>
      </c>
      <c r="B263" s="953">
        <v>41576725000</v>
      </c>
      <c r="C263" s="4">
        <v>9793415000</v>
      </c>
      <c r="D263" s="4">
        <v>8436110000</v>
      </c>
      <c r="E263" s="4">
        <v>7661930000</v>
      </c>
      <c r="F263" s="4">
        <v>6208755000</v>
      </c>
      <c r="G263" s="4">
        <v>6193840000</v>
      </c>
      <c r="H263" s="4">
        <v>6022650000</v>
      </c>
      <c r="I263" s="4">
        <v>4559970000</v>
      </c>
      <c r="J263" s="4">
        <v>4523720000</v>
      </c>
      <c r="K263" s="4">
        <v>4436378000</v>
      </c>
      <c r="L263" s="4">
        <v>3556270000</v>
      </c>
      <c r="M263" s="4">
        <v>3408160000</v>
      </c>
    </row>
    <row r="264" spans="1:26" x14ac:dyDescent="0.2">
      <c r="A264" s="1493" t="s">
        <v>139</v>
      </c>
      <c r="B264" s="21" t="s">
        <v>5</v>
      </c>
      <c r="C264" s="21" t="s">
        <v>15</v>
      </c>
      <c r="D264" s="21" t="s">
        <v>79</v>
      </c>
      <c r="E264" s="21" t="s">
        <v>17</v>
      </c>
      <c r="F264" s="21" t="s">
        <v>21</v>
      </c>
      <c r="G264" s="21" t="s">
        <v>23</v>
      </c>
      <c r="H264" s="21" t="s">
        <v>12</v>
      </c>
      <c r="I264" s="21" t="s">
        <v>42</v>
      </c>
      <c r="J264" s="21" t="s">
        <v>64</v>
      </c>
      <c r="K264" s="21" t="s">
        <v>59</v>
      </c>
      <c r="L264" s="21" t="s">
        <v>13</v>
      </c>
      <c r="M264" s="21" t="s">
        <v>32</v>
      </c>
      <c r="N264" s="1493" t="s">
        <v>375</v>
      </c>
      <c r="O264" s="21" t="s">
        <v>5</v>
      </c>
      <c r="P264" s="21" t="s">
        <v>39</v>
      </c>
      <c r="Q264" s="21" t="s">
        <v>42</v>
      </c>
      <c r="R264" s="21" t="s">
        <v>17</v>
      </c>
      <c r="S264" s="21" t="s">
        <v>12</v>
      </c>
      <c r="T264" s="21" t="s">
        <v>79</v>
      </c>
      <c r="U264" s="21" t="s">
        <v>78</v>
      </c>
      <c r="V264" s="21" t="s">
        <v>25</v>
      </c>
      <c r="W264" s="21" t="s">
        <v>76</v>
      </c>
      <c r="X264" s="21" t="s">
        <v>357</v>
      </c>
      <c r="Y264" s="21" t="s">
        <v>99</v>
      </c>
      <c r="Z264" s="21" t="s">
        <v>6</v>
      </c>
    </row>
    <row r="265" spans="1:26" x14ac:dyDescent="0.2">
      <c r="A265" s="1493" t="s">
        <v>139</v>
      </c>
      <c r="B265" s="944">
        <v>70474145000</v>
      </c>
      <c r="C265" s="945">
        <v>40390440000</v>
      </c>
      <c r="D265" s="946">
        <v>35589105000</v>
      </c>
      <c r="E265" s="4">
        <v>31158990000</v>
      </c>
      <c r="F265" s="4">
        <v>26633360000</v>
      </c>
      <c r="G265" s="947">
        <v>25503860000</v>
      </c>
      <c r="H265" s="948">
        <v>25143410000</v>
      </c>
      <c r="I265" s="949">
        <v>23489380000</v>
      </c>
      <c r="J265" s="950">
        <v>21430860000</v>
      </c>
      <c r="K265" s="951">
        <v>18715540000</v>
      </c>
      <c r="L265" s="4">
        <v>18343525000</v>
      </c>
      <c r="M265" s="4">
        <v>16976240000</v>
      </c>
      <c r="N265" s="1493" t="s">
        <v>375</v>
      </c>
      <c r="O265" s="4">
        <v>104324305000</v>
      </c>
      <c r="P265" s="4">
        <v>53204044000</v>
      </c>
      <c r="Q265" s="4">
        <v>50076090000</v>
      </c>
      <c r="R265" s="4">
        <v>30176740000</v>
      </c>
      <c r="S265" s="4">
        <v>19397990000</v>
      </c>
      <c r="T265" s="4">
        <v>10523870000</v>
      </c>
      <c r="U265" s="4">
        <v>10011220000</v>
      </c>
      <c r="V265" s="4">
        <v>8841000000</v>
      </c>
      <c r="W265" s="4">
        <v>8611905000</v>
      </c>
      <c r="X265" s="4">
        <v>6425000000</v>
      </c>
      <c r="Y265" s="4">
        <v>4910500000</v>
      </c>
      <c r="Z265" s="4">
        <v>4482275000</v>
      </c>
    </row>
    <row r="266" spans="1:26" x14ac:dyDescent="0.2">
      <c r="A266" s="1493" t="s">
        <v>140</v>
      </c>
      <c r="B266" s="21" t="s">
        <v>39</v>
      </c>
      <c r="C266" s="21" t="s">
        <v>5</v>
      </c>
      <c r="D266" s="21" t="s">
        <v>42</v>
      </c>
      <c r="E266" s="21" t="s">
        <v>17</v>
      </c>
      <c r="F266" s="21" t="s">
        <v>79</v>
      </c>
      <c r="G266" s="21" t="s">
        <v>13</v>
      </c>
      <c r="H266" s="21" t="s">
        <v>25</v>
      </c>
      <c r="I266" s="21" t="s">
        <v>40</v>
      </c>
      <c r="J266" s="21" t="s">
        <v>312</v>
      </c>
      <c r="K266" s="21" t="s">
        <v>176</v>
      </c>
      <c r="L266" s="21" t="s">
        <v>36</v>
      </c>
      <c r="M266" s="21" t="s">
        <v>33</v>
      </c>
    </row>
    <row r="267" spans="1:26" x14ac:dyDescent="0.2">
      <c r="A267" s="1493" t="s">
        <v>140</v>
      </c>
      <c r="B267" s="940">
        <v>30633419000</v>
      </c>
      <c r="C267" s="941">
        <v>26713635000</v>
      </c>
      <c r="D267" s="942">
        <v>21761470000</v>
      </c>
      <c r="E267" s="4">
        <v>14023095000</v>
      </c>
      <c r="F267" s="4">
        <v>5076845000</v>
      </c>
      <c r="G267" s="4">
        <v>2274475000</v>
      </c>
      <c r="H267" s="4">
        <v>1991800000</v>
      </c>
      <c r="I267" s="4">
        <v>1921500000</v>
      </c>
      <c r="J267" s="943">
        <v>1644490000</v>
      </c>
      <c r="K267" s="4">
        <v>1360040000</v>
      </c>
      <c r="L267" s="4">
        <v>936190000</v>
      </c>
      <c r="M267" s="4">
        <v>926210000</v>
      </c>
    </row>
    <row r="268" spans="1:26" x14ac:dyDescent="0.2">
      <c r="A268" s="1493" t="s">
        <v>141</v>
      </c>
      <c r="B268" s="21" t="s">
        <v>35</v>
      </c>
      <c r="C268" s="21" t="s">
        <v>17</v>
      </c>
      <c r="D268" s="21" t="s">
        <v>16</v>
      </c>
      <c r="E268" s="21" t="s">
        <v>21</v>
      </c>
      <c r="F268" s="21" t="s">
        <v>76</v>
      </c>
      <c r="G268" s="21" t="s">
        <v>39</v>
      </c>
      <c r="H268" s="21" t="s">
        <v>6</v>
      </c>
      <c r="I268" s="21" t="s">
        <v>25</v>
      </c>
      <c r="J268" s="21" t="s">
        <v>32</v>
      </c>
      <c r="K268" s="21" t="s">
        <v>13</v>
      </c>
      <c r="L268" s="21" t="s">
        <v>174</v>
      </c>
      <c r="M268" s="21" t="s">
        <v>313</v>
      </c>
    </row>
    <row r="269" spans="1:26" x14ac:dyDescent="0.2">
      <c r="A269" s="1493" t="s">
        <v>141</v>
      </c>
      <c r="B269" s="4">
        <v>20565324000</v>
      </c>
      <c r="C269" s="4">
        <v>17613500000</v>
      </c>
      <c r="D269" s="4">
        <v>12576660000</v>
      </c>
      <c r="E269" s="4">
        <v>7365330000</v>
      </c>
      <c r="F269" s="4">
        <v>6253405000</v>
      </c>
      <c r="G269" s="936">
        <v>6199200000</v>
      </c>
      <c r="H269" s="937">
        <v>4482275000</v>
      </c>
      <c r="I269" s="4">
        <v>4297400000</v>
      </c>
      <c r="J269" s="4">
        <v>3049426000</v>
      </c>
      <c r="K269" s="4">
        <v>3001840000</v>
      </c>
      <c r="L269" s="938">
        <v>2826710000</v>
      </c>
      <c r="M269" s="939">
        <v>2559340000</v>
      </c>
    </row>
    <row r="270" spans="1:26" x14ac:dyDescent="0.2">
      <c r="A270" s="1493" t="s">
        <v>142</v>
      </c>
      <c r="B270" s="21" t="s">
        <v>357</v>
      </c>
      <c r="C270" s="21" t="s">
        <v>42</v>
      </c>
      <c r="D270" s="21" t="s">
        <v>176</v>
      </c>
      <c r="E270" s="21" t="s">
        <v>25</v>
      </c>
      <c r="F270" s="21" t="s">
        <v>78</v>
      </c>
      <c r="G270" s="21" t="s">
        <v>336</v>
      </c>
      <c r="H270" s="21" t="s">
        <v>313</v>
      </c>
      <c r="I270" s="21" t="s">
        <v>174</v>
      </c>
      <c r="J270" s="21" t="s">
        <v>99</v>
      </c>
      <c r="K270" s="21" t="s">
        <v>202</v>
      </c>
    </row>
    <row r="271" spans="1:26" x14ac:dyDescent="0.2">
      <c r="A271" s="1493" t="s">
        <v>142</v>
      </c>
      <c r="B271" s="925">
        <v>6425000000</v>
      </c>
      <c r="C271" s="926">
        <v>4290540000</v>
      </c>
      <c r="D271" s="4">
        <v>4178340000</v>
      </c>
      <c r="E271" s="4">
        <v>2551800000</v>
      </c>
      <c r="F271" s="4">
        <v>2534700000</v>
      </c>
      <c r="G271" s="927">
        <v>1230000000</v>
      </c>
      <c r="H271" s="928">
        <v>623580000</v>
      </c>
      <c r="I271" s="4">
        <v>572635000</v>
      </c>
      <c r="J271" s="4">
        <v>500860000</v>
      </c>
      <c r="K271" s="4">
        <v>295320000</v>
      </c>
    </row>
    <row r="272" spans="1:26" x14ac:dyDescent="0.2">
      <c r="A272" s="1493" t="s">
        <v>143</v>
      </c>
      <c r="B272" s="21" t="s">
        <v>14</v>
      </c>
      <c r="C272" s="21" t="s">
        <v>15</v>
      </c>
      <c r="D272" s="21" t="s">
        <v>35</v>
      </c>
      <c r="E272" s="21" t="s">
        <v>32</v>
      </c>
      <c r="F272" s="21" t="s">
        <v>79</v>
      </c>
      <c r="G272" s="21" t="s">
        <v>21</v>
      </c>
      <c r="H272" s="21" t="s">
        <v>5</v>
      </c>
      <c r="I272" s="21" t="s">
        <v>12</v>
      </c>
      <c r="J272" s="21" t="s">
        <v>64</v>
      </c>
      <c r="K272" s="21" t="s">
        <v>23</v>
      </c>
      <c r="L272" s="21" t="s">
        <v>59</v>
      </c>
      <c r="M272" s="21" t="s">
        <v>17</v>
      </c>
    </row>
    <row r="273" spans="1:26" x14ac:dyDescent="0.2">
      <c r="A273" s="1493" t="s">
        <v>143</v>
      </c>
      <c r="B273" s="4">
        <v>18176685000</v>
      </c>
      <c r="C273" s="4">
        <v>15223340000</v>
      </c>
      <c r="D273" s="4">
        <v>10339995000</v>
      </c>
      <c r="E273" s="4">
        <v>10056476000</v>
      </c>
      <c r="F273" s="4">
        <v>9062300000</v>
      </c>
      <c r="G273" s="4">
        <v>8799800000</v>
      </c>
      <c r="H273" s="4">
        <v>8658625000</v>
      </c>
      <c r="I273" s="4">
        <v>7219330000</v>
      </c>
      <c r="J273" s="4">
        <v>6270385000</v>
      </c>
      <c r="K273" s="4">
        <v>5774440000</v>
      </c>
      <c r="L273" s="4">
        <v>5518385000</v>
      </c>
      <c r="M273" s="4">
        <v>4676850000</v>
      </c>
    </row>
    <row r="274" spans="1:26" x14ac:dyDescent="0.2">
      <c r="A274" s="1493" t="s">
        <v>144</v>
      </c>
      <c r="B274" s="21" t="s">
        <v>14</v>
      </c>
      <c r="C274" s="21" t="s">
        <v>16</v>
      </c>
      <c r="D274" s="21" t="s">
        <v>13</v>
      </c>
      <c r="E274" s="21" t="s">
        <v>32</v>
      </c>
      <c r="F274" s="21" t="s">
        <v>79</v>
      </c>
      <c r="G274" s="21" t="s">
        <v>23</v>
      </c>
      <c r="H274" s="21" t="s">
        <v>40</v>
      </c>
      <c r="I274" s="21" t="s">
        <v>33</v>
      </c>
      <c r="J274" s="21" t="s">
        <v>21</v>
      </c>
      <c r="K274" s="21" t="s">
        <v>15</v>
      </c>
      <c r="L274" s="21" t="s">
        <v>12</v>
      </c>
      <c r="M274" s="21" t="s">
        <v>64</v>
      </c>
      <c r="N274" s="1493" t="s">
        <v>374</v>
      </c>
      <c r="O274" s="21" t="s">
        <v>11</v>
      </c>
      <c r="P274" s="21" t="s">
        <v>40</v>
      </c>
      <c r="Q274" s="21" t="s">
        <v>14</v>
      </c>
      <c r="R274" s="21" t="s">
        <v>13</v>
      </c>
      <c r="S274" s="21" t="s">
        <v>16</v>
      </c>
      <c r="T274" s="21" t="s">
        <v>79</v>
      </c>
      <c r="U274" s="21" t="s">
        <v>70</v>
      </c>
      <c r="V274" s="21" t="s">
        <v>21</v>
      </c>
      <c r="W274" s="21" t="s">
        <v>64</v>
      </c>
      <c r="X274" s="21" t="s">
        <v>23</v>
      </c>
      <c r="Y274" s="21" t="s">
        <v>76</v>
      </c>
      <c r="Z274" s="21" t="s">
        <v>78</v>
      </c>
    </row>
    <row r="275" spans="1:26" x14ac:dyDescent="0.2">
      <c r="A275" s="1493" t="s">
        <v>144</v>
      </c>
      <c r="B275" s="4">
        <v>41065255000</v>
      </c>
      <c r="C275" s="920">
        <v>39200185000</v>
      </c>
      <c r="D275" s="4">
        <v>34559275000</v>
      </c>
      <c r="E275" s="4">
        <v>18791405000</v>
      </c>
      <c r="F275" s="4">
        <v>15598890000</v>
      </c>
      <c r="G275" s="4">
        <v>14543630000</v>
      </c>
      <c r="H275" s="4">
        <v>13666410000</v>
      </c>
      <c r="I275" s="4">
        <v>12438480000</v>
      </c>
      <c r="J275" s="4">
        <v>11616350000</v>
      </c>
      <c r="K275" s="4">
        <v>10826340000</v>
      </c>
      <c r="L275" s="4">
        <v>8530660000</v>
      </c>
      <c r="M275" s="4">
        <v>7482830000</v>
      </c>
      <c r="N275" s="1493" t="s">
        <v>374</v>
      </c>
      <c r="O275" s="4">
        <v>199894760000</v>
      </c>
      <c r="P275" s="4">
        <v>107672020000</v>
      </c>
      <c r="Q275" s="4">
        <v>87927155000</v>
      </c>
      <c r="R275" s="4">
        <v>76935605000</v>
      </c>
      <c r="S275" s="4">
        <v>63922775000</v>
      </c>
      <c r="T275" s="4">
        <v>35674683000</v>
      </c>
      <c r="U275" s="4">
        <v>28068615000</v>
      </c>
      <c r="V275" s="4">
        <v>25533290000</v>
      </c>
      <c r="W275" s="4">
        <v>21743960000</v>
      </c>
      <c r="X275" s="4">
        <v>21355070000</v>
      </c>
      <c r="Y275" s="4">
        <v>20886940000</v>
      </c>
      <c r="Z275" s="4">
        <v>18498105000</v>
      </c>
    </row>
    <row r="276" spans="1:26" x14ac:dyDescent="0.2">
      <c r="A276" s="1493" t="s">
        <v>356</v>
      </c>
      <c r="B276" s="21" t="s">
        <v>40</v>
      </c>
      <c r="C276" s="21" t="s">
        <v>11</v>
      </c>
      <c r="D276" s="21" t="s">
        <v>35</v>
      </c>
      <c r="E276" s="21" t="s">
        <v>13</v>
      </c>
      <c r="F276" s="21" t="s">
        <v>14</v>
      </c>
      <c r="G276" s="21" t="s">
        <v>16</v>
      </c>
      <c r="H276" s="21" t="s">
        <v>12</v>
      </c>
      <c r="I276" s="21" t="s">
        <v>32</v>
      </c>
      <c r="J276" s="21" t="s">
        <v>15</v>
      </c>
      <c r="K276" s="21" t="s">
        <v>76</v>
      </c>
      <c r="L276" s="21" t="s">
        <v>33</v>
      </c>
      <c r="M276" s="21" t="s">
        <v>21</v>
      </c>
    </row>
    <row r="277" spans="1:26" x14ac:dyDescent="0.2">
      <c r="A277" s="1493" t="s">
        <v>356</v>
      </c>
      <c r="B277" s="914">
        <v>66236510000</v>
      </c>
      <c r="C277" s="4">
        <v>50114460000</v>
      </c>
      <c r="D277" s="915">
        <v>46042940000</v>
      </c>
      <c r="E277" s="4">
        <v>36070495000</v>
      </c>
      <c r="F277" s="4">
        <v>25542220000</v>
      </c>
      <c r="G277" s="916">
        <v>24722590000</v>
      </c>
      <c r="H277" s="917">
        <v>23503630000</v>
      </c>
      <c r="I277" s="4">
        <v>20726335000</v>
      </c>
      <c r="J277" s="4">
        <v>20039905000</v>
      </c>
      <c r="K277" s="918">
        <v>15475410000</v>
      </c>
      <c r="L277" s="4">
        <v>14838980000</v>
      </c>
      <c r="M277" s="4">
        <v>12576590000</v>
      </c>
    </row>
    <row r="278" spans="1:26" x14ac:dyDescent="0.2">
      <c r="A278" s="1493" t="s">
        <v>145</v>
      </c>
      <c r="B278" s="21" t="s">
        <v>11</v>
      </c>
      <c r="C278" s="21" t="s">
        <v>40</v>
      </c>
      <c r="D278" s="21" t="s">
        <v>70</v>
      </c>
      <c r="E278" s="21" t="s">
        <v>271</v>
      </c>
      <c r="F278" s="21" t="s">
        <v>76</v>
      </c>
      <c r="G278" s="21" t="s">
        <v>25</v>
      </c>
      <c r="H278" s="21" t="s">
        <v>176</v>
      </c>
      <c r="I278" s="21" t="s">
        <v>91</v>
      </c>
      <c r="J278" s="21" t="s">
        <v>174</v>
      </c>
      <c r="K278" s="21" t="s">
        <v>62</v>
      </c>
      <c r="L278" s="21" t="s">
        <v>29</v>
      </c>
    </row>
    <row r="279" spans="1:26" x14ac:dyDescent="0.2">
      <c r="A279" s="1493" t="s">
        <v>145</v>
      </c>
      <c r="B279" s="4">
        <v>49782350000</v>
      </c>
      <c r="C279" s="908">
        <v>27769100000</v>
      </c>
      <c r="D279" s="909">
        <v>24058535000</v>
      </c>
      <c r="E279" s="4">
        <v>4529985000</v>
      </c>
      <c r="F279" s="910">
        <v>4471055000</v>
      </c>
      <c r="G279" s="4">
        <v>4086250000</v>
      </c>
      <c r="H279" s="4">
        <v>2470160000</v>
      </c>
      <c r="I279" s="911">
        <v>2182090000</v>
      </c>
      <c r="J279" s="912">
        <v>1194400000</v>
      </c>
      <c r="K279" s="4">
        <v>568560000</v>
      </c>
      <c r="L279" s="4">
        <v>181500000</v>
      </c>
    </row>
    <row r="280" spans="1:26" x14ac:dyDescent="0.2">
      <c r="A280" s="1493" t="s">
        <v>146</v>
      </c>
      <c r="B280" s="21" t="s">
        <v>11</v>
      </c>
      <c r="C280" s="21" t="s">
        <v>14</v>
      </c>
      <c r="D280" s="21" t="s">
        <v>35</v>
      </c>
      <c r="E280" s="21" t="s">
        <v>87</v>
      </c>
      <c r="F280" s="21" t="s">
        <v>58</v>
      </c>
      <c r="G280" s="21" t="s">
        <v>21</v>
      </c>
      <c r="H280" s="21" t="s">
        <v>64</v>
      </c>
      <c r="I280" s="21" t="s">
        <v>42</v>
      </c>
      <c r="J280" s="21" t="s">
        <v>13</v>
      </c>
      <c r="K280" s="21" t="s">
        <v>79</v>
      </c>
      <c r="L280" s="21" t="s">
        <v>78</v>
      </c>
      <c r="M280" s="21" t="s">
        <v>5</v>
      </c>
    </row>
    <row r="281" spans="1:26" x14ac:dyDescent="0.2">
      <c r="A281" s="1493" t="s">
        <v>146</v>
      </c>
      <c r="B281" s="4">
        <v>49875470000</v>
      </c>
      <c r="C281" s="4">
        <v>16867510000</v>
      </c>
      <c r="D281" s="4">
        <v>13076555000</v>
      </c>
      <c r="E281" s="904">
        <v>10096445000</v>
      </c>
      <c r="F281" s="4">
        <v>5785040000</v>
      </c>
      <c r="G281" s="4">
        <v>5122290000</v>
      </c>
      <c r="H281" s="4">
        <v>4627070000</v>
      </c>
      <c r="I281" s="905">
        <v>3346500000</v>
      </c>
      <c r="J281" s="4">
        <v>3296305000</v>
      </c>
      <c r="K281" s="4">
        <v>3236055000</v>
      </c>
      <c r="L281" s="4">
        <v>3126525000</v>
      </c>
      <c r="M281" s="4">
        <v>3079520000</v>
      </c>
    </row>
    <row r="282" spans="1:26" x14ac:dyDescent="0.2">
      <c r="A282" s="1493" t="s">
        <v>147</v>
      </c>
      <c r="B282" s="21" t="s">
        <v>11</v>
      </c>
      <c r="C282" s="21" t="s">
        <v>14</v>
      </c>
      <c r="D282" s="21" t="s">
        <v>33</v>
      </c>
      <c r="E282" s="21" t="s">
        <v>78</v>
      </c>
      <c r="F282" s="21" t="s">
        <v>13</v>
      </c>
      <c r="G282" s="21" t="s">
        <v>79</v>
      </c>
      <c r="H282" s="21" t="s">
        <v>64</v>
      </c>
      <c r="I282" s="21" t="s">
        <v>21</v>
      </c>
      <c r="J282" s="21" t="s">
        <v>12</v>
      </c>
      <c r="K282" s="21" t="s">
        <v>23</v>
      </c>
      <c r="L282" s="21" t="s">
        <v>59</v>
      </c>
      <c r="M282" s="21" t="s">
        <v>5</v>
      </c>
    </row>
    <row r="283" spans="1:26" x14ac:dyDescent="0.2">
      <c r="A283" s="1493" t="s">
        <v>147</v>
      </c>
      <c r="B283" s="902">
        <v>50122480000</v>
      </c>
      <c r="C283" s="4">
        <v>28426840000</v>
      </c>
      <c r="D283" s="4">
        <v>19570850000</v>
      </c>
      <c r="E283" s="903">
        <v>13391550000</v>
      </c>
      <c r="F283" s="4">
        <v>12490330000</v>
      </c>
      <c r="G283" s="4">
        <v>12358220000</v>
      </c>
      <c r="H283" s="4">
        <v>11306105000</v>
      </c>
      <c r="I283" s="4">
        <v>9852300000</v>
      </c>
      <c r="J283" s="4">
        <v>8755200000</v>
      </c>
      <c r="K283" s="4">
        <v>7402650000</v>
      </c>
      <c r="L283" s="4">
        <v>6243745000</v>
      </c>
      <c r="M283" s="4">
        <v>6001000000</v>
      </c>
    </row>
    <row r="284" spans="1:26" x14ac:dyDescent="0.2">
      <c r="A284" s="1493" t="s">
        <v>148</v>
      </c>
      <c r="B284" s="21" t="s">
        <v>19</v>
      </c>
      <c r="C284" s="21" t="s">
        <v>183</v>
      </c>
      <c r="D284" s="21" t="s">
        <v>87</v>
      </c>
      <c r="E284" s="21" t="s">
        <v>25</v>
      </c>
      <c r="F284" s="21" t="s">
        <v>42</v>
      </c>
      <c r="G284" s="21" t="s">
        <v>6</v>
      </c>
      <c r="H284" s="21" t="s">
        <v>29</v>
      </c>
      <c r="I284" s="21" t="s">
        <v>99</v>
      </c>
      <c r="J284" s="21" t="s">
        <v>312</v>
      </c>
      <c r="K284" s="21" t="s">
        <v>202</v>
      </c>
      <c r="N284" s="1493" t="s">
        <v>373</v>
      </c>
      <c r="O284" s="21" t="s">
        <v>19</v>
      </c>
      <c r="P284" s="21" t="s">
        <v>13</v>
      </c>
      <c r="Q284" s="21" t="s">
        <v>14</v>
      </c>
      <c r="R284" s="21" t="s">
        <v>183</v>
      </c>
      <c r="S284" s="21" t="s">
        <v>5</v>
      </c>
      <c r="T284" s="21" t="s">
        <v>30</v>
      </c>
      <c r="U284" s="21" t="s">
        <v>87</v>
      </c>
      <c r="V284" s="21" t="s">
        <v>99</v>
      </c>
      <c r="W284" s="21" t="s">
        <v>6</v>
      </c>
      <c r="X284" s="21" t="s">
        <v>70</v>
      </c>
      <c r="Y284" s="21" t="s">
        <v>312</v>
      </c>
      <c r="Z284" s="21" t="s">
        <v>29</v>
      </c>
    </row>
    <row r="285" spans="1:26" x14ac:dyDescent="0.2">
      <c r="A285" s="1493" t="s">
        <v>148</v>
      </c>
      <c r="B285" s="887">
        <v>269047520000</v>
      </c>
      <c r="C285" s="888">
        <v>21306730000</v>
      </c>
      <c r="D285" s="889">
        <v>7227280000</v>
      </c>
      <c r="E285" s="4">
        <v>3775980000</v>
      </c>
      <c r="F285" s="890">
        <v>1824095000</v>
      </c>
      <c r="G285" s="891">
        <v>1418045000</v>
      </c>
      <c r="H285" s="4">
        <v>1154840000</v>
      </c>
      <c r="I285" s="4">
        <v>1068360000</v>
      </c>
      <c r="J285" s="4">
        <v>934730000</v>
      </c>
      <c r="K285" s="892">
        <v>591000000</v>
      </c>
      <c r="N285" s="1493" t="s">
        <v>373</v>
      </c>
      <c r="O285" s="4">
        <v>270685295000</v>
      </c>
      <c r="P285" s="4">
        <v>59138660000</v>
      </c>
      <c r="Q285" s="4">
        <v>35587295000</v>
      </c>
      <c r="R285" s="4">
        <v>21306730000</v>
      </c>
      <c r="S285" s="4">
        <v>10236948000</v>
      </c>
      <c r="T285" s="4">
        <v>8163730000</v>
      </c>
      <c r="U285" s="4">
        <v>7227280000</v>
      </c>
      <c r="V285" s="4">
        <v>5613400000</v>
      </c>
      <c r="W285" s="4">
        <v>3775285000</v>
      </c>
      <c r="X285" s="4">
        <v>3616250000</v>
      </c>
      <c r="Y285" s="4">
        <v>3067230000</v>
      </c>
      <c r="Z285" s="4">
        <v>2275950000</v>
      </c>
    </row>
    <row r="286" spans="1:26" x14ac:dyDescent="0.2">
      <c r="A286" s="1493" t="s">
        <v>149</v>
      </c>
      <c r="B286" s="21" t="s">
        <v>35</v>
      </c>
      <c r="C286" s="21" t="s">
        <v>13</v>
      </c>
      <c r="D286" s="21" t="s">
        <v>79</v>
      </c>
      <c r="E286" s="21" t="s">
        <v>14</v>
      </c>
      <c r="F286" s="21" t="s">
        <v>33</v>
      </c>
      <c r="G286" s="21" t="s">
        <v>32</v>
      </c>
      <c r="H286" s="21" t="s">
        <v>34</v>
      </c>
      <c r="I286" s="21" t="s">
        <v>17</v>
      </c>
      <c r="J286" s="21" t="s">
        <v>21</v>
      </c>
      <c r="K286" s="21" t="s">
        <v>62</v>
      </c>
      <c r="L286" s="21" t="s">
        <v>64</v>
      </c>
      <c r="M286" s="21" t="s">
        <v>12</v>
      </c>
    </row>
    <row r="287" spans="1:26" x14ac:dyDescent="0.2">
      <c r="A287" s="1493" t="s">
        <v>149</v>
      </c>
      <c r="B287" s="882">
        <v>34607510000</v>
      </c>
      <c r="C287" s="4">
        <v>30257545000</v>
      </c>
      <c r="D287" s="883">
        <v>25558190000</v>
      </c>
      <c r="E287" s="4">
        <v>21346055000</v>
      </c>
      <c r="F287" s="4">
        <v>18276260000</v>
      </c>
      <c r="G287" s="4">
        <v>7940625000</v>
      </c>
      <c r="H287" s="4">
        <v>7117635000</v>
      </c>
      <c r="I287" s="4">
        <v>5883330000</v>
      </c>
      <c r="J287" s="4">
        <v>5453460000</v>
      </c>
      <c r="K287" s="884">
        <v>4130810000</v>
      </c>
      <c r="L287" s="4">
        <v>3936340000</v>
      </c>
      <c r="M287" s="4">
        <v>3918060000</v>
      </c>
    </row>
    <row r="288" spans="1:26" x14ac:dyDescent="0.2">
      <c r="A288" s="1493" t="s">
        <v>150</v>
      </c>
      <c r="B288" s="21" t="s">
        <v>13</v>
      </c>
      <c r="C288" s="21" t="s">
        <v>99</v>
      </c>
      <c r="D288" s="21" t="s">
        <v>25</v>
      </c>
      <c r="E288" s="21" t="s">
        <v>42</v>
      </c>
      <c r="F288" s="21" t="s">
        <v>312</v>
      </c>
      <c r="G288" s="21" t="s">
        <v>6</v>
      </c>
      <c r="H288" s="21" t="s">
        <v>174</v>
      </c>
      <c r="I288" s="21" t="s">
        <v>19</v>
      </c>
      <c r="J288" s="21" t="s">
        <v>14</v>
      </c>
      <c r="K288" s="21" t="s">
        <v>71</v>
      </c>
      <c r="L288" s="21" t="s">
        <v>29</v>
      </c>
      <c r="M288" s="21" t="s">
        <v>5</v>
      </c>
    </row>
    <row r="289" spans="1:26" x14ac:dyDescent="0.2">
      <c r="A289" s="1493" t="s">
        <v>150</v>
      </c>
      <c r="B289" s="4">
        <v>18813690000</v>
      </c>
      <c r="C289" s="4">
        <v>6078880000</v>
      </c>
      <c r="D289" s="4">
        <v>2264950000</v>
      </c>
      <c r="E289" s="4">
        <v>1512905000</v>
      </c>
      <c r="F289" s="873">
        <v>1407500000</v>
      </c>
      <c r="G289" s="874">
        <v>1198250000</v>
      </c>
      <c r="H289" s="875">
        <v>1151250000</v>
      </c>
      <c r="I289" s="876">
        <v>1145715000</v>
      </c>
      <c r="J289" s="4">
        <v>985265000</v>
      </c>
      <c r="K289" s="4">
        <v>853320000</v>
      </c>
      <c r="L289" s="4">
        <v>736000000</v>
      </c>
      <c r="M289" s="4">
        <v>575510000</v>
      </c>
    </row>
    <row r="290" spans="1:26" x14ac:dyDescent="0.2">
      <c r="A290" s="1493" t="s">
        <v>151</v>
      </c>
      <c r="B290" s="21" t="s">
        <v>33</v>
      </c>
      <c r="C290" s="21" t="s">
        <v>14</v>
      </c>
      <c r="D290" s="21" t="s">
        <v>13</v>
      </c>
      <c r="E290" s="21" t="s">
        <v>5</v>
      </c>
      <c r="F290" s="21" t="s">
        <v>32</v>
      </c>
      <c r="G290" s="21" t="s">
        <v>21</v>
      </c>
      <c r="H290" s="21" t="s">
        <v>15</v>
      </c>
      <c r="I290" s="21" t="s">
        <v>64</v>
      </c>
      <c r="J290" s="21" t="s">
        <v>10</v>
      </c>
      <c r="K290" s="21" t="s">
        <v>23</v>
      </c>
      <c r="L290" s="21" t="s">
        <v>176</v>
      </c>
      <c r="M290" s="21" t="s">
        <v>12</v>
      </c>
    </row>
    <row r="291" spans="1:26" x14ac:dyDescent="0.2">
      <c r="A291" s="1493" t="s">
        <v>151</v>
      </c>
      <c r="B291" s="4">
        <v>20386300000</v>
      </c>
      <c r="C291" s="4">
        <v>18250195000</v>
      </c>
      <c r="D291" s="4">
        <v>14657190000</v>
      </c>
      <c r="E291" s="865">
        <v>11338165000</v>
      </c>
      <c r="F291" s="4">
        <v>8170531000</v>
      </c>
      <c r="G291" s="4">
        <v>7581010000</v>
      </c>
      <c r="H291" s="4">
        <v>6422635000</v>
      </c>
      <c r="I291" s="4">
        <v>5839460000</v>
      </c>
      <c r="J291" s="866">
        <v>5660000000</v>
      </c>
      <c r="K291" s="4">
        <v>5262930000</v>
      </c>
      <c r="L291" s="867">
        <v>4798710000</v>
      </c>
      <c r="M291" s="4">
        <v>4670530000</v>
      </c>
    </row>
    <row r="292" spans="1:26" x14ac:dyDescent="0.2">
      <c r="A292" s="1493" t="s">
        <v>152</v>
      </c>
      <c r="B292" s="21" t="s">
        <v>32</v>
      </c>
      <c r="C292" s="21" t="s">
        <v>13</v>
      </c>
      <c r="D292" s="21" t="s">
        <v>21</v>
      </c>
      <c r="E292" s="21" t="s">
        <v>64</v>
      </c>
      <c r="F292" s="21" t="s">
        <v>5</v>
      </c>
      <c r="G292" s="21" t="s">
        <v>30</v>
      </c>
      <c r="H292" s="21" t="s">
        <v>23</v>
      </c>
      <c r="I292" s="21" t="s">
        <v>15</v>
      </c>
      <c r="J292" s="21" t="s">
        <v>12</v>
      </c>
      <c r="K292" s="21" t="s">
        <v>14</v>
      </c>
      <c r="L292" s="21" t="s">
        <v>17</v>
      </c>
      <c r="M292" s="21" t="s">
        <v>59</v>
      </c>
    </row>
    <row r="293" spans="1:26" x14ac:dyDescent="0.2">
      <c r="A293" s="1493" t="s">
        <v>152</v>
      </c>
      <c r="B293" s="860">
        <v>35919905000</v>
      </c>
      <c r="C293" s="4">
        <v>25118840000</v>
      </c>
      <c r="D293" s="4">
        <v>7011680000</v>
      </c>
      <c r="E293" s="4">
        <v>5818625000</v>
      </c>
      <c r="F293" s="861">
        <v>5402710000</v>
      </c>
      <c r="G293" s="4">
        <v>5161290000</v>
      </c>
      <c r="H293" s="4">
        <v>4840760000</v>
      </c>
      <c r="I293" s="4">
        <v>4001615000</v>
      </c>
      <c r="J293" s="4">
        <v>3811430000</v>
      </c>
      <c r="K293" s="4">
        <v>3512190000</v>
      </c>
      <c r="L293" s="4">
        <v>2833445000</v>
      </c>
      <c r="M293" s="4">
        <v>2708580000</v>
      </c>
    </row>
    <row r="294" spans="1:26" x14ac:dyDescent="0.2">
      <c r="A294" s="1493" t="s">
        <v>153</v>
      </c>
      <c r="B294" s="21" t="s">
        <v>17</v>
      </c>
      <c r="C294" s="21" t="s">
        <v>67</v>
      </c>
      <c r="D294" s="21" t="s">
        <v>58</v>
      </c>
      <c r="E294" s="21" t="s">
        <v>32</v>
      </c>
      <c r="F294" s="21" t="s">
        <v>14</v>
      </c>
      <c r="G294" s="21" t="s">
        <v>15</v>
      </c>
      <c r="H294" s="21" t="s">
        <v>34</v>
      </c>
      <c r="I294" s="21" t="s">
        <v>99</v>
      </c>
      <c r="J294" s="21" t="s">
        <v>271</v>
      </c>
      <c r="K294" s="21" t="s">
        <v>21</v>
      </c>
      <c r="L294" s="21" t="s">
        <v>183</v>
      </c>
      <c r="M294" s="21" t="s">
        <v>12</v>
      </c>
      <c r="N294" s="1493" t="s">
        <v>372</v>
      </c>
      <c r="O294" s="21" t="s">
        <v>17</v>
      </c>
      <c r="P294" s="21" t="s">
        <v>14</v>
      </c>
      <c r="Q294" s="21" t="s">
        <v>34</v>
      </c>
      <c r="R294" s="21" t="s">
        <v>271</v>
      </c>
      <c r="S294" s="21" t="s">
        <v>67</v>
      </c>
      <c r="T294" s="21" t="s">
        <v>21</v>
      </c>
      <c r="U294" s="21" t="s">
        <v>58</v>
      </c>
      <c r="V294" s="21" t="s">
        <v>29</v>
      </c>
      <c r="W294" s="21" t="s">
        <v>99</v>
      </c>
      <c r="X294" s="21" t="s">
        <v>88</v>
      </c>
      <c r="Y294" s="21" t="s">
        <v>71</v>
      </c>
      <c r="Z294" s="21" t="s">
        <v>33</v>
      </c>
    </row>
    <row r="295" spans="1:26" x14ac:dyDescent="0.2">
      <c r="A295" s="1493" t="s">
        <v>153</v>
      </c>
      <c r="B295" s="4">
        <v>33243215000</v>
      </c>
      <c r="C295" s="855">
        <v>20514835000</v>
      </c>
      <c r="D295" s="856">
        <v>19232140000</v>
      </c>
      <c r="E295" s="857">
        <v>12693696000</v>
      </c>
      <c r="F295" s="4">
        <v>11121490000</v>
      </c>
      <c r="G295" s="4">
        <v>9484645000</v>
      </c>
      <c r="H295" s="4">
        <v>8389650000</v>
      </c>
      <c r="I295" s="4">
        <v>6384700000</v>
      </c>
      <c r="J295" s="4">
        <v>5772700000</v>
      </c>
      <c r="K295" s="4">
        <v>4912540000</v>
      </c>
      <c r="L295" s="4">
        <v>4516690000</v>
      </c>
      <c r="M295" s="4">
        <v>3367620000</v>
      </c>
      <c r="N295" s="1493" t="s">
        <v>372</v>
      </c>
      <c r="O295" s="4">
        <v>115961395000</v>
      </c>
      <c r="P295" s="4">
        <v>94031000000</v>
      </c>
      <c r="Q295" s="4">
        <v>74585825000</v>
      </c>
      <c r="R295" s="4">
        <v>50521220000</v>
      </c>
      <c r="S295" s="4">
        <v>38260072000</v>
      </c>
      <c r="T295" s="4">
        <v>25080000000</v>
      </c>
      <c r="U295" s="4">
        <v>23672560000</v>
      </c>
      <c r="V295" s="4">
        <v>21845080000</v>
      </c>
      <c r="W295" s="4">
        <v>19187235000</v>
      </c>
      <c r="X295" s="4">
        <v>19176390000</v>
      </c>
      <c r="Y295" s="4">
        <v>17107030000</v>
      </c>
      <c r="Z295" s="4">
        <v>13769531000</v>
      </c>
    </row>
    <row r="296" spans="1:26" x14ac:dyDescent="0.2">
      <c r="A296" s="1493" t="s">
        <v>154</v>
      </c>
      <c r="B296" s="21" t="s">
        <v>17</v>
      </c>
      <c r="C296" s="21" t="s">
        <v>14</v>
      </c>
      <c r="D296" s="21" t="s">
        <v>33</v>
      </c>
      <c r="E296" s="21" t="s">
        <v>13</v>
      </c>
      <c r="F296" s="21" t="s">
        <v>34</v>
      </c>
      <c r="G296" s="21" t="s">
        <v>15</v>
      </c>
      <c r="H296" s="21" t="s">
        <v>21</v>
      </c>
      <c r="I296" s="21" t="s">
        <v>271</v>
      </c>
      <c r="J296" s="21" t="s">
        <v>23</v>
      </c>
      <c r="K296" s="21" t="s">
        <v>67</v>
      </c>
      <c r="L296" s="21" t="s">
        <v>64</v>
      </c>
      <c r="M296" s="21" t="s">
        <v>79</v>
      </c>
    </row>
    <row r="297" spans="1:26" x14ac:dyDescent="0.2">
      <c r="A297" s="1493" t="s">
        <v>154</v>
      </c>
      <c r="B297" s="840">
        <v>101995450000</v>
      </c>
      <c r="C297" s="841">
        <v>101131040000</v>
      </c>
      <c r="D297" s="842">
        <v>63123640000</v>
      </c>
      <c r="E297" s="843">
        <v>48406160000</v>
      </c>
      <c r="F297" s="844">
        <v>29846145000</v>
      </c>
      <c r="G297" s="845">
        <v>28743440000</v>
      </c>
      <c r="H297" s="846">
        <v>28381330000</v>
      </c>
      <c r="I297" s="847">
        <v>23537605000</v>
      </c>
      <c r="J297" s="848">
        <v>17752750000</v>
      </c>
      <c r="K297" s="849">
        <v>16479675000</v>
      </c>
      <c r="L297" s="850">
        <v>16297340000</v>
      </c>
      <c r="M297" s="851">
        <v>11826430000</v>
      </c>
    </row>
    <row r="298" spans="1:26" x14ac:dyDescent="0.2">
      <c r="A298" s="1493" t="s">
        <v>155</v>
      </c>
      <c r="B298" s="21" t="s">
        <v>34</v>
      </c>
      <c r="C298" s="21" t="s">
        <v>271</v>
      </c>
      <c r="D298" s="21" t="s">
        <v>30</v>
      </c>
      <c r="E298" s="21" t="s">
        <v>69</v>
      </c>
      <c r="F298" s="21" t="s">
        <v>99</v>
      </c>
      <c r="G298" s="21" t="s">
        <v>183</v>
      </c>
      <c r="H298" s="21" t="s">
        <v>29</v>
      </c>
      <c r="I298" s="21" t="s">
        <v>198</v>
      </c>
      <c r="J298" s="21" t="s">
        <v>67</v>
      </c>
    </row>
    <row r="299" spans="1:26" x14ac:dyDescent="0.2">
      <c r="A299" s="1493" t="s">
        <v>155</v>
      </c>
      <c r="B299" s="823">
        <v>23594997000</v>
      </c>
      <c r="C299" s="824">
        <v>18071535000</v>
      </c>
      <c r="D299" s="4">
        <v>2129300000</v>
      </c>
      <c r="E299" s="825">
        <v>1609265000</v>
      </c>
      <c r="F299" s="826">
        <v>1551900000</v>
      </c>
      <c r="G299" s="4">
        <v>1324505000</v>
      </c>
      <c r="H299" s="4">
        <v>842040000</v>
      </c>
      <c r="I299" s="827">
        <v>716265000</v>
      </c>
      <c r="J299" s="4">
        <v>596167000</v>
      </c>
    </row>
    <row r="300" spans="1:26" x14ac:dyDescent="0.2">
      <c r="A300" s="1493" t="s">
        <v>156</v>
      </c>
      <c r="B300" s="21" t="s">
        <v>88</v>
      </c>
      <c r="C300" s="21" t="s">
        <v>29</v>
      </c>
      <c r="D300" s="21" t="s">
        <v>71</v>
      </c>
      <c r="E300" s="21" t="s">
        <v>34</v>
      </c>
      <c r="F300" s="21" t="s">
        <v>325</v>
      </c>
      <c r="G300" s="21" t="s">
        <v>30</v>
      </c>
      <c r="H300" s="21" t="s">
        <v>183</v>
      </c>
      <c r="I300" s="21" t="s">
        <v>32</v>
      </c>
      <c r="J300" s="21" t="s">
        <v>271</v>
      </c>
      <c r="K300" s="21" t="s">
        <v>261</v>
      </c>
      <c r="L300" s="21" t="s">
        <v>87</v>
      </c>
      <c r="M300" s="21" t="s">
        <v>69</v>
      </c>
    </row>
    <row r="301" spans="1:26" x14ac:dyDescent="0.2">
      <c r="A301" s="1493" t="s">
        <v>156</v>
      </c>
      <c r="B301" s="799">
        <v>19176390000</v>
      </c>
      <c r="C301" s="800">
        <v>14163000000</v>
      </c>
      <c r="D301" s="801">
        <v>13867000000</v>
      </c>
      <c r="E301" s="802">
        <v>12755033000</v>
      </c>
      <c r="F301" s="803">
        <v>7514100000</v>
      </c>
      <c r="G301" s="804">
        <v>4889060000</v>
      </c>
      <c r="H301" s="805">
        <v>4553020000</v>
      </c>
      <c r="I301" s="806">
        <v>4344085000</v>
      </c>
      <c r="J301" s="807">
        <v>3139380000</v>
      </c>
      <c r="K301" s="808">
        <v>2878390000</v>
      </c>
      <c r="L301" s="809">
        <v>1755720000</v>
      </c>
      <c r="M301" s="810">
        <v>1686090000</v>
      </c>
    </row>
    <row r="314" spans="1:1" x14ac:dyDescent="0.2">
      <c r="A314" t="s">
        <v>368</v>
      </c>
    </row>
  </sheetData>
  <mergeCells count="184">
    <mergeCell ref="B1:M1"/>
    <mergeCell ref="O1:Z1"/>
    <mergeCell ref="A28:A29"/>
    <mergeCell ref="A26:A27"/>
    <mergeCell ref="A24:A25"/>
    <mergeCell ref="A22:A23"/>
    <mergeCell ref="N22:N23"/>
    <mergeCell ref="A8:A9"/>
    <mergeCell ref="A6:A7"/>
    <mergeCell ref="A10:A11"/>
    <mergeCell ref="A12:A13"/>
    <mergeCell ref="N12:N13"/>
    <mergeCell ref="A20:A21"/>
    <mergeCell ref="A18:A19"/>
    <mergeCell ref="A14:A15"/>
    <mergeCell ref="A16:A17"/>
    <mergeCell ref="A2:A3"/>
    <mergeCell ref="N2:N3"/>
    <mergeCell ref="A4:A5"/>
    <mergeCell ref="A34:A35"/>
    <mergeCell ref="A32:A33"/>
    <mergeCell ref="N32:N33"/>
    <mergeCell ref="A30:A31"/>
    <mergeCell ref="A40:A41"/>
    <mergeCell ref="A38:A39"/>
    <mergeCell ref="A36:A37"/>
    <mergeCell ref="A60:A61"/>
    <mergeCell ref="A58:A59"/>
    <mergeCell ref="A56:A57"/>
    <mergeCell ref="A44:A45"/>
    <mergeCell ref="A42:A43"/>
    <mergeCell ref="N42:N43"/>
    <mergeCell ref="A54:A55"/>
    <mergeCell ref="A52:A53"/>
    <mergeCell ref="N52:N53"/>
    <mergeCell ref="A50:A51"/>
    <mergeCell ref="A48:A49"/>
    <mergeCell ref="A46:A47"/>
    <mergeCell ref="N132:N133"/>
    <mergeCell ref="A82:A83"/>
    <mergeCell ref="N82:N83"/>
    <mergeCell ref="A80:A81"/>
    <mergeCell ref="A78:A79"/>
    <mergeCell ref="A76:A77"/>
    <mergeCell ref="A102:A103"/>
    <mergeCell ref="N102:N103"/>
    <mergeCell ref="A90:A91"/>
    <mergeCell ref="A88:A89"/>
    <mergeCell ref="A86:A87"/>
    <mergeCell ref="A84:A85"/>
    <mergeCell ref="A100:A101"/>
    <mergeCell ref="A98:A99"/>
    <mergeCell ref="A96:A97"/>
    <mergeCell ref="A94:A95"/>
    <mergeCell ref="A92:A93"/>
    <mergeCell ref="N92:N93"/>
    <mergeCell ref="A112:A113"/>
    <mergeCell ref="A74:A75"/>
    <mergeCell ref="A72:A73"/>
    <mergeCell ref="N72:N73"/>
    <mergeCell ref="A70:A71"/>
    <mergeCell ref="A68:A69"/>
    <mergeCell ref="A66:A67"/>
    <mergeCell ref="A64:A65"/>
    <mergeCell ref="A62:A63"/>
    <mergeCell ref="N62:N63"/>
    <mergeCell ref="A114:A115"/>
    <mergeCell ref="N112:N113"/>
    <mergeCell ref="A110:A111"/>
    <mergeCell ref="A108:A109"/>
    <mergeCell ref="A106:A107"/>
    <mergeCell ref="A104:A105"/>
    <mergeCell ref="A174:A175"/>
    <mergeCell ref="A130:A131"/>
    <mergeCell ref="A128:A129"/>
    <mergeCell ref="A126:A127"/>
    <mergeCell ref="A124:A125"/>
    <mergeCell ref="A122:A123"/>
    <mergeCell ref="N122:N123"/>
    <mergeCell ref="A120:A121"/>
    <mergeCell ref="A118:A119"/>
    <mergeCell ref="A116:A117"/>
    <mergeCell ref="A144:A145"/>
    <mergeCell ref="A142:A143"/>
    <mergeCell ref="N142:N143"/>
    <mergeCell ref="A140:A141"/>
    <mergeCell ref="A138:A139"/>
    <mergeCell ref="A136:A137"/>
    <mergeCell ref="A134:A135"/>
    <mergeCell ref="A132:A133"/>
    <mergeCell ref="A284:A285"/>
    <mergeCell ref="N284:N285"/>
    <mergeCell ref="A282:A283"/>
    <mergeCell ref="A280:A281"/>
    <mergeCell ref="A278:A279"/>
    <mergeCell ref="A276:A277"/>
    <mergeCell ref="A274:A275"/>
    <mergeCell ref="N274:N275"/>
    <mergeCell ref="A272:A273"/>
    <mergeCell ref="A300:A301"/>
    <mergeCell ref="A298:A299"/>
    <mergeCell ref="A296:A297"/>
    <mergeCell ref="A294:A295"/>
    <mergeCell ref="N294:N295"/>
    <mergeCell ref="A292:A293"/>
    <mergeCell ref="A290:A291"/>
    <mergeCell ref="A288:A289"/>
    <mergeCell ref="A286:A287"/>
    <mergeCell ref="A270:A271"/>
    <mergeCell ref="A268:A269"/>
    <mergeCell ref="A266:A267"/>
    <mergeCell ref="A264:A265"/>
    <mergeCell ref="N264:N265"/>
    <mergeCell ref="A262:A263"/>
    <mergeCell ref="A260:A261"/>
    <mergeCell ref="A258:A259"/>
    <mergeCell ref="A256:A257"/>
    <mergeCell ref="A226:A227"/>
    <mergeCell ref="A224:A225"/>
    <mergeCell ref="N224:N225"/>
    <mergeCell ref="A222:A223"/>
    <mergeCell ref="A220:A221"/>
    <mergeCell ref="A218:A219"/>
    <mergeCell ref="A216:A217"/>
    <mergeCell ref="A254:A255"/>
    <mergeCell ref="N254:N255"/>
    <mergeCell ref="A252:A253"/>
    <mergeCell ref="A250:A251"/>
    <mergeCell ref="A248:A249"/>
    <mergeCell ref="N248:N249"/>
    <mergeCell ref="A246:A247"/>
    <mergeCell ref="A244:A245"/>
    <mergeCell ref="N244:N245"/>
    <mergeCell ref="A242:A243"/>
    <mergeCell ref="A240:A241"/>
    <mergeCell ref="A238:A239"/>
    <mergeCell ref="A236:A237"/>
    <mergeCell ref="A234:A235"/>
    <mergeCell ref="N234:N235"/>
    <mergeCell ref="A232:A233"/>
    <mergeCell ref="A230:A231"/>
    <mergeCell ref="A228:A229"/>
    <mergeCell ref="N156:N157"/>
    <mergeCell ref="A212:A213"/>
    <mergeCell ref="A210:A211"/>
    <mergeCell ref="A208:A209"/>
    <mergeCell ref="A206:A207"/>
    <mergeCell ref="A204:A205"/>
    <mergeCell ref="N204:N205"/>
    <mergeCell ref="A202:A203"/>
    <mergeCell ref="A200:A201"/>
    <mergeCell ref="A198:A199"/>
    <mergeCell ref="A196:A197"/>
    <mergeCell ref="A194:A195"/>
    <mergeCell ref="N194:N195"/>
    <mergeCell ref="A192:A193"/>
    <mergeCell ref="A190:A191"/>
    <mergeCell ref="A188:A189"/>
    <mergeCell ref="A186:A187"/>
    <mergeCell ref="A184:A185"/>
    <mergeCell ref="N184:N185"/>
    <mergeCell ref="A182:A183"/>
    <mergeCell ref="A180:A181"/>
    <mergeCell ref="A178:A179"/>
    <mergeCell ref="A176:A177"/>
    <mergeCell ref="A214:A215"/>
    <mergeCell ref="N214:N215"/>
    <mergeCell ref="A154:A155"/>
    <mergeCell ref="A152:A153"/>
    <mergeCell ref="A150:A151"/>
    <mergeCell ref="A148:A149"/>
    <mergeCell ref="A146:A147"/>
    <mergeCell ref="N146:N147"/>
    <mergeCell ref="A168:A169"/>
    <mergeCell ref="A166:A167"/>
    <mergeCell ref="A164:A165"/>
    <mergeCell ref="N164:N165"/>
    <mergeCell ref="A162:A163"/>
    <mergeCell ref="A160:A161"/>
    <mergeCell ref="A158:A159"/>
    <mergeCell ref="A156:A157"/>
    <mergeCell ref="N174:N175"/>
    <mergeCell ref="A172:A173"/>
    <mergeCell ref="A170:A17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068E-14B3-2B45-A030-7B24F8C85065}">
  <dimension ref="A1:Z307"/>
  <sheetViews>
    <sheetView workbookViewId="0">
      <selection activeCell="M9" sqref="M9"/>
    </sheetView>
  </sheetViews>
  <sheetFormatPr baseColWidth="10" defaultRowHeight="16" x14ac:dyDescent="0.2"/>
  <cols>
    <col min="2" max="2" width="15.1640625" bestFit="1" customWidth="1"/>
    <col min="3" max="3" width="15.33203125" bestFit="1" customWidth="1"/>
    <col min="4" max="4" width="15.1640625" bestFit="1" customWidth="1"/>
    <col min="5" max="5" width="15.33203125" bestFit="1" customWidth="1"/>
    <col min="6" max="6" width="15.1640625" bestFit="1" customWidth="1"/>
    <col min="7" max="7" width="14.33203125" bestFit="1" customWidth="1"/>
    <col min="8" max="9" width="14.1640625" bestFit="1" customWidth="1"/>
    <col min="10" max="11" width="14.33203125" bestFit="1" customWidth="1"/>
    <col min="12" max="13" width="14.1640625" bestFit="1" customWidth="1"/>
  </cols>
  <sheetData>
    <row r="1" spans="1:26" x14ac:dyDescent="0.2">
      <c r="A1" s="40" t="s">
        <v>105</v>
      </c>
      <c r="B1" s="1494" t="s">
        <v>369</v>
      </c>
      <c r="C1" s="1494"/>
      <c r="D1" s="1494"/>
      <c r="E1" s="1494"/>
      <c r="F1" s="1494"/>
      <c r="G1" s="1494"/>
      <c r="H1" s="1494"/>
      <c r="I1" s="1494"/>
      <c r="J1" s="1494"/>
      <c r="K1" s="1494"/>
      <c r="L1" s="1494"/>
      <c r="M1" s="1494"/>
      <c r="N1" s="41" t="s">
        <v>371</v>
      </c>
      <c r="O1" s="1494" t="s">
        <v>370</v>
      </c>
      <c r="P1" s="1494"/>
      <c r="Q1" s="1494"/>
      <c r="R1" s="1494"/>
      <c r="S1" s="1494"/>
      <c r="T1" s="1494"/>
      <c r="U1" s="1494"/>
      <c r="V1" s="1494"/>
      <c r="W1" s="1494"/>
      <c r="X1" s="1494"/>
      <c r="Y1" s="1494"/>
      <c r="Z1" s="1494"/>
    </row>
    <row r="2" spans="1:26" x14ac:dyDescent="0.2">
      <c r="A2" s="1493" t="s">
        <v>508</v>
      </c>
      <c r="B2" s="21" t="s">
        <v>17</v>
      </c>
      <c r="C2" s="21" t="s">
        <v>13</v>
      </c>
      <c r="D2" s="21" t="s">
        <v>14</v>
      </c>
      <c r="E2" s="21" t="s">
        <v>37</v>
      </c>
      <c r="F2" s="21" t="s">
        <v>79</v>
      </c>
      <c r="G2" s="21" t="s">
        <v>33</v>
      </c>
      <c r="H2" s="21" t="s">
        <v>212</v>
      </c>
      <c r="I2" s="21" t="s">
        <v>18</v>
      </c>
      <c r="J2" s="21" t="s">
        <v>5</v>
      </c>
      <c r="K2" s="21" t="s">
        <v>59</v>
      </c>
      <c r="L2" s="21" t="s">
        <v>77</v>
      </c>
      <c r="N2" s="1493" t="s">
        <v>509</v>
      </c>
      <c r="O2" s="21" t="s">
        <v>79</v>
      </c>
      <c r="P2" s="21" t="s">
        <v>40</v>
      </c>
      <c r="Q2" s="21" t="s">
        <v>21</v>
      </c>
      <c r="R2" s="21" t="s">
        <v>15</v>
      </c>
      <c r="S2" s="21" t="s">
        <v>36</v>
      </c>
      <c r="T2" s="21" t="s">
        <v>176</v>
      </c>
      <c r="U2" s="21" t="s">
        <v>59</v>
      </c>
      <c r="V2" s="21" t="s">
        <v>33</v>
      </c>
      <c r="W2" s="21" t="s">
        <v>64</v>
      </c>
      <c r="X2" s="21" t="s">
        <v>265</v>
      </c>
      <c r="Y2" s="21" t="s">
        <v>23</v>
      </c>
      <c r="Z2" s="21" t="s">
        <v>32</v>
      </c>
    </row>
    <row r="3" spans="1:26" x14ac:dyDescent="0.2">
      <c r="A3" s="1493" t="s">
        <v>508</v>
      </c>
      <c r="B3" s="4">
        <v>-45358630000</v>
      </c>
      <c r="C3" s="4">
        <v>-10435615000</v>
      </c>
      <c r="D3" s="4">
        <v>-9432704000</v>
      </c>
      <c r="E3" s="4">
        <v>-7812075000</v>
      </c>
      <c r="F3" s="4">
        <v>-3676320000</v>
      </c>
      <c r="G3" s="4">
        <v>-1855970000</v>
      </c>
      <c r="H3" s="4">
        <v>-673580000</v>
      </c>
      <c r="I3" s="4">
        <v>-632460000</v>
      </c>
      <c r="J3" s="4">
        <v>-573940000</v>
      </c>
      <c r="K3" s="4">
        <v>-573060000</v>
      </c>
      <c r="L3" s="4">
        <v>-479171000</v>
      </c>
      <c r="N3" s="1493" t="s">
        <v>509</v>
      </c>
      <c r="O3" s="4">
        <v>-358777189000</v>
      </c>
      <c r="P3" s="4">
        <v>-160764220000</v>
      </c>
      <c r="Q3" s="4">
        <v>-139147146000</v>
      </c>
      <c r="R3" s="4">
        <v>-119656690000</v>
      </c>
      <c r="S3" s="4">
        <v>-105572220000</v>
      </c>
      <c r="T3" s="4">
        <v>-92181470000</v>
      </c>
      <c r="U3" s="4">
        <v>-85144070000</v>
      </c>
      <c r="V3" s="4">
        <v>-80658459000</v>
      </c>
      <c r="W3" s="4">
        <v>-75295600000</v>
      </c>
      <c r="X3" s="4">
        <v>-70492000000</v>
      </c>
      <c r="Y3" s="4">
        <v>-70174290000</v>
      </c>
      <c r="Z3" s="4">
        <v>-55010869000</v>
      </c>
    </row>
    <row r="4" spans="1:26" x14ac:dyDescent="0.2">
      <c r="A4" s="1493" t="s">
        <v>505</v>
      </c>
      <c r="B4" s="21" t="s">
        <v>79</v>
      </c>
      <c r="C4" s="21" t="s">
        <v>23</v>
      </c>
      <c r="D4" s="21" t="s">
        <v>33</v>
      </c>
      <c r="E4" s="21" t="s">
        <v>14</v>
      </c>
      <c r="F4" s="21" t="s">
        <v>36</v>
      </c>
      <c r="G4" s="21" t="s">
        <v>17</v>
      </c>
      <c r="H4" s="21" t="s">
        <v>70</v>
      </c>
      <c r="I4" s="21" t="s">
        <v>32</v>
      </c>
      <c r="J4" s="21" t="s">
        <v>74</v>
      </c>
      <c r="K4" s="21" t="s">
        <v>59</v>
      </c>
      <c r="L4" s="21" t="s">
        <v>12</v>
      </c>
      <c r="M4" s="21" t="s">
        <v>13</v>
      </c>
    </row>
    <row r="5" spans="1:26" x14ac:dyDescent="0.2">
      <c r="A5" s="1493" t="s">
        <v>505</v>
      </c>
      <c r="B5" s="4">
        <v>-69960605000</v>
      </c>
      <c r="C5" s="4">
        <v>-34227130000</v>
      </c>
      <c r="D5" s="4">
        <v>-27596170000</v>
      </c>
      <c r="E5" s="4">
        <v>-17500315000</v>
      </c>
      <c r="F5" s="4">
        <v>-15867470000</v>
      </c>
      <c r="G5" s="4">
        <v>-14085320000</v>
      </c>
      <c r="H5" s="4">
        <v>-13139430000</v>
      </c>
      <c r="I5" s="4">
        <v>-8097305000</v>
      </c>
      <c r="J5" s="4">
        <v>-7072100000</v>
      </c>
      <c r="K5" s="4">
        <v>-6928895000</v>
      </c>
      <c r="L5" s="4">
        <v>-6228410000</v>
      </c>
      <c r="M5" s="4">
        <v>-5593695000</v>
      </c>
    </row>
    <row r="6" spans="1:26" x14ac:dyDescent="0.2">
      <c r="A6" s="1493" t="s">
        <v>503</v>
      </c>
      <c r="B6" s="21" t="s">
        <v>14</v>
      </c>
      <c r="C6" s="21" t="s">
        <v>79</v>
      </c>
      <c r="D6" s="21" t="s">
        <v>33</v>
      </c>
      <c r="E6" s="21" t="s">
        <v>13</v>
      </c>
      <c r="F6" s="21" t="s">
        <v>15</v>
      </c>
      <c r="G6" s="21" t="s">
        <v>64</v>
      </c>
      <c r="H6" s="21" t="s">
        <v>32</v>
      </c>
      <c r="I6" s="21" t="s">
        <v>21</v>
      </c>
      <c r="J6" s="21" t="s">
        <v>23</v>
      </c>
      <c r="K6" s="21" t="s">
        <v>61</v>
      </c>
      <c r="L6" s="21" t="s">
        <v>12</v>
      </c>
      <c r="M6" s="21" t="s">
        <v>59</v>
      </c>
    </row>
    <row r="7" spans="1:26" x14ac:dyDescent="0.2">
      <c r="A7" s="1493" t="s">
        <v>503</v>
      </c>
      <c r="B7" s="4">
        <v>-48775503000</v>
      </c>
      <c r="C7" s="4">
        <v>-47452535000</v>
      </c>
      <c r="D7" s="4">
        <v>-41993310000</v>
      </c>
      <c r="E7" s="4">
        <v>-38576690000</v>
      </c>
      <c r="F7" s="4">
        <v>-33913917000</v>
      </c>
      <c r="G7" s="4">
        <v>-31269515000</v>
      </c>
      <c r="H7" s="4">
        <v>-23623180000</v>
      </c>
      <c r="I7" s="4">
        <v>-22721970000</v>
      </c>
      <c r="J7" s="4">
        <v>-16023740000</v>
      </c>
      <c r="K7" s="4">
        <v>-14910170000</v>
      </c>
      <c r="L7" s="4">
        <v>-13947510000</v>
      </c>
      <c r="M7" s="4">
        <v>-12643285000</v>
      </c>
    </row>
    <row r="8" spans="1:26" x14ac:dyDescent="0.2">
      <c r="A8" s="1493" t="s">
        <v>500</v>
      </c>
      <c r="B8" s="21" t="s">
        <v>79</v>
      </c>
      <c r="C8" s="21" t="s">
        <v>40</v>
      </c>
      <c r="D8" s="21" t="s">
        <v>176</v>
      </c>
      <c r="E8" s="21" t="s">
        <v>36</v>
      </c>
      <c r="F8" s="21" t="s">
        <v>21</v>
      </c>
      <c r="G8" s="21" t="s">
        <v>348</v>
      </c>
      <c r="H8" s="21" t="s">
        <v>74</v>
      </c>
      <c r="I8" s="21" t="s">
        <v>59</v>
      </c>
      <c r="J8" s="21" t="s">
        <v>265</v>
      </c>
      <c r="K8" s="21" t="s">
        <v>27</v>
      </c>
      <c r="L8" s="21" t="s">
        <v>62</v>
      </c>
      <c r="M8" s="21" t="s">
        <v>72</v>
      </c>
    </row>
    <row r="9" spans="1:26" x14ac:dyDescent="0.2">
      <c r="A9" s="1493" t="s">
        <v>500</v>
      </c>
      <c r="B9" s="1450">
        <v>-157451634000</v>
      </c>
      <c r="C9" s="1451">
        <v>-154502020000</v>
      </c>
      <c r="D9" s="1452">
        <v>-72503720000</v>
      </c>
      <c r="E9" s="1453">
        <v>-60058410000</v>
      </c>
      <c r="F9" s="4">
        <v>-49181796000</v>
      </c>
      <c r="G9" s="1454">
        <v>-29171060000</v>
      </c>
      <c r="H9" s="1455">
        <v>-24002925000</v>
      </c>
      <c r="I9" s="4">
        <v>-22636965000</v>
      </c>
      <c r="J9" s="4">
        <v>-21172000000</v>
      </c>
      <c r="K9" s="1456">
        <v>-19172215000</v>
      </c>
      <c r="L9" s="1457">
        <v>-17108910000</v>
      </c>
      <c r="M9" s="1458">
        <v>-11722960000</v>
      </c>
    </row>
    <row r="10" spans="1:26" x14ac:dyDescent="0.2">
      <c r="A10" s="1493" t="s">
        <v>497</v>
      </c>
      <c r="B10" s="21" t="s">
        <v>79</v>
      </c>
      <c r="C10" s="21" t="s">
        <v>15</v>
      </c>
      <c r="D10" s="21" t="s">
        <v>33</v>
      </c>
      <c r="E10" s="21" t="s">
        <v>21</v>
      </c>
      <c r="F10" s="21" t="s">
        <v>64</v>
      </c>
      <c r="G10" s="21" t="s">
        <v>32</v>
      </c>
      <c r="H10" s="21" t="s">
        <v>265</v>
      </c>
      <c r="I10" s="21" t="s">
        <v>23</v>
      </c>
      <c r="J10" s="21" t="s">
        <v>59</v>
      </c>
      <c r="K10" s="21" t="s">
        <v>24</v>
      </c>
      <c r="L10" s="21" t="s">
        <v>65</v>
      </c>
      <c r="M10" s="21" t="s">
        <v>34</v>
      </c>
    </row>
    <row r="11" spans="1:26" x14ac:dyDescent="0.2">
      <c r="A11" s="1493" t="s">
        <v>497</v>
      </c>
      <c r="B11" s="1441">
        <v>-80236095000</v>
      </c>
      <c r="C11" s="4">
        <v>-80109102000</v>
      </c>
      <c r="D11" s="1442">
        <v>-75743999000</v>
      </c>
      <c r="E11" s="4">
        <v>-72038390000</v>
      </c>
      <c r="F11" s="1443">
        <v>-52085400000</v>
      </c>
      <c r="G11" s="4">
        <v>-51721077000</v>
      </c>
      <c r="H11" s="1444">
        <v>-49320000000</v>
      </c>
      <c r="I11" s="4">
        <v>-43247980000</v>
      </c>
      <c r="J11" s="4">
        <v>-42361865000</v>
      </c>
      <c r="K11" s="4">
        <v>-31132545000</v>
      </c>
      <c r="L11" s="1445">
        <v>-27440200000</v>
      </c>
      <c r="M11" s="4">
        <v>-21645080000</v>
      </c>
    </row>
    <row r="12" spans="1:26" x14ac:dyDescent="0.2">
      <c r="A12" s="1493" t="s">
        <v>494</v>
      </c>
      <c r="B12" s="21" t="s">
        <v>269</v>
      </c>
      <c r="C12" s="21" t="s">
        <v>33</v>
      </c>
      <c r="D12" s="21" t="s">
        <v>23</v>
      </c>
      <c r="E12" s="21" t="s">
        <v>32</v>
      </c>
      <c r="F12" s="21" t="s">
        <v>9</v>
      </c>
      <c r="G12" s="21" t="s">
        <v>286</v>
      </c>
      <c r="H12" s="21" t="s">
        <v>14</v>
      </c>
      <c r="I12" s="21" t="s">
        <v>212</v>
      </c>
      <c r="J12" s="21" t="s">
        <v>77</v>
      </c>
      <c r="K12" s="21" t="s">
        <v>163</v>
      </c>
      <c r="L12" s="21" t="s">
        <v>13</v>
      </c>
      <c r="M12" s="21" t="s">
        <v>5</v>
      </c>
      <c r="N12" s="1493" t="s">
        <v>495</v>
      </c>
      <c r="O12" s="21" t="s">
        <v>269</v>
      </c>
      <c r="P12" s="21" t="s">
        <v>14</v>
      </c>
      <c r="Q12" s="21" t="s">
        <v>468</v>
      </c>
      <c r="R12" s="21" t="s">
        <v>17</v>
      </c>
      <c r="S12" s="21" t="s">
        <v>33</v>
      </c>
      <c r="T12" s="21" t="s">
        <v>23</v>
      </c>
      <c r="U12" s="21" t="s">
        <v>415</v>
      </c>
      <c r="V12" s="21" t="s">
        <v>9</v>
      </c>
      <c r="W12" s="21" t="s">
        <v>286</v>
      </c>
      <c r="X12" s="21" t="s">
        <v>5</v>
      </c>
      <c r="Y12" s="21" t="s">
        <v>282</v>
      </c>
      <c r="Z12" s="21" t="s">
        <v>212</v>
      </c>
    </row>
    <row r="13" spans="1:26" x14ac:dyDescent="0.2">
      <c r="A13" s="1493" t="s">
        <v>494</v>
      </c>
      <c r="B13" s="1429">
        <v>-87396905000</v>
      </c>
      <c r="C13" s="4">
        <v>-31562280000</v>
      </c>
      <c r="D13" s="4">
        <v>-14406290000</v>
      </c>
      <c r="E13" s="4">
        <v>-14141168000</v>
      </c>
      <c r="F13" s="1430">
        <v>-12874065000</v>
      </c>
      <c r="G13" s="1431">
        <v>-9944400000</v>
      </c>
      <c r="H13" s="4">
        <v>-9152616000</v>
      </c>
      <c r="I13" s="4">
        <v>-8043380000</v>
      </c>
      <c r="J13" s="4">
        <v>-7798356000</v>
      </c>
      <c r="K13" s="4">
        <v>-7235300000</v>
      </c>
      <c r="L13" s="4">
        <v>-6553370000</v>
      </c>
      <c r="M13" s="4">
        <v>-4252175000</v>
      </c>
      <c r="N13" s="1493" t="s">
        <v>495</v>
      </c>
      <c r="O13" s="4">
        <v>-87341474000</v>
      </c>
      <c r="P13" s="4">
        <v>-44217785000</v>
      </c>
      <c r="Q13" s="4">
        <v>-34308350000</v>
      </c>
      <c r="R13" s="4">
        <v>-31958560000</v>
      </c>
      <c r="S13" s="4">
        <v>-21778728000</v>
      </c>
      <c r="T13" s="4">
        <v>-17602440000</v>
      </c>
      <c r="U13" s="4">
        <v>-15920170000</v>
      </c>
      <c r="V13" s="4">
        <v>-11564525000</v>
      </c>
      <c r="W13" s="4">
        <v>-9881015000</v>
      </c>
      <c r="X13" s="4">
        <v>-9037465000</v>
      </c>
      <c r="Y13" s="4">
        <v>-8255690000</v>
      </c>
      <c r="Z13" s="4">
        <v>-5619330000</v>
      </c>
    </row>
    <row r="14" spans="1:26" x14ac:dyDescent="0.2">
      <c r="A14" s="1493" t="s">
        <v>492</v>
      </c>
      <c r="B14" s="21" t="s">
        <v>57</v>
      </c>
      <c r="C14" s="21" t="s">
        <v>30</v>
      </c>
    </row>
    <row r="15" spans="1:26" x14ac:dyDescent="0.2">
      <c r="A15" s="1493" t="s">
        <v>492</v>
      </c>
      <c r="B15" s="4">
        <v>-3391000000</v>
      </c>
      <c r="C15" s="4">
        <v>-2227750000</v>
      </c>
    </row>
    <row r="16" spans="1:26" x14ac:dyDescent="0.2">
      <c r="A16" s="1493" t="s">
        <v>491</v>
      </c>
      <c r="B16" s="21" t="s">
        <v>21</v>
      </c>
      <c r="C16" s="21" t="s">
        <v>33</v>
      </c>
      <c r="D16" s="21" t="s">
        <v>14</v>
      </c>
      <c r="E16" s="21" t="s">
        <v>17</v>
      </c>
      <c r="F16" s="21" t="s">
        <v>468</v>
      </c>
      <c r="G16" s="21" t="s">
        <v>32</v>
      </c>
      <c r="H16" s="21" t="s">
        <v>35</v>
      </c>
      <c r="I16" s="21" t="s">
        <v>79</v>
      </c>
      <c r="J16" s="21" t="s">
        <v>23</v>
      </c>
      <c r="K16" s="21" t="s">
        <v>59</v>
      </c>
      <c r="L16" s="21" t="s">
        <v>24</v>
      </c>
      <c r="M16" s="21" t="s">
        <v>74</v>
      </c>
    </row>
    <row r="17" spans="1:26" x14ac:dyDescent="0.2">
      <c r="A17" s="1493" t="s">
        <v>491</v>
      </c>
      <c r="B17" s="1405">
        <v>-99128340000</v>
      </c>
      <c r="C17" s="4">
        <v>-46356910000</v>
      </c>
      <c r="D17" s="4">
        <v>-39263760000</v>
      </c>
      <c r="E17" s="4">
        <v>-34740160000</v>
      </c>
      <c r="F17" s="1406">
        <v>-31721380000</v>
      </c>
      <c r="G17" s="4">
        <v>-21026525000</v>
      </c>
      <c r="H17" s="4">
        <v>-17782795000</v>
      </c>
      <c r="I17" s="4">
        <v>-17069855000</v>
      </c>
      <c r="J17" s="4">
        <v>-16530920000</v>
      </c>
      <c r="K17" s="4">
        <v>-13455460000</v>
      </c>
      <c r="L17" s="4">
        <v>-11457690000</v>
      </c>
      <c r="M17" s="1407">
        <v>-10390000000</v>
      </c>
    </row>
    <row r="18" spans="1:26" x14ac:dyDescent="0.2">
      <c r="A18" s="1493" t="s">
        <v>485</v>
      </c>
      <c r="B18" s="21" t="s">
        <v>14</v>
      </c>
      <c r="C18" s="21" t="s">
        <v>13</v>
      </c>
      <c r="D18" s="21" t="s">
        <v>64</v>
      </c>
      <c r="E18" s="21" t="s">
        <v>33</v>
      </c>
      <c r="F18" s="21" t="s">
        <v>15</v>
      </c>
      <c r="G18" s="21" t="s">
        <v>17</v>
      </c>
      <c r="H18" s="21" t="s">
        <v>5</v>
      </c>
      <c r="I18" s="21" t="s">
        <v>415</v>
      </c>
      <c r="J18" s="21" t="s">
        <v>24</v>
      </c>
      <c r="K18" s="21" t="s">
        <v>34</v>
      </c>
      <c r="L18" s="21" t="s">
        <v>282</v>
      </c>
      <c r="M18" s="21" t="s">
        <v>79</v>
      </c>
    </row>
    <row r="19" spans="1:26" x14ac:dyDescent="0.2">
      <c r="A19" s="1493" t="s">
        <v>485</v>
      </c>
      <c r="B19" s="4">
        <v>-28059140000</v>
      </c>
      <c r="C19" s="4">
        <v>-7181280000</v>
      </c>
      <c r="D19" s="4">
        <v>-6792120000</v>
      </c>
      <c r="E19" s="4">
        <v>-6477600000</v>
      </c>
      <c r="F19" s="4">
        <v>-6401049000</v>
      </c>
      <c r="G19" s="4">
        <v>-5595550000</v>
      </c>
      <c r="H19" s="4">
        <v>-5293655000</v>
      </c>
      <c r="I19" s="4">
        <v>-4432400000</v>
      </c>
      <c r="J19" s="4">
        <v>-4389085000</v>
      </c>
      <c r="K19" s="4">
        <v>-3517720000</v>
      </c>
      <c r="L19" s="1404">
        <v>-3302710000</v>
      </c>
      <c r="M19" s="4">
        <v>-3184500000</v>
      </c>
    </row>
    <row r="20" spans="1:26" x14ac:dyDescent="0.2">
      <c r="A20" s="1493" t="s">
        <v>483</v>
      </c>
      <c r="B20" s="21" t="s">
        <v>15</v>
      </c>
      <c r="C20" s="21" t="s">
        <v>33</v>
      </c>
      <c r="D20" s="21" t="s">
        <v>17</v>
      </c>
      <c r="E20" s="21" t="s">
        <v>79</v>
      </c>
      <c r="F20" s="21" t="s">
        <v>14</v>
      </c>
      <c r="G20" s="21" t="s">
        <v>23</v>
      </c>
      <c r="H20" s="21" t="s">
        <v>13</v>
      </c>
      <c r="I20" s="21" t="s">
        <v>64</v>
      </c>
      <c r="J20" s="21" t="s">
        <v>415</v>
      </c>
      <c r="K20" s="21" t="s">
        <v>282</v>
      </c>
      <c r="L20" s="21" t="s">
        <v>12</v>
      </c>
      <c r="M20" s="21" t="s">
        <v>24</v>
      </c>
    </row>
    <row r="21" spans="1:26" x14ac:dyDescent="0.2">
      <c r="A21" s="1493" t="s">
        <v>483</v>
      </c>
      <c r="B21" s="4">
        <v>-23946659000</v>
      </c>
      <c r="C21" s="4">
        <v>-23344160000</v>
      </c>
      <c r="D21" s="4">
        <v>-22720440000</v>
      </c>
      <c r="E21" s="4">
        <v>-21110586000</v>
      </c>
      <c r="F21" s="4">
        <v>-14396574000</v>
      </c>
      <c r="G21" s="4">
        <v>-10203150000</v>
      </c>
      <c r="H21" s="4">
        <v>-7223280000</v>
      </c>
      <c r="I21" s="4">
        <v>-6643200000</v>
      </c>
      <c r="J21" s="4">
        <v>-5618840000</v>
      </c>
      <c r="K21" s="1403">
        <v>-4952980000</v>
      </c>
      <c r="L21" s="4">
        <v>-4568253000</v>
      </c>
      <c r="M21" s="4">
        <v>-4052335000</v>
      </c>
    </row>
    <row r="22" spans="1:26" x14ac:dyDescent="0.2">
      <c r="A22" s="1493" t="s">
        <v>477</v>
      </c>
      <c r="B22" s="21" t="s">
        <v>33</v>
      </c>
      <c r="C22" s="21" t="s">
        <v>79</v>
      </c>
      <c r="D22" s="21" t="s">
        <v>32</v>
      </c>
      <c r="E22" s="21" t="s">
        <v>13</v>
      </c>
      <c r="F22" s="21" t="s">
        <v>15</v>
      </c>
      <c r="G22" s="21" t="s">
        <v>36</v>
      </c>
      <c r="H22" s="21" t="s">
        <v>59</v>
      </c>
      <c r="I22" s="21" t="s">
        <v>35</v>
      </c>
      <c r="J22" s="21" t="s">
        <v>5</v>
      </c>
      <c r="K22" s="21" t="s">
        <v>12</v>
      </c>
      <c r="L22" s="21" t="s">
        <v>77</v>
      </c>
      <c r="M22" s="21" t="s">
        <v>24</v>
      </c>
      <c r="N22" s="1493" t="s">
        <v>478</v>
      </c>
      <c r="O22" s="21" t="s">
        <v>282</v>
      </c>
      <c r="P22" s="21" t="s">
        <v>30</v>
      </c>
      <c r="Q22" s="21" t="s">
        <v>27</v>
      </c>
      <c r="R22" s="21" t="s">
        <v>38</v>
      </c>
      <c r="S22" s="21" t="s">
        <v>29</v>
      </c>
      <c r="T22" s="21" t="s">
        <v>69</v>
      </c>
      <c r="U22" s="21" t="s">
        <v>26</v>
      </c>
      <c r="V22" s="21" t="s">
        <v>19</v>
      </c>
      <c r="W22" s="21" t="s">
        <v>190</v>
      </c>
      <c r="X22" s="21" t="s">
        <v>36</v>
      </c>
      <c r="Y22" s="21" t="s">
        <v>187</v>
      </c>
      <c r="Z22" s="21" t="s">
        <v>294</v>
      </c>
    </row>
    <row r="23" spans="1:26" x14ac:dyDescent="0.2">
      <c r="A23" s="1493" t="s">
        <v>477</v>
      </c>
      <c r="B23" s="4">
        <v>-46502110000</v>
      </c>
      <c r="C23" s="4">
        <v>-31458380000</v>
      </c>
      <c r="D23" s="4">
        <v>-28932385000</v>
      </c>
      <c r="E23" s="4">
        <v>-20409585000</v>
      </c>
      <c r="F23" s="4">
        <v>-19848770000</v>
      </c>
      <c r="G23" s="4">
        <v>-13634460000</v>
      </c>
      <c r="H23" s="4">
        <v>-11317700000</v>
      </c>
      <c r="I23" s="4">
        <v>-11114125000</v>
      </c>
      <c r="J23" s="4">
        <v>-10469625000</v>
      </c>
      <c r="K23" s="4">
        <v>-10031370000</v>
      </c>
      <c r="L23" s="4">
        <v>-9078549000</v>
      </c>
      <c r="M23" s="4">
        <v>-8603195000</v>
      </c>
      <c r="N23" s="1493" t="s">
        <v>478</v>
      </c>
      <c r="O23" s="4">
        <v>-15690700000</v>
      </c>
      <c r="P23" s="4">
        <v>-12844690000</v>
      </c>
      <c r="Q23" s="4">
        <v>-8660240000</v>
      </c>
      <c r="R23" s="4">
        <v>-6176639000</v>
      </c>
      <c r="S23" s="4">
        <v>-4692000000</v>
      </c>
      <c r="T23" s="4">
        <v>-4257675000</v>
      </c>
      <c r="U23" s="4">
        <v>-4180605000</v>
      </c>
      <c r="V23" s="4">
        <v>-3444185000</v>
      </c>
      <c r="W23" s="4">
        <v>-2675005000</v>
      </c>
      <c r="X23" s="4">
        <v>-2265070000</v>
      </c>
      <c r="Y23" s="4">
        <v>-2088885000</v>
      </c>
      <c r="Z23" s="4">
        <v>-1872360000</v>
      </c>
    </row>
    <row r="24" spans="1:26" x14ac:dyDescent="0.2">
      <c r="A24" s="1493" t="s">
        <v>473</v>
      </c>
      <c r="B24" s="21" t="s">
        <v>14</v>
      </c>
      <c r="C24" s="21" t="s">
        <v>17</v>
      </c>
      <c r="D24" s="21" t="s">
        <v>24</v>
      </c>
      <c r="E24" s="21" t="s">
        <v>282</v>
      </c>
      <c r="F24" s="21" t="s">
        <v>13</v>
      </c>
      <c r="G24" s="21" t="s">
        <v>33</v>
      </c>
      <c r="H24" s="21" t="s">
        <v>34</v>
      </c>
      <c r="I24" s="21" t="s">
        <v>176</v>
      </c>
      <c r="J24" s="21" t="s">
        <v>23</v>
      </c>
      <c r="K24" s="21" t="s">
        <v>21</v>
      </c>
      <c r="L24" s="21" t="s">
        <v>58</v>
      </c>
      <c r="M24" s="21" t="s">
        <v>59</v>
      </c>
    </row>
    <row r="25" spans="1:26" x14ac:dyDescent="0.2">
      <c r="A25" s="1493" t="s">
        <v>473</v>
      </c>
      <c r="B25" s="4">
        <v>-28727210000</v>
      </c>
      <c r="C25" s="4">
        <v>-15614320000</v>
      </c>
      <c r="D25" s="4">
        <v>-15093375000</v>
      </c>
      <c r="E25" s="1402">
        <v>-14966640000</v>
      </c>
      <c r="F25" s="4">
        <v>-12117825000</v>
      </c>
      <c r="G25" s="4">
        <v>-10867887000</v>
      </c>
      <c r="H25" s="4">
        <v>-8863709000</v>
      </c>
      <c r="I25" s="4">
        <v>-7250180000</v>
      </c>
      <c r="J25" s="4">
        <v>-4822070000</v>
      </c>
      <c r="K25" s="4">
        <v>-4770830000</v>
      </c>
      <c r="L25" s="4">
        <v>-3513365000</v>
      </c>
      <c r="M25" s="4">
        <v>-3397680000</v>
      </c>
    </row>
    <row r="26" spans="1:26" x14ac:dyDescent="0.2">
      <c r="A26" s="1493" t="s">
        <v>472</v>
      </c>
      <c r="B26" s="21" t="s">
        <v>30</v>
      </c>
      <c r="C26" s="21" t="s">
        <v>36</v>
      </c>
      <c r="D26" s="21" t="s">
        <v>29</v>
      </c>
      <c r="E26" s="21" t="s">
        <v>38</v>
      </c>
      <c r="F26" s="21" t="s">
        <v>176</v>
      </c>
      <c r="G26" s="21" t="s">
        <v>27</v>
      </c>
      <c r="H26" s="21" t="s">
        <v>282</v>
      </c>
      <c r="I26" s="21" t="s">
        <v>57</v>
      </c>
    </row>
    <row r="27" spans="1:26" x14ac:dyDescent="0.2">
      <c r="A27" s="1493" t="s">
        <v>472</v>
      </c>
      <c r="B27" s="4">
        <v>-9924990000</v>
      </c>
      <c r="C27" s="4">
        <v>-8168120000</v>
      </c>
      <c r="D27" s="4">
        <v>-7284000000</v>
      </c>
      <c r="E27" s="4">
        <v>-5882400000</v>
      </c>
      <c r="F27" s="4">
        <v>-3875430000</v>
      </c>
      <c r="G27" s="4">
        <v>-2925705000</v>
      </c>
      <c r="H27" s="4">
        <v>-1079360000</v>
      </c>
      <c r="I27" s="4">
        <v>-712420000</v>
      </c>
    </row>
    <row r="28" spans="1:26" x14ac:dyDescent="0.2">
      <c r="A28" s="1493" t="s">
        <v>428</v>
      </c>
      <c r="B28" s="21" t="s">
        <v>27</v>
      </c>
      <c r="C28" s="21" t="s">
        <v>190</v>
      </c>
      <c r="D28" s="21" t="s">
        <v>69</v>
      </c>
      <c r="E28" s="21" t="s">
        <v>26</v>
      </c>
      <c r="F28" s="21" t="s">
        <v>30</v>
      </c>
      <c r="G28" s="21" t="s">
        <v>19</v>
      </c>
      <c r="H28" s="21" t="s">
        <v>61</v>
      </c>
      <c r="I28" s="21" t="s">
        <v>86</v>
      </c>
      <c r="J28" s="21" t="s">
        <v>67</v>
      </c>
      <c r="K28" s="21" t="s">
        <v>9</v>
      </c>
      <c r="L28" s="21" t="s">
        <v>42</v>
      </c>
      <c r="M28" s="21" t="s">
        <v>11</v>
      </c>
    </row>
    <row r="29" spans="1:26" x14ac:dyDescent="0.2">
      <c r="A29" s="1493" t="s">
        <v>428</v>
      </c>
      <c r="B29" s="1395">
        <v>-8141760000</v>
      </c>
      <c r="C29" s="1396">
        <v>-5352485000</v>
      </c>
      <c r="D29" s="4">
        <v>-4385860000</v>
      </c>
      <c r="E29" s="1397">
        <v>-4257765000</v>
      </c>
      <c r="F29" s="4">
        <v>-3425990000</v>
      </c>
      <c r="G29" s="4">
        <v>-2999300000</v>
      </c>
      <c r="H29" s="4">
        <v>-2527045000</v>
      </c>
      <c r="I29" s="4">
        <v>-1578065000</v>
      </c>
      <c r="J29" s="4">
        <v>-1150110000</v>
      </c>
      <c r="K29" s="4">
        <v>-999890000</v>
      </c>
      <c r="L29" s="4">
        <v>-993065000</v>
      </c>
      <c r="M29" s="4">
        <v>-957105000</v>
      </c>
    </row>
    <row r="30" spans="1:26" x14ac:dyDescent="0.2">
      <c r="A30" s="1493" t="s">
        <v>427</v>
      </c>
      <c r="B30" s="21" t="s">
        <v>294</v>
      </c>
      <c r="C30" s="21" t="s">
        <v>187</v>
      </c>
      <c r="D30" s="21" t="s">
        <v>359</v>
      </c>
      <c r="E30" s="21" t="s">
        <v>415</v>
      </c>
      <c r="F30" s="21" t="s">
        <v>192</v>
      </c>
      <c r="G30" s="21" t="s">
        <v>76</v>
      </c>
      <c r="H30" s="21" t="s">
        <v>163</v>
      </c>
      <c r="I30" s="21" t="s">
        <v>89</v>
      </c>
      <c r="J30" s="21" t="s">
        <v>269</v>
      </c>
      <c r="K30" s="21" t="s">
        <v>262</v>
      </c>
      <c r="L30" s="21" t="s">
        <v>61</v>
      </c>
      <c r="M30" s="21" t="s">
        <v>490</v>
      </c>
    </row>
    <row r="31" spans="1:26" x14ac:dyDescent="0.2">
      <c r="A31" s="1493" t="s">
        <v>427</v>
      </c>
      <c r="B31" s="1391">
        <v>-1872360000</v>
      </c>
      <c r="C31" s="4">
        <v>-1313727000</v>
      </c>
      <c r="D31" s="1392">
        <v>-1277120000</v>
      </c>
      <c r="E31" s="4">
        <v>-1100100000</v>
      </c>
      <c r="F31" s="4">
        <v>-1003630000</v>
      </c>
      <c r="G31" s="4">
        <v>-971005000</v>
      </c>
      <c r="H31" s="4">
        <v>-840470000</v>
      </c>
      <c r="I31" s="4">
        <v>-838100000</v>
      </c>
      <c r="J31" s="1393">
        <v>-563554000</v>
      </c>
      <c r="K31" s="4">
        <v>-264000000</v>
      </c>
      <c r="L31" s="4">
        <v>-215540000</v>
      </c>
      <c r="M31" s="4">
        <v>-195800000</v>
      </c>
    </row>
    <row r="32" spans="1:26" x14ac:dyDescent="0.2">
      <c r="A32" s="1493" t="s">
        <v>425</v>
      </c>
      <c r="B32" s="21" t="s">
        <v>77</v>
      </c>
      <c r="C32" s="21" t="s">
        <v>23</v>
      </c>
      <c r="D32" s="21" t="s">
        <v>35</v>
      </c>
      <c r="E32" s="21" t="s">
        <v>17</v>
      </c>
      <c r="F32" s="21" t="s">
        <v>489</v>
      </c>
      <c r="G32" s="21" t="s">
        <v>11</v>
      </c>
      <c r="H32" s="21" t="s">
        <v>5</v>
      </c>
      <c r="I32" s="21" t="s">
        <v>163</v>
      </c>
      <c r="J32" s="21" t="s">
        <v>13</v>
      </c>
      <c r="K32" s="21" t="s">
        <v>89</v>
      </c>
      <c r="L32" s="21" t="s">
        <v>348</v>
      </c>
      <c r="M32" s="21" t="s">
        <v>29</v>
      </c>
      <c r="N32" s="1493" t="s">
        <v>426</v>
      </c>
      <c r="O32" s="21" t="s">
        <v>23</v>
      </c>
      <c r="P32" s="21" t="s">
        <v>35</v>
      </c>
      <c r="Q32" s="21" t="s">
        <v>59</v>
      </c>
      <c r="R32" s="21" t="s">
        <v>13</v>
      </c>
      <c r="S32" s="21" t="s">
        <v>32</v>
      </c>
      <c r="T32" s="21" t="s">
        <v>15</v>
      </c>
      <c r="U32" s="21" t="s">
        <v>176</v>
      </c>
      <c r="V32" s="21" t="s">
        <v>17</v>
      </c>
      <c r="W32" s="21" t="s">
        <v>71</v>
      </c>
      <c r="X32" s="21" t="s">
        <v>5</v>
      </c>
      <c r="Y32" s="21" t="s">
        <v>64</v>
      </c>
      <c r="Z32" s="21" t="s">
        <v>79</v>
      </c>
    </row>
    <row r="33" spans="1:26" x14ac:dyDescent="0.2">
      <c r="A33" s="1493" t="s">
        <v>425</v>
      </c>
      <c r="B33" s="1389">
        <v>-88081648000</v>
      </c>
      <c r="C33" s="4">
        <v>-39372486000</v>
      </c>
      <c r="D33" s="4">
        <v>-34565458000</v>
      </c>
      <c r="E33" s="4">
        <v>-27398804000</v>
      </c>
      <c r="F33" s="4">
        <v>-4712400000</v>
      </c>
      <c r="G33" s="4">
        <v>-4504800000</v>
      </c>
      <c r="H33" s="4">
        <v>-3804633000</v>
      </c>
      <c r="I33" s="4">
        <v>-3466446000</v>
      </c>
      <c r="J33" s="4">
        <v>-2822540000</v>
      </c>
      <c r="K33" s="4">
        <v>-2702200000</v>
      </c>
      <c r="L33" s="4">
        <v>-2231815000</v>
      </c>
      <c r="M33" s="4">
        <v>-2131437000</v>
      </c>
      <c r="N33" s="1493" t="s">
        <v>426</v>
      </c>
      <c r="O33" s="4">
        <v>-161378368000</v>
      </c>
      <c r="P33" s="4">
        <v>-149061990000</v>
      </c>
      <c r="Q33" s="4">
        <v>-128651899000</v>
      </c>
      <c r="R33" s="4">
        <v>-71528975000</v>
      </c>
      <c r="S33" s="4">
        <v>-62673083000</v>
      </c>
      <c r="T33" s="4">
        <v>-42050007000</v>
      </c>
      <c r="U33" s="4">
        <v>-24025500000</v>
      </c>
      <c r="V33" s="4">
        <v>-21608065000</v>
      </c>
      <c r="W33" s="4">
        <v>-19313005000</v>
      </c>
      <c r="X33" s="4">
        <v>-19099725000</v>
      </c>
      <c r="Y33" s="4">
        <v>-18148800000</v>
      </c>
      <c r="Z33" s="4">
        <v>-13987275000</v>
      </c>
    </row>
    <row r="34" spans="1:26" x14ac:dyDescent="0.2">
      <c r="A34" s="1493" t="s">
        <v>424</v>
      </c>
      <c r="B34" s="21" t="s">
        <v>59</v>
      </c>
      <c r="C34" s="21" t="s">
        <v>13</v>
      </c>
      <c r="D34" s="21" t="s">
        <v>296</v>
      </c>
      <c r="E34" s="21" t="s">
        <v>282</v>
      </c>
      <c r="F34" s="21" t="s">
        <v>166</v>
      </c>
      <c r="G34" s="21" t="s">
        <v>23</v>
      </c>
      <c r="H34" s="21" t="s">
        <v>17</v>
      </c>
      <c r="I34" s="21" t="s">
        <v>35</v>
      </c>
      <c r="J34" s="21" t="s">
        <v>32</v>
      </c>
      <c r="K34" s="21" t="s">
        <v>176</v>
      </c>
      <c r="L34" s="21" t="s">
        <v>77</v>
      </c>
      <c r="M34" s="21" t="s">
        <v>69</v>
      </c>
    </row>
    <row r="35" spans="1:26" x14ac:dyDescent="0.2">
      <c r="A35" s="1493" t="s">
        <v>424</v>
      </c>
      <c r="B35" s="1383">
        <v>-527729318000</v>
      </c>
      <c r="C35" s="1384">
        <v>-332727290000</v>
      </c>
      <c r="D35" s="1385">
        <v>-170546878000</v>
      </c>
      <c r="E35" s="1386">
        <v>-169759967700</v>
      </c>
      <c r="F35" s="1387">
        <v>-110336615000</v>
      </c>
      <c r="G35" s="4">
        <v>-96775350000</v>
      </c>
      <c r="H35" s="4">
        <v>-43119646000</v>
      </c>
      <c r="I35" s="4">
        <v>-34774590000</v>
      </c>
      <c r="J35" s="4">
        <v>-23978393000</v>
      </c>
      <c r="K35" s="4">
        <v>-21245290000</v>
      </c>
      <c r="L35" s="1388">
        <v>-19071390000</v>
      </c>
      <c r="M35" s="4">
        <v>-11477740000</v>
      </c>
    </row>
    <row r="36" spans="1:26" x14ac:dyDescent="0.2">
      <c r="A36" s="1493" t="s">
        <v>423</v>
      </c>
      <c r="B36" s="21" t="s">
        <v>14</v>
      </c>
      <c r="C36" s="21" t="s">
        <v>35</v>
      </c>
      <c r="D36" s="21" t="s">
        <v>13</v>
      </c>
      <c r="E36" s="21" t="s">
        <v>59</v>
      </c>
      <c r="F36" s="21" t="s">
        <v>15</v>
      </c>
      <c r="G36" s="21" t="s">
        <v>32</v>
      </c>
      <c r="H36" s="21" t="s">
        <v>5</v>
      </c>
      <c r="I36" s="21" t="s">
        <v>79</v>
      </c>
      <c r="J36" s="21" t="s">
        <v>18</v>
      </c>
      <c r="K36" s="21" t="s">
        <v>64</v>
      </c>
      <c r="L36" s="21" t="s">
        <v>34</v>
      </c>
      <c r="M36" s="21" t="s">
        <v>212</v>
      </c>
    </row>
    <row r="37" spans="1:26" x14ac:dyDescent="0.2">
      <c r="A37" s="1493" t="s">
        <v>423</v>
      </c>
      <c r="B37" s="4">
        <v>-58615287000</v>
      </c>
      <c r="C37" s="4">
        <v>-58187132000</v>
      </c>
      <c r="D37" s="4">
        <v>-41062360000</v>
      </c>
      <c r="E37" s="1377">
        <v>-39784120000</v>
      </c>
      <c r="F37" s="4">
        <v>-26257741000</v>
      </c>
      <c r="G37" s="4">
        <v>-14637377000</v>
      </c>
      <c r="H37" s="4">
        <v>-13485557000</v>
      </c>
      <c r="I37" s="4">
        <v>-11835865000</v>
      </c>
      <c r="J37" s="4">
        <v>-9265425000</v>
      </c>
      <c r="K37" s="4">
        <v>-7730485000</v>
      </c>
      <c r="L37" s="4">
        <v>-6351540000</v>
      </c>
      <c r="M37" s="4">
        <v>-5015800000</v>
      </c>
    </row>
    <row r="38" spans="1:26" x14ac:dyDescent="0.2">
      <c r="A38" s="1493" t="s">
        <v>422</v>
      </c>
      <c r="B38" s="21" t="s">
        <v>35</v>
      </c>
      <c r="C38" s="21" t="s">
        <v>23</v>
      </c>
      <c r="D38" s="21" t="s">
        <v>32</v>
      </c>
      <c r="E38" s="21" t="s">
        <v>71</v>
      </c>
      <c r="F38" s="21" t="s">
        <v>14</v>
      </c>
      <c r="G38" s="21" t="s">
        <v>36</v>
      </c>
      <c r="H38" s="21" t="s">
        <v>34</v>
      </c>
      <c r="I38" s="21" t="s">
        <v>30</v>
      </c>
      <c r="J38" s="21" t="s">
        <v>33</v>
      </c>
      <c r="K38" s="21" t="s">
        <v>13</v>
      </c>
      <c r="L38" s="21" t="s">
        <v>21</v>
      </c>
      <c r="M38" s="21" t="s">
        <v>176</v>
      </c>
    </row>
    <row r="39" spans="1:26" x14ac:dyDescent="0.2">
      <c r="A39" s="1493" t="s">
        <v>422</v>
      </c>
      <c r="B39" s="4">
        <v>-29971365000</v>
      </c>
      <c r="C39" s="4">
        <v>-26831362000</v>
      </c>
      <c r="D39" s="4">
        <v>-12152940000</v>
      </c>
      <c r="E39" s="4">
        <v>-8410545000</v>
      </c>
      <c r="F39" s="4">
        <v>-6884024000</v>
      </c>
      <c r="G39" s="4">
        <v>-6881390000</v>
      </c>
      <c r="H39" s="4">
        <v>-5941290000</v>
      </c>
      <c r="I39" s="4">
        <v>-5426551000</v>
      </c>
      <c r="J39" s="4">
        <v>-4187980000</v>
      </c>
      <c r="K39" s="4">
        <v>-3648985000</v>
      </c>
      <c r="L39" s="4">
        <v>-3149730000</v>
      </c>
      <c r="M39" s="4">
        <v>-2979270000</v>
      </c>
    </row>
    <row r="40" spans="1:26" x14ac:dyDescent="0.2">
      <c r="A40" s="1493" t="s">
        <v>420</v>
      </c>
      <c r="B40" s="21" t="s">
        <v>14</v>
      </c>
      <c r="C40" s="21" t="s">
        <v>23</v>
      </c>
      <c r="D40" s="21" t="s">
        <v>33</v>
      </c>
      <c r="E40" s="21" t="s">
        <v>15</v>
      </c>
      <c r="F40" s="21" t="s">
        <v>32</v>
      </c>
      <c r="G40" s="21" t="s">
        <v>79</v>
      </c>
      <c r="H40" s="21" t="s">
        <v>12</v>
      </c>
      <c r="I40" s="21" t="s">
        <v>71</v>
      </c>
      <c r="J40" s="21" t="s">
        <v>64</v>
      </c>
      <c r="K40" s="21" t="s">
        <v>61</v>
      </c>
      <c r="L40" s="21" t="s">
        <v>24</v>
      </c>
      <c r="M40" s="21" t="s">
        <v>8</v>
      </c>
    </row>
    <row r="41" spans="1:26" x14ac:dyDescent="0.2">
      <c r="A41" s="1493" t="s">
        <v>420</v>
      </c>
      <c r="B41" s="4">
        <v>-49181709000</v>
      </c>
      <c r="C41" s="4">
        <v>-27840294000</v>
      </c>
      <c r="D41" s="4">
        <v>-18848190000</v>
      </c>
      <c r="E41" s="4">
        <v>-16496335000</v>
      </c>
      <c r="F41" s="4">
        <v>-14277130000</v>
      </c>
      <c r="G41" s="4">
        <v>-13605780000</v>
      </c>
      <c r="H41" s="4">
        <v>-12147450000</v>
      </c>
      <c r="I41" s="4">
        <v>-10200260000</v>
      </c>
      <c r="J41" s="4">
        <v>-7330310000</v>
      </c>
      <c r="K41" s="4">
        <v>-6024525000</v>
      </c>
      <c r="L41" s="4">
        <v>-5707345000</v>
      </c>
      <c r="M41" s="1374">
        <v>-5535320000</v>
      </c>
    </row>
    <row r="42" spans="1:26" x14ac:dyDescent="0.2">
      <c r="A42" s="1493" t="s">
        <v>418</v>
      </c>
      <c r="B42" s="21" t="s">
        <v>24</v>
      </c>
      <c r="C42" s="21" t="s">
        <v>21</v>
      </c>
      <c r="D42" s="21" t="s">
        <v>29</v>
      </c>
      <c r="E42" s="21" t="s">
        <v>15</v>
      </c>
      <c r="F42" s="21" t="s">
        <v>19</v>
      </c>
      <c r="G42" s="21" t="s">
        <v>30</v>
      </c>
      <c r="H42" s="21" t="s">
        <v>163</v>
      </c>
      <c r="I42" s="21" t="s">
        <v>38</v>
      </c>
      <c r="J42" s="21" t="s">
        <v>18</v>
      </c>
      <c r="K42" s="21" t="s">
        <v>14</v>
      </c>
      <c r="L42" s="21" t="s">
        <v>202</v>
      </c>
      <c r="M42" s="21" t="s">
        <v>198</v>
      </c>
      <c r="N42" s="1493" t="s">
        <v>419</v>
      </c>
      <c r="O42" s="21" t="s">
        <v>71</v>
      </c>
      <c r="P42" s="21" t="s">
        <v>24</v>
      </c>
      <c r="Q42" s="21" t="s">
        <v>30</v>
      </c>
      <c r="R42" s="21" t="s">
        <v>19</v>
      </c>
      <c r="S42" s="21" t="s">
        <v>67</v>
      </c>
      <c r="T42" s="21" t="s">
        <v>29</v>
      </c>
      <c r="U42" s="21" t="s">
        <v>36</v>
      </c>
      <c r="V42" s="21" t="s">
        <v>57</v>
      </c>
      <c r="W42" s="21" t="s">
        <v>40</v>
      </c>
      <c r="X42" s="21" t="s">
        <v>38</v>
      </c>
      <c r="Y42" s="21" t="s">
        <v>28</v>
      </c>
      <c r="Z42" s="21" t="s">
        <v>62</v>
      </c>
    </row>
    <row r="43" spans="1:26" x14ac:dyDescent="0.2">
      <c r="A43" s="1493" t="s">
        <v>418</v>
      </c>
      <c r="B43" s="4">
        <v>-20631640000</v>
      </c>
      <c r="C43" s="4">
        <v>-9347300000</v>
      </c>
      <c r="D43" s="4">
        <v>-9035806000</v>
      </c>
      <c r="E43" s="4">
        <v>-7373449000</v>
      </c>
      <c r="F43" s="4">
        <v>-7215175000</v>
      </c>
      <c r="G43" s="4">
        <v>-6872531000</v>
      </c>
      <c r="H43" s="4">
        <v>-6343350000</v>
      </c>
      <c r="I43" s="4">
        <v>-5012020000</v>
      </c>
      <c r="J43" s="4">
        <v>-3112195000</v>
      </c>
      <c r="K43" s="4">
        <v>-2927487000</v>
      </c>
      <c r="L43" s="4">
        <v>-2580000000</v>
      </c>
      <c r="M43" s="1369">
        <v>-2486380000</v>
      </c>
      <c r="N43" s="1493" t="s">
        <v>419</v>
      </c>
      <c r="O43" s="4">
        <v>-63413414000</v>
      </c>
      <c r="P43" s="4">
        <v>-42766173000</v>
      </c>
      <c r="Q43" s="4">
        <v>-27729902000</v>
      </c>
      <c r="R43" s="4">
        <v>-25728435000</v>
      </c>
      <c r="S43" s="4">
        <v>-21831842000</v>
      </c>
      <c r="T43" s="4">
        <v>-18750538700</v>
      </c>
      <c r="U43" s="4">
        <v>-18163370000</v>
      </c>
      <c r="V43" s="4">
        <v>-14192270000</v>
      </c>
      <c r="W43" s="4">
        <v>-13593608000</v>
      </c>
      <c r="X43" s="4">
        <v>-12791000000</v>
      </c>
      <c r="Y43" s="4">
        <v>-6942570000</v>
      </c>
      <c r="Z43" s="4">
        <v>-6181805000</v>
      </c>
    </row>
    <row r="44" spans="1:26" x14ac:dyDescent="0.2">
      <c r="A44" s="1493" t="s">
        <v>417</v>
      </c>
      <c r="B44" s="21" t="s">
        <v>59</v>
      </c>
      <c r="C44" s="21" t="s">
        <v>13</v>
      </c>
      <c r="D44" s="21" t="s">
        <v>282</v>
      </c>
      <c r="E44" s="21" t="s">
        <v>166</v>
      </c>
      <c r="F44" s="21" t="s">
        <v>24</v>
      </c>
      <c r="G44" s="21" t="s">
        <v>71</v>
      </c>
      <c r="H44" s="21" t="s">
        <v>67</v>
      </c>
      <c r="I44" s="21" t="s">
        <v>19</v>
      </c>
      <c r="J44" s="21" t="s">
        <v>29</v>
      </c>
      <c r="K44" s="21" t="s">
        <v>25</v>
      </c>
      <c r="L44" s="21" t="s">
        <v>27</v>
      </c>
      <c r="M44" s="21" t="s">
        <v>57</v>
      </c>
    </row>
    <row r="45" spans="1:26" x14ac:dyDescent="0.2">
      <c r="A45" s="1493" t="s">
        <v>417</v>
      </c>
      <c r="B45" s="1365">
        <v>-362572979000</v>
      </c>
      <c r="C45" s="1366">
        <v>-294625160000</v>
      </c>
      <c r="D45" s="1367">
        <v>-208009320000</v>
      </c>
      <c r="E45" s="4">
        <v>-109126530000</v>
      </c>
      <c r="F45" s="4">
        <v>-31407540000</v>
      </c>
      <c r="G45" s="4">
        <v>-23890515000</v>
      </c>
      <c r="H45" s="4">
        <v>-17048552000</v>
      </c>
      <c r="I45" s="4">
        <v>-15648030000</v>
      </c>
      <c r="J45" s="4">
        <v>-12172506000</v>
      </c>
      <c r="K45" s="4">
        <v>-6472780000</v>
      </c>
      <c r="L45" s="4">
        <v>-3575025000</v>
      </c>
      <c r="M45" s="4">
        <v>-3520000000</v>
      </c>
    </row>
    <row r="46" spans="1:26" x14ac:dyDescent="0.2">
      <c r="A46" s="1493" t="s">
        <v>416</v>
      </c>
      <c r="B46" s="21" t="s">
        <v>23</v>
      </c>
      <c r="C46" s="21" t="s">
        <v>35</v>
      </c>
      <c r="D46" s="21" t="s">
        <v>186</v>
      </c>
      <c r="E46" s="21" t="s">
        <v>176</v>
      </c>
      <c r="F46" s="21" t="s">
        <v>57</v>
      </c>
      <c r="G46" s="21" t="s">
        <v>24</v>
      </c>
      <c r="H46" s="21" t="s">
        <v>29</v>
      </c>
      <c r="I46" s="21" t="s">
        <v>93</v>
      </c>
      <c r="J46" s="21" t="s">
        <v>34</v>
      </c>
      <c r="K46" s="21" t="s">
        <v>158</v>
      </c>
      <c r="L46" s="21" t="s">
        <v>20</v>
      </c>
      <c r="M46" s="21" t="s">
        <v>94</v>
      </c>
    </row>
    <row r="47" spans="1:26" x14ac:dyDescent="0.2">
      <c r="A47" s="1493" t="s">
        <v>416</v>
      </c>
      <c r="B47" s="4">
        <v>-26169656000</v>
      </c>
      <c r="C47" s="4">
        <v>-9951897000</v>
      </c>
      <c r="D47" s="4">
        <v>-9825815000</v>
      </c>
      <c r="E47" s="4">
        <v>-8300665000</v>
      </c>
      <c r="F47" s="4">
        <v>-3548220000</v>
      </c>
      <c r="G47" s="4">
        <v>-2276148000</v>
      </c>
      <c r="H47" s="4">
        <v>-1981041000</v>
      </c>
      <c r="I47" s="4">
        <v>-1914000000</v>
      </c>
      <c r="J47" s="4">
        <v>-1707150000</v>
      </c>
      <c r="K47" s="4">
        <v>-498830000</v>
      </c>
      <c r="L47" s="4">
        <v>-6240000</v>
      </c>
      <c r="M47" s="1362">
        <v>-4310000</v>
      </c>
    </row>
    <row r="48" spans="1:26" x14ac:dyDescent="0.2">
      <c r="A48" s="1493" t="s">
        <v>414</v>
      </c>
      <c r="B48" s="21" t="s">
        <v>71</v>
      </c>
      <c r="C48" s="21" t="s">
        <v>30</v>
      </c>
      <c r="D48" s="21" t="s">
        <v>17</v>
      </c>
      <c r="E48" s="21" t="s">
        <v>38</v>
      </c>
      <c r="F48" s="21" t="s">
        <v>32</v>
      </c>
      <c r="G48" s="21" t="s">
        <v>297</v>
      </c>
      <c r="H48" s="21" t="s">
        <v>34</v>
      </c>
      <c r="I48" s="21" t="s">
        <v>62</v>
      </c>
      <c r="J48" s="21" t="s">
        <v>184</v>
      </c>
      <c r="K48" s="21" t="s">
        <v>14</v>
      </c>
      <c r="L48" s="21" t="s">
        <v>20</v>
      </c>
      <c r="M48" s="21" t="s">
        <v>6</v>
      </c>
    </row>
    <row r="49" spans="1:26" x14ac:dyDescent="0.2">
      <c r="A49" s="1493" t="s">
        <v>414</v>
      </c>
      <c r="B49" s="4">
        <v>-41180875000</v>
      </c>
      <c r="C49" s="4">
        <v>-32087880000</v>
      </c>
      <c r="D49" s="4">
        <v>-9229212000</v>
      </c>
      <c r="E49" s="4">
        <v>-7731930000</v>
      </c>
      <c r="F49" s="4">
        <v>-6300353000</v>
      </c>
      <c r="G49" s="1360">
        <v>-5226830000</v>
      </c>
      <c r="H49" s="4">
        <v>-5065475000</v>
      </c>
      <c r="I49" s="4">
        <v>-3169395000</v>
      </c>
      <c r="J49" s="1361">
        <v>-2805500000</v>
      </c>
      <c r="K49" s="4">
        <v>-2382674000</v>
      </c>
      <c r="L49" s="4">
        <v>-2180000000</v>
      </c>
      <c r="M49" s="4">
        <v>-1982340000</v>
      </c>
    </row>
    <row r="50" spans="1:26" x14ac:dyDescent="0.2">
      <c r="A50" s="1493" t="s">
        <v>413</v>
      </c>
      <c r="B50" s="21" t="s">
        <v>33</v>
      </c>
      <c r="C50" s="21" t="s">
        <v>36</v>
      </c>
      <c r="D50" s="21" t="s">
        <v>79</v>
      </c>
      <c r="E50" s="21" t="s">
        <v>40</v>
      </c>
      <c r="F50" s="21" t="s">
        <v>17</v>
      </c>
      <c r="G50" s="21" t="s">
        <v>32</v>
      </c>
      <c r="H50" s="21" t="s">
        <v>14</v>
      </c>
      <c r="I50" s="21" t="s">
        <v>22</v>
      </c>
      <c r="J50" s="21" t="s">
        <v>176</v>
      </c>
      <c r="K50" s="21" t="s">
        <v>21</v>
      </c>
      <c r="L50" s="21" t="s">
        <v>35</v>
      </c>
      <c r="M50" s="21" t="s">
        <v>64</v>
      </c>
    </row>
    <row r="51" spans="1:26" x14ac:dyDescent="0.2">
      <c r="A51" s="1493" t="s">
        <v>413</v>
      </c>
      <c r="B51" s="1358">
        <v>-95949046000</v>
      </c>
      <c r="C51" s="4">
        <v>-45714400000</v>
      </c>
      <c r="D51" s="4">
        <v>-42026315000</v>
      </c>
      <c r="E51" s="4">
        <v>-32740050000</v>
      </c>
      <c r="F51" s="4">
        <v>-31108189000</v>
      </c>
      <c r="G51" s="4">
        <v>-26669485000</v>
      </c>
      <c r="H51" s="4">
        <v>-26059837000</v>
      </c>
      <c r="I51" s="4">
        <v>-20769785000</v>
      </c>
      <c r="J51" s="4">
        <v>-19756200000</v>
      </c>
      <c r="K51" s="4">
        <v>-19011930000</v>
      </c>
      <c r="L51" s="4">
        <v>-17493650000</v>
      </c>
      <c r="M51" s="4">
        <v>-14072505000</v>
      </c>
    </row>
    <row r="52" spans="1:26" x14ac:dyDescent="0.2">
      <c r="A52" s="1493" t="s">
        <v>367</v>
      </c>
      <c r="B52" s="21" t="s">
        <v>33</v>
      </c>
      <c r="C52" s="21" t="s">
        <v>36</v>
      </c>
      <c r="D52" s="21" t="s">
        <v>40</v>
      </c>
      <c r="E52" s="21" t="s">
        <v>32</v>
      </c>
      <c r="F52" s="21" t="s">
        <v>39</v>
      </c>
      <c r="G52" s="21" t="s">
        <v>79</v>
      </c>
      <c r="H52" s="21" t="s">
        <v>176</v>
      </c>
      <c r="I52" s="21" t="s">
        <v>272</v>
      </c>
      <c r="J52" s="21" t="s">
        <v>71</v>
      </c>
      <c r="K52" s="21" t="s">
        <v>35</v>
      </c>
      <c r="L52" s="21" t="s">
        <v>67</v>
      </c>
      <c r="M52" s="21" t="s">
        <v>84</v>
      </c>
      <c r="N52" s="1493" t="s">
        <v>398</v>
      </c>
      <c r="O52" s="21" t="s">
        <v>33</v>
      </c>
      <c r="P52" s="21" t="s">
        <v>19</v>
      </c>
      <c r="Q52" s="21" t="s">
        <v>36</v>
      </c>
      <c r="R52" s="21" t="s">
        <v>40</v>
      </c>
      <c r="S52" s="21" t="s">
        <v>79</v>
      </c>
      <c r="T52" s="21" t="s">
        <v>32</v>
      </c>
      <c r="U52" s="21" t="s">
        <v>17</v>
      </c>
      <c r="V52" s="21" t="s">
        <v>263</v>
      </c>
      <c r="W52" s="21" t="s">
        <v>176</v>
      </c>
      <c r="X52" s="21" t="s">
        <v>59</v>
      </c>
      <c r="Y52" s="21" t="s">
        <v>35</v>
      </c>
      <c r="Z52" s="21" t="s">
        <v>67</v>
      </c>
    </row>
    <row r="53" spans="1:26" x14ac:dyDescent="0.2">
      <c r="A53" s="1493" t="s">
        <v>367</v>
      </c>
      <c r="B53" s="4">
        <v>-57476990000</v>
      </c>
      <c r="C53" s="4">
        <v>-41803020000</v>
      </c>
      <c r="D53" s="4">
        <v>-23755610000</v>
      </c>
      <c r="E53" s="4">
        <v>-15976283000</v>
      </c>
      <c r="F53" s="1351">
        <v>-15418475000</v>
      </c>
      <c r="G53" s="4">
        <v>-13464590000</v>
      </c>
      <c r="H53" s="4">
        <v>-13054840000</v>
      </c>
      <c r="I53" s="1352">
        <v>-7872870000</v>
      </c>
      <c r="J53" s="4">
        <v>-7463215000</v>
      </c>
      <c r="K53" s="4">
        <v>-7002460000</v>
      </c>
      <c r="L53" s="4">
        <v>-6906167000</v>
      </c>
      <c r="M53" s="1353">
        <v>-6872195000</v>
      </c>
      <c r="N53" s="1493" t="s">
        <v>398</v>
      </c>
      <c r="O53" s="4">
        <v>-358164799000</v>
      </c>
      <c r="P53" s="4">
        <v>-160817740000</v>
      </c>
      <c r="Q53" s="4">
        <v>-132710280000</v>
      </c>
      <c r="R53" s="4">
        <v>-104631530000</v>
      </c>
      <c r="S53" s="4">
        <v>-99451650000</v>
      </c>
      <c r="T53" s="4">
        <v>-91279794000</v>
      </c>
      <c r="U53" s="4">
        <v>-72694458000</v>
      </c>
      <c r="V53" s="4">
        <v>-62453790000</v>
      </c>
      <c r="W53" s="4">
        <v>-60401293000</v>
      </c>
      <c r="X53" s="4">
        <v>-58633640000</v>
      </c>
      <c r="Y53" s="4">
        <v>-51962160000</v>
      </c>
      <c r="Z53" s="4">
        <v>-41362509000</v>
      </c>
    </row>
    <row r="54" spans="1:26" x14ac:dyDescent="0.2">
      <c r="A54" s="1493" t="s">
        <v>365</v>
      </c>
      <c r="B54" s="21" t="s">
        <v>33</v>
      </c>
      <c r="C54" s="21" t="s">
        <v>23</v>
      </c>
      <c r="D54" s="21" t="s">
        <v>36</v>
      </c>
      <c r="E54" s="21" t="s">
        <v>57</v>
      </c>
      <c r="F54" s="21" t="s">
        <v>176</v>
      </c>
      <c r="G54" s="21" t="s">
        <v>40</v>
      </c>
      <c r="H54" s="21" t="s">
        <v>191</v>
      </c>
      <c r="I54" s="21" t="s">
        <v>22</v>
      </c>
      <c r="J54" s="21" t="s">
        <v>59</v>
      </c>
      <c r="K54" s="21" t="s">
        <v>19</v>
      </c>
      <c r="L54" s="21" t="s">
        <v>67</v>
      </c>
      <c r="M54" s="21" t="s">
        <v>32</v>
      </c>
    </row>
    <row r="55" spans="1:26" x14ac:dyDescent="0.2">
      <c r="A55" s="1493" t="s">
        <v>365</v>
      </c>
      <c r="B55" s="4">
        <v>-49257090000</v>
      </c>
      <c r="C55" s="4">
        <v>-10580974000</v>
      </c>
      <c r="D55" s="4">
        <v>-9818100000</v>
      </c>
      <c r="E55" s="4">
        <v>-8069010000</v>
      </c>
      <c r="F55" s="4">
        <v>-7233800000</v>
      </c>
      <c r="G55" s="4">
        <v>-5612440000</v>
      </c>
      <c r="H55" s="4">
        <v>-5346750000</v>
      </c>
      <c r="I55" s="4">
        <v>-4751040000</v>
      </c>
      <c r="J55" s="4">
        <v>-3765785000</v>
      </c>
      <c r="K55" s="4">
        <v>-3676390000</v>
      </c>
      <c r="L55" s="4">
        <v>-3346519000</v>
      </c>
      <c r="M55" s="4">
        <v>-3343433000</v>
      </c>
    </row>
    <row r="56" spans="1:26" x14ac:dyDescent="0.2">
      <c r="A56" s="1493" t="s">
        <v>364</v>
      </c>
      <c r="B56" s="21" t="s">
        <v>33</v>
      </c>
      <c r="C56" s="21" t="s">
        <v>40</v>
      </c>
      <c r="D56" s="21" t="s">
        <v>36</v>
      </c>
      <c r="E56" s="21" t="s">
        <v>32</v>
      </c>
      <c r="F56" s="21" t="s">
        <v>79</v>
      </c>
      <c r="G56" s="21" t="s">
        <v>176</v>
      </c>
      <c r="H56" s="21" t="s">
        <v>35</v>
      </c>
      <c r="I56" s="21" t="s">
        <v>70</v>
      </c>
      <c r="J56" s="21" t="s">
        <v>59</v>
      </c>
      <c r="K56" s="21" t="s">
        <v>58</v>
      </c>
      <c r="L56" s="21" t="s">
        <v>65</v>
      </c>
      <c r="M56" s="21" t="s">
        <v>67</v>
      </c>
    </row>
    <row r="57" spans="1:26" x14ac:dyDescent="0.2">
      <c r="A57" s="1493" t="s">
        <v>364</v>
      </c>
      <c r="B57" s="1347">
        <v>-120475909000</v>
      </c>
      <c r="C57" s="4">
        <v>-41918190000</v>
      </c>
      <c r="D57" s="4">
        <v>-37991540000</v>
      </c>
      <c r="E57" s="4">
        <v>-29923528000</v>
      </c>
      <c r="F57" s="4">
        <v>-29873640000</v>
      </c>
      <c r="G57" s="4">
        <v>-23243743000</v>
      </c>
      <c r="H57" s="4">
        <v>-22883989000</v>
      </c>
      <c r="I57" s="1348">
        <v>-17770675000</v>
      </c>
      <c r="J57" s="4">
        <v>-12599495000</v>
      </c>
      <c r="K57" s="4">
        <v>-12008215000</v>
      </c>
      <c r="L57" s="4">
        <v>-10358934000</v>
      </c>
      <c r="M57" s="4">
        <v>-10310360000</v>
      </c>
    </row>
    <row r="58" spans="1:26" x14ac:dyDescent="0.2">
      <c r="A58" s="1493" t="s">
        <v>363</v>
      </c>
      <c r="B58" s="21" t="s">
        <v>19</v>
      </c>
      <c r="C58" s="21" t="s">
        <v>33</v>
      </c>
      <c r="D58" s="21" t="s">
        <v>79</v>
      </c>
      <c r="E58" s="21" t="s">
        <v>32</v>
      </c>
      <c r="F58" s="21" t="s">
        <v>15</v>
      </c>
      <c r="G58" s="21" t="s">
        <v>59</v>
      </c>
      <c r="H58" s="21" t="s">
        <v>36</v>
      </c>
      <c r="I58" s="21" t="s">
        <v>40</v>
      </c>
      <c r="J58" s="21" t="s">
        <v>268</v>
      </c>
      <c r="K58" s="21" t="s">
        <v>31</v>
      </c>
      <c r="L58" s="21" t="s">
        <v>35</v>
      </c>
      <c r="M58" s="21" t="s">
        <v>67</v>
      </c>
    </row>
    <row r="59" spans="1:26" x14ac:dyDescent="0.2">
      <c r="A59" s="1493" t="s">
        <v>363</v>
      </c>
      <c r="B59" s="1341">
        <v>-150052265000</v>
      </c>
      <c r="C59" s="1342">
        <v>-126192090000</v>
      </c>
      <c r="D59" s="4">
        <v>-50665640000</v>
      </c>
      <c r="E59" s="4">
        <v>-34884165000</v>
      </c>
      <c r="F59" s="4">
        <v>-30836440000</v>
      </c>
      <c r="G59" s="4">
        <v>-30649200000</v>
      </c>
      <c r="H59" s="4">
        <v>-30638150000</v>
      </c>
      <c r="I59" s="4">
        <v>-25631540000</v>
      </c>
      <c r="J59" s="1343">
        <v>-21244930000</v>
      </c>
      <c r="K59" s="1344">
        <v>-20025000000</v>
      </c>
      <c r="L59" s="4">
        <v>-19961746000</v>
      </c>
      <c r="M59" s="4">
        <v>-18998473000</v>
      </c>
    </row>
    <row r="60" spans="1:26" x14ac:dyDescent="0.2">
      <c r="A60" s="1493" t="s">
        <v>362</v>
      </c>
      <c r="B60" s="21" t="s">
        <v>17</v>
      </c>
      <c r="C60" s="21" t="s">
        <v>263</v>
      </c>
      <c r="D60" s="21" t="s">
        <v>36</v>
      </c>
      <c r="E60" s="21" t="s">
        <v>29</v>
      </c>
      <c r="F60" s="21" t="s">
        <v>30</v>
      </c>
      <c r="G60" s="21" t="s">
        <v>40</v>
      </c>
      <c r="H60" s="21" t="s">
        <v>32</v>
      </c>
      <c r="I60" s="21" t="s">
        <v>59</v>
      </c>
      <c r="J60" s="21" t="s">
        <v>33</v>
      </c>
      <c r="K60" s="21" t="s">
        <v>35</v>
      </c>
      <c r="L60" s="21" t="s">
        <v>15</v>
      </c>
      <c r="M60" s="21" t="s">
        <v>79</v>
      </c>
    </row>
    <row r="61" spans="1:26" x14ac:dyDescent="0.2">
      <c r="A61" s="1493" t="s">
        <v>362</v>
      </c>
      <c r="B61" s="4">
        <v>-70970403000</v>
      </c>
      <c r="C61" s="4">
        <v>-56250000000</v>
      </c>
      <c r="D61" s="4">
        <v>-12459470000</v>
      </c>
      <c r="E61" s="4">
        <v>-8148610800</v>
      </c>
      <c r="F61" s="4">
        <v>-7877216000</v>
      </c>
      <c r="G61" s="4">
        <v>-7713750000</v>
      </c>
      <c r="H61" s="4">
        <v>-7152385000</v>
      </c>
      <c r="I61" s="4">
        <v>-5560680000</v>
      </c>
      <c r="J61" s="4">
        <v>-4762720000</v>
      </c>
      <c r="K61" s="4">
        <v>-4731255000</v>
      </c>
      <c r="L61" s="4">
        <v>-4627651000</v>
      </c>
      <c r="M61" s="4">
        <v>-3710705000</v>
      </c>
    </row>
    <row r="62" spans="1:26" x14ac:dyDescent="0.2">
      <c r="A62" s="1493" t="s">
        <v>358</v>
      </c>
      <c r="B62" s="21" t="s">
        <v>40</v>
      </c>
      <c r="C62" s="21" t="s">
        <v>36</v>
      </c>
      <c r="D62" s="21" t="s">
        <v>28</v>
      </c>
      <c r="E62" s="21" t="s">
        <v>79</v>
      </c>
      <c r="F62" s="21" t="s">
        <v>27</v>
      </c>
      <c r="G62" s="21" t="s">
        <v>57</v>
      </c>
      <c r="H62" s="21" t="s">
        <v>176</v>
      </c>
      <c r="I62" s="21" t="s">
        <v>71</v>
      </c>
      <c r="J62" s="21" t="s">
        <v>58</v>
      </c>
      <c r="K62" s="21" t="s">
        <v>8</v>
      </c>
      <c r="L62" s="21" t="s">
        <v>62</v>
      </c>
      <c r="M62" s="21" t="s">
        <v>67</v>
      </c>
      <c r="N62" s="1493" t="s">
        <v>397</v>
      </c>
      <c r="O62" s="21" t="s">
        <v>33</v>
      </c>
      <c r="P62" s="21" t="s">
        <v>191</v>
      </c>
      <c r="Q62" s="21" t="s">
        <v>17</v>
      </c>
      <c r="R62" s="21" t="s">
        <v>32</v>
      </c>
      <c r="S62" s="21" t="s">
        <v>40</v>
      </c>
      <c r="T62" s="21" t="s">
        <v>36</v>
      </c>
      <c r="U62" s="21" t="s">
        <v>79</v>
      </c>
      <c r="V62" s="21" t="s">
        <v>176</v>
      </c>
      <c r="W62" s="21" t="s">
        <v>59</v>
      </c>
      <c r="X62" s="21" t="s">
        <v>296</v>
      </c>
      <c r="Y62" s="21" t="s">
        <v>28</v>
      </c>
      <c r="Z62" s="21" t="s">
        <v>67</v>
      </c>
    </row>
    <row r="63" spans="1:26" x14ac:dyDescent="0.2">
      <c r="A63" s="1493" t="s">
        <v>358</v>
      </c>
      <c r="B63" s="4">
        <v>-22437170000</v>
      </c>
      <c r="C63" s="4">
        <v>-21102300000</v>
      </c>
      <c r="D63" s="4">
        <v>-17558120000</v>
      </c>
      <c r="E63" s="4">
        <v>-13125930000</v>
      </c>
      <c r="F63" s="1339">
        <v>-11741050000</v>
      </c>
      <c r="G63" s="4">
        <v>-10595450000</v>
      </c>
      <c r="H63" s="4">
        <v>-8887840000</v>
      </c>
      <c r="I63" s="4">
        <v>-7648850000</v>
      </c>
      <c r="J63" s="4">
        <v>-5999805000</v>
      </c>
      <c r="K63" s="1340">
        <v>-5284290000</v>
      </c>
      <c r="L63" s="4">
        <v>-4085415000</v>
      </c>
      <c r="M63" s="4">
        <v>-3976555000</v>
      </c>
      <c r="N63" s="1493" t="s">
        <v>397</v>
      </c>
      <c r="O63" s="4">
        <v>-201624200000</v>
      </c>
      <c r="P63" s="4">
        <v>-198000000000</v>
      </c>
      <c r="Q63" s="4">
        <v>-161967053000</v>
      </c>
      <c r="R63" s="4">
        <v>-124353002000</v>
      </c>
      <c r="S63" s="4">
        <v>-121763170000</v>
      </c>
      <c r="T63" s="4">
        <v>-104098950000</v>
      </c>
      <c r="U63" s="4">
        <v>-69778180000</v>
      </c>
      <c r="V63" s="4">
        <v>-47779050000</v>
      </c>
      <c r="W63" s="4">
        <v>-27477530000</v>
      </c>
      <c r="X63" s="4">
        <v>-27271955000</v>
      </c>
      <c r="Y63" s="4">
        <v>-27220820000</v>
      </c>
      <c r="Z63" s="4">
        <v>-23240804000</v>
      </c>
    </row>
    <row r="64" spans="1:26" x14ac:dyDescent="0.2">
      <c r="A64" s="1493" t="s">
        <v>354</v>
      </c>
      <c r="B64" s="21" t="s">
        <v>33</v>
      </c>
      <c r="C64" s="21" t="s">
        <v>79</v>
      </c>
      <c r="D64" s="21" t="s">
        <v>17</v>
      </c>
      <c r="E64" s="21" t="s">
        <v>40</v>
      </c>
      <c r="F64" s="21" t="s">
        <v>15</v>
      </c>
      <c r="G64" s="21" t="s">
        <v>36</v>
      </c>
      <c r="H64" s="21" t="s">
        <v>32</v>
      </c>
      <c r="I64" s="21" t="s">
        <v>14</v>
      </c>
      <c r="J64" s="21" t="s">
        <v>59</v>
      </c>
      <c r="K64" s="21" t="s">
        <v>35</v>
      </c>
      <c r="L64" s="21" t="s">
        <v>21</v>
      </c>
      <c r="M64" s="21" t="s">
        <v>176</v>
      </c>
    </row>
    <row r="65" spans="1:26" x14ac:dyDescent="0.2">
      <c r="A65" s="1493" t="s">
        <v>354</v>
      </c>
      <c r="B65" s="1335">
        <v>-145081610000</v>
      </c>
      <c r="C65" s="4">
        <v>-63704420000</v>
      </c>
      <c r="D65" s="4">
        <v>-63008116000</v>
      </c>
      <c r="E65" s="4">
        <v>-48857550000</v>
      </c>
      <c r="F65" s="4">
        <v>-41710928000</v>
      </c>
      <c r="G65" s="4">
        <v>-39828810000</v>
      </c>
      <c r="H65" s="4">
        <v>-38009020000</v>
      </c>
      <c r="I65" s="4">
        <v>-37457059000</v>
      </c>
      <c r="J65" s="4">
        <v>-29010565000</v>
      </c>
      <c r="K65" s="4">
        <v>-28058038000</v>
      </c>
      <c r="L65" s="4">
        <v>-26713050000</v>
      </c>
      <c r="M65" s="4">
        <v>-21537870000</v>
      </c>
    </row>
    <row r="66" spans="1:26" x14ac:dyDescent="0.2">
      <c r="A66" s="1493" t="s">
        <v>353</v>
      </c>
      <c r="B66" s="21" t="s">
        <v>33</v>
      </c>
      <c r="C66" s="21" t="s">
        <v>40</v>
      </c>
      <c r="D66" s="21" t="s">
        <v>36</v>
      </c>
      <c r="E66" s="21" t="s">
        <v>79</v>
      </c>
      <c r="F66" s="21" t="s">
        <v>13</v>
      </c>
      <c r="G66" s="21" t="s">
        <v>32</v>
      </c>
      <c r="H66" s="21" t="s">
        <v>15</v>
      </c>
      <c r="I66" s="21" t="s">
        <v>59</v>
      </c>
      <c r="J66" s="21" t="s">
        <v>176</v>
      </c>
      <c r="K66" s="21" t="s">
        <v>67</v>
      </c>
      <c r="L66" s="21" t="s">
        <v>35</v>
      </c>
      <c r="M66" s="21" t="s">
        <v>22</v>
      </c>
    </row>
    <row r="67" spans="1:26" x14ac:dyDescent="0.2">
      <c r="A67" s="1493" t="s">
        <v>353</v>
      </c>
      <c r="B67" s="1332">
        <v>-145542480000</v>
      </c>
      <c r="C67" s="4">
        <v>-57341150000</v>
      </c>
      <c r="D67" s="1333">
        <v>-51509660000</v>
      </c>
      <c r="E67" s="4">
        <v>-41445145000</v>
      </c>
      <c r="F67" s="4">
        <v>-33037085000</v>
      </c>
      <c r="G67" s="4">
        <v>-28382420000</v>
      </c>
      <c r="H67" s="4">
        <v>-23995920000</v>
      </c>
      <c r="I67" s="4">
        <v>-21970840000</v>
      </c>
      <c r="J67" s="4">
        <v>-21758070000</v>
      </c>
      <c r="K67" s="4">
        <v>-15591628000</v>
      </c>
      <c r="L67" s="4">
        <v>-14957853000</v>
      </c>
      <c r="M67" s="4">
        <v>-13220440000</v>
      </c>
    </row>
    <row r="68" spans="1:26" x14ac:dyDescent="0.2">
      <c r="A68" s="1493" t="s">
        <v>352</v>
      </c>
      <c r="B68" s="21" t="s">
        <v>191</v>
      </c>
      <c r="C68" s="21" t="s">
        <v>186</v>
      </c>
      <c r="D68" s="21" t="s">
        <v>19</v>
      </c>
      <c r="E68" s="21" t="s">
        <v>183</v>
      </c>
      <c r="F68" s="21" t="s">
        <v>63</v>
      </c>
      <c r="G68" s="21" t="s">
        <v>20</v>
      </c>
      <c r="H68" s="21" t="s">
        <v>65</v>
      </c>
      <c r="I68" s="21" t="s">
        <v>296</v>
      </c>
      <c r="J68" s="21" t="s">
        <v>58</v>
      </c>
      <c r="K68" s="21" t="s">
        <v>176</v>
      </c>
      <c r="L68" s="21" t="s">
        <v>57</v>
      </c>
    </row>
    <row r="69" spans="1:26" x14ac:dyDescent="0.2">
      <c r="A69" s="1493" t="s">
        <v>352</v>
      </c>
      <c r="B69" s="1331">
        <v>-99000000000</v>
      </c>
      <c r="C69" s="4">
        <v>-9128595000</v>
      </c>
      <c r="D69" s="4">
        <v>-7300110000</v>
      </c>
      <c r="E69" s="4">
        <v>-7246720000</v>
      </c>
      <c r="F69" s="4">
        <v>-4647700000</v>
      </c>
      <c r="G69" s="4">
        <v>-2684940000</v>
      </c>
      <c r="H69" s="4">
        <v>-2142951000</v>
      </c>
      <c r="I69" s="4">
        <v>-1736800000</v>
      </c>
      <c r="J69" s="4">
        <v>-822750000</v>
      </c>
      <c r="K69" s="4">
        <v>-97770000</v>
      </c>
      <c r="L69" s="4">
        <v>-15000000</v>
      </c>
    </row>
    <row r="70" spans="1:26" x14ac:dyDescent="0.2">
      <c r="A70" s="1493" t="s">
        <v>347</v>
      </c>
      <c r="B70" s="21" t="s">
        <v>17</v>
      </c>
      <c r="C70" s="21" t="s">
        <v>191</v>
      </c>
      <c r="D70" s="21" t="s">
        <v>32</v>
      </c>
      <c r="E70" s="21" t="s">
        <v>296</v>
      </c>
      <c r="F70" s="21" t="s">
        <v>20</v>
      </c>
      <c r="G70" s="21" t="s">
        <v>158</v>
      </c>
      <c r="H70" s="21" t="s">
        <v>62</v>
      </c>
    </row>
    <row r="71" spans="1:26" x14ac:dyDescent="0.2">
      <c r="A71" s="1493" t="s">
        <v>347</v>
      </c>
      <c r="B71" s="4">
        <v>-109163239000</v>
      </c>
      <c r="C71" s="1327">
        <v>-99000000000</v>
      </c>
      <c r="D71" s="4">
        <v>-67696715000</v>
      </c>
      <c r="E71" s="4">
        <v>-30858345000</v>
      </c>
      <c r="F71" s="4">
        <v>-10828470000</v>
      </c>
      <c r="G71" s="1328">
        <v>-3616000000</v>
      </c>
      <c r="H71" s="4">
        <v>-2251050000</v>
      </c>
    </row>
    <row r="72" spans="1:26" x14ac:dyDescent="0.2">
      <c r="A72" s="1493" t="s">
        <v>346</v>
      </c>
      <c r="B72" s="21" t="s">
        <v>33</v>
      </c>
      <c r="C72" s="21" t="s">
        <v>32</v>
      </c>
      <c r="D72" s="21" t="s">
        <v>14</v>
      </c>
      <c r="E72" s="21" t="s">
        <v>17</v>
      </c>
      <c r="F72" s="21" t="s">
        <v>15</v>
      </c>
      <c r="G72" s="21" t="s">
        <v>79</v>
      </c>
      <c r="H72" s="21" t="s">
        <v>23</v>
      </c>
      <c r="I72" s="21" t="s">
        <v>59</v>
      </c>
      <c r="J72" s="21" t="s">
        <v>71</v>
      </c>
      <c r="K72" s="21" t="s">
        <v>40</v>
      </c>
      <c r="L72" s="21" t="s">
        <v>12</v>
      </c>
      <c r="M72" s="21" t="s">
        <v>36</v>
      </c>
      <c r="N72" s="1493" t="s">
        <v>396</v>
      </c>
      <c r="O72" s="21" t="s">
        <v>33</v>
      </c>
      <c r="P72" s="21" t="s">
        <v>263</v>
      </c>
      <c r="Q72" s="21" t="s">
        <v>296</v>
      </c>
      <c r="R72" s="21" t="s">
        <v>35</v>
      </c>
      <c r="S72" s="21" t="s">
        <v>23</v>
      </c>
      <c r="T72" s="21" t="s">
        <v>13</v>
      </c>
      <c r="U72" s="21" t="s">
        <v>34</v>
      </c>
      <c r="V72" s="21" t="s">
        <v>17</v>
      </c>
      <c r="W72" s="21" t="s">
        <v>36</v>
      </c>
      <c r="X72" s="21" t="s">
        <v>32</v>
      </c>
      <c r="Y72" s="21" t="s">
        <v>71</v>
      </c>
      <c r="Z72" s="21" t="s">
        <v>40</v>
      </c>
    </row>
    <row r="73" spans="1:26" x14ac:dyDescent="0.2">
      <c r="A73" s="1493" t="s">
        <v>346</v>
      </c>
      <c r="B73" s="1323">
        <v>-105916230000</v>
      </c>
      <c r="C73" s="4">
        <v>-47205115000</v>
      </c>
      <c r="D73" s="4">
        <v>-45235416000</v>
      </c>
      <c r="E73" s="4">
        <v>-42332825000</v>
      </c>
      <c r="F73" s="4">
        <v>-38956805000</v>
      </c>
      <c r="G73" s="4">
        <v>-32973925000</v>
      </c>
      <c r="H73" s="4">
        <v>-29807987000</v>
      </c>
      <c r="I73" s="4">
        <v>-29111335000</v>
      </c>
      <c r="J73" s="4">
        <v>-23866080000</v>
      </c>
      <c r="K73" s="4">
        <v>-22984630000</v>
      </c>
      <c r="L73" s="4">
        <v>-22794006000</v>
      </c>
      <c r="M73" s="4">
        <v>-20977850000</v>
      </c>
      <c r="N73" s="1493" t="s">
        <v>396</v>
      </c>
      <c r="O73" s="4">
        <v>-158676330000</v>
      </c>
      <c r="P73" s="4">
        <v>-103962886400</v>
      </c>
      <c r="Q73" s="4">
        <v>-101522050000</v>
      </c>
      <c r="R73" s="4">
        <v>-73522249000</v>
      </c>
      <c r="S73" s="4">
        <v>-64759060000</v>
      </c>
      <c r="T73" s="4">
        <v>-50099285000</v>
      </c>
      <c r="U73" s="4">
        <v>-45758051000</v>
      </c>
      <c r="V73" s="4">
        <v>-43171344000</v>
      </c>
      <c r="W73" s="4">
        <v>-27972010000</v>
      </c>
      <c r="X73" s="4">
        <v>-25433080000</v>
      </c>
      <c r="Y73" s="4">
        <v>-22024765000</v>
      </c>
      <c r="Z73" s="4">
        <v>-18180050000</v>
      </c>
    </row>
    <row r="74" spans="1:26" x14ac:dyDescent="0.2">
      <c r="A74" s="1493" t="s">
        <v>345</v>
      </c>
      <c r="B74" s="21" t="s">
        <v>33</v>
      </c>
      <c r="C74" s="21" t="s">
        <v>42</v>
      </c>
      <c r="D74" s="21" t="s">
        <v>65</v>
      </c>
      <c r="E74" s="21" t="s">
        <v>296</v>
      </c>
      <c r="F74" s="21" t="s">
        <v>36</v>
      </c>
      <c r="G74" s="21" t="s">
        <v>20</v>
      </c>
      <c r="H74" s="21" t="s">
        <v>40</v>
      </c>
      <c r="I74" s="21" t="s">
        <v>263</v>
      </c>
      <c r="J74" s="21" t="s">
        <v>186</v>
      </c>
      <c r="K74" s="21" t="s">
        <v>29</v>
      </c>
      <c r="L74" s="21" t="s">
        <v>158</v>
      </c>
      <c r="M74" s="21" t="s">
        <v>280</v>
      </c>
    </row>
    <row r="75" spans="1:26" x14ac:dyDescent="0.2">
      <c r="A75" s="1493" t="s">
        <v>345</v>
      </c>
      <c r="B75" s="4">
        <v>-44749780000</v>
      </c>
      <c r="C75" s="1321">
        <v>-16519290000</v>
      </c>
      <c r="D75" s="4">
        <v>-7731639000</v>
      </c>
      <c r="E75" s="4">
        <v>-6641220000</v>
      </c>
      <c r="F75" s="4">
        <v>-3304300000</v>
      </c>
      <c r="G75" s="4">
        <v>-3124250000</v>
      </c>
      <c r="H75" s="4">
        <v>-2928420000</v>
      </c>
      <c r="I75" s="4">
        <v>-2006460000</v>
      </c>
      <c r="J75" s="4">
        <v>-1856665000</v>
      </c>
      <c r="K75" s="4">
        <v>-827102800</v>
      </c>
      <c r="L75" s="4">
        <v>-108160000</v>
      </c>
      <c r="M75" s="1322">
        <v>-1420000</v>
      </c>
    </row>
    <row r="76" spans="1:26" x14ac:dyDescent="0.2">
      <c r="A76" s="1493" t="s">
        <v>344</v>
      </c>
      <c r="B76" s="21" t="s">
        <v>79</v>
      </c>
      <c r="C76" s="21" t="s">
        <v>263</v>
      </c>
      <c r="D76" s="21" t="s">
        <v>33</v>
      </c>
      <c r="E76" s="21" t="s">
        <v>35</v>
      </c>
      <c r="F76" s="21" t="s">
        <v>32</v>
      </c>
      <c r="G76" s="21" t="s">
        <v>17</v>
      </c>
      <c r="H76" s="21" t="s">
        <v>23</v>
      </c>
      <c r="I76" s="21" t="s">
        <v>59</v>
      </c>
      <c r="J76" s="21" t="s">
        <v>64</v>
      </c>
      <c r="K76" s="21" t="s">
        <v>22</v>
      </c>
      <c r="L76" s="21" t="s">
        <v>13</v>
      </c>
      <c r="M76" s="21" t="s">
        <v>36</v>
      </c>
    </row>
    <row r="77" spans="1:26" x14ac:dyDescent="0.2">
      <c r="A77" s="1493" t="s">
        <v>344</v>
      </c>
      <c r="B77" s="1319">
        <v>-75319090000</v>
      </c>
      <c r="C77" s="4">
        <v>-38563896400</v>
      </c>
      <c r="D77" s="4">
        <v>-36375300000</v>
      </c>
      <c r="E77" s="4">
        <v>-33662935000</v>
      </c>
      <c r="F77" s="4">
        <v>-29995015000</v>
      </c>
      <c r="G77" s="4">
        <v>-29823610000</v>
      </c>
      <c r="H77" s="4">
        <v>-13837171000</v>
      </c>
      <c r="I77" s="4">
        <v>-10894835000</v>
      </c>
      <c r="J77" s="4">
        <v>-9792850000</v>
      </c>
      <c r="K77" s="4">
        <v>-9127680000</v>
      </c>
      <c r="L77" s="4">
        <v>-8599390000</v>
      </c>
      <c r="M77" s="4">
        <v>-8435510000</v>
      </c>
    </row>
    <row r="78" spans="1:26" x14ac:dyDescent="0.2">
      <c r="A78" s="1493" t="s">
        <v>343</v>
      </c>
      <c r="B78" s="21" t="s">
        <v>263</v>
      </c>
      <c r="C78" s="21" t="s">
        <v>13</v>
      </c>
      <c r="D78" s="21" t="s">
        <v>17</v>
      </c>
      <c r="E78" s="21" t="s">
        <v>23</v>
      </c>
      <c r="F78" s="21" t="s">
        <v>57</v>
      </c>
      <c r="G78" s="21" t="s">
        <v>7</v>
      </c>
      <c r="H78" s="21" t="s">
        <v>18</v>
      </c>
      <c r="I78" s="21" t="s">
        <v>176</v>
      </c>
    </row>
    <row r="79" spans="1:26" x14ac:dyDescent="0.2">
      <c r="A79" s="1493" t="s">
        <v>343</v>
      </c>
      <c r="B79" s="1317">
        <v>-95661280000</v>
      </c>
      <c r="C79" s="4">
        <v>-27498495000</v>
      </c>
      <c r="D79" s="4">
        <v>-3766810000</v>
      </c>
      <c r="E79" s="4">
        <v>-3151990000</v>
      </c>
      <c r="F79" s="4">
        <v>-2370000000</v>
      </c>
      <c r="G79" s="4">
        <v>-1913868000</v>
      </c>
      <c r="H79" s="4">
        <v>-746625000</v>
      </c>
      <c r="I79" s="4">
        <v>-497770000</v>
      </c>
    </row>
    <row r="80" spans="1:26" x14ac:dyDescent="0.2">
      <c r="A80" s="1493" t="s">
        <v>341</v>
      </c>
      <c r="B80" s="21" t="s">
        <v>296</v>
      </c>
      <c r="C80" s="21" t="s">
        <v>34</v>
      </c>
      <c r="D80" s="21" t="s">
        <v>23</v>
      </c>
      <c r="E80" s="21" t="s">
        <v>35</v>
      </c>
      <c r="F80" s="21" t="s">
        <v>14</v>
      </c>
      <c r="G80" s="21" t="s">
        <v>186</v>
      </c>
      <c r="H80" s="21" t="s">
        <v>13</v>
      </c>
      <c r="I80" s="21" t="s">
        <v>15</v>
      </c>
      <c r="J80" s="21" t="s">
        <v>183</v>
      </c>
      <c r="K80" s="21" t="s">
        <v>57</v>
      </c>
      <c r="L80" s="21" t="s">
        <v>282</v>
      </c>
      <c r="M80" s="21" t="s">
        <v>22</v>
      </c>
    </row>
    <row r="81" spans="1:26" x14ac:dyDescent="0.2">
      <c r="A81" s="1493" t="s">
        <v>341</v>
      </c>
      <c r="B81" s="1315">
        <v>-87823040000</v>
      </c>
      <c r="C81" s="4">
        <v>-45930756000</v>
      </c>
      <c r="D81" s="4">
        <v>-38488665000</v>
      </c>
      <c r="E81" s="4">
        <v>-37558352000</v>
      </c>
      <c r="F81" s="4">
        <v>-21918885000</v>
      </c>
      <c r="G81" s="4">
        <v>-16547100000</v>
      </c>
      <c r="H81" s="4">
        <v>-13895950000</v>
      </c>
      <c r="I81" s="4">
        <v>-13680760000</v>
      </c>
      <c r="J81" s="4">
        <v>-8031645000</v>
      </c>
      <c r="K81" s="4">
        <v>-3480000000</v>
      </c>
      <c r="L81" s="1316">
        <v>-2590180000</v>
      </c>
      <c r="M81" s="4">
        <v>-847710000</v>
      </c>
    </row>
    <row r="82" spans="1:26" x14ac:dyDescent="0.2">
      <c r="A82" s="1493" t="s">
        <v>340</v>
      </c>
      <c r="B82" s="21" t="s">
        <v>63</v>
      </c>
      <c r="N82" s="1493" t="s">
        <v>395</v>
      </c>
      <c r="O82" s="21" t="s">
        <v>30</v>
      </c>
      <c r="P82" s="21" t="s">
        <v>5</v>
      </c>
      <c r="Q82" s="21" t="s">
        <v>14</v>
      </c>
      <c r="R82" s="21" t="s">
        <v>186</v>
      </c>
      <c r="S82" s="21" t="s">
        <v>35</v>
      </c>
      <c r="T82" s="21" t="s">
        <v>27</v>
      </c>
      <c r="U82" s="21" t="s">
        <v>58</v>
      </c>
      <c r="V82" s="21" t="s">
        <v>183</v>
      </c>
      <c r="W82" s="21" t="s">
        <v>40</v>
      </c>
      <c r="X82" s="21" t="s">
        <v>22</v>
      </c>
      <c r="Y82" s="21" t="s">
        <v>61</v>
      </c>
      <c r="Z82" s="21" t="s">
        <v>36</v>
      </c>
    </row>
    <row r="83" spans="1:26" x14ac:dyDescent="0.2">
      <c r="A83" s="1493" t="s">
        <v>340</v>
      </c>
      <c r="B83" s="4">
        <v>-3982830000</v>
      </c>
      <c r="N83" s="1493" t="s">
        <v>395</v>
      </c>
      <c r="O83" s="4">
        <v>-113687540000</v>
      </c>
      <c r="P83" s="4">
        <v>-93331321000</v>
      </c>
      <c r="Q83" s="4">
        <v>-90241817000</v>
      </c>
      <c r="R83" s="4">
        <v>-60834255000</v>
      </c>
      <c r="S83" s="4">
        <v>-50632716000</v>
      </c>
      <c r="T83" s="4">
        <v>-38977863000</v>
      </c>
      <c r="U83" s="4">
        <v>-23855465000</v>
      </c>
      <c r="V83" s="4">
        <v>-22302730000</v>
      </c>
      <c r="W83" s="4">
        <v>-19526267000</v>
      </c>
      <c r="X83" s="4">
        <v>-15335665000</v>
      </c>
      <c r="Y83" s="4">
        <v>-14854180000</v>
      </c>
      <c r="Z83" s="4">
        <v>-11388310000</v>
      </c>
    </row>
    <row r="84" spans="1:26" x14ac:dyDescent="0.2">
      <c r="A84" s="1493" t="s">
        <v>338</v>
      </c>
      <c r="B84" s="21" t="s">
        <v>186</v>
      </c>
      <c r="C84" s="21" t="s">
        <v>30</v>
      </c>
      <c r="D84" s="21" t="s">
        <v>61</v>
      </c>
      <c r="E84" s="21" t="s">
        <v>183</v>
      </c>
      <c r="F84" s="21" t="s">
        <v>282</v>
      </c>
      <c r="G84" s="21" t="s">
        <v>37</v>
      </c>
      <c r="H84" s="21" t="s">
        <v>62</v>
      </c>
      <c r="I84" s="21" t="s">
        <v>29</v>
      </c>
    </row>
    <row r="85" spans="1:26" x14ac:dyDescent="0.2">
      <c r="A85" s="1493" t="s">
        <v>338</v>
      </c>
      <c r="B85" s="4">
        <v>-27992295000</v>
      </c>
      <c r="C85" s="4">
        <v>-21064597000</v>
      </c>
      <c r="D85" s="4">
        <v>-15893730000</v>
      </c>
      <c r="E85" s="4">
        <v>-10617625000</v>
      </c>
      <c r="F85" s="1313">
        <v>-4676292000</v>
      </c>
      <c r="G85" s="4">
        <v>-3667400000</v>
      </c>
      <c r="H85" s="4">
        <v>-1830300000</v>
      </c>
      <c r="I85" s="4">
        <v>-4060000</v>
      </c>
    </row>
    <row r="86" spans="1:26" x14ac:dyDescent="0.2">
      <c r="A86" s="1493" t="s">
        <v>334</v>
      </c>
      <c r="B86" s="21" t="s">
        <v>14</v>
      </c>
      <c r="C86" s="21" t="s">
        <v>5</v>
      </c>
      <c r="D86" s="21" t="s">
        <v>35</v>
      </c>
      <c r="E86" s="21" t="s">
        <v>33</v>
      </c>
      <c r="F86" s="21" t="s">
        <v>27</v>
      </c>
      <c r="G86" s="21" t="s">
        <v>30</v>
      </c>
      <c r="H86" s="21" t="s">
        <v>40</v>
      </c>
      <c r="I86" s="21" t="s">
        <v>36</v>
      </c>
      <c r="J86" s="21" t="s">
        <v>23</v>
      </c>
      <c r="K86" s="21" t="s">
        <v>13</v>
      </c>
      <c r="L86" s="21" t="s">
        <v>176</v>
      </c>
      <c r="M86" s="21" t="s">
        <v>17</v>
      </c>
    </row>
    <row r="87" spans="1:26" x14ac:dyDescent="0.2">
      <c r="A87" s="1493" t="s">
        <v>334</v>
      </c>
      <c r="B87" s="1309">
        <v>-179460700000</v>
      </c>
      <c r="C87" s="4">
        <v>-91099405000</v>
      </c>
      <c r="D87" s="4">
        <v>-66500340000</v>
      </c>
      <c r="E87" s="4">
        <v>-49556270000</v>
      </c>
      <c r="F87" s="1310">
        <v>-38977863000</v>
      </c>
      <c r="G87" s="4">
        <v>-22974395000</v>
      </c>
      <c r="H87" s="4">
        <v>-15838827000</v>
      </c>
      <c r="I87" s="4">
        <v>-12139920000</v>
      </c>
      <c r="J87" s="4">
        <v>-7996300000</v>
      </c>
      <c r="K87" s="4">
        <v>-5501270000</v>
      </c>
      <c r="L87" s="4">
        <v>-4813660000</v>
      </c>
      <c r="M87" s="4">
        <v>-3051810000</v>
      </c>
    </row>
    <row r="88" spans="1:26" x14ac:dyDescent="0.2">
      <c r="A88" s="1493" t="s">
        <v>332</v>
      </c>
      <c r="B88" s="21" t="s">
        <v>30</v>
      </c>
      <c r="C88" s="21" t="s">
        <v>186</v>
      </c>
      <c r="D88" s="21" t="s">
        <v>33</v>
      </c>
      <c r="E88" s="21" t="s">
        <v>5</v>
      </c>
      <c r="F88" s="21" t="s">
        <v>22</v>
      </c>
      <c r="G88" s="21" t="s">
        <v>183</v>
      </c>
      <c r="H88" s="21" t="s">
        <v>13</v>
      </c>
      <c r="I88" s="21" t="s">
        <v>79</v>
      </c>
      <c r="J88" s="21" t="s">
        <v>34</v>
      </c>
      <c r="K88" s="21" t="s">
        <v>61</v>
      </c>
      <c r="L88" s="21" t="s">
        <v>65</v>
      </c>
      <c r="M88" s="21" t="s">
        <v>71</v>
      </c>
    </row>
    <row r="89" spans="1:26" x14ac:dyDescent="0.2">
      <c r="A89" s="1493" t="s">
        <v>332</v>
      </c>
      <c r="B89" s="1300">
        <v>-72049784000</v>
      </c>
      <c r="C89" s="1301">
        <v>-29560770000</v>
      </c>
      <c r="D89" s="4">
        <v>-23874740000</v>
      </c>
      <c r="E89" s="4">
        <v>-18657616000</v>
      </c>
      <c r="F89" s="4">
        <v>-13698635000</v>
      </c>
      <c r="G89" s="4">
        <v>-11685105000</v>
      </c>
      <c r="H89" s="4">
        <v>-7630270000</v>
      </c>
      <c r="I89" s="4">
        <v>-3621715000</v>
      </c>
      <c r="J89" s="4">
        <v>-698260000</v>
      </c>
      <c r="K89" s="4">
        <v>-118820000</v>
      </c>
      <c r="L89" s="4">
        <v>-27610000</v>
      </c>
      <c r="M89" s="4">
        <v>-980000</v>
      </c>
    </row>
    <row r="90" spans="1:26" x14ac:dyDescent="0.2">
      <c r="A90" s="1493" t="s">
        <v>331</v>
      </c>
      <c r="B90" s="21" t="s">
        <v>13</v>
      </c>
      <c r="C90" s="21" t="s">
        <v>58</v>
      </c>
      <c r="D90" s="21" t="s">
        <v>14</v>
      </c>
      <c r="E90" s="21" t="s">
        <v>33</v>
      </c>
      <c r="F90" s="21" t="s">
        <v>35</v>
      </c>
      <c r="G90" s="21" t="s">
        <v>32</v>
      </c>
      <c r="H90" s="21" t="s">
        <v>202</v>
      </c>
      <c r="I90" s="21" t="s">
        <v>17</v>
      </c>
      <c r="J90" s="21" t="s">
        <v>22</v>
      </c>
      <c r="K90" s="21" t="s">
        <v>40</v>
      </c>
      <c r="L90" s="21" t="s">
        <v>59</v>
      </c>
      <c r="M90" s="21" t="s">
        <v>7</v>
      </c>
    </row>
    <row r="91" spans="1:26" x14ac:dyDescent="0.2">
      <c r="A91" s="1493" t="s">
        <v>331</v>
      </c>
      <c r="B91" s="4">
        <v>-30516450000</v>
      </c>
      <c r="C91" s="4">
        <v>-23855465000</v>
      </c>
      <c r="D91" s="4">
        <v>-14722449000</v>
      </c>
      <c r="E91" s="4">
        <v>-12620110000</v>
      </c>
      <c r="F91" s="4">
        <v>-10701956000</v>
      </c>
      <c r="G91" s="4">
        <v>-6033155000</v>
      </c>
      <c r="H91" s="1299">
        <v>-5369500000</v>
      </c>
      <c r="I91" s="4">
        <v>-4961004000</v>
      </c>
      <c r="J91" s="4">
        <v>-4790085000</v>
      </c>
      <c r="K91" s="4">
        <v>-4733440000</v>
      </c>
      <c r="L91" s="4">
        <v>-4137335000</v>
      </c>
      <c r="M91" s="4">
        <v>-3372500000</v>
      </c>
    </row>
    <row r="92" spans="1:26" x14ac:dyDescent="0.2">
      <c r="A92" s="1493" t="s">
        <v>327</v>
      </c>
      <c r="B92" s="21" t="s">
        <v>21</v>
      </c>
      <c r="C92" s="21" t="s">
        <v>33</v>
      </c>
      <c r="D92" s="21" t="s">
        <v>13</v>
      </c>
      <c r="E92" s="21" t="s">
        <v>67</v>
      </c>
      <c r="F92" s="21" t="s">
        <v>93</v>
      </c>
      <c r="G92" s="21" t="s">
        <v>64</v>
      </c>
      <c r="H92" s="21" t="s">
        <v>34</v>
      </c>
      <c r="I92" s="21" t="s">
        <v>63</v>
      </c>
      <c r="J92" s="21" t="s">
        <v>58</v>
      </c>
      <c r="K92" s="21" t="s">
        <v>183</v>
      </c>
      <c r="L92" s="21" t="s">
        <v>23</v>
      </c>
      <c r="M92" s="21" t="s">
        <v>29</v>
      </c>
      <c r="N92" s="1493" t="s">
        <v>394</v>
      </c>
      <c r="O92" s="21" t="s">
        <v>79</v>
      </c>
      <c r="P92" s="21" t="s">
        <v>12</v>
      </c>
      <c r="Q92" s="21" t="s">
        <v>21</v>
      </c>
      <c r="R92" s="21" t="s">
        <v>14</v>
      </c>
      <c r="S92" s="21" t="s">
        <v>67</v>
      </c>
      <c r="T92" s="21" t="s">
        <v>30</v>
      </c>
      <c r="U92" s="21" t="s">
        <v>34</v>
      </c>
      <c r="V92" s="21" t="s">
        <v>63</v>
      </c>
      <c r="W92" s="21" t="s">
        <v>20</v>
      </c>
      <c r="X92" s="21" t="s">
        <v>93</v>
      </c>
      <c r="Y92" s="21" t="s">
        <v>276</v>
      </c>
      <c r="Z92" s="21" t="s">
        <v>69</v>
      </c>
    </row>
    <row r="93" spans="1:26" x14ac:dyDescent="0.2">
      <c r="A93" s="1493" t="s">
        <v>327</v>
      </c>
      <c r="B93" s="4">
        <v>-26480420000</v>
      </c>
      <c r="C93" s="4">
        <v>-13835780000</v>
      </c>
      <c r="D93" s="4">
        <v>-7870400000</v>
      </c>
      <c r="E93" s="4">
        <v>-6296041000</v>
      </c>
      <c r="F93" s="4">
        <v>-3889750000</v>
      </c>
      <c r="G93" s="4">
        <v>-3251655000</v>
      </c>
      <c r="H93" s="4">
        <v>-2823471000</v>
      </c>
      <c r="I93" s="4">
        <v>-2775600000</v>
      </c>
      <c r="J93" s="4">
        <v>-2598335000</v>
      </c>
      <c r="K93" s="4">
        <v>-2338475000</v>
      </c>
      <c r="L93" s="4">
        <v>-1962087000</v>
      </c>
      <c r="M93" s="4">
        <v>-1324197500</v>
      </c>
      <c r="N93" s="1493" t="s">
        <v>394</v>
      </c>
      <c r="O93" s="4">
        <v>-83956041000</v>
      </c>
      <c r="P93" s="4">
        <v>-82765638000</v>
      </c>
      <c r="Q93" s="4">
        <v>-70692050000</v>
      </c>
      <c r="R93" s="4">
        <v>-63419141000</v>
      </c>
      <c r="S93" s="4">
        <v>-63238792000</v>
      </c>
      <c r="T93" s="4">
        <v>-41798099000</v>
      </c>
      <c r="U93" s="4">
        <v>-24570931000</v>
      </c>
      <c r="V93" s="4">
        <v>-17002510000</v>
      </c>
      <c r="W93" s="4">
        <v>-8873730000</v>
      </c>
      <c r="X93" s="4">
        <v>-7957270000</v>
      </c>
      <c r="Y93" s="4">
        <v>-6664810000</v>
      </c>
      <c r="Z93" s="4">
        <v>-3578170000</v>
      </c>
    </row>
    <row r="94" spans="1:26" x14ac:dyDescent="0.2">
      <c r="A94" s="1493" t="s">
        <v>324</v>
      </c>
      <c r="B94" s="21" t="s">
        <v>15</v>
      </c>
      <c r="C94" s="21" t="s">
        <v>33</v>
      </c>
      <c r="D94" s="21" t="s">
        <v>79</v>
      </c>
      <c r="E94" s="21" t="s">
        <v>13</v>
      </c>
      <c r="F94" s="21" t="s">
        <v>23</v>
      </c>
      <c r="G94" s="21" t="s">
        <v>12</v>
      </c>
      <c r="H94" s="21" t="s">
        <v>35</v>
      </c>
      <c r="I94" s="21" t="s">
        <v>32</v>
      </c>
      <c r="J94" s="21" t="s">
        <v>64</v>
      </c>
      <c r="K94" s="21" t="s">
        <v>5</v>
      </c>
      <c r="L94" s="21" t="s">
        <v>59</v>
      </c>
      <c r="M94" s="21" t="s">
        <v>17</v>
      </c>
    </row>
    <row r="95" spans="1:26" x14ac:dyDescent="0.2">
      <c r="A95" s="1493" t="s">
        <v>324</v>
      </c>
      <c r="B95" s="4">
        <v>-51648630000</v>
      </c>
      <c r="C95" s="4">
        <v>-44460630000</v>
      </c>
      <c r="D95" s="4">
        <v>-38833895000</v>
      </c>
      <c r="E95" s="4">
        <v>-27315630000</v>
      </c>
      <c r="F95" s="4">
        <v>-18371823000</v>
      </c>
      <c r="G95" s="4">
        <v>-17300623000</v>
      </c>
      <c r="H95" s="4">
        <v>-16845674000</v>
      </c>
      <c r="I95" s="4">
        <v>-16322296000</v>
      </c>
      <c r="J95" s="4">
        <v>-15646090000</v>
      </c>
      <c r="K95" s="4">
        <v>-15167950000</v>
      </c>
      <c r="L95" s="4">
        <v>-14609193000</v>
      </c>
      <c r="M95" s="4">
        <v>-14407040000</v>
      </c>
    </row>
    <row r="96" spans="1:26" x14ac:dyDescent="0.2">
      <c r="A96" s="1493" t="s">
        <v>323</v>
      </c>
      <c r="B96" s="21" t="s">
        <v>79</v>
      </c>
      <c r="C96" s="21" t="s">
        <v>14</v>
      </c>
      <c r="D96" s="21" t="s">
        <v>30</v>
      </c>
      <c r="E96" s="21" t="s">
        <v>12</v>
      </c>
      <c r="F96" s="21" t="s">
        <v>34</v>
      </c>
      <c r="G96" s="21" t="s">
        <v>71</v>
      </c>
      <c r="H96" s="21" t="s">
        <v>20</v>
      </c>
      <c r="I96" s="21" t="s">
        <v>186</v>
      </c>
      <c r="J96" s="21" t="s">
        <v>69</v>
      </c>
      <c r="K96" s="21" t="s">
        <v>190</v>
      </c>
      <c r="L96" s="21" t="s">
        <v>63</v>
      </c>
      <c r="M96" s="21" t="s">
        <v>158</v>
      </c>
    </row>
    <row r="97" spans="1:26" x14ac:dyDescent="0.2">
      <c r="A97" s="1493" t="s">
        <v>323</v>
      </c>
      <c r="B97" s="4">
        <v>-52272025000</v>
      </c>
      <c r="C97" s="4">
        <v>-38168876000</v>
      </c>
      <c r="D97" s="1290">
        <v>-29842132000</v>
      </c>
      <c r="E97" s="4">
        <v>-12987318000</v>
      </c>
      <c r="F97" s="4">
        <v>-6351915000</v>
      </c>
      <c r="G97" s="4">
        <v>-5613380000</v>
      </c>
      <c r="H97" s="4">
        <v>-4401500000</v>
      </c>
      <c r="I97" s="1291">
        <v>-3209648000</v>
      </c>
      <c r="J97" s="4">
        <v>-3183260000</v>
      </c>
      <c r="K97" s="4">
        <v>-2897295000</v>
      </c>
      <c r="L97" s="4">
        <v>-1342000000</v>
      </c>
      <c r="M97" s="1292">
        <v>-855000000</v>
      </c>
    </row>
    <row r="98" spans="1:26" x14ac:dyDescent="0.2">
      <c r="A98" s="1493" t="s">
        <v>321</v>
      </c>
      <c r="B98" s="21" t="s">
        <v>14</v>
      </c>
      <c r="C98" s="21" t="s">
        <v>21</v>
      </c>
      <c r="D98" s="21" t="s">
        <v>79</v>
      </c>
      <c r="E98" s="21" t="s">
        <v>12</v>
      </c>
      <c r="F98" s="21" t="s">
        <v>15</v>
      </c>
      <c r="G98" s="21" t="s">
        <v>32</v>
      </c>
      <c r="H98" s="21" t="s">
        <v>23</v>
      </c>
      <c r="I98" s="21" t="s">
        <v>64</v>
      </c>
      <c r="J98" s="21" t="s">
        <v>34</v>
      </c>
      <c r="K98" s="21" t="s">
        <v>9</v>
      </c>
      <c r="L98" s="21" t="s">
        <v>35</v>
      </c>
      <c r="M98" s="21" t="s">
        <v>24</v>
      </c>
    </row>
    <row r="99" spans="1:26" x14ac:dyDescent="0.2">
      <c r="A99" s="1493" t="s">
        <v>321</v>
      </c>
      <c r="B99" s="4">
        <v>-94052279000</v>
      </c>
      <c r="C99" s="1286">
        <v>-79270400000</v>
      </c>
      <c r="D99" s="4">
        <v>-41506025000</v>
      </c>
      <c r="E99" s="4">
        <v>-37233077000</v>
      </c>
      <c r="F99" s="4">
        <v>-13129633000</v>
      </c>
      <c r="G99" s="4">
        <v>-10449105000</v>
      </c>
      <c r="H99" s="4">
        <v>-9022006000</v>
      </c>
      <c r="I99" s="4">
        <v>-4987245000</v>
      </c>
      <c r="J99" s="4">
        <v>-4936055000</v>
      </c>
      <c r="K99" s="4">
        <v>-3456370000</v>
      </c>
      <c r="L99" s="4">
        <v>-3360680000</v>
      </c>
      <c r="M99" s="4">
        <v>-3343915000</v>
      </c>
    </row>
    <row r="100" spans="1:26" x14ac:dyDescent="0.2">
      <c r="A100" s="1493" t="s">
        <v>317</v>
      </c>
      <c r="B100" s="21" t="s">
        <v>67</v>
      </c>
      <c r="C100" s="21" t="s">
        <v>30</v>
      </c>
      <c r="D100" s="21" t="s">
        <v>14</v>
      </c>
      <c r="E100" s="21" t="s">
        <v>12</v>
      </c>
      <c r="F100" s="21" t="s">
        <v>34</v>
      </c>
      <c r="G100" s="21" t="s">
        <v>29</v>
      </c>
      <c r="H100" s="21" t="s">
        <v>93</v>
      </c>
      <c r="I100" s="21" t="s">
        <v>58</v>
      </c>
      <c r="J100" s="21" t="s">
        <v>99</v>
      </c>
      <c r="K100" s="21" t="s">
        <v>63</v>
      </c>
      <c r="L100" s="21" t="s">
        <v>62</v>
      </c>
      <c r="M100" s="21" t="s">
        <v>20</v>
      </c>
    </row>
    <row r="101" spans="1:26" x14ac:dyDescent="0.2">
      <c r="A101" s="1493" t="s">
        <v>317</v>
      </c>
      <c r="B101" s="1282">
        <v>-58511420000</v>
      </c>
      <c r="C101" s="1283">
        <v>-25603027000</v>
      </c>
      <c r="D101" s="4">
        <v>-17838988000</v>
      </c>
      <c r="E101" s="4">
        <v>-15285077000</v>
      </c>
      <c r="F101" s="4">
        <v>-8407265000</v>
      </c>
      <c r="G101" s="4">
        <v>-7014072400</v>
      </c>
      <c r="H101" s="4">
        <v>-4067520000</v>
      </c>
      <c r="I101" s="4">
        <v>-2389450000</v>
      </c>
      <c r="J101" s="4">
        <v>-2167385000</v>
      </c>
      <c r="K101" s="4">
        <v>-1980690000</v>
      </c>
      <c r="L101" s="4">
        <v>-1669705000</v>
      </c>
      <c r="M101" s="4">
        <v>-1568750000</v>
      </c>
    </row>
    <row r="102" spans="1:26" x14ac:dyDescent="0.2">
      <c r="A102" s="1493" t="s">
        <v>309</v>
      </c>
      <c r="B102" s="21" t="s">
        <v>28</v>
      </c>
      <c r="C102" s="21" t="s">
        <v>34</v>
      </c>
      <c r="D102" s="21" t="s">
        <v>32</v>
      </c>
      <c r="E102" s="21" t="s">
        <v>67</v>
      </c>
      <c r="F102" s="21" t="s">
        <v>19</v>
      </c>
      <c r="G102" s="21" t="s">
        <v>17</v>
      </c>
      <c r="H102" s="21" t="s">
        <v>99</v>
      </c>
      <c r="I102" s="21" t="s">
        <v>6</v>
      </c>
      <c r="J102" s="21" t="s">
        <v>10</v>
      </c>
      <c r="K102" s="21" t="s">
        <v>158</v>
      </c>
      <c r="N102" s="1493" t="s">
        <v>393</v>
      </c>
      <c r="O102" s="21" t="s">
        <v>67</v>
      </c>
      <c r="P102" s="21" t="s">
        <v>33</v>
      </c>
      <c r="Q102" s="21" t="s">
        <v>69</v>
      </c>
      <c r="R102" s="21" t="s">
        <v>12</v>
      </c>
      <c r="S102" s="21" t="s">
        <v>17</v>
      </c>
      <c r="T102" s="21" t="s">
        <v>28</v>
      </c>
      <c r="U102" s="21" t="s">
        <v>13</v>
      </c>
      <c r="V102" s="21" t="s">
        <v>79</v>
      </c>
      <c r="W102" s="21" t="s">
        <v>22</v>
      </c>
      <c r="X102" s="21" t="s">
        <v>64</v>
      </c>
      <c r="Y102" s="21" t="s">
        <v>24</v>
      </c>
      <c r="Z102" s="21" t="s">
        <v>59</v>
      </c>
    </row>
    <row r="103" spans="1:26" x14ac:dyDescent="0.2">
      <c r="A103" s="1493" t="s">
        <v>309</v>
      </c>
      <c r="B103" s="1280">
        <v>-31764910000</v>
      </c>
      <c r="C103" s="4">
        <v>-16449411000</v>
      </c>
      <c r="D103" s="4">
        <v>-14037228000</v>
      </c>
      <c r="E103" s="4">
        <v>-10931255000</v>
      </c>
      <c r="F103" s="4">
        <v>-9663730000</v>
      </c>
      <c r="G103" s="4">
        <v>-8440037000</v>
      </c>
      <c r="H103" s="4">
        <v>-1796800000</v>
      </c>
      <c r="I103" s="4">
        <v>-1237155000</v>
      </c>
      <c r="J103" s="4">
        <v>-569640000</v>
      </c>
      <c r="K103" s="1281">
        <v>-517000000</v>
      </c>
      <c r="N103" s="1493" t="s">
        <v>393</v>
      </c>
      <c r="O103" s="4">
        <v>-60041746000</v>
      </c>
      <c r="P103" s="4">
        <v>-50402770000</v>
      </c>
      <c r="Q103" s="4">
        <v>-45025520000</v>
      </c>
      <c r="R103" s="4">
        <v>-43052502000</v>
      </c>
      <c r="S103" s="4">
        <v>-39915102000</v>
      </c>
      <c r="T103" s="4">
        <v>-31764910000</v>
      </c>
      <c r="U103" s="4">
        <v>-31653620000</v>
      </c>
      <c r="V103" s="4">
        <v>-27250238000</v>
      </c>
      <c r="W103" s="4">
        <v>-24671785000</v>
      </c>
      <c r="X103" s="4">
        <v>-24569370000</v>
      </c>
      <c r="Y103" s="4">
        <v>-20886845000</v>
      </c>
      <c r="Z103" s="4">
        <v>-19385475000</v>
      </c>
    </row>
    <row r="104" spans="1:26" x14ac:dyDescent="0.2">
      <c r="A104" s="1493" t="s">
        <v>305</v>
      </c>
      <c r="B104" s="21" t="s">
        <v>14</v>
      </c>
      <c r="C104" s="21" t="s">
        <v>69</v>
      </c>
      <c r="D104" s="21" t="s">
        <v>35</v>
      </c>
      <c r="E104" s="21" t="s">
        <v>67</v>
      </c>
      <c r="F104" s="21" t="s">
        <v>79</v>
      </c>
      <c r="G104" s="21" t="s">
        <v>194</v>
      </c>
      <c r="H104" s="21" t="s">
        <v>5</v>
      </c>
      <c r="I104" s="21" t="s">
        <v>40</v>
      </c>
      <c r="J104" s="21" t="s">
        <v>13</v>
      </c>
      <c r="K104" s="21" t="s">
        <v>176</v>
      </c>
      <c r="L104" s="21" t="s">
        <v>36</v>
      </c>
      <c r="M104" s="21" t="s">
        <v>22</v>
      </c>
    </row>
    <row r="105" spans="1:26" x14ac:dyDescent="0.2">
      <c r="A105" s="1493" t="s">
        <v>305</v>
      </c>
      <c r="B105" s="1276">
        <v>-142468233000</v>
      </c>
      <c r="C105" s="1277">
        <v>-45025520000</v>
      </c>
      <c r="D105" s="4">
        <v>-36097067000</v>
      </c>
      <c r="E105" s="4">
        <v>-19410611000</v>
      </c>
      <c r="F105" s="4">
        <v>-17403123000</v>
      </c>
      <c r="G105" s="1278">
        <v>-14171480000</v>
      </c>
      <c r="H105" s="4">
        <v>-12902723000</v>
      </c>
      <c r="I105" s="4">
        <v>-12401350000</v>
      </c>
      <c r="J105" s="4">
        <v>-10975005000</v>
      </c>
      <c r="K105" s="4">
        <v>-10495360000</v>
      </c>
      <c r="L105" s="4">
        <v>-10090840000</v>
      </c>
      <c r="M105" s="4">
        <v>-9792850000</v>
      </c>
    </row>
    <row r="106" spans="1:26" x14ac:dyDescent="0.2">
      <c r="A106" s="1493" t="s">
        <v>260</v>
      </c>
      <c r="B106" s="21" t="s">
        <v>67</v>
      </c>
      <c r="C106" s="21" t="s">
        <v>17</v>
      </c>
      <c r="D106" s="21" t="s">
        <v>13</v>
      </c>
      <c r="E106" s="21" t="s">
        <v>79</v>
      </c>
      <c r="F106" s="21" t="s">
        <v>58</v>
      </c>
      <c r="G106" s="21" t="s">
        <v>5</v>
      </c>
      <c r="H106" s="21" t="s">
        <v>64</v>
      </c>
      <c r="I106" s="21" t="s">
        <v>25</v>
      </c>
      <c r="J106" s="21" t="s">
        <v>7</v>
      </c>
      <c r="K106" s="21" t="s">
        <v>12</v>
      </c>
      <c r="L106" s="21" t="s">
        <v>59</v>
      </c>
      <c r="M106" s="21" t="s">
        <v>22</v>
      </c>
    </row>
    <row r="107" spans="1:26" x14ac:dyDescent="0.2">
      <c r="A107" s="1493" t="s">
        <v>260</v>
      </c>
      <c r="B107" s="4">
        <v>-22947940000</v>
      </c>
      <c r="C107" s="4">
        <v>-18981271000</v>
      </c>
      <c r="D107" s="4">
        <v>-18729570000</v>
      </c>
      <c r="E107" s="4">
        <v>-17594015000</v>
      </c>
      <c r="F107" s="4">
        <v>-14754850000</v>
      </c>
      <c r="G107" s="4">
        <v>-12411536000</v>
      </c>
      <c r="H107" s="4">
        <v>-10677030000</v>
      </c>
      <c r="I107" s="4">
        <v>-10280160000</v>
      </c>
      <c r="J107" s="1274">
        <v>-10147090000</v>
      </c>
      <c r="K107" s="4">
        <v>-10132047000</v>
      </c>
      <c r="L107" s="4">
        <v>-9803315000</v>
      </c>
      <c r="M107" s="4">
        <v>-9026315000</v>
      </c>
    </row>
    <row r="108" spans="1:26" x14ac:dyDescent="0.2">
      <c r="A108" s="1493" t="s">
        <v>259</v>
      </c>
      <c r="B108" s="21" t="s">
        <v>12</v>
      </c>
      <c r="C108" s="21" t="s">
        <v>33</v>
      </c>
      <c r="D108" s="21" t="s">
        <v>15</v>
      </c>
      <c r="E108" s="21" t="s">
        <v>13</v>
      </c>
      <c r="F108" s="21" t="s">
        <v>17</v>
      </c>
      <c r="G108" s="21" t="s">
        <v>67</v>
      </c>
      <c r="H108" s="21" t="s">
        <v>59</v>
      </c>
      <c r="I108" s="21" t="s">
        <v>24</v>
      </c>
      <c r="J108" s="21" t="s">
        <v>64</v>
      </c>
      <c r="K108" s="21" t="s">
        <v>99</v>
      </c>
      <c r="L108" s="21" t="s">
        <v>23</v>
      </c>
      <c r="M108" s="21" t="s">
        <v>79</v>
      </c>
    </row>
    <row r="109" spans="1:26" x14ac:dyDescent="0.2">
      <c r="A109" s="1493" t="s">
        <v>259</v>
      </c>
      <c r="B109" s="4">
        <v>-36118960000</v>
      </c>
      <c r="C109" s="4">
        <v>-33487990000</v>
      </c>
      <c r="D109" s="4">
        <v>-20207440000</v>
      </c>
      <c r="E109" s="4">
        <v>-17870340000</v>
      </c>
      <c r="F109" s="4">
        <v>-16759995000</v>
      </c>
      <c r="G109" s="4">
        <v>-13562903000</v>
      </c>
      <c r="H109" s="4">
        <v>-10381940000</v>
      </c>
      <c r="I109" s="4">
        <v>-9730395000</v>
      </c>
      <c r="J109" s="4">
        <v>-8864625000</v>
      </c>
      <c r="K109" s="4">
        <v>-8786860000</v>
      </c>
      <c r="L109" s="4">
        <v>-7569197000</v>
      </c>
      <c r="M109" s="4">
        <v>-7116375000</v>
      </c>
    </row>
    <row r="110" spans="1:26" x14ac:dyDescent="0.2">
      <c r="A110" s="1493" t="s">
        <v>258</v>
      </c>
      <c r="B110" s="21" t="s">
        <v>33</v>
      </c>
      <c r="C110" s="21" t="s">
        <v>12</v>
      </c>
      <c r="D110" s="21" t="s">
        <v>38</v>
      </c>
      <c r="E110" s="21" t="s">
        <v>32</v>
      </c>
      <c r="F110" s="21" t="s">
        <v>63</v>
      </c>
      <c r="G110" s="21" t="s">
        <v>24</v>
      </c>
      <c r="H110" s="21" t="s">
        <v>71</v>
      </c>
      <c r="I110" s="21" t="s">
        <v>22</v>
      </c>
      <c r="J110" s="21" t="s">
        <v>30</v>
      </c>
      <c r="K110" s="21" t="s">
        <v>59</v>
      </c>
      <c r="L110" s="21" t="s">
        <v>21</v>
      </c>
      <c r="M110" s="21" t="s">
        <v>18</v>
      </c>
    </row>
    <row r="111" spans="1:26" x14ac:dyDescent="0.2">
      <c r="A111" s="1493" t="s">
        <v>258</v>
      </c>
      <c r="B111" s="4">
        <v>-25594870000</v>
      </c>
      <c r="C111" s="4">
        <v>-19223244000</v>
      </c>
      <c r="D111" s="4">
        <v>-13173635000</v>
      </c>
      <c r="E111" s="4">
        <v>-3222330000</v>
      </c>
      <c r="F111" s="1268">
        <v>-3175600000</v>
      </c>
      <c r="G111" s="4">
        <v>-2875335000</v>
      </c>
      <c r="H111" s="4">
        <v>-2790000000</v>
      </c>
      <c r="I111" s="4">
        <v>-1861270000</v>
      </c>
      <c r="J111" s="4">
        <v>-1838932000</v>
      </c>
      <c r="K111" s="4">
        <v>-1760810000</v>
      </c>
      <c r="L111" s="4">
        <v>-1192760000</v>
      </c>
      <c r="M111" s="4">
        <v>-860315000</v>
      </c>
    </row>
    <row r="112" spans="1:26" x14ac:dyDescent="0.2">
      <c r="A112" s="1493" t="s">
        <v>257</v>
      </c>
      <c r="B112" s="21" t="s">
        <v>79</v>
      </c>
      <c r="C112" s="21" t="s">
        <v>71</v>
      </c>
      <c r="D112" s="21" t="s">
        <v>32</v>
      </c>
      <c r="E112" s="21" t="s">
        <v>15</v>
      </c>
      <c r="F112" s="21" t="s">
        <v>24</v>
      </c>
      <c r="G112" s="21" t="s">
        <v>23</v>
      </c>
      <c r="H112" s="21" t="s">
        <v>13</v>
      </c>
      <c r="I112" s="21" t="s">
        <v>35</v>
      </c>
      <c r="J112" s="21" t="s">
        <v>17</v>
      </c>
      <c r="K112" s="21" t="s">
        <v>21</v>
      </c>
      <c r="L112" s="21" t="s">
        <v>64</v>
      </c>
      <c r="M112" s="21" t="s">
        <v>59</v>
      </c>
      <c r="N112" s="1493" t="s">
        <v>392</v>
      </c>
      <c r="O112" s="21" t="s">
        <v>15</v>
      </c>
      <c r="P112" s="21" t="s">
        <v>71</v>
      </c>
      <c r="Q112" s="21" t="s">
        <v>17</v>
      </c>
      <c r="R112" s="21" t="s">
        <v>24</v>
      </c>
      <c r="S112" s="21" t="s">
        <v>13</v>
      </c>
      <c r="T112" s="21" t="s">
        <v>32</v>
      </c>
      <c r="U112" s="21" t="s">
        <v>79</v>
      </c>
      <c r="V112" s="21" t="s">
        <v>57</v>
      </c>
      <c r="W112" s="21" t="s">
        <v>5</v>
      </c>
      <c r="X112" s="21" t="s">
        <v>14</v>
      </c>
      <c r="Y112" s="21" t="s">
        <v>64</v>
      </c>
      <c r="Z112" s="21" t="s">
        <v>295</v>
      </c>
    </row>
    <row r="113" spans="1:26" x14ac:dyDescent="0.2">
      <c r="A113" s="1493" t="s">
        <v>257</v>
      </c>
      <c r="B113" s="1265">
        <v>-91134343000</v>
      </c>
      <c r="C113" s="1266">
        <v>-75416965000</v>
      </c>
      <c r="D113" s="4">
        <v>-73454492000</v>
      </c>
      <c r="E113" s="4">
        <v>-61532900000</v>
      </c>
      <c r="F113" s="1267">
        <v>-52843285000</v>
      </c>
      <c r="G113" s="4">
        <v>-49797321000</v>
      </c>
      <c r="H113" s="4">
        <v>-44763920000</v>
      </c>
      <c r="I113" s="4">
        <v>-41221780000</v>
      </c>
      <c r="J113" s="4">
        <v>-34459928000</v>
      </c>
      <c r="K113" s="4">
        <v>-31204170000</v>
      </c>
      <c r="L113" s="4">
        <v>-31029145000</v>
      </c>
      <c r="M113" s="4">
        <v>-30082630000</v>
      </c>
      <c r="N113" s="1493" t="s">
        <v>392</v>
      </c>
      <c r="O113" s="4">
        <v>-459570202660</v>
      </c>
      <c r="P113" s="4">
        <v>-125809918100</v>
      </c>
      <c r="Q113" s="4">
        <v>-86839250830</v>
      </c>
      <c r="R113" s="4">
        <v>-55715073450</v>
      </c>
      <c r="S113" s="4">
        <v>-46269940990</v>
      </c>
      <c r="T113" s="4">
        <v>-45834982380</v>
      </c>
      <c r="U113" s="4">
        <v>-38252326610</v>
      </c>
      <c r="V113" s="4">
        <v>-34163520000</v>
      </c>
      <c r="W113" s="4">
        <v>-33749710150</v>
      </c>
      <c r="X113" s="4">
        <v>-18638070780</v>
      </c>
      <c r="Y113" s="4">
        <v>-17110945000</v>
      </c>
      <c r="Z113" s="4">
        <v>-15672813920</v>
      </c>
    </row>
    <row r="114" spans="1:26" x14ac:dyDescent="0.2">
      <c r="A114" s="1493" t="s">
        <v>256</v>
      </c>
      <c r="B114" s="21" t="s">
        <v>17</v>
      </c>
      <c r="C114" s="21" t="s">
        <v>71</v>
      </c>
      <c r="D114" s="21" t="s">
        <v>295</v>
      </c>
      <c r="E114" s="21" t="s">
        <v>14</v>
      </c>
      <c r="F114" s="21" t="s">
        <v>57</v>
      </c>
      <c r="G114" s="21" t="s">
        <v>29</v>
      </c>
      <c r="H114" s="21" t="s">
        <v>30</v>
      </c>
      <c r="I114" s="21" t="s">
        <v>5</v>
      </c>
      <c r="J114" s="21" t="s">
        <v>176</v>
      </c>
      <c r="K114" s="21" t="s">
        <v>34</v>
      </c>
      <c r="L114" s="21" t="s">
        <v>66</v>
      </c>
      <c r="M114" s="21" t="s">
        <v>202</v>
      </c>
    </row>
    <row r="115" spans="1:26" x14ac:dyDescent="0.2">
      <c r="A115" s="1493" t="s">
        <v>256</v>
      </c>
      <c r="B115" s="4">
        <v>-59176095000</v>
      </c>
      <c r="C115" s="1260">
        <v>-56021339000</v>
      </c>
      <c r="D115" s="4">
        <v>-8244320000</v>
      </c>
      <c r="E115" s="4">
        <v>-7755383000</v>
      </c>
      <c r="F115" s="4">
        <v>-6594640000</v>
      </c>
      <c r="G115" s="4">
        <v>-5076565000</v>
      </c>
      <c r="H115" s="4">
        <v>-4973500000</v>
      </c>
      <c r="I115" s="4">
        <v>-4240799000</v>
      </c>
      <c r="J115" s="4">
        <v>-2589950000</v>
      </c>
      <c r="K115" s="4">
        <v>-1383590000</v>
      </c>
      <c r="L115" s="1261">
        <v>-964805000</v>
      </c>
      <c r="M115" s="4">
        <v>-738400000</v>
      </c>
    </row>
    <row r="116" spans="1:26" x14ac:dyDescent="0.2">
      <c r="A116" s="1493" t="s">
        <v>255</v>
      </c>
      <c r="B116" s="21" t="s">
        <v>15</v>
      </c>
      <c r="C116" s="21" t="s">
        <v>57</v>
      </c>
      <c r="D116" s="21" t="s">
        <v>67</v>
      </c>
      <c r="E116" s="21" t="s">
        <v>183</v>
      </c>
      <c r="F116" s="21" t="s">
        <v>13</v>
      </c>
      <c r="G116" s="21" t="s">
        <v>58</v>
      </c>
      <c r="H116" s="21" t="s">
        <v>24</v>
      </c>
      <c r="I116" s="21" t="s">
        <v>7</v>
      </c>
      <c r="J116" s="21" t="s">
        <v>63</v>
      </c>
      <c r="K116" s="21" t="s">
        <v>5</v>
      </c>
      <c r="L116" s="21" t="s">
        <v>293</v>
      </c>
      <c r="M116" s="21" t="s">
        <v>20</v>
      </c>
    </row>
    <row r="117" spans="1:26" x14ac:dyDescent="0.2">
      <c r="A117" s="1493" t="s">
        <v>255</v>
      </c>
      <c r="B117" s="1254">
        <v>-428924611000</v>
      </c>
      <c r="C117" s="1255">
        <v>-27568880000</v>
      </c>
      <c r="D117" s="4">
        <v>-19033738000</v>
      </c>
      <c r="E117" s="4">
        <v>-12642280000</v>
      </c>
      <c r="F117" s="4">
        <v>-6549930000</v>
      </c>
      <c r="G117" s="4">
        <v>-6115500000</v>
      </c>
      <c r="H117" s="4">
        <v>-5587095000</v>
      </c>
      <c r="I117" s="4">
        <v>-3300000000</v>
      </c>
      <c r="J117" s="1256">
        <v>-2626175200</v>
      </c>
      <c r="K117" s="4">
        <v>-2599500000</v>
      </c>
      <c r="L117" s="1257">
        <v>-1345000000</v>
      </c>
      <c r="M117" s="4">
        <v>-6270000</v>
      </c>
    </row>
    <row r="118" spans="1:26" x14ac:dyDescent="0.2">
      <c r="A118" s="1493" t="s">
        <v>254</v>
      </c>
      <c r="B118" s="21" t="s">
        <v>32</v>
      </c>
      <c r="C118" s="21" t="s">
        <v>38</v>
      </c>
      <c r="D118" s="21" t="s">
        <v>14</v>
      </c>
      <c r="E118" s="21" t="s">
        <v>34</v>
      </c>
      <c r="F118" s="21" t="s">
        <v>15</v>
      </c>
      <c r="G118" s="21" t="s">
        <v>13</v>
      </c>
      <c r="H118" s="21" t="s">
        <v>40</v>
      </c>
      <c r="I118" s="21" t="s">
        <v>61</v>
      </c>
      <c r="J118" s="21" t="s">
        <v>24</v>
      </c>
      <c r="K118" s="21" t="s">
        <v>22</v>
      </c>
      <c r="L118" s="21" t="s">
        <v>23</v>
      </c>
      <c r="M118" s="21" t="s">
        <v>21</v>
      </c>
    </row>
    <row r="119" spans="1:26" x14ac:dyDescent="0.2">
      <c r="A119" s="1493" t="s">
        <v>254</v>
      </c>
      <c r="B119" s="4">
        <v>-60742410</v>
      </c>
      <c r="C119" s="4">
        <v>-53900910</v>
      </c>
      <c r="D119" s="4">
        <v>-46061360</v>
      </c>
      <c r="E119" s="4">
        <v>-34007590</v>
      </c>
      <c r="F119" s="4">
        <v>-33856660</v>
      </c>
      <c r="G119" s="4">
        <v>-31116260</v>
      </c>
      <c r="H119" s="4">
        <v>-29776270</v>
      </c>
      <c r="I119" s="4">
        <v>-28565740</v>
      </c>
      <c r="J119" s="4">
        <v>-26461030</v>
      </c>
      <c r="K119" s="4">
        <v>-23638210</v>
      </c>
      <c r="L119" s="4">
        <v>-17322440</v>
      </c>
      <c r="M119" s="4">
        <v>-15099030</v>
      </c>
    </row>
    <row r="120" spans="1:26" x14ac:dyDescent="0.2">
      <c r="A120" s="1493" t="s">
        <v>253</v>
      </c>
      <c r="B120" s="21" t="s">
        <v>14</v>
      </c>
      <c r="C120" s="21" t="s">
        <v>26</v>
      </c>
      <c r="D120" s="21" t="s">
        <v>32</v>
      </c>
      <c r="E120" s="21" t="s">
        <v>13</v>
      </c>
      <c r="F120" s="21" t="s">
        <v>34</v>
      </c>
      <c r="G120" s="21" t="s">
        <v>67</v>
      </c>
      <c r="H120" s="21" t="s">
        <v>33</v>
      </c>
      <c r="I120" s="21" t="s">
        <v>28</v>
      </c>
      <c r="J120" s="21" t="s">
        <v>23</v>
      </c>
      <c r="K120" s="21" t="s">
        <v>6</v>
      </c>
      <c r="L120" s="21" t="s">
        <v>24</v>
      </c>
      <c r="M120" s="21" t="s">
        <v>12</v>
      </c>
    </row>
    <row r="121" spans="1:26" x14ac:dyDescent="0.2">
      <c r="A121" s="1493" t="s">
        <v>253</v>
      </c>
      <c r="B121" s="4">
        <v>-75509420</v>
      </c>
      <c r="C121" s="4">
        <v>-47653850</v>
      </c>
      <c r="D121" s="4">
        <v>-17802970</v>
      </c>
      <c r="E121" s="4">
        <v>-14304730</v>
      </c>
      <c r="F121" s="4">
        <v>-12529390</v>
      </c>
      <c r="G121" s="4">
        <v>-9099010</v>
      </c>
      <c r="H121" s="4">
        <v>-7083570</v>
      </c>
      <c r="I121" s="4">
        <v>-4868160</v>
      </c>
      <c r="J121" s="4">
        <v>-1270520</v>
      </c>
      <c r="K121" s="4">
        <v>-1155820</v>
      </c>
      <c r="L121" s="4">
        <v>-752420</v>
      </c>
      <c r="M121" s="4">
        <v>-308220</v>
      </c>
    </row>
    <row r="122" spans="1:26" x14ac:dyDescent="0.2">
      <c r="A122" s="1493" t="s">
        <v>252</v>
      </c>
      <c r="B122" s="21" t="s">
        <v>33</v>
      </c>
      <c r="C122" s="21" t="s">
        <v>15</v>
      </c>
      <c r="D122" s="21" t="s">
        <v>13</v>
      </c>
      <c r="E122" s="21" t="s">
        <v>35</v>
      </c>
      <c r="F122" s="21" t="s">
        <v>5</v>
      </c>
      <c r="G122" s="21" t="s">
        <v>32</v>
      </c>
      <c r="H122" s="21" t="s">
        <v>183</v>
      </c>
      <c r="I122" s="21" t="s">
        <v>21</v>
      </c>
      <c r="J122" s="21" t="s">
        <v>70</v>
      </c>
      <c r="K122" s="21" t="s">
        <v>23</v>
      </c>
      <c r="L122" s="21" t="s">
        <v>64</v>
      </c>
      <c r="M122" s="21" t="s">
        <v>59</v>
      </c>
      <c r="N122" s="1493" t="s">
        <v>391</v>
      </c>
      <c r="O122" s="21" t="s">
        <v>17</v>
      </c>
      <c r="P122" s="21" t="s">
        <v>13</v>
      </c>
      <c r="Q122" s="21" t="s">
        <v>20</v>
      </c>
      <c r="R122" s="21" t="s">
        <v>271</v>
      </c>
      <c r="S122" s="21" t="s">
        <v>70</v>
      </c>
      <c r="T122" s="21" t="s">
        <v>183</v>
      </c>
      <c r="U122" s="21" t="s">
        <v>7</v>
      </c>
      <c r="V122" s="21" t="s">
        <v>40</v>
      </c>
      <c r="W122" s="21" t="s">
        <v>202</v>
      </c>
      <c r="X122" s="21" t="s">
        <v>263</v>
      </c>
      <c r="Y122" s="21" t="s">
        <v>67</v>
      </c>
      <c r="Z122" s="21" t="s">
        <v>266</v>
      </c>
    </row>
    <row r="123" spans="1:26" x14ac:dyDescent="0.2">
      <c r="A123" s="1493" t="s">
        <v>252</v>
      </c>
      <c r="B123" s="4">
        <v>-42265516000</v>
      </c>
      <c r="C123" s="4">
        <v>-37792735000</v>
      </c>
      <c r="D123" s="4">
        <v>-25885815000</v>
      </c>
      <c r="E123" s="4">
        <v>-25221115000</v>
      </c>
      <c r="F123" s="4">
        <v>-24521558000</v>
      </c>
      <c r="G123" s="4">
        <v>-23103500000</v>
      </c>
      <c r="H123" s="1250">
        <v>-19436145000</v>
      </c>
      <c r="I123" s="4">
        <v>-17610690000</v>
      </c>
      <c r="J123" s="1251">
        <v>-17260640000</v>
      </c>
      <c r="K123" s="4">
        <v>-12526075000</v>
      </c>
      <c r="L123" s="4">
        <v>-11186545000</v>
      </c>
      <c r="M123" s="4">
        <v>-10995030000</v>
      </c>
      <c r="N123" s="1493" t="s">
        <v>391</v>
      </c>
      <c r="O123" s="4">
        <v>-93827322000</v>
      </c>
      <c r="P123" s="4">
        <v>-32144308000</v>
      </c>
      <c r="Q123" s="4">
        <v>-17141340000</v>
      </c>
      <c r="R123" s="4">
        <v>-16610060000</v>
      </c>
      <c r="S123" s="4">
        <v>-15544830000</v>
      </c>
      <c r="T123" s="4">
        <v>-11795115000</v>
      </c>
      <c r="U123" s="4">
        <v>-10201720000</v>
      </c>
      <c r="V123" s="4">
        <v>-8064817000</v>
      </c>
      <c r="W123" s="4">
        <v>-8029762700</v>
      </c>
      <c r="X123" s="4">
        <v>-7186750000</v>
      </c>
      <c r="Y123" s="4">
        <v>-7016508000</v>
      </c>
      <c r="Z123" s="4">
        <v>-4686370000</v>
      </c>
    </row>
    <row r="124" spans="1:26" x14ac:dyDescent="0.2">
      <c r="A124" s="1493" t="s">
        <v>251</v>
      </c>
      <c r="B124" s="21" t="s">
        <v>17</v>
      </c>
      <c r="C124" s="21" t="s">
        <v>163</v>
      </c>
      <c r="D124" s="21" t="s">
        <v>40</v>
      </c>
      <c r="E124" s="21" t="s">
        <v>58</v>
      </c>
      <c r="F124" s="21" t="s">
        <v>20</v>
      </c>
      <c r="G124" s="21" t="s">
        <v>67</v>
      </c>
      <c r="H124" s="21" t="s">
        <v>263</v>
      </c>
      <c r="I124" s="21" t="s">
        <v>36</v>
      </c>
      <c r="J124" s="21" t="s">
        <v>25</v>
      </c>
      <c r="K124" s="21" t="s">
        <v>29</v>
      </c>
      <c r="L124" s="21" t="s">
        <v>194</v>
      </c>
      <c r="M124" s="21" t="s">
        <v>202</v>
      </c>
    </row>
    <row r="125" spans="1:26" x14ac:dyDescent="0.2">
      <c r="A125" s="1493" t="s">
        <v>251</v>
      </c>
      <c r="B125" s="4">
        <v>-49757754000</v>
      </c>
      <c r="C125" s="4">
        <v>-48034510000</v>
      </c>
      <c r="D125" s="4">
        <v>-18819414000</v>
      </c>
      <c r="E125" s="4">
        <v>-12401545000</v>
      </c>
      <c r="F125" s="4">
        <v>-9578880000</v>
      </c>
      <c r="G125" s="4">
        <v>-7959751000</v>
      </c>
      <c r="H125" s="4">
        <v>-7186750000</v>
      </c>
      <c r="I125" s="4">
        <v>-6739520000</v>
      </c>
      <c r="J125" s="4">
        <v>-6720640000</v>
      </c>
      <c r="K125" s="4">
        <v>-4322758200</v>
      </c>
      <c r="L125" s="1248">
        <v>-4251036000</v>
      </c>
      <c r="M125" s="4">
        <v>-2550240000</v>
      </c>
    </row>
    <row r="126" spans="1:26" x14ac:dyDescent="0.2">
      <c r="A126" s="1493" t="s">
        <v>250</v>
      </c>
      <c r="B126" s="21" t="s">
        <v>271</v>
      </c>
      <c r="C126" s="21" t="s">
        <v>202</v>
      </c>
      <c r="D126" s="21" t="s">
        <v>295</v>
      </c>
      <c r="E126" s="21" t="s">
        <v>20</v>
      </c>
      <c r="F126" s="21" t="s">
        <v>7</v>
      </c>
      <c r="G126" s="21" t="s">
        <v>17</v>
      </c>
    </row>
    <row r="127" spans="1:26" x14ac:dyDescent="0.2">
      <c r="A127" s="1493" t="s">
        <v>250</v>
      </c>
      <c r="B127" s="1239">
        <v>-16610060000</v>
      </c>
      <c r="C127" s="1240">
        <v>-4870000000</v>
      </c>
      <c r="D127" s="4">
        <v>-3180000000</v>
      </c>
      <c r="E127" s="4">
        <v>-2371220000</v>
      </c>
      <c r="F127" s="4">
        <v>-2363000000</v>
      </c>
      <c r="G127" s="4">
        <v>-39994000</v>
      </c>
    </row>
    <row r="128" spans="1:26" x14ac:dyDescent="0.2">
      <c r="A128" s="1493" t="s">
        <v>249</v>
      </c>
      <c r="B128" s="21" t="s">
        <v>13</v>
      </c>
      <c r="C128" s="21" t="s">
        <v>17</v>
      </c>
      <c r="D128" s="21" t="s">
        <v>23</v>
      </c>
      <c r="E128" s="21" t="s">
        <v>32</v>
      </c>
      <c r="F128" s="21" t="s">
        <v>24</v>
      </c>
      <c r="G128" s="21" t="s">
        <v>35</v>
      </c>
      <c r="H128" s="21" t="s">
        <v>59</v>
      </c>
      <c r="I128" s="21" t="s">
        <v>12</v>
      </c>
      <c r="J128" s="21" t="s">
        <v>22</v>
      </c>
      <c r="K128" s="21" t="s">
        <v>25</v>
      </c>
      <c r="L128" s="21" t="s">
        <v>266</v>
      </c>
      <c r="M128" s="21" t="s">
        <v>21</v>
      </c>
    </row>
    <row r="129" spans="1:26" x14ac:dyDescent="0.2">
      <c r="A129" s="1493" t="s">
        <v>249</v>
      </c>
      <c r="B129" s="4">
        <v>-52635295000</v>
      </c>
      <c r="C129" s="4">
        <v>-44079988000</v>
      </c>
      <c r="D129" s="4">
        <v>-32204360000</v>
      </c>
      <c r="E129" s="4">
        <v>-17805635000</v>
      </c>
      <c r="F129" s="4">
        <v>-12140855000</v>
      </c>
      <c r="G129" s="4">
        <v>-11729065000</v>
      </c>
      <c r="H129" s="4">
        <v>-2577815000</v>
      </c>
      <c r="I129" s="4">
        <v>-2294180000</v>
      </c>
      <c r="J129" s="4">
        <v>-1249325000</v>
      </c>
      <c r="K129" s="4">
        <v>-988560000</v>
      </c>
      <c r="L129" s="4">
        <v>-613500000</v>
      </c>
      <c r="M129" s="4">
        <v>-604320000</v>
      </c>
    </row>
    <row r="130" spans="1:26" x14ac:dyDescent="0.2">
      <c r="A130" s="1493" t="s">
        <v>248</v>
      </c>
      <c r="B130" s="21" t="s">
        <v>13</v>
      </c>
      <c r="C130" s="21" t="s">
        <v>17</v>
      </c>
      <c r="D130" s="21" t="s">
        <v>20</v>
      </c>
      <c r="E130" s="21" t="s">
        <v>22</v>
      </c>
      <c r="F130" s="21" t="s">
        <v>15</v>
      </c>
      <c r="G130" s="21" t="s">
        <v>202</v>
      </c>
      <c r="H130" s="21" t="s">
        <v>63</v>
      </c>
      <c r="I130" s="21" t="s">
        <v>266</v>
      </c>
    </row>
    <row r="131" spans="1:26" x14ac:dyDescent="0.2">
      <c r="A131" s="1493" t="s">
        <v>248</v>
      </c>
      <c r="B131" s="4">
        <v>-16913358000</v>
      </c>
      <c r="C131" s="4">
        <v>-5563611000</v>
      </c>
      <c r="D131" s="4">
        <v>-5191240000</v>
      </c>
      <c r="E131" s="4">
        <v>-1739428000</v>
      </c>
      <c r="F131" s="4">
        <v>-757194000</v>
      </c>
      <c r="G131" s="4">
        <v>-609522700</v>
      </c>
      <c r="H131" s="4">
        <v>-446400000</v>
      </c>
      <c r="I131" s="4">
        <v>-142870000</v>
      </c>
    </row>
    <row r="132" spans="1:26" x14ac:dyDescent="0.2">
      <c r="A132" s="1493" t="s">
        <v>247</v>
      </c>
      <c r="B132" s="21" t="s">
        <v>183</v>
      </c>
      <c r="C132" s="21" t="s">
        <v>36</v>
      </c>
      <c r="D132" s="21" t="s">
        <v>33</v>
      </c>
      <c r="E132" s="21" t="s">
        <v>29</v>
      </c>
      <c r="F132" s="21" t="s">
        <v>14</v>
      </c>
      <c r="G132" s="21" t="s">
        <v>266</v>
      </c>
      <c r="H132" s="21" t="s">
        <v>58</v>
      </c>
      <c r="I132" s="21" t="s">
        <v>21</v>
      </c>
      <c r="J132" s="21" t="s">
        <v>13</v>
      </c>
      <c r="K132" s="21" t="s">
        <v>34</v>
      </c>
      <c r="L132" s="21" t="s">
        <v>176</v>
      </c>
      <c r="M132" s="21" t="s">
        <v>15</v>
      </c>
      <c r="N132" s="1493" t="s">
        <v>390</v>
      </c>
      <c r="O132" s="21" t="s">
        <v>58</v>
      </c>
      <c r="P132" s="21" t="s">
        <v>20</v>
      </c>
      <c r="Q132" s="21" t="s">
        <v>22</v>
      </c>
      <c r="R132" s="21" t="s">
        <v>32</v>
      </c>
      <c r="S132" s="21" t="s">
        <v>79</v>
      </c>
      <c r="T132" s="21" t="s">
        <v>29</v>
      </c>
      <c r="U132" s="21" t="s">
        <v>36</v>
      </c>
      <c r="V132" s="21" t="s">
        <v>15</v>
      </c>
      <c r="W132" s="21" t="s">
        <v>59</v>
      </c>
      <c r="X132" s="21" t="s">
        <v>23</v>
      </c>
      <c r="Y132" s="21" t="s">
        <v>17</v>
      </c>
      <c r="Z132" s="21" t="s">
        <v>13</v>
      </c>
    </row>
    <row r="133" spans="1:26" x14ac:dyDescent="0.2">
      <c r="A133" s="1493" t="s">
        <v>247</v>
      </c>
      <c r="B133" s="1232">
        <v>-16006650000</v>
      </c>
      <c r="C133" s="4">
        <v>-14374960000</v>
      </c>
      <c r="D133" s="4">
        <v>-14124240000</v>
      </c>
      <c r="E133" s="4">
        <v>-14124213500</v>
      </c>
      <c r="F133" s="4">
        <v>-12691766000</v>
      </c>
      <c r="G133" s="4">
        <v>-9375710000</v>
      </c>
      <c r="H133" s="4">
        <v>-8728180000</v>
      </c>
      <c r="I133" s="4">
        <v>-8486350000</v>
      </c>
      <c r="J133" s="4">
        <v>-7432020000</v>
      </c>
      <c r="K133" s="4">
        <v>-6630315000</v>
      </c>
      <c r="L133" s="4">
        <v>-6103340000</v>
      </c>
      <c r="M133" s="4">
        <v>-5967855000</v>
      </c>
      <c r="N133" s="1493" t="s">
        <v>390</v>
      </c>
      <c r="O133" s="4">
        <v>-154715594000</v>
      </c>
      <c r="P133" s="4">
        <v>-118512602000</v>
      </c>
      <c r="Q133" s="4">
        <v>-84201375000</v>
      </c>
      <c r="R133" s="4">
        <v>-83254778000</v>
      </c>
      <c r="S133" s="4">
        <v>-75206368000</v>
      </c>
      <c r="T133" s="4">
        <v>-47770838500</v>
      </c>
      <c r="U133" s="4">
        <v>-45825990000</v>
      </c>
      <c r="V133" s="4">
        <v>-35163810000</v>
      </c>
      <c r="W133" s="4">
        <v>-24811528000</v>
      </c>
      <c r="X133" s="4">
        <v>-22828280000</v>
      </c>
      <c r="Y133" s="4">
        <v>-21696227000</v>
      </c>
      <c r="Z133" s="4">
        <v>-19334460000</v>
      </c>
    </row>
    <row r="134" spans="1:26" x14ac:dyDescent="0.2">
      <c r="A134" s="1493" t="s">
        <v>243</v>
      </c>
      <c r="B134" s="21" t="s">
        <v>23</v>
      </c>
      <c r="C134" s="21" t="s">
        <v>32</v>
      </c>
      <c r="D134" s="21" t="s">
        <v>5</v>
      </c>
      <c r="E134" s="21" t="s">
        <v>266</v>
      </c>
      <c r="F134" s="21" t="s">
        <v>79</v>
      </c>
      <c r="G134" s="21" t="s">
        <v>34</v>
      </c>
      <c r="H134" s="21" t="s">
        <v>295</v>
      </c>
      <c r="I134" s="21" t="s">
        <v>22</v>
      </c>
      <c r="J134" s="21" t="s">
        <v>183</v>
      </c>
      <c r="K134" s="21" t="s">
        <v>89</v>
      </c>
      <c r="L134" s="21" t="s">
        <v>171</v>
      </c>
      <c r="M134" s="21" t="s">
        <v>169</v>
      </c>
    </row>
    <row r="135" spans="1:26" x14ac:dyDescent="0.2">
      <c r="A135" s="1493" t="s">
        <v>243</v>
      </c>
      <c r="B135" s="4">
        <v>-32041778000</v>
      </c>
      <c r="C135" s="4">
        <v>-7673565000</v>
      </c>
      <c r="D135" s="4">
        <v>-5922163000</v>
      </c>
      <c r="E135" s="4">
        <v>-4802900000</v>
      </c>
      <c r="F135" s="4">
        <v>-4533224000</v>
      </c>
      <c r="G135" s="4">
        <v>-3697070000</v>
      </c>
      <c r="H135" s="4">
        <v>-3414560000</v>
      </c>
      <c r="I135" s="4">
        <v>-2286580000</v>
      </c>
      <c r="J135" s="4">
        <v>-2247390000</v>
      </c>
      <c r="K135" s="4">
        <v>-1979455000</v>
      </c>
      <c r="L135" s="4">
        <v>-1229840000</v>
      </c>
      <c r="M135" s="4">
        <v>-984160000</v>
      </c>
    </row>
    <row r="136" spans="1:26" x14ac:dyDescent="0.2">
      <c r="A136" s="1493" t="s">
        <v>242</v>
      </c>
      <c r="B136" s="21" t="s">
        <v>20</v>
      </c>
      <c r="C136" s="21" t="s">
        <v>13</v>
      </c>
      <c r="D136" s="21" t="s">
        <v>15</v>
      </c>
      <c r="E136" s="21" t="s">
        <v>29</v>
      </c>
      <c r="F136" s="21" t="s">
        <v>33</v>
      </c>
      <c r="G136" s="21" t="s">
        <v>32</v>
      </c>
      <c r="H136" s="21" t="s">
        <v>58</v>
      </c>
      <c r="I136" s="21" t="s">
        <v>266</v>
      </c>
      <c r="J136" s="21" t="s">
        <v>79</v>
      </c>
      <c r="K136" s="21" t="s">
        <v>12</v>
      </c>
      <c r="L136" s="21" t="s">
        <v>21</v>
      </c>
      <c r="M136" s="21" t="s">
        <v>67</v>
      </c>
    </row>
    <row r="137" spans="1:26" x14ac:dyDescent="0.2">
      <c r="A137" s="1493" t="s">
        <v>242</v>
      </c>
      <c r="B137" s="1228">
        <v>-64211830500</v>
      </c>
      <c r="C137" s="4">
        <v>-50440680000</v>
      </c>
      <c r="D137" s="4">
        <v>-41424010000</v>
      </c>
      <c r="E137" s="1229">
        <v>-34730990000</v>
      </c>
      <c r="F137" s="4">
        <v>-31914860000</v>
      </c>
      <c r="G137" s="4">
        <v>-26300531000</v>
      </c>
      <c r="H137" s="4">
        <v>-25937840000</v>
      </c>
      <c r="I137" s="1230">
        <v>-14873500000</v>
      </c>
      <c r="J137" s="4">
        <v>-14618655000</v>
      </c>
      <c r="K137" s="4">
        <v>-11328230000</v>
      </c>
      <c r="L137" s="4">
        <v>-9463040000</v>
      </c>
      <c r="M137" s="4">
        <v>-8339178000</v>
      </c>
    </row>
    <row r="138" spans="1:26" x14ac:dyDescent="0.2">
      <c r="A138" s="1493" t="s">
        <v>241</v>
      </c>
      <c r="B138" s="21" t="s">
        <v>58</v>
      </c>
      <c r="C138" s="21" t="s">
        <v>32</v>
      </c>
      <c r="D138" s="21" t="s">
        <v>79</v>
      </c>
      <c r="E138" s="21" t="s">
        <v>35</v>
      </c>
      <c r="F138" s="21" t="s">
        <v>22</v>
      </c>
      <c r="G138" s="21" t="s">
        <v>17</v>
      </c>
      <c r="H138" s="21" t="s">
        <v>33</v>
      </c>
      <c r="I138" s="21" t="s">
        <v>13</v>
      </c>
      <c r="J138" s="21" t="s">
        <v>15</v>
      </c>
      <c r="K138" s="21" t="s">
        <v>25</v>
      </c>
      <c r="L138" s="21" t="s">
        <v>11</v>
      </c>
      <c r="M138" s="21" t="s">
        <v>295</v>
      </c>
    </row>
    <row r="139" spans="1:26" x14ac:dyDescent="0.2">
      <c r="A139" s="1493" t="s">
        <v>241</v>
      </c>
      <c r="B139" s="1223">
        <v>-120049574000</v>
      </c>
      <c r="C139" s="4">
        <v>-82379740000</v>
      </c>
      <c r="D139" s="4">
        <v>-64339289000</v>
      </c>
      <c r="E139" s="4">
        <v>-46656611000</v>
      </c>
      <c r="F139" s="1224">
        <v>-38909175000</v>
      </c>
      <c r="G139" s="4">
        <v>-28163620000</v>
      </c>
      <c r="H139" s="4">
        <v>-18311140000</v>
      </c>
      <c r="I139" s="4">
        <v>-12875040000</v>
      </c>
      <c r="J139" s="4">
        <v>-12513220000</v>
      </c>
      <c r="K139" s="4">
        <v>-11527240000</v>
      </c>
      <c r="L139" s="1225">
        <v>-11356270000</v>
      </c>
      <c r="M139" s="4">
        <v>-10148900000</v>
      </c>
    </row>
    <row r="140" spans="1:26" x14ac:dyDescent="0.2">
      <c r="A140" s="1493" t="s">
        <v>240</v>
      </c>
      <c r="B140" s="21" t="s">
        <v>17</v>
      </c>
      <c r="C140" s="21" t="s">
        <v>20</v>
      </c>
      <c r="D140" s="21" t="s">
        <v>22</v>
      </c>
      <c r="E140" s="21" t="s">
        <v>36</v>
      </c>
      <c r="F140" s="21" t="s">
        <v>59</v>
      </c>
      <c r="G140" s="21" t="s">
        <v>32</v>
      </c>
      <c r="H140" s="21" t="s">
        <v>24</v>
      </c>
      <c r="I140" s="21" t="s">
        <v>57</v>
      </c>
      <c r="J140" s="21" t="s">
        <v>5</v>
      </c>
      <c r="K140" s="21" t="s">
        <v>30</v>
      </c>
      <c r="L140" s="21" t="s">
        <v>63</v>
      </c>
      <c r="M140" s="21" t="s">
        <v>295</v>
      </c>
    </row>
    <row r="141" spans="1:26" x14ac:dyDescent="0.2">
      <c r="A141" s="1493" t="s">
        <v>240</v>
      </c>
      <c r="B141" s="4">
        <v>-63803300000</v>
      </c>
      <c r="C141" s="1217">
        <v>-46264360000</v>
      </c>
      <c r="D141" s="1218">
        <v>-38200715000</v>
      </c>
      <c r="E141" s="4">
        <v>-31451030000</v>
      </c>
      <c r="F141" s="4">
        <v>-20514538000</v>
      </c>
      <c r="G141" s="4">
        <v>-14446311000</v>
      </c>
      <c r="H141" s="4">
        <v>-11768985000</v>
      </c>
      <c r="I141" s="4">
        <v>-8569800000</v>
      </c>
      <c r="J141" s="4">
        <v>-5999619000</v>
      </c>
      <c r="K141" s="4">
        <v>-3717800000</v>
      </c>
      <c r="L141" s="1219">
        <v>-932200000</v>
      </c>
      <c r="M141" s="4">
        <v>-919320000</v>
      </c>
    </row>
    <row r="142" spans="1:26" x14ac:dyDescent="0.2">
      <c r="A142" s="1493" t="s">
        <v>239</v>
      </c>
      <c r="B142" s="21" t="s">
        <v>33</v>
      </c>
      <c r="C142" s="21" t="s">
        <v>14</v>
      </c>
      <c r="D142" s="21" t="s">
        <v>15</v>
      </c>
      <c r="E142" s="21" t="s">
        <v>13</v>
      </c>
      <c r="F142" s="21" t="s">
        <v>25</v>
      </c>
      <c r="G142" s="21" t="s">
        <v>12</v>
      </c>
      <c r="H142" s="21" t="s">
        <v>28</v>
      </c>
      <c r="I142" s="21" t="s">
        <v>21</v>
      </c>
      <c r="J142" s="21" t="s">
        <v>17</v>
      </c>
      <c r="K142" s="21" t="s">
        <v>9</v>
      </c>
      <c r="L142" s="21" t="s">
        <v>24</v>
      </c>
      <c r="M142" s="21" t="s">
        <v>6</v>
      </c>
      <c r="N142" s="1493" t="s">
        <v>389</v>
      </c>
      <c r="O142" s="21" t="s">
        <v>17</v>
      </c>
      <c r="P142" s="21" t="s">
        <v>163</v>
      </c>
      <c r="Q142" s="21" t="s">
        <v>33</v>
      </c>
      <c r="R142" s="21" t="s">
        <v>15</v>
      </c>
      <c r="S142" s="21" t="s">
        <v>14</v>
      </c>
      <c r="T142" s="21" t="s">
        <v>24</v>
      </c>
      <c r="U142" s="21" t="s">
        <v>12</v>
      </c>
      <c r="V142" s="21" t="s">
        <v>25</v>
      </c>
      <c r="W142" s="21" t="s">
        <v>28</v>
      </c>
      <c r="X142" s="21" t="s">
        <v>21</v>
      </c>
      <c r="Y142" s="21" t="s">
        <v>6</v>
      </c>
      <c r="Z142" s="21" t="s">
        <v>9</v>
      </c>
    </row>
    <row r="143" spans="1:26" x14ac:dyDescent="0.2">
      <c r="A143" s="1493" t="s">
        <v>239</v>
      </c>
      <c r="B143" s="4">
        <v>-35294190000</v>
      </c>
      <c r="C143" s="4">
        <v>-18703345000</v>
      </c>
      <c r="D143" s="4">
        <v>-12863965000</v>
      </c>
      <c r="E143" s="4">
        <v>-11983240000</v>
      </c>
      <c r="F143" s="4">
        <v>-8834050000</v>
      </c>
      <c r="G143" s="4">
        <v>-8367070000</v>
      </c>
      <c r="H143" s="1215">
        <v>-7307010000</v>
      </c>
      <c r="I143" s="4">
        <v>-6536300000</v>
      </c>
      <c r="J143" s="4">
        <v>-6375010000</v>
      </c>
      <c r="K143" s="4">
        <v>-5827365000</v>
      </c>
      <c r="L143" s="4">
        <v>-5374945000</v>
      </c>
      <c r="M143" s="4">
        <v>-4631360000</v>
      </c>
      <c r="N143" s="1493" t="s">
        <v>389</v>
      </c>
      <c r="O143" s="4">
        <v>-141341240000</v>
      </c>
      <c r="P143" s="4">
        <v>-53878338000</v>
      </c>
      <c r="Q143" s="4">
        <v>-46871260000</v>
      </c>
      <c r="R143" s="4">
        <v>-29354910000</v>
      </c>
      <c r="S143" s="4">
        <v>-26614100000</v>
      </c>
      <c r="T143" s="4">
        <v>-12526445000</v>
      </c>
      <c r="U143" s="4">
        <v>-10258930000</v>
      </c>
      <c r="V143" s="4">
        <v>-8834050000</v>
      </c>
      <c r="W143" s="4">
        <v>-7307010000</v>
      </c>
      <c r="X143" s="4">
        <v>-6392520000</v>
      </c>
      <c r="Y143" s="4">
        <v>-6239930000</v>
      </c>
      <c r="Z143" s="4">
        <v>-5827365000</v>
      </c>
    </row>
    <row r="144" spans="1:26" x14ac:dyDescent="0.2">
      <c r="A144" s="1493" t="s">
        <v>238</v>
      </c>
      <c r="B144" s="21" t="s">
        <v>17</v>
      </c>
      <c r="C144" s="21" t="s">
        <v>163</v>
      </c>
      <c r="D144" s="21" t="s">
        <v>15</v>
      </c>
      <c r="E144" s="21" t="s">
        <v>33</v>
      </c>
      <c r="F144" s="21" t="s">
        <v>79</v>
      </c>
      <c r="G144" s="21" t="s">
        <v>176</v>
      </c>
      <c r="H144" s="21" t="s">
        <v>14</v>
      </c>
      <c r="I144" s="21" t="s">
        <v>24</v>
      </c>
      <c r="J144" s="21" t="s">
        <v>35</v>
      </c>
      <c r="K144" s="21" t="s">
        <v>20</v>
      </c>
      <c r="L144" s="21" t="s">
        <v>27</v>
      </c>
      <c r="M144" s="21" t="s">
        <v>12</v>
      </c>
    </row>
    <row r="145" spans="1:26" x14ac:dyDescent="0.2">
      <c r="A145" s="1493" t="s">
        <v>238</v>
      </c>
      <c r="B145" s="4">
        <v>-134966230000</v>
      </c>
      <c r="C145" s="1207">
        <v>-53878338000</v>
      </c>
      <c r="D145" s="4">
        <v>-16490945000</v>
      </c>
      <c r="E145" s="4">
        <v>-11577070000</v>
      </c>
      <c r="F145" s="4">
        <v>-11308950000</v>
      </c>
      <c r="G145" s="4">
        <v>-10450560000</v>
      </c>
      <c r="H145" s="4">
        <v>-7910755000</v>
      </c>
      <c r="I145" s="4">
        <v>-7151500000</v>
      </c>
      <c r="J145" s="4">
        <v>-3184660000</v>
      </c>
      <c r="K145" s="4">
        <v>-2896000000</v>
      </c>
      <c r="L145" s="4">
        <v>-2343510000</v>
      </c>
      <c r="M145" s="4">
        <v>-1891860000</v>
      </c>
    </row>
    <row r="146" spans="1:26" x14ac:dyDescent="0.2">
      <c r="A146" s="1493" t="s">
        <v>237</v>
      </c>
      <c r="B146" s="21" t="s">
        <v>17</v>
      </c>
      <c r="C146" s="21" t="s">
        <v>40</v>
      </c>
      <c r="D146" s="21" t="s">
        <v>33</v>
      </c>
      <c r="E146" s="21" t="s">
        <v>13</v>
      </c>
      <c r="F146" s="21" t="s">
        <v>15</v>
      </c>
      <c r="G146" s="21" t="s">
        <v>59</v>
      </c>
      <c r="H146" s="21" t="s">
        <v>79</v>
      </c>
      <c r="I146" s="21" t="s">
        <v>32</v>
      </c>
      <c r="J146" s="21" t="s">
        <v>23</v>
      </c>
      <c r="K146" s="21" t="s">
        <v>21</v>
      </c>
      <c r="L146" s="21" t="s">
        <v>12</v>
      </c>
      <c r="M146" s="21" t="s">
        <v>35</v>
      </c>
      <c r="N146" s="1493" t="s">
        <v>388</v>
      </c>
      <c r="O146" s="21" t="s">
        <v>33</v>
      </c>
      <c r="P146" s="21" t="s">
        <v>17</v>
      </c>
      <c r="Q146" s="21" t="s">
        <v>79</v>
      </c>
      <c r="R146" s="21" t="s">
        <v>32</v>
      </c>
      <c r="S146" s="21" t="s">
        <v>35</v>
      </c>
      <c r="T146" s="21" t="s">
        <v>13</v>
      </c>
      <c r="U146" s="21" t="s">
        <v>14</v>
      </c>
      <c r="V146" s="21" t="s">
        <v>23</v>
      </c>
      <c r="W146" s="21" t="s">
        <v>59</v>
      </c>
      <c r="X146" s="21" t="s">
        <v>40</v>
      </c>
      <c r="Y146" s="21" t="s">
        <v>21</v>
      </c>
      <c r="Z146" s="21" t="s">
        <v>65</v>
      </c>
    </row>
    <row r="147" spans="1:26" x14ac:dyDescent="0.2">
      <c r="A147" s="1493" t="s">
        <v>237</v>
      </c>
      <c r="B147" s="4">
        <v>-53781040000</v>
      </c>
      <c r="C147" s="4">
        <v>-42419790000</v>
      </c>
      <c r="D147" s="4">
        <v>-41795310000</v>
      </c>
      <c r="E147" s="4">
        <v>-29359135000</v>
      </c>
      <c r="F147" s="4">
        <v>-23415305000</v>
      </c>
      <c r="G147" s="4">
        <v>-19657135000</v>
      </c>
      <c r="H147" s="4">
        <v>-19270890000</v>
      </c>
      <c r="I147" s="4">
        <v>-13930250000</v>
      </c>
      <c r="J147" s="4">
        <v>-11127920000</v>
      </c>
      <c r="K147" s="4">
        <v>-9838120000</v>
      </c>
      <c r="L147" s="4">
        <v>-9356160000</v>
      </c>
      <c r="M147" s="4">
        <v>-7714605000</v>
      </c>
      <c r="N147" s="1493" t="s">
        <v>388</v>
      </c>
      <c r="O147" s="4">
        <v>-583583281000</v>
      </c>
      <c r="P147" s="4">
        <v>-411803735000</v>
      </c>
      <c r="Q147" s="4">
        <v>-213774023000</v>
      </c>
      <c r="R147" s="4">
        <v>-183150595000</v>
      </c>
      <c r="S147" s="4">
        <v>-123902856000</v>
      </c>
      <c r="T147" s="4">
        <v>-109217290000</v>
      </c>
      <c r="U147" s="4">
        <v>-102704701000</v>
      </c>
      <c r="V147" s="4">
        <v>-94475410000</v>
      </c>
      <c r="W147" s="4">
        <v>-84536090000</v>
      </c>
      <c r="X147" s="4">
        <v>-84180054000</v>
      </c>
      <c r="Y147" s="4">
        <v>-62873040000</v>
      </c>
      <c r="Z147" s="4">
        <v>-61324732000</v>
      </c>
    </row>
    <row r="148" spans="1:26" x14ac:dyDescent="0.2">
      <c r="A148" s="1493" t="s">
        <v>236</v>
      </c>
      <c r="B148" s="21" t="s">
        <v>17</v>
      </c>
      <c r="C148" s="21" t="s">
        <v>33</v>
      </c>
      <c r="D148" s="21" t="s">
        <v>79</v>
      </c>
      <c r="E148" s="21" t="s">
        <v>32</v>
      </c>
      <c r="F148" s="21" t="s">
        <v>35</v>
      </c>
      <c r="G148" s="21" t="s">
        <v>23</v>
      </c>
      <c r="H148" s="21" t="s">
        <v>65</v>
      </c>
      <c r="I148" s="21" t="s">
        <v>34</v>
      </c>
      <c r="J148" s="21" t="s">
        <v>18</v>
      </c>
      <c r="K148" s="21" t="s">
        <v>13</v>
      </c>
      <c r="L148" s="21" t="s">
        <v>92</v>
      </c>
      <c r="M148" s="21" t="s">
        <v>14</v>
      </c>
    </row>
    <row r="149" spans="1:26" x14ac:dyDescent="0.2">
      <c r="A149" s="1493" t="s">
        <v>236</v>
      </c>
      <c r="B149" s="1198">
        <v>-239788520000</v>
      </c>
      <c r="C149" s="1199">
        <v>-169115750000</v>
      </c>
      <c r="D149" s="1200">
        <v>-92177335000</v>
      </c>
      <c r="E149" s="4">
        <v>-78073915000</v>
      </c>
      <c r="F149" s="4">
        <v>-77397840000</v>
      </c>
      <c r="G149" s="4">
        <v>-40489320000</v>
      </c>
      <c r="H149" s="1201">
        <v>-27296342000</v>
      </c>
      <c r="I149" s="4">
        <v>-23755535000</v>
      </c>
      <c r="J149" s="4">
        <v>-23203435000</v>
      </c>
      <c r="K149" s="4">
        <v>-20893805000</v>
      </c>
      <c r="L149" s="1202">
        <v>-19479390000</v>
      </c>
      <c r="M149" s="4">
        <v>-15940955000</v>
      </c>
    </row>
    <row r="150" spans="1:26" x14ac:dyDescent="0.2">
      <c r="A150" s="1493" t="s">
        <v>235</v>
      </c>
      <c r="B150" s="21" t="s">
        <v>33</v>
      </c>
      <c r="C150" s="21" t="s">
        <v>14</v>
      </c>
      <c r="D150" s="21" t="s">
        <v>163</v>
      </c>
      <c r="E150" s="21" t="s">
        <v>7</v>
      </c>
      <c r="F150" s="21" t="s">
        <v>57</v>
      </c>
      <c r="G150" s="21" t="s">
        <v>17</v>
      </c>
      <c r="H150" s="21" t="s">
        <v>35</v>
      </c>
      <c r="I150" s="21" t="s">
        <v>29</v>
      </c>
      <c r="J150" s="21" t="s">
        <v>65</v>
      </c>
      <c r="K150" s="21" t="s">
        <v>83</v>
      </c>
      <c r="L150" s="21" t="s">
        <v>293</v>
      </c>
    </row>
    <row r="151" spans="1:26" x14ac:dyDescent="0.2">
      <c r="A151" s="1493" t="s">
        <v>235</v>
      </c>
      <c r="B151" s="1193">
        <v>-240618610000</v>
      </c>
      <c r="C151" s="4">
        <v>-15543631000</v>
      </c>
      <c r="D151" s="4">
        <v>-10141951000</v>
      </c>
      <c r="E151" s="1194">
        <v>-9899490000</v>
      </c>
      <c r="F151" s="4">
        <v>-8876100000</v>
      </c>
      <c r="G151" s="4">
        <v>-6153920000</v>
      </c>
      <c r="H151" s="4">
        <v>-1212931000</v>
      </c>
      <c r="I151" s="4">
        <v>-1147000000</v>
      </c>
      <c r="J151" s="4">
        <v>-229570000</v>
      </c>
      <c r="K151" s="4">
        <v>-1800000</v>
      </c>
      <c r="L151" s="4">
        <v>-1420000</v>
      </c>
    </row>
    <row r="152" spans="1:26" x14ac:dyDescent="0.2">
      <c r="A152" s="1493" t="s">
        <v>234</v>
      </c>
      <c r="B152" s="21" t="s">
        <v>33</v>
      </c>
      <c r="C152" s="21" t="s">
        <v>17</v>
      </c>
      <c r="D152" s="21" t="s">
        <v>79</v>
      </c>
      <c r="E152" s="21" t="s">
        <v>32</v>
      </c>
      <c r="F152" s="21" t="s">
        <v>14</v>
      </c>
      <c r="G152" s="21" t="s">
        <v>13</v>
      </c>
      <c r="H152" s="21" t="s">
        <v>40</v>
      </c>
      <c r="I152" s="21" t="s">
        <v>59</v>
      </c>
      <c r="J152" s="21" t="s">
        <v>35</v>
      </c>
      <c r="K152" s="21" t="s">
        <v>24</v>
      </c>
      <c r="L152" s="21" t="s">
        <v>12</v>
      </c>
      <c r="M152" s="21" t="s">
        <v>23</v>
      </c>
    </row>
    <row r="153" spans="1:26" x14ac:dyDescent="0.2">
      <c r="A153" s="1493" t="s">
        <v>234</v>
      </c>
      <c r="B153" s="1188">
        <v>-129715560000</v>
      </c>
      <c r="C153" s="4">
        <v>-105550470000</v>
      </c>
      <c r="D153" s="1189">
        <v>-95308670000</v>
      </c>
      <c r="E153" s="4">
        <v>-79561315000</v>
      </c>
      <c r="F153" s="4">
        <v>-67849970000</v>
      </c>
      <c r="G153" s="4">
        <v>-60085160000</v>
      </c>
      <c r="H153" s="4">
        <v>-45421354000</v>
      </c>
      <c r="I153" s="1190">
        <v>-45291145000</v>
      </c>
      <c r="J153" s="4">
        <v>-43785845000</v>
      </c>
      <c r="K153" s="4">
        <v>-39867120000</v>
      </c>
      <c r="L153" s="1191">
        <v>-39692780000</v>
      </c>
      <c r="M153" s="4">
        <v>-39126240000</v>
      </c>
    </row>
    <row r="154" spans="1:26" x14ac:dyDescent="0.2">
      <c r="A154" s="1493" t="s">
        <v>233</v>
      </c>
      <c r="B154" s="21" t="s">
        <v>64</v>
      </c>
      <c r="C154" s="21" t="s">
        <v>95</v>
      </c>
      <c r="D154" s="21" t="s">
        <v>79</v>
      </c>
      <c r="E154" s="21" t="s">
        <v>32</v>
      </c>
      <c r="F154" s="21" t="s">
        <v>59</v>
      </c>
      <c r="G154" s="21" t="s">
        <v>21</v>
      </c>
      <c r="H154" s="21" t="s">
        <v>12</v>
      </c>
      <c r="I154" s="21" t="s">
        <v>24</v>
      </c>
      <c r="J154" s="21" t="s">
        <v>5</v>
      </c>
      <c r="K154" s="21" t="s">
        <v>23</v>
      </c>
      <c r="L154" s="21" t="s">
        <v>17</v>
      </c>
      <c r="M154" s="21" t="s">
        <v>65</v>
      </c>
    </row>
    <row r="155" spans="1:26" x14ac:dyDescent="0.2">
      <c r="A155" s="1493" t="s">
        <v>233</v>
      </c>
      <c r="B155" s="4">
        <v>-20298040000</v>
      </c>
      <c r="C155" s="1187">
        <v>-15248560000</v>
      </c>
      <c r="D155" s="4">
        <v>-14732010000</v>
      </c>
      <c r="E155" s="4">
        <v>-13215150000</v>
      </c>
      <c r="F155" s="4">
        <v>-11268575000</v>
      </c>
      <c r="G155" s="4">
        <v>-10117370000</v>
      </c>
      <c r="H155" s="4">
        <v>-10048270000</v>
      </c>
      <c r="I155" s="4">
        <v>-8936245000</v>
      </c>
      <c r="J155" s="4">
        <v>-8595791000</v>
      </c>
      <c r="K155" s="4">
        <v>-7128010000</v>
      </c>
      <c r="L155" s="4">
        <v>-6529785000</v>
      </c>
      <c r="M155" s="4">
        <v>-6106090000</v>
      </c>
    </row>
    <row r="156" spans="1:26" x14ac:dyDescent="0.2">
      <c r="A156" s="1493" t="s">
        <v>232</v>
      </c>
      <c r="B156" s="21" t="s">
        <v>13</v>
      </c>
      <c r="C156" s="21" t="s">
        <v>22</v>
      </c>
      <c r="N156" s="1493" t="s">
        <v>387</v>
      </c>
      <c r="O156" s="21" t="s">
        <v>13</v>
      </c>
      <c r="P156" s="21" t="s">
        <v>22</v>
      </c>
      <c r="Q156" s="21" t="s">
        <v>273</v>
      </c>
      <c r="R156" s="21" t="s">
        <v>10</v>
      </c>
      <c r="S156" s="21" t="s">
        <v>83</v>
      </c>
      <c r="T156" s="21" t="s">
        <v>63</v>
      </c>
      <c r="U156" s="21" t="s">
        <v>186</v>
      </c>
      <c r="V156" s="21" t="s">
        <v>295</v>
      </c>
      <c r="W156" s="21" t="s">
        <v>57</v>
      </c>
      <c r="X156" s="21" t="s">
        <v>26</v>
      </c>
      <c r="Y156" s="21" t="s">
        <v>78</v>
      </c>
      <c r="Z156" s="21" t="s">
        <v>171</v>
      </c>
    </row>
    <row r="157" spans="1:26" x14ac:dyDescent="0.2">
      <c r="A157" s="1493" t="s">
        <v>232</v>
      </c>
      <c r="B157" s="4">
        <v>-44774315000</v>
      </c>
      <c r="C157" s="4">
        <v>-2279050000</v>
      </c>
      <c r="N157" s="1493" t="s">
        <v>387</v>
      </c>
      <c r="O157" s="4">
        <v>-102330315000</v>
      </c>
      <c r="P157" s="4">
        <v>-14302715000</v>
      </c>
      <c r="Q157" s="4">
        <v>-571640000</v>
      </c>
      <c r="R157" s="4">
        <v>-119690000</v>
      </c>
      <c r="S157" s="4">
        <v>-1970000</v>
      </c>
      <c r="T157" s="4">
        <v>727410000</v>
      </c>
      <c r="U157" s="4">
        <v>731675000</v>
      </c>
      <c r="V157" s="4">
        <v>1238550000</v>
      </c>
      <c r="W157" s="4">
        <v>1677000000</v>
      </c>
      <c r="X157" s="4">
        <v>2151045000</v>
      </c>
      <c r="Y157" s="4">
        <v>2681740000</v>
      </c>
      <c r="Z157" s="4">
        <v>2905710000</v>
      </c>
    </row>
    <row r="158" spans="1:26" x14ac:dyDescent="0.2">
      <c r="A158" s="1493" t="s">
        <v>231</v>
      </c>
      <c r="B158" s="21" t="s">
        <v>33</v>
      </c>
      <c r="C158" s="21" t="s">
        <v>79</v>
      </c>
      <c r="D158" s="21" t="s">
        <v>15</v>
      </c>
      <c r="E158" s="21" t="s">
        <v>32</v>
      </c>
      <c r="F158" s="21" t="s">
        <v>17</v>
      </c>
      <c r="G158" s="21" t="s">
        <v>295</v>
      </c>
      <c r="H158" s="21" t="s">
        <v>24</v>
      </c>
      <c r="I158" s="21" t="s">
        <v>14</v>
      </c>
      <c r="J158" s="21" t="s">
        <v>12</v>
      </c>
      <c r="K158" s="21" t="s">
        <v>64</v>
      </c>
      <c r="L158" s="21" t="s">
        <v>21</v>
      </c>
      <c r="M158" s="21" t="s">
        <v>59</v>
      </c>
    </row>
    <row r="159" spans="1:26" x14ac:dyDescent="0.2">
      <c r="A159" s="1493" t="s">
        <v>231</v>
      </c>
      <c r="B159" s="4">
        <v>-51395160000</v>
      </c>
      <c r="C159" s="4">
        <v>-48087870000</v>
      </c>
      <c r="D159" s="4">
        <v>-46521862000</v>
      </c>
      <c r="E159" s="4">
        <v>-41549265000</v>
      </c>
      <c r="F159" s="4">
        <v>-28203065000</v>
      </c>
      <c r="G159" s="1182">
        <v>-27223950000</v>
      </c>
      <c r="H159" s="4">
        <v>-22598990000</v>
      </c>
      <c r="I159" s="4">
        <v>-21663535000</v>
      </c>
      <c r="J159" s="4">
        <v>-18281340000</v>
      </c>
      <c r="K159" s="4">
        <v>-15908640000</v>
      </c>
      <c r="L159" s="4">
        <v>-13079647000</v>
      </c>
      <c r="M159" s="4">
        <v>-13073887000</v>
      </c>
    </row>
    <row r="160" spans="1:26" x14ac:dyDescent="0.2">
      <c r="A160" s="1493" t="s">
        <v>230</v>
      </c>
      <c r="B160" s="21" t="s">
        <v>13</v>
      </c>
    </row>
    <row r="161" spans="1:26" x14ac:dyDescent="0.2">
      <c r="A161" s="1493" t="s">
        <v>230</v>
      </c>
      <c r="B161" s="4">
        <v>-25055410000</v>
      </c>
    </row>
    <row r="162" spans="1:26" x14ac:dyDescent="0.2">
      <c r="A162" s="1493" t="s">
        <v>229</v>
      </c>
      <c r="B162" s="21" t="s">
        <v>13</v>
      </c>
      <c r="C162" s="21" t="s">
        <v>22</v>
      </c>
      <c r="D162" s="21" t="s">
        <v>57</v>
      </c>
      <c r="E162" s="21" t="s">
        <v>10</v>
      </c>
      <c r="F162" s="21" t="s">
        <v>20</v>
      </c>
    </row>
    <row r="163" spans="1:26" x14ac:dyDescent="0.2">
      <c r="A163" s="1493" t="s">
        <v>229</v>
      </c>
      <c r="B163" s="4">
        <v>-68554435000</v>
      </c>
      <c r="C163" s="4">
        <v>-6058195000</v>
      </c>
      <c r="D163" s="4">
        <v>-2768000000</v>
      </c>
      <c r="E163" s="4">
        <v>-132330000</v>
      </c>
      <c r="F163" s="4">
        <v>-92290000</v>
      </c>
    </row>
    <row r="164" spans="1:26" x14ac:dyDescent="0.2">
      <c r="A164" s="1493" t="s">
        <v>228</v>
      </c>
      <c r="B164" s="21" t="s">
        <v>40</v>
      </c>
      <c r="C164" s="21" t="s">
        <v>79</v>
      </c>
      <c r="D164" s="21" t="s">
        <v>33</v>
      </c>
      <c r="E164" s="21" t="s">
        <v>35</v>
      </c>
      <c r="F164" s="21" t="s">
        <v>303</v>
      </c>
      <c r="G164" s="21" t="s">
        <v>36</v>
      </c>
      <c r="H164" s="21" t="s">
        <v>6</v>
      </c>
      <c r="I164" s="21" t="s">
        <v>34</v>
      </c>
      <c r="J164" s="21" t="s">
        <v>62</v>
      </c>
      <c r="K164" s="21" t="s">
        <v>37</v>
      </c>
      <c r="L164" s="21" t="s">
        <v>176</v>
      </c>
      <c r="M164" s="21" t="s">
        <v>67</v>
      </c>
      <c r="N164" s="1493" t="s">
        <v>386</v>
      </c>
      <c r="O164" s="21" t="s">
        <v>35</v>
      </c>
      <c r="P164" s="21" t="s">
        <v>13</v>
      </c>
      <c r="Q164" s="21" t="s">
        <v>15</v>
      </c>
      <c r="R164" s="21" t="s">
        <v>79</v>
      </c>
      <c r="S164" s="21" t="s">
        <v>33</v>
      </c>
      <c r="T164" s="21" t="s">
        <v>14</v>
      </c>
      <c r="U164" s="21" t="s">
        <v>17</v>
      </c>
      <c r="V164" s="21" t="s">
        <v>40</v>
      </c>
      <c r="W164" s="21" t="s">
        <v>32</v>
      </c>
      <c r="X164" s="21" t="s">
        <v>23</v>
      </c>
      <c r="Y164" s="21" t="s">
        <v>12</v>
      </c>
      <c r="Z164" s="21" t="s">
        <v>99</v>
      </c>
    </row>
    <row r="165" spans="1:26" x14ac:dyDescent="0.2">
      <c r="A165" s="1493" t="s">
        <v>228</v>
      </c>
      <c r="B165" s="4">
        <v>-20490830000</v>
      </c>
      <c r="C165" s="4">
        <v>-16060505000</v>
      </c>
      <c r="D165" s="4">
        <v>-14408100000</v>
      </c>
      <c r="E165" s="4">
        <v>-11770310000</v>
      </c>
      <c r="F165" s="1167">
        <v>-8077083000</v>
      </c>
      <c r="G165" s="4">
        <v>-7015420000</v>
      </c>
      <c r="H165" s="1168">
        <v>-6440960000</v>
      </c>
      <c r="I165" s="4">
        <v>-5065945000</v>
      </c>
      <c r="J165" s="4">
        <v>-5016915000</v>
      </c>
      <c r="K165" s="4">
        <v>-3688091000</v>
      </c>
      <c r="L165" s="4">
        <v>-3517190000</v>
      </c>
      <c r="M165" s="4">
        <v>-3120500000</v>
      </c>
      <c r="N165" s="1493" t="s">
        <v>386</v>
      </c>
      <c r="O165" s="4">
        <v>-257568930000</v>
      </c>
      <c r="P165" s="4">
        <v>-210968015000</v>
      </c>
      <c r="Q165" s="4">
        <v>-102039655000</v>
      </c>
      <c r="R165" s="4">
        <v>-83378300000</v>
      </c>
      <c r="S165" s="4">
        <v>-81345940000</v>
      </c>
      <c r="T165" s="4">
        <v>-75846205000</v>
      </c>
      <c r="U165" s="4">
        <v>-71008570000</v>
      </c>
      <c r="V165" s="4">
        <v>-61029620000</v>
      </c>
      <c r="W165" s="4">
        <v>-59307031000</v>
      </c>
      <c r="X165" s="4">
        <v>-48563120000</v>
      </c>
      <c r="Y165" s="4">
        <v>-35152360000</v>
      </c>
      <c r="Z165" s="4">
        <v>-33510645000</v>
      </c>
    </row>
    <row r="166" spans="1:26" x14ac:dyDescent="0.2">
      <c r="A166" s="1493" t="s">
        <v>227</v>
      </c>
      <c r="B166" s="21" t="s">
        <v>13</v>
      </c>
      <c r="C166" s="21" t="s">
        <v>15</v>
      </c>
      <c r="D166" s="21" t="s">
        <v>14</v>
      </c>
      <c r="E166" s="21" t="s">
        <v>176</v>
      </c>
      <c r="F166" s="21" t="s">
        <v>22</v>
      </c>
      <c r="G166" s="21" t="s">
        <v>10</v>
      </c>
      <c r="H166" s="21" t="s">
        <v>79</v>
      </c>
      <c r="I166" s="21" t="s">
        <v>6</v>
      </c>
      <c r="J166" s="21" t="s">
        <v>19</v>
      </c>
      <c r="K166" s="21" t="s">
        <v>27</v>
      </c>
      <c r="L166" s="21" t="s">
        <v>29</v>
      </c>
      <c r="M166" s="21" t="s">
        <v>57</v>
      </c>
    </row>
    <row r="167" spans="1:26" x14ac:dyDescent="0.2">
      <c r="A167" s="1493" t="s">
        <v>227</v>
      </c>
      <c r="B167" s="4">
        <v>-26945990000</v>
      </c>
      <c r="C167" s="4">
        <v>-15524755000</v>
      </c>
      <c r="D167" s="4">
        <v>-10636085000</v>
      </c>
      <c r="E167" s="4">
        <v>-8148210000</v>
      </c>
      <c r="F167" s="4">
        <v>-7757990000</v>
      </c>
      <c r="G167" s="4">
        <v>-3941200000</v>
      </c>
      <c r="H167" s="4">
        <v>-3883970000</v>
      </c>
      <c r="I167" s="4">
        <v>-2449520000</v>
      </c>
      <c r="J167" s="4">
        <v>-2316325000</v>
      </c>
      <c r="K167" s="4">
        <v>-2271905000</v>
      </c>
      <c r="L167" s="4">
        <v>-2116000000</v>
      </c>
      <c r="M167" s="4">
        <v>-1774380000</v>
      </c>
    </row>
    <row r="168" spans="1:26" x14ac:dyDescent="0.2">
      <c r="A168" s="1493" t="s">
        <v>226</v>
      </c>
      <c r="B168" s="21" t="s">
        <v>35</v>
      </c>
      <c r="C168" s="21" t="s">
        <v>13</v>
      </c>
      <c r="D168" s="21" t="s">
        <v>17</v>
      </c>
      <c r="E168" s="21" t="s">
        <v>33</v>
      </c>
      <c r="F168" s="21" t="s">
        <v>14</v>
      </c>
      <c r="G168" s="21" t="s">
        <v>40</v>
      </c>
      <c r="H168" s="21" t="s">
        <v>32</v>
      </c>
      <c r="I168" s="21" t="s">
        <v>15</v>
      </c>
      <c r="J168" s="21" t="s">
        <v>79</v>
      </c>
      <c r="K168" s="21" t="s">
        <v>59</v>
      </c>
      <c r="L168" s="21" t="s">
        <v>12</v>
      </c>
      <c r="M168" s="21" t="s">
        <v>18</v>
      </c>
    </row>
    <row r="169" spans="1:26" x14ac:dyDescent="0.2">
      <c r="A169" s="1493" t="s">
        <v>226</v>
      </c>
      <c r="B169" s="1164">
        <v>-257077975000</v>
      </c>
      <c r="C169" s="4">
        <v>-46354985000</v>
      </c>
      <c r="D169" s="4">
        <v>-45560880000</v>
      </c>
      <c r="E169" s="4">
        <v>-45404430000</v>
      </c>
      <c r="F169" s="4">
        <v>-29365520000</v>
      </c>
      <c r="G169" s="4">
        <v>-28727510000</v>
      </c>
      <c r="H169" s="4">
        <v>-26342985000</v>
      </c>
      <c r="I169" s="4">
        <v>-22938045000</v>
      </c>
      <c r="J169" s="4">
        <v>-18355235000</v>
      </c>
      <c r="K169" s="4">
        <v>-17788225000</v>
      </c>
      <c r="L169" s="4">
        <v>-13623480000</v>
      </c>
      <c r="M169" s="4">
        <v>-11323070000</v>
      </c>
    </row>
    <row r="170" spans="1:26" x14ac:dyDescent="0.2">
      <c r="A170" s="1493" t="s">
        <v>225</v>
      </c>
      <c r="B170" s="21" t="s">
        <v>17</v>
      </c>
      <c r="C170" s="21" t="s">
        <v>13</v>
      </c>
      <c r="D170" s="21" t="s">
        <v>23</v>
      </c>
      <c r="E170" s="21" t="s">
        <v>163</v>
      </c>
      <c r="F170" s="21" t="s">
        <v>14</v>
      </c>
      <c r="G170" s="21" t="s">
        <v>40</v>
      </c>
      <c r="H170" s="21" t="s">
        <v>15</v>
      </c>
      <c r="I170" s="21" t="s">
        <v>20</v>
      </c>
      <c r="J170" s="21" t="s">
        <v>33</v>
      </c>
      <c r="K170" s="21" t="s">
        <v>18</v>
      </c>
      <c r="L170" s="21" t="s">
        <v>58</v>
      </c>
      <c r="M170" s="21" t="s">
        <v>22</v>
      </c>
    </row>
    <row r="171" spans="1:26" x14ac:dyDescent="0.2">
      <c r="A171" s="1493" t="s">
        <v>225</v>
      </c>
      <c r="B171" s="4">
        <v>-83525420000</v>
      </c>
      <c r="C171" s="4">
        <v>-32395215000</v>
      </c>
      <c r="D171" s="4">
        <v>-27731590000</v>
      </c>
      <c r="E171" s="1161">
        <v>-25778470000</v>
      </c>
      <c r="F171" s="4">
        <v>-25298720000</v>
      </c>
      <c r="G171" s="4">
        <v>-23253950000</v>
      </c>
      <c r="H171" s="4">
        <v>-15717815000</v>
      </c>
      <c r="I171" s="1162">
        <v>-12738510000</v>
      </c>
      <c r="J171" s="4">
        <v>-12123590000</v>
      </c>
      <c r="K171" s="4">
        <v>-11297290000</v>
      </c>
      <c r="L171" s="4">
        <v>-10337810000</v>
      </c>
      <c r="M171" s="4">
        <v>-9418630000</v>
      </c>
    </row>
    <row r="172" spans="1:26" x14ac:dyDescent="0.2">
      <c r="A172" s="1493" t="s">
        <v>224</v>
      </c>
      <c r="B172" s="21" t="s">
        <v>13</v>
      </c>
      <c r="C172" s="21" t="s">
        <v>15</v>
      </c>
      <c r="D172" s="21" t="s">
        <v>24</v>
      </c>
      <c r="E172" s="21" t="s">
        <v>79</v>
      </c>
      <c r="F172" s="21" t="s">
        <v>99</v>
      </c>
      <c r="G172" s="21" t="s">
        <v>32</v>
      </c>
      <c r="H172" s="21" t="s">
        <v>12</v>
      </c>
      <c r="I172" s="21" t="s">
        <v>14</v>
      </c>
      <c r="J172" s="21" t="s">
        <v>59</v>
      </c>
      <c r="K172" s="21" t="s">
        <v>21</v>
      </c>
      <c r="L172" s="21" t="s">
        <v>23</v>
      </c>
      <c r="M172" s="21" t="s">
        <v>64</v>
      </c>
    </row>
    <row r="173" spans="1:26" x14ac:dyDescent="0.2">
      <c r="A173" s="1493" t="s">
        <v>224</v>
      </c>
      <c r="B173" s="1156">
        <v>-122038480000</v>
      </c>
      <c r="C173" s="4">
        <v>-52297070000</v>
      </c>
      <c r="D173" s="1157">
        <v>-52097890000</v>
      </c>
      <c r="E173" s="4">
        <v>-44702440000</v>
      </c>
      <c r="F173" s="1158">
        <v>-32521950000</v>
      </c>
      <c r="G173" s="4">
        <v>-31184735000</v>
      </c>
      <c r="H173" s="1159">
        <v>-27530250000</v>
      </c>
      <c r="I173" s="4">
        <v>-26362360000</v>
      </c>
      <c r="J173" s="4">
        <v>-23583470000</v>
      </c>
      <c r="K173" s="4">
        <v>-23071970000</v>
      </c>
      <c r="L173" s="4">
        <v>-21734680000</v>
      </c>
      <c r="M173" s="4">
        <v>-20652135000</v>
      </c>
    </row>
    <row r="174" spans="1:26" x14ac:dyDescent="0.2">
      <c r="A174" s="1493" t="s">
        <v>223</v>
      </c>
      <c r="B174" s="21" t="s">
        <v>15</v>
      </c>
      <c r="C174" s="21" t="s">
        <v>13</v>
      </c>
      <c r="D174" s="21" t="s">
        <v>32</v>
      </c>
      <c r="E174" s="21" t="s">
        <v>22</v>
      </c>
      <c r="F174" s="21" t="s">
        <v>12</v>
      </c>
      <c r="G174" s="21" t="s">
        <v>59</v>
      </c>
      <c r="H174" s="21" t="s">
        <v>64</v>
      </c>
      <c r="I174" s="21" t="s">
        <v>19</v>
      </c>
      <c r="J174" s="21" t="s">
        <v>27</v>
      </c>
      <c r="K174" s="21" t="s">
        <v>65</v>
      </c>
      <c r="L174" s="21" t="s">
        <v>212</v>
      </c>
      <c r="M174" s="21" t="s">
        <v>88</v>
      </c>
      <c r="N174" s="1493" t="s">
        <v>385</v>
      </c>
      <c r="O174" s="21" t="s">
        <v>13</v>
      </c>
      <c r="P174" s="21" t="s">
        <v>23</v>
      </c>
      <c r="Q174" s="21" t="s">
        <v>29</v>
      </c>
      <c r="R174" s="21" t="s">
        <v>37</v>
      </c>
      <c r="S174" s="21" t="s">
        <v>22</v>
      </c>
      <c r="T174" s="21" t="s">
        <v>40</v>
      </c>
      <c r="U174" s="21" t="s">
        <v>24</v>
      </c>
      <c r="V174" s="21" t="s">
        <v>64</v>
      </c>
      <c r="W174" s="21" t="s">
        <v>71</v>
      </c>
      <c r="X174" s="21" t="s">
        <v>176</v>
      </c>
      <c r="Y174" s="21" t="s">
        <v>282</v>
      </c>
      <c r="Z174" s="21" t="s">
        <v>33</v>
      </c>
    </row>
    <row r="175" spans="1:26" x14ac:dyDescent="0.2">
      <c r="A175" s="1493" t="s">
        <v>223</v>
      </c>
      <c r="B175" s="4">
        <v>-59691915000</v>
      </c>
      <c r="C175" s="4">
        <v>-19866780000</v>
      </c>
      <c r="D175" s="4">
        <v>-11688888000</v>
      </c>
      <c r="E175" s="4">
        <v>-9761285000</v>
      </c>
      <c r="F175" s="4">
        <v>-9128980000</v>
      </c>
      <c r="G175" s="4">
        <v>-7410070000</v>
      </c>
      <c r="H175" s="4">
        <v>-3969670000</v>
      </c>
      <c r="I175" s="4">
        <v>-3857455000</v>
      </c>
      <c r="J175" s="4">
        <v>-3486630000</v>
      </c>
      <c r="K175" s="4">
        <v>-3457490000</v>
      </c>
      <c r="L175" s="4">
        <v>-1546790000</v>
      </c>
      <c r="M175" s="1154">
        <v>-1266590000</v>
      </c>
      <c r="N175" s="1493" t="s">
        <v>385</v>
      </c>
      <c r="O175" s="4">
        <v>-186119430000</v>
      </c>
      <c r="P175" s="4">
        <v>-48666950000</v>
      </c>
      <c r="Q175" s="4">
        <v>-27898900000</v>
      </c>
      <c r="R175" s="4">
        <v>-18963475000</v>
      </c>
      <c r="S175" s="4">
        <v>-10901830000</v>
      </c>
      <c r="T175" s="4">
        <v>-10503710000</v>
      </c>
      <c r="U175" s="4">
        <v>-8118680000</v>
      </c>
      <c r="V175" s="4">
        <v>-7136115000</v>
      </c>
      <c r="W175" s="4">
        <v>-7128400000</v>
      </c>
      <c r="X175" s="4">
        <v>-4623560000</v>
      </c>
      <c r="Y175" s="4">
        <v>-3273162700</v>
      </c>
      <c r="Z175" s="4">
        <v>-2908576000</v>
      </c>
    </row>
    <row r="176" spans="1:26" x14ac:dyDescent="0.2">
      <c r="A176" s="1493" t="s">
        <v>222</v>
      </c>
      <c r="B176" s="21" t="s">
        <v>13</v>
      </c>
      <c r="C176" s="21" t="s">
        <v>37</v>
      </c>
      <c r="D176" s="21" t="s">
        <v>176</v>
      </c>
      <c r="E176" s="21" t="s">
        <v>71</v>
      </c>
      <c r="F176" s="21" t="s">
        <v>202</v>
      </c>
    </row>
    <row r="177" spans="1:26" x14ac:dyDescent="0.2">
      <c r="A177" s="1493" t="s">
        <v>222</v>
      </c>
      <c r="B177" s="4">
        <v>-30118435000</v>
      </c>
      <c r="C177" s="1148">
        <v>-19847005000</v>
      </c>
      <c r="D177" s="4">
        <v>-9515820000</v>
      </c>
      <c r="E177" s="4">
        <v>-6956255000</v>
      </c>
      <c r="F177" s="1149">
        <v>-1687500000</v>
      </c>
    </row>
    <row r="178" spans="1:26" x14ac:dyDescent="0.2">
      <c r="A178" s="1493" t="s">
        <v>221</v>
      </c>
      <c r="B178" s="21" t="s">
        <v>35</v>
      </c>
      <c r="C178" s="21" t="s">
        <v>33</v>
      </c>
      <c r="D178" s="21" t="s">
        <v>23</v>
      </c>
      <c r="E178" s="21" t="s">
        <v>13</v>
      </c>
      <c r="F178" s="21" t="s">
        <v>14</v>
      </c>
      <c r="G178" s="21" t="s">
        <v>79</v>
      </c>
      <c r="H178" s="21" t="s">
        <v>5</v>
      </c>
      <c r="I178" s="21" t="s">
        <v>64</v>
      </c>
      <c r="J178" s="21" t="s">
        <v>34</v>
      </c>
      <c r="K178" s="21" t="s">
        <v>40</v>
      </c>
      <c r="L178" s="21" t="s">
        <v>21</v>
      </c>
      <c r="M178" s="21" t="s">
        <v>24</v>
      </c>
    </row>
    <row r="179" spans="1:26" x14ac:dyDescent="0.2">
      <c r="A179" s="1493" t="s">
        <v>221</v>
      </c>
      <c r="B179" s="1139">
        <v>-120006973000</v>
      </c>
      <c r="C179" s="1140">
        <v>-103102390000</v>
      </c>
      <c r="D179" s="4">
        <v>-86078190000</v>
      </c>
      <c r="E179" s="1141">
        <v>-79904495000</v>
      </c>
      <c r="F179" s="4">
        <v>-53081090000</v>
      </c>
      <c r="G179" s="4">
        <v>-36679980000</v>
      </c>
      <c r="H179" s="4">
        <v>-33754921000</v>
      </c>
      <c r="I179" s="4">
        <v>-30892435000</v>
      </c>
      <c r="J179" s="4">
        <v>-30642830000</v>
      </c>
      <c r="K179" s="4">
        <v>-28534060000</v>
      </c>
      <c r="L179" s="4">
        <v>-28008016000</v>
      </c>
      <c r="M179" s="1142">
        <v>-26126540000</v>
      </c>
    </row>
    <row r="180" spans="1:26" x14ac:dyDescent="0.2">
      <c r="A180" s="1493" t="s">
        <v>220</v>
      </c>
      <c r="B180" s="21" t="s">
        <v>13</v>
      </c>
      <c r="C180" s="21" t="s">
        <v>79</v>
      </c>
      <c r="D180" s="21" t="s">
        <v>29</v>
      </c>
      <c r="E180" s="21" t="s">
        <v>38</v>
      </c>
      <c r="F180" s="21" t="s">
        <v>23</v>
      </c>
      <c r="G180" s="21" t="s">
        <v>64</v>
      </c>
      <c r="H180" s="21" t="s">
        <v>30</v>
      </c>
      <c r="I180" s="21" t="s">
        <v>57</v>
      </c>
      <c r="J180" s="21" t="s">
        <v>169</v>
      </c>
      <c r="K180" s="21" t="s">
        <v>176</v>
      </c>
      <c r="L180" s="21" t="s">
        <v>24</v>
      </c>
      <c r="M180" s="21" t="s">
        <v>266</v>
      </c>
    </row>
    <row r="181" spans="1:26" x14ac:dyDescent="0.2">
      <c r="A181" s="1493" t="s">
        <v>220</v>
      </c>
      <c r="B181" s="4">
        <v>-76272170000</v>
      </c>
      <c r="C181" s="4">
        <v>-50982572000</v>
      </c>
      <c r="D181" s="1134">
        <v>-22282170000</v>
      </c>
      <c r="E181" s="1135">
        <v>-18598360000</v>
      </c>
      <c r="F181" s="4">
        <v>-14055340000</v>
      </c>
      <c r="G181" s="4">
        <v>-5586810000</v>
      </c>
      <c r="H181" s="4">
        <v>-4068038000</v>
      </c>
      <c r="I181" s="4">
        <v>-2925000000</v>
      </c>
      <c r="J181" s="1136">
        <v>-2728340000</v>
      </c>
      <c r="K181" s="4">
        <v>-2178070000</v>
      </c>
      <c r="L181" s="4">
        <v>-1408475000</v>
      </c>
      <c r="M181" s="4">
        <v>-1011160000</v>
      </c>
    </row>
    <row r="182" spans="1:26" x14ac:dyDescent="0.2">
      <c r="A182" s="1493" t="s">
        <v>219</v>
      </c>
      <c r="B182" s="21" t="s">
        <v>71</v>
      </c>
      <c r="C182" s="21" t="s">
        <v>89</v>
      </c>
      <c r="D182" s="21" t="s">
        <v>10</v>
      </c>
      <c r="E182" s="21" t="s">
        <v>24</v>
      </c>
      <c r="F182" s="21" t="s">
        <v>37</v>
      </c>
      <c r="G182" s="21" t="s">
        <v>266</v>
      </c>
      <c r="H182" s="21" t="s">
        <v>23</v>
      </c>
      <c r="I182" s="21" t="s">
        <v>292</v>
      </c>
      <c r="J182" s="21" t="s">
        <v>29</v>
      </c>
      <c r="K182" s="21" t="s">
        <v>93</v>
      </c>
    </row>
    <row r="183" spans="1:26" x14ac:dyDescent="0.2">
      <c r="A183" s="1493" t="s">
        <v>219</v>
      </c>
      <c r="B183" s="4">
        <v>-3214245000</v>
      </c>
      <c r="C183" s="1132">
        <v>-2508755000</v>
      </c>
      <c r="D183" s="4">
        <v>-1879000000</v>
      </c>
      <c r="E183" s="4">
        <v>-1822965000</v>
      </c>
      <c r="F183" s="1133">
        <v>-912480000</v>
      </c>
      <c r="G183" s="4">
        <v>-609840000</v>
      </c>
      <c r="H183" s="4">
        <v>-414350000</v>
      </c>
      <c r="I183" s="4">
        <v>-191280000</v>
      </c>
      <c r="J183" s="4">
        <v>-37000000</v>
      </c>
      <c r="K183" s="4">
        <v>-16200000</v>
      </c>
    </row>
    <row r="184" spans="1:26" x14ac:dyDescent="0.2">
      <c r="A184" s="1493" t="s">
        <v>218</v>
      </c>
      <c r="B184" s="21" t="s">
        <v>17</v>
      </c>
      <c r="C184" s="21" t="s">
        <v>99</v>
      </c>
      <c r="D184" s="21" t="s">
        <v>40</v>
      </c>
      <c r="E184" s="21" t="s">
        <v>32</v>
      </c>
      <c r="F184" s="21" t="s">
        <v>79</v>
      </c>
      <c r="G184" s="21" t="s">
        <v>35</v>
      </c>
      <c r="H184" s="21" t="s">
        <v>93</v>
      </c>
      <c r="I184" s="21" t="s">
        <v>14</v>
      </c>
      <c r="J184" s="21" t="s">
        <v>10</v>
      </c>
      <c r="K184" s="21" t="s">
        <v>20</v>
      </c>
      <c r="L184" s="21" t="s">
        <v>21</v>
      </c>
      <c r="M184" s="21" t="s">
        <v>29</v>
      </c>
      <c r="N184" s="1493" t="s">
        <v>384</v>
      </c>
      <c r="O184" s="21" t="s">
        <v>23</v>
      </c>
      <c r="P184" s="21" t="s">
        <v>33</v>
      </c>
      <c r="Q184" s="21" t="s">
        <v>79</v>
      </c>
      <c r="R184" s="21" t="s">
        <v>32</v>
      </c>
      <c r="S184" s="21" t="s">
        <v>21</v>
      </c>
      <c r="T184" s="21" t="s">
        <v>17</v>
      </c>
      <c r="U184" s="21" t="s">
        <v>14</v>
      </c>
      <c r="V184" s="21" t="s">
        <v>59</v>
      </c>
      <c r="W184" s="21" t="s">
        <v>58</v>
      </c>
      <c r="X184" s="21" t="s">
        <v>12</v>
      </c>
      <c r="Y184" s="21" t="s">
        <v>40</v>
      </c>
      <c r="Z184" s="21" t="s">
        <v>99</v>
      </c>
    </row>
    <row r="185" spans="1:26" x14ac:dyDescent="0.2">
      <c r="A185" s="1493" t="s">
        <v>218</v>
      </c>
      <c r="B185" s="4">
        <v>-25901560000</v>
      </c>
      <c r="C185" s="1129">
        <v>-25665360000</v>
      </c>
      <c r="D185" s="4">
        <v>-13120202000</v>
      </c>
      <c r="E185" s="4">
        <v>-12172061000</v>
      </c>
      <c r="F185" s="4">
        <v>-11115645000</v>
      </c>
      <c r="G185" s="4">
        <v>-10853249000</v>
      </c>
      <c r="H185" s="1130">
        <v>-10614680000</v>
      </c>
      <c r="I185" s="4">
        <v>-6714505000</v>
      </c>
      <c r="J185" s="4">
        <v>-3756800000</v>
      </c>
      <c r="K185" s="4">
        <v>-3554000000</v>
      </c>
      <c r="L185" s="4">
        <v>-2002310000</v>
      </c>
      <c r="M185" s="4">
        <v>-1989080000</v>
      </c>
      <c r="N185" s="1493" t="s">
        <v>384</v>
      </c>
      <c r="O185" s="4">
        <v>-106306790000</v>
      </c>
      <c r="P185" s="4">
        <v>-105425747000</v>
      </c>
      <c r="Q185" s="4">
        <v>-75462295000</v>
      </c>
      <c r="R185" s="4">
        <v>-59243527000</v>
      </c>
      <c r="S185" s="4">
        <v>-37566000000</v>
      </c>
      <c r="T185" s="4">
        <v>-35791203000</v>
      </c>
      <c r="U185" s="4">
        <v>-34187540000</v>
      </c>
      <c r="V185" s="4">
        <v>-32536350000</v>
      </c>
      <c r="W185" s="4">
        <v>-29266760000</v>
      </c>
      <c r="X185" s="4">
        <v>-28638876000</v>
      </c>
      <c r="Y185" s="4">
        <v>-27394842000</v>
      </c>
      <c r="Z185" s="4">
        <v>-25298075000</v>
      </c>
    </row>
    <row r="186" spans="1:26" x14ac:dyDescent="0.2">
      <c r="A186" s="1493" t="s">
        <v>217</v>
      </c>
      <c r="B186" s="21" t="s">
        <v>7</v>
      </c>
      <c r="C186" s="21" t="s">
        <v>93</v>
      </c>
    </row>
    <row r="187" spans="1:26" x14ac:dyDescent="0.2">
      <c r="A187" s="1493" t="s">
        <v>217</v>
      </c>
      <c r="B187" s="4">
        <v>-5056000000</v>
      </c>
      <c r="C187" s="4">
        <v>-958000000</v>
      </c>
    </row>
    <row r="188" spans="1:26" x14ac:dyDescent="0.2">
      <c r="A188" s="1493" t="s">
        <v>216</v>
      </c>
      <c r="B188" s="21" t="s">
        <v>33</v>
      </c>
      <c r="C188" s="21" t="s">
        <v>14</v>
      </c>
      <c r="D188" s="21" t="s">
        <v>15</v>
      </c>
      <c r="E188" s="21" t="s">
        <v>79</v>
      </c>
      <c r="F188" s="21" t="s">
        <v>35</v>
      </c>
      <c r="G188" s="21" t="s">
        <v>5</v>
      </c>
      <c r="H188" s="21" t="s">
        <v>12</v>
      </c>
      <c r="I188" s="21" t="s">
        <v>59</v>
      </c>
      <c r="J188" s="21" t="s">
        <v>64</v>
      </c>
      <c r="K188" s="21" t="s">
        <v>24</v>
      </c>
      <c r="L188" s="21" t="s">
        <v>13</v>
      </c>
      <c r="M188" s="21" t="s">
        <v>32</v>
      </c>
    </row>
    <row r="189" spans="1:26" x14ac:dyDescent="0.2">
      <c r="A189" s="1493" t="s">
        <v>216</v>
      </c>
      <c r="B189" s="4">
        <v>-37221550000</v>
      </c>
      <c r="C189" s="4">
        <v>-31033875000</v>
      </c>
      <c r="D189" s="4">
        <v>-27378075000</v>
      </c>
      <c r="E189" s="4">
        <v>-25397200000</v>
      </c>
      <c r="F189" s="4">
        <v>-21063065000</v>
      </c>
      <c r="G189" s="4">
        <v>-19135606000</v>
      </c>
      <c r="H189" s="4">
        <v>-18525356000</v>
      </c>
      <c r="I189" s="4">
        <v>-18045575000</v>
      </c>
      <c r="J189" s="4">
        <v>-17926405000</v>
      </c>
      <c r="K189" s="4">
        <v>-16869780000</v>
      </c>
      <c r="L189" s="4">
        <v>-13453705000</v>
      </c>
      <c r="M189" s="4">
        <v>-12329590000</v>
      </c>
    </row>
    <row r="190" spans="1:26" x14ac:dyDescent="0.2">
      <c r="A190" s="1493" t="s">
        <v>215</v>
      </c>
      <c r="B190" s="21" t="s">
        <v>23</v>
      </c>
      <c r="C190" s="21" t="s">
        <v>33</v>
      </c>
      <c r="D190" s="21" t="s">
        <v>58</v>
      </c>
      <c r="E190" s="21" t="s">
        <v>67</v>
      </c>
      <c r="F190" s="21" t="s">
        <v>36</v>
      </c>
      <c r="G190" s="21" t="s">
        <v>40</v>
      </c>
      <c r="H190" s="21" t="s">
        <v>93</v>
      </c>
      <c r="I190" s="21" t="s">
        <v>176</v>
      </c>
      <c r="J190" s="21" t="s">
        <v>21</v>
      </c>
      <c r="K190" s="21" t="s">
        <v>30</v>
      </c>
      <c r="L190" s="21" t="s">
        <v>27</v>
      </c>
    </row>
    <row r="191" spans="1:26" x14ac:dyDescent="0.2">
      <c r="A191" s="1493" t="s">
        <v>215</v>
      </c>
      <c r="B191" s="1123">
        <v>-251061450000</v>
      </c>
      <c r="C191" s="4">
        <v>-26445600000</v>
      </c>
      <c r="D191" s="1124">
        <v>-24082225000</v>
      </c>
      <c r="E191" s="4">
        <v>-15344675000</v>
      </c>
      <c r="F191" s="4">
        <v>-8382800000</v>
      </c>
      <c r="G191" s="4">
        <v>-4735040000</v>
      </c>
      <c r="H191" s="1125">
        <v>-4206530000</v>
      </c>
      <c r="I191" s="4">
        <v>-3358240000</v>
      </c>
      <c r="J191" s="4">
        <v>-1624190000</v>
      </c>
      <c r="K191" s="4">
        <v>-751890000</v>
      </c>
      <c r="L191" s="4">
        <v>-415510000</v>
      </c>
    </row>
    <row r="192" spans="1:26" x14ac:dyDescent="0.2">
      <c r="A192" s="1493" t="s">
        <v>214</v>
      </c>
      <c r="B192" s="21" t="s">
        <v>33</v>
      </c>
      <c r="C192" s="21" t="s">
        <v>23</v>
      </c>
      <c r="D192" s="21" t="s">
        <v>79</v>
      </c>
      <c r="E192" s="21" t="s">
        <v>15</v>
      </c>
      <c r="F192" s="21" t="s">
        <v>32</v>
      </c>
      <c r="G192" s="21" t="s">
        <v>13</v>
      </c>
      <c r="H192" s="21" t="s">
        <v>17</v>
      </c>
      <c r="I192" s="21" t="s">
        <v>21</v>
      </c>
      <c r="J192" s="21" t="s">
        <v>12</v>
      </c>
      <c r="K192" s="21" t="s">
        <v>59</v>
      </c>
      <c r="L192" s="21" t="s">
        <v>64</v>
      </c>
      <c r="M192" s="21" t="s">
        <v>24</v>
      </c>
    </row>
    <row r="193" spans="1:26" x14ac:dyDescent="0.2">
      <c r="A193" s="1493" t="s">
        <v>214</v>
      </c>
      <c r="B193" s="4">
        <v>-60223207000</v>
      </c>
      <c r="C193" s="4">
        <v>-55851900000</v>
      </c>
      <c r="D193" s="4">
        <v>-50237230000</v>
      </c>
      <c r="E193" s="4">
        <v>-47418355000</v>
      </c>
      <c r="F193" s="4">
        <v>-45407150000</v>
      </c>
      <c r="G193" s="4">
        <v>-36032895000</v>
      </c>
      <c r="H193" s="4">
        <v>-26044700000</v>
      </c>
      <c r="I193" s="4">
        <v>-23736370000</v>
      </c>
      <c r="J193" s="1121">
        <v>-21018390000</v>
      </c>
      <c r="K193" s="4">
        <v>-20178405000</v>
      </c>
      <c r="L193" s="4">
        <v>-17687475000</v>
      </c>
      <c r="M193" s="4">
        <v>-17010420000</v>
      </c>
    </row>
    <row r="194" spans="1:26" x14ac:dyDescent="0.2">
      <c r="A194" s="1493" t="s">
        <v>213</v>
      </c>
      <c r="B194" s="21" t="s">
        <v>13</v>
      </c>
      <c r="C194" s="21" t="s">
        <v>19</v>
      </c>
      <c r="D194" s="21" t="s">
        <v>35</v>
      </c>
      <c r="E194" s="21" t="s">
        <v>33</v>
      </c>
      <c r="F194" s="21" t="s">
        <v>32</v>
      </c>
      <c r="G194" s="21" t="s">
        <v>17</v>
      </c>
      <c r="H194" s="21" t="s">
        <v>86</v>
      </c>
      <c r="I194" s="21" t="s">
        <v>79</v>
      </c>
      <c r="J194" s="21" t="s">
        <v>15</v>
      </c>
      <c r="K194" s="21" t="s">
        <v>18</v>
      </c>
      <c r="L194" s="21" t="s">
        <v>14</v>
      </c>
      <c r="M194" s="21" t="s">
        <v>12</v>
      </c>
      <c r="N194" s="1493" t="s">
        <v>383</v>
      </c>
      <c r="O194" s="21" t="s">
        <v>17</v>
      </c>
      <c r="P194" s="21" t="s">
        <v>33</v>
      </c>
      <c r="Q194" s="21" t="s">
        <v>40</v>
      </c>
      <c r="R194" s="21" t="s">
        <v>34</v>
      </c>
      <c r="S194" s="21" t="s">
        <v>79</v>
      </c>
      <c r="T194" s="21" t="s">
        <v>15</v>
      </c>
      <c r="U194" s="21" t="s">
        <v>32</v>
      </c>
      <c r="V194" s="21" t="s">
        <v>61</v>
      </c>
      <c r="W194" s="21" t="s">
        <v>19</v>
      </c>
      <c r="X194" s="21" t="s">
        <v>59</v>
      </c>
      <c r="Y194" s="21" t="s">
        <v>176</v>
      </c>
      <c r="Z194" s="21" t="s">
        <v>36</v>
      </c>
    </row>
    <row r="195" spans="1:26" x14ac:dyDescent="0.2">
      <c r="A195" s="1493" t="s">
        <v>213</v>
      </c>
      <c r="B195" s="4">
        <v>-63156570000</v>
      </c>
      <c r="C195" s="4">
        <v>-55868955000</v>
      </c>
      <c r="D195" s="4">
        <v>-37600972000</v>
      </c>
      <c r="E195" s="4">
        <v>-36757645000</v>
      </c>
      <c r="F195" s="4">
        <v>-36246420000</v>
      </c>
      <c r="G195" s="4">
        <v>-27089125000</v>
      </c>
      <c r="H195" s="4">
        <v>-25400795000</v>
      </c>
      <c r="I195" s="4">
        <v>-22110202000</v>
      </c>
      <c r="J195" s="4">
        <v>-20654905000</v>
      </c>
      <c r="K195" s="4">
        <v>-19774095000</v>
      </c>
      <c r="L195" s="4">
        <v>-15027780000</v>
      </c>
      <c r="M195" s="4">
        <v>-14784680000</v>
      </c>
      <c r="N195" s="1493" t="s">
        <v>383</v>
      </c>
      <c r="O195" s="4">
        <v>-259865595000</v>
      </c>
      <c r="P195" s="4">
        <v>-188225245000</v>
      </c>
      <c r="Q195" s="4">
        <v>-113965810000</v>
      </c>
      <c r="R195" s="4">
        <v>-111002440000</v>
      </c>
      <c r="S195" s="4">
        <v>-78157157000</v>
      </c>
      <c r="T195" s="4">
        <v>-76450841000</v>
      </c>
      <c r="U195" s="4">
        <v>-74024155000</v>
      </c>
      <c r="V195" s="4">
        <v>-72875420000</v>
      </c>
      <c r="W195" s="4">
        <v>-54819590000</v>
      </c>
      <c r="X195" s="4">
        <v>-35714601000</v>
      </c>
      <c r="Y195" s="4">
        <v>-33812370000</v>
      </c>
      <c r="Z195" s="4">
        <v>-33793460000</v>
      </c>
    </row>
    <row r="196" spans="1:26" x14ac:dyDescent="0.2">
      <c r="A196" s="1493" t="s">
        <v>211</v>
      </c>
      <c r="B196" s="21" t="s">
        <v>17</v>
      </c>
      <c r="C196" s="21" t="s">
        <v>29</v>
      </c>
      <c r="D196" s="21" t="s">
        <v>176</v>
      </c>
      <c r="E196" s="21" t="s">
        <v>20</v>
      </c>
      <c r="F196" s="21" t="s">
        <v>57</v>
      </c>
    </row>
    <row r="197" spans="1:26" x14ac:dyDescent="0.2">
      <c r="A197" s="1493" t="s">
        <v>211</v>
      </c>
      <c r="B197" s="4">
        <v>-25242685000</v>
      </c>
      <c r="C197" s="1114">
        <v>-19230360000</v>
      </c>
      <c r="D197" s="4">
        <v>-2640140000</v>
      </c>
      <c r="E197" s="4">
        <v>-585000000</v>
      </c>
      <c r="F197" s="4">
        <v>-107410000</v>
      </c>
    </row>
    <row r="198" spans="1:26" x14ac:dyDescent="0.2">
      <c r="A198" s="1493" t="s">
        <v>210</v>
      </c>
      <c r="B198" s="21" t="s">
        <v>17</v>
      </c>
      <c r="C198" s="21" t="s">
        <v>34</v>
      </c>
      <c r="D198" s="21" t="s">
        <v>33</v>
      </c>
      <c r="E198" s="21" t="s">
        <v>40</v>
      </c>
      <c r="F198" s="21" t="s">
        <v>35</v>
      </c>
      <c r="G198" s="21" t="s">
        <v>36</v>
      </c>
      <c r="H198" s="21" t="s">
        <v>79</v>
      </c>
      <c r="I198" s="21" t="s">
        <v>32</v>
      </c>
      <c r="J198" s="21" t="s">
        <v>62</v>
      </c>
      <c r="K198" s="21" t="s">
        <v>65</v>
      </c>
      <c r="L198" s="21" t="s">
        <v>15</v>
      </c>
      <c r="M198" s="21" t="s">
        <v>18</v>
      </c>
    </row>
    <row r="199" spans="1:26" x14ac:dyDescent="0.2">
      <c r="A199" s="1493" t="s">
        <v>210</v>
      </c>
      <c r="B199" s="4">
        <v>-89354885000</v>
      </c>
      <c r="C199" s="1106">
        <v>-78312910000</v>
      </c>
      <c r="D199" s="4">
        <v>-66000920000</v>
      </c>
      <c r="E199" s="4">
        <v>-51931550000</v>
      </c>
      <c r="F199" s="4">
        <v>-48965090000</v>
      </c>
      <c r="G199" s="1107">
        <v>-46018890000</v>
      </c>
      <c r="H199" s="4">
        <v>-43235400000</v>
      </c>
      <c r="I199" s="4">
        <v>-24626775000</v>
      </c>
      <c r="J199" s="1108">
        <v>-16306320000</v>
      </c>
      <c r="K199" s="4">
        <v>-14898732000</v>
      </c>
      <c r="L199" s="4">
        <v>-12532495000</v>
      </c>
      <c r="M199" s="4">
        <v>-11763450000</v>
      </c>
    </row>
    <row r="200" spans="1:26" x14ac:dyDescent="0.2">
      <c r="A200" s="1493" t="s">
        <v>209</v>
      </c>
      <c r="B200" s="21" t="s">
        <v>33</v>
      </c>
      <c r="C200" s="21" t="s">
        <v>17</v>
      </c>
      <c r="D200" s="21" t="s">
        <v>40</v>
      </c>
      <c r="E200" s="21" t="s">
        <v>15</v>
      </c>
      <c r="F200" s="21" t="s">
        <v>61</v>
      </c>
      <c r="G200" s="21" t="s">
        <v>32</v>
      </c>
      <c r="H200" s="21" t="s">
        <v>79</v>
      </c>
      <c r="I200" s="21" t="s">
        <v>176</v>
      </c>
      <c r="J200" s="21" t="s">
        <v>23</v>
      </c>
      <c r="K200" s="21" t="s">
        <v>59</v>
      </c>
      <c r="L200" s="21" t="s">
        <v>34</v>
      </c>
      <c r="M200" s="21" t="s">
        <v>18</v>
      </c>
    </row>
    <row r="201" spans="1:26" x14ac:dyDescent="0.2">
      <c r="A201" s="1493" t="s">
        <v>209</v>
      </c>
      <c r="B201" s="1097">
        <v>-150223190000</v>
      </c>
      <c r="C201" s="4">
        <v>-139792805000</v>
      </c>
      <c r="D201" s="4">
        <v>-97635210000</v>
      </c>
      <c r="E201" s="4">
        <v>-76037605000</v>
      </c>
      <c r="F201" s="1098">
        <v>-74008310000</v>
      </c>
      <c r="G201" s="4">
        <v>-71324250000</v>
      </c>
      <c r="H201" s="1099">
        <v>-69574140000</v>
      </c>
      <c r="I201" s="1100">
        <v>-36313470000</v>
      </c>
      <c r="J201" s="4">
        <v>-36142530000</v>
      </c>
      <c r="K201" s="1101">
        <v>-34610990000</v>
      </c>
      <c r="L201" s="4">
        <v>-27463576000</v>
      </c>
      <c r="M201" s="4">
        <v>-24633260000</v>
      </c>
    </row>
    <row r="202" spans="1:26" x14ac:dyDescent="0.2">
      <c r="A202" s="1493" t="s">
        <v>208</v>
      </c>
      <c r="B202" s="21" t="s">
        <v>15</v>
      </c>
      <c r="C202" s="21" t="s">
        <v>24</v>
      </c>
      <c r="D202" s="21" t="s">
        <v>27</v>
      </c>
      <c r="E202" s="21" t="s">
        <v>271</v>
      </c>
      <c r="F202" s="21" t="s">
        <v>67</v>
      </c>
      <c r="G202" s="21" t="s">
        <v>6</v>
      </c>
      <c r="H202" s="21" t="s">
        <v>19</v>
      </c>
      <c r="I202" s="21" t="s">
        <v>5</v>
      </c>
      <c r="J202" s="21" t="s">
        <v>36</v>
      </c>
      <c r="K202" s="21" t="s">
        <v>62</v>
      </c>
      <c r="L202" s="21" t="s">
        <v>57</v>
      </c>
    </row>
    <row r="203" spans="1:26" x14ac:dyDescent="0.2">
      <c r="A203" s="1493" t="s">
        <v>208</v>
      </c>
      <c r="B203" s="4">
        <v>-8318366000</v>
      </c>
      <c r="C203" s="4">
        <v>-7108865000</v>
      </c>
      <c r="D203" s="1095">
        <v>-5498529000</v>
      </c>
      <c r="E203" s="4">
        <v>-5305110000</v>
      </c>
      <c r="F203" s="4">
        <v>-3735705000</v>
      </c>
      <c r="G203" s="4">
        <v>-3489515000</v>
      </c>
      <c r="H203" s="4">
        <v>-3409405000</v>
      </c>
      <c r="I203" s="4">
        <v>-2516545000</v>
      </c>
      <c r="J203" s="4">
        <v>-1670710000</v>
      </c>
      <c r="K203" s="4">
        <v>-1344165000</v>
      </c>
      <c r="L203" s="4">
        <v>-962750000</v>
      </c>
    </row>
    <row r="204" spans="1:26" x14ac:dyDescent="0.2">
      <c r="A204" s="1493" t="s">
        <v>206</v>
      </c>
      <c r="B204" s="21" t="s">
        <v>33</v>
      </c>
      <c r="C204" s="21" t="s">
        <v>5</v>
      </c>
      <c r="D204" s="21" t="s">
        <v>13</v>
      </c>
      <c r="E204" s="21" t="s">
        <v>22</v>
      </c>
      <c r="F204" s="21" t="s">
        <v>34</v>
      </c>
      <c r="G204" s="21" t="s">
        <v>190</v>
      </c>
      <c r="H204" s="21" t="s">
        <v>93</v>
      </c>
      <c r="I204" s="21" t="s">
        <v>99</v>
      </c>
      <c r="J204" s="21" t="s">
        <v>6</v>
      </c>
      <c r="K204" s="21" t="s">
        <v>35</v>
      </c>
      <c r="L204" s="21" t="s">
        <v>40</v>
      </c>
      <c r="M204" s="21" t="s">
        <v>27</v>
      </c>
      <c r="N204" s="1493" t="s">
        <v>382</v>
      </c>
      <c r="O204" s="21" t="s">
        <v>23</v>
      </c>
      <c r="P204" s="21" t="s">
        <v>33</v>
      </c>
      <c r="Q204" s="21" t="s">
        <v>67</v>
      </c>
      <c r="R204" s="21" t="s">
        <v>163</v>
      </c>
      <c r="S204" s="21" t="s">
        <v>9</v>
      </c>
      <c r="T204" s="21" t="s">
        <v>263</v>
      </c>
      <c r="U204" s="21" t="s">
        <v>36</v>
      </c>
      <c r="V204" s="21" t="s">
        <v>15</v>
      </c>
      <c r="W204" s="21" t="s">
        <v>266</v>
      </c>
      <c r="X204" s="21" t="s">
        <v>93</v>
      </c>
      <c r="Y204" s="21" t="s">
        <v>18</v>
      </c>
      <c r="Z204" s="21" t="s">
        <v>10</v>
      </c>
    </row>
    <row r="205" spans="1:26" x14ac:dyDescent="0.2">
      <c r="A205" s="1493" t="s">
        <v>206</v>
      </c>
      <c r="B205" s="4">
        <v>-29768690000</v>
      </c>
      <c r="C205" s="4">
        <v>-6846250000</v>
      </c>
      <c r="D205" s="4">
        <v>-6387135000</v>
      </c>
      <c r="E205" s="4">
        <v>-5263255000</v>
      </c>
      <c r="F205" s="4">
        <v>-4376185000</v>
      </c>
      <c r="G205" s="1086">
        <v>-3827200000</v>
      </c>
      <c r="H205" s="1087">
        <v>-2808090000</v>
      </c>
      <c r="I205" s="4">
        <v>-2529875000</v>
      </c>
      <c r="J205" s="4">
        <v>-2093555000</v>
      </c>
      <c r="K205" s="4">
        <v>-1458660000</v>
      </c>
      <c r="L205" s="4">
        <v>-1262450000</v>
      </c>
      <c r="M205" s="1088">
        <v>-1243650000</v>
      </c>
      <c r="N205" s="1493" t="s">
        <v>382</v>
      </c>
      <c r="O205" s="4">
        <v>-83079393000</v>
      </c>
      <c r="P205" s="4">
        <v>-79222989000</v>
      </c>
      <c r="Q205" s="4">
        <v>-34071850000</v>
      </c>
      <c r="R205" s="4">
        <v>-22670829000</v>
      </c>
      <c r="S205" s="4">
        <v>-11951885000</v>
      </c>
      <c r="T205" s="4">
        <v>-7260860000</v>
      </c>
      <c r="U205" s="4">
        <v>-5501470000</v>
      </c>
      <c r="V205" s="4">
        <v>-4467080000</v>
      </c>
      <c r="W205" s="4">
        <v>-3870620000</v>
      </c>
      <c r="X205" s="4">
        <v>-2808090000</v>
      </c>
      <c r="Y205" s="4">
        <v>-2367990000</v>
      </c>
      <c r="Z205" s="4">
        <v>-1900000000</v>
      </c>
    </row>
    <row r="206" spans="1:26" x14ac:dyDescent="0.2">
      <c r="A206" s="1493" t="s">
        <v>205</v>
      </c>
      <c r="B206" s="21" t="s">
        <v>23</v>
      </c>
      <c r="C206" s="21" t="s">
        <v>33</v>
      </c>
      <c r="D206" s="21" t="s">
        <v>21</v>
      </c>
      <c r="E206" s="21" t="s">
        <v>5</v>
      </c>
      <c r="F206" s="21" t="s">
        <v>35</v>
      </c>
      <c r="G206" s="21" t="s">
        <v>13</v>
      </c>
      <c r="H206" s="21" t="s">
        <v>29</v>
      </c>
      <c r="I206" s="21" t="s">
        <v>17</v>
      </c>
      <c r="J206" s="21" t="s">
        <v>15</v>
      </c>
      <c r="K206" s="21" t="s">
        <v>59</v>
      </c>
      <c r="L206" s="21" t="s">
        <v>212</v>
      </c>
      <c r="M206" s="21" t="s">
        <v>18</v>
      </c>
    </row>
    <row r="207" spans="1:26" x14ac:dyDescent="0.2">
      <c r="A207" s="1493" t="s">
        <v>205</v>
      </c>
      <c r="B207" s="1084">
        <v>-81722583000</v>
      </c>
      <c r="C207" s="4">
        <v>-26585609000</v>
      </c>
      <c r="D207" s="4">
        <v>-12280480000</v>
      </c>
      <c r="E207" s="4">
        <v>-11089665000</v>
      </c>
      <c r="F207" s="4">
        <v>-11079670000</v>
      </c>
      <c r="G207" s="4">
        <v>-8736685000</v>
      </c>
      <c r="H207" s="4">
        <v>-7976000000</v>
      </c>
      <c r="I207" s="4">
        <v>-7764945000</v>
      </c>
      <c r="J207" s="4">
        <v>-6487985000</v>
      </c>
      <c r="K207" s="4">
        <v>-5892265000</v>
      </c>
      <c r="L207" s="4">
        <v>-4281650000</v>
      </c>
      <c r="M207" s="4">
        <v>-3419000000</v>
      </c>
    </row>
    <row r="208" spans="1:26" x14ac:dyDescent="0.2">
      <c r="A208" s="1493" t="s">
        <v>204</v>
      </c>
      <c r="B208" s="21" t="s">
        <v>67</v>
      </c>
      <c r="C208" s="21" t="s">
        <v>33</v>
      </c>
      <c r="D208" s="21" t="s">
        <v>163</v>
      </c>
      <c r="E208" s="21" t="s">
        <v>20</v>
      </c>
      <c r="F208" s="21" t="s">
        <v>13</v>
      </c>
      <c r="G208" s="21" t="s">
        <v>266</v>
      </c>
      <c r="H208" s="21" t="s">
        <v>325</v>
      </c>
      <c r="I208" s="21" t="s">
        <v>99</v>
      </c>
      <c r="J208" s="21" t="s">
        <v>25</v>
      </c>
      <c r="K208" s="21" t="s">
        <v>24</v>
      </c>
      <c r="L208" s="21" t="s">
        <v>29</v>
      </c>
      <c r="M208" s="21" t="s">
        <v>30</v>
      </c>
    </row>
    <row r="209" spans="1:26" x14ac:dyDescent="0.2">
      <c r="A209" s="1493" t="s">
        <v>204</v>
      </c>
      <c r="B209" s="1074">
        <v>-34071850000</v>
      </c>
      <c r="C209" s="4">
        <v>-10032940000</v>
      </c>
      <c r="D209" s="4">
        <v>-8842033000</v>
      </c>
      <c r="E209" s="4">
        <v>-7488090000</v>
      </c>
      <c r="F209" s="4">
        <v>-5057445000</v>
      </c>
      <c r="G209" s="1075">
        <v>-3870620000</v>
      </c>
      <c r="H209" s="1076">
        <v>-3441210000</v>
      </c>
      <c r="I209" s="4">
        <v>-3136990000</v>
      </c>
      <c r="J209" s="4">
        <v>-1772200000</v>
      </c>
      <c r="K209" s="4">
        <v>-1500420000</v>
      </c>
      <c r="L209" s="4">
        <v>-1107000000</v>
      </c>
      <c r="M209" s="4">
        <v>-1083010000</v>
      </c>
    </row>
    <row r="210" spans="1:26" x14ac:dyDescent="0.2">
      <c r="A210" s="1493" t="s">
        <v>203</v>
      </c>
      <c r="B210" s="21" t="s">
        <v>33</v>
      </c>
      <c r="C210" s="21" t="s">
        <v>15</v>
      </c>
      <c r="D210" s="21" t="s">
        <v>79</v>
      </c>
      <c r="E210" s="21" t="s">
        <v>23</v>
      </c>
      <c r="F210" s="21" t="s">
        <v>64</v>
      </c>
      <c r="G210" s="21" t="s">
        <v>163</v>
      </c>
      <c r="H210" s="21" t="s">
        <v>32</v>
      </c>
      <c r="I210" s="21" t="s">
        <v>59</v>
      </c>
      <c r="J210" s="21" t="s">
        <v>21</v>
      </c>
      <c r="K210" s="21" t="s">
        <v>18</v>
      </c>
      <c r="L210" s="21" t="s">
        <v>22</v>
      </c>
      <c r="M210" s="21" t="s">
        <v>12</v>
      </c>
    </row>
    <row r="211" spans="1:26" x14ac:dyDescent="0.2">
      <c r="A211" s="1493" t="s">
        <v>203</v>
      </c>
      <c r="B211" s="4">
        <v>-36500420000</v>
      </c>
      <c r="C211" s="4">
        <v>-30975110000</v>
      </c>
      <c r="D211" s="4">
        <v>-24832380000</v>
      </c>
      <c r="E211" s="4">
        <v>-24583770000</v>
      </c>
      <c r="F211" s="4">
        <v>-20912115000</v>
      </c>
      <c r="G211" s="4">
        <v>-19406986000</v>
      </c>
      <c r="H211" s="4">
        <v>-16785510000</v>
      </c>
      <c r="I211" s="4">
        <v>-16258830000</v>
      </c>
      <c r="J211" s="4">
        <v>-14744800000</v>
      </c>
      <c r="K211" s="4">
        <v>-14277715000</v>
      </c>
      <c r="L211" s="4">
        <v>-13636405000</v>
      </c>
      <c r="M211" s="4">
        <v>-13261400000</v>
      </c>
    </row>
    <row r="212" spans="1:26" x14ac:dyDescent="0.2">
      <c r="A212" s="1493" t="s">
        <v>201</v>
      </c>
      <c r="B212" s="21" t="s">
        <v>9</v>
      </c>
      <c r="C212" s="21" t="s">
        <v>24</v>
      </c>
      <c r="D212" s="21" t="s">
        <v>36</v>
      </c>
    </row>
    <row r="213" spans="1:26" x14ac:dyDescent="0.2">
      <c r="A213" s="1493" t="s">
        <v>201</v>
      </c>
      <c r="B213" s="1070">
        <v>-11951885000</v>
      </c>
      <c r="C213" s="4">
        <v>-2895740000</v>
      </c>
      <c r="D213" s="4">
        <v>-942780000</v>
      </c>
    </row>
    <row r="214" spans="1:26" x14ac:dyDescent="0.2">
      <c r="A214" s="1493" t="s">
        <v>200</v>
      </c>
      <c r="B214" s="21" t="s">
        <v>24</v>
      </c>
      <c r="C214" s="21" t="s">
        <v>176</v>
      </c>
      <c r="D214" s="21" t="s">
        <v>10</v>
      </c>
      <c r="E214" s="21" t="s">
        <v>32</v>
      </c>
      <c r="F214" s="21" t="s">
        <v>7</v>
      </c>
      <c r="G214" s="21" t="s">
        <v>34</v>
      </c>
      <c r="H214" s="21" t="s">
        <v>79</v>
      </c>
      <c r="I214" s="21" t="s">
        <v>58</v>
      </c>
      <c r="J214" s="21" t="s">
        <v>62</v>
      </c>
      <c r="K214" s="21" t="s">
        <v>99</v>
      </c>
      <c r="L214" s="21" t="s">
        <v>17</v>
      </c>
      <c r="M214" s="21" t="s">
        <v>20</v>
      </c>
      <c r="N214" s="1493" t="s">
        <v>381</v>
      </c>
      <c r="O214" s="21" t="s">
        <v>17</v>
      </c>
      <c r="P214" s="21" t="s">
        <v>79</v>
      </c>
      <c r="Q214" s="21" t="s">
        <v>33</v>
      </c>
      <c r="R214" s="21" t="s">
        <v>35</v>
      </c>
      <c r="S214" s="21" t="s">
        <v>24</v>
      </c>
      <c r="T214" s="21" t="s">
        <v>22</v>
      </c>
      <c r="U214" s="21" t="s">
        <v>32</v>
      </c>
      <c r="V214" s="21" t="s">
        <v>40</v>
      </c>
      <c r="W214" s="21" t="s">
        <v>59</v>
      </c>
      <c r="X214" s="21" t="s">
        <v>5</v>
      </c>
      <c r="Y214" s="21" t="s">
        <v>12</v>
      </c>
      <c r="Z214" s="21" t="s">
        <v>18</v>
      </c>
    </row>
    <row r="215" spans="1:26" x14ac:dyDescent="0.2">
      <c r="A215" s="1493" t="s">
        <v>200</v>
      </c>
      <c r="B215" s="1063">
        <v>-21288680000</v>
      </c>
      <c r="C215" s="1064">
        <v>-12892299000</v>
      </c>
      <c r="D215" s="1065">
        <v>-9161500000</v>
      </c>
      <c r="E215" s="4">
        <v>-6655000000</v>
      </c>
      <c r="F215" s="1066">
        <v>-6077040000</v>
      </c>
      <c r="G215" s="4">
        <v>-4379845000</v>
      </c>
      <c r="H215" s="4">
        <v>-3884905000</v>
      </c>
      <c r="I215" s="1067">
        <v>-3416780000</v>
      </c>
      <c r="J215" s="4">
        <v>-3210600000</v>
      </c>
      <c r="K215" s="4">
        <v>-3180155000</v>
      </c>
      <c r="L215" s="4">
        <v>-2904840000</v>
      </c>
      <c r="M215" s="4">
        <v>-2034090000</v>
      </c>
      <c r="N215" s="1493" t="s">
        <v>381</v>
      </c>
      <c r="O215" s="4">
        <v>-130036685000</v>
      </c>
      <c r="P215" s="4">
        <v>-127257870000</v>
      </c>
      <c r="Q215" s="4">
        <v>-65274139000</v>
      </c>
      <c r="R215" s="4">
        <v>-51946920000</v>
      </c>
      <c r="S215" s="4">
        <v>-39053150000</v>
      </c>
      <c r="T215" s="4">
        <v>-37008065000</v>
      </c>
      <c r="U215" s="4">
        <v>-33785930000</v>
      </c>
      <c r="V215" s="4">
        <v>-31347600000</v>
      </c>
      <c r="W215" s="4">
        <v>-29691612000</v>
      </c>
      <c r="X215" s="4">
        <v>-26378396000</v>
      </c>
      <c r="Y215" s="4">
        <v>-19775250000</v>
      </c>
      <c r="Z215" s="4">
        <v>-15193690000</v>
      </c>
    </row>
    <row r="216" spans="1:26" x14ac:dyDescent="0.2">
      <c r="A216" s="1493" t="s">
        <v>199</v>
      </c>
      <c r="B216" s="21" t="s">
        <v>79</v>
      </c>
      <c r="C216" s="21" t="s">
        <v>17</v>
      </c>
      <c r="D216" s="21" t="s">
        <v>57</v>
      </c>
      <c r="E216" s="21" t="s">
        <v>5</v>
      </c>
      <c r="F216" s="21" t="s">
        <v>40</v>
      </c>
      <c r="G216" s="21" t="s">
        <v>29</v>
      </c>
      <c r="H216" s="21" t="s">
        <v>22</v>
      </c>
      <c r="I216" s="21" t="s">
        <v>197</v>
      </c>
      <c r="J216" s="21" t="s">
        <v>7</v>
      </c>
      <c r="K216" s="21" t="s">
        <v>65</v>
      </c>
      <c r="L216" s="21" t="s">
        <v>266</v>
      </c>
      <c r="M216" s="21" t="s">
        <v>18</v>
      </c>
    </row>
    <row r="217" spans="1:26" x14ac:dyDescent="0.2">
      <c r="A217" s="1493" t="s">
        <v>199</v>
      </c>
      <c r="B217" s="1057">
        <v>-69315090000</v>
      </c>
      <c r="C217" s="4">
        <v>-19576365000</v>
      </c>
      <c r="D217" s="1058">
        <v>-16690410000</v>
      </c>
      <c r="E217" s="4">
        <v>-14358869000</v>
      </c>
      <c r="F217" s="4">
        <v>-9518630000</v>
      </c>
      <c r="G217" s="4">
        <v>-7854400000</v>
      </c>
      <c r="H217" s="4">
        <v>-7405650000</v>
      </c>
      <c r="I217" s="1059">
        <v>-5642850000</v>
      </c>
      <c r="J217" s="1060">
        <v>-4746160000</v>
      </c>
      <c r="K217" s="4">
        <v>-2222900000</v>
      </c>
      <c r="L217" s="4">
        <v>-1245000000</v>
      </c>
      <c r="M217" s="4">
        <v>-1175490000</v>
      </c>
    </row>
    <row r="218" spans="1:26" x14ac:dyDescent="0.2">
      <c r="A218" s="1493" t="s">
        <v>196</v>
      </c>
      <c r="B218" s="21" t="s">
        <v>35</v>
      </c>
      <c r="C218" s="21" t="s">
        <v>79</v>
      </c>
      <c r="D218" s="21" t="s">
        <v>17</v>
      </c>
      <c r="E218" s="21" t="s">
        <v>15</v>
      </c>
      <c r="F218" s="21" t="s">
        <v>18</v>
      </c>
      <c r="G218" s="21" t="s">
        <v>13</v>
      </c>
      <c r="H218" s="21" t="s">
        <v>40</v>
      </c>
      <c r="I218" s="21" t="s">
        <v>25</v>
      </c>
      <c r="J218" s="21" t="s">
        <v>22</v>
      </c>
      <c r="K218" s="21" t="s">
        <v>12</v>
      </c>
      <c r="L218" s="21" t="s">
        <v>33</v>
      </c>
      <c r="M218" s="21" t="s">
        <v>59</v>
      </c>
    </row>
    <row r="219" spans="1:26" x14ac:dyDescent="0.2">
      <c r="A219" s="1493" t="s">
        <v>196</v>
      </c>
      <c r="B219" s="4">
        <v>-49351320000</v>
      </c>
      <c r="C219" s="4">
        <v>-41430270000</v>
      </c>
      <c r="D219" s="4">
        <v>-25038165000</v>
      </c>
      <c r="E219" s="4">
        <v>-25030575000</v>
      </c>
      <c r="F219" s="4">
        <v>-23684225000</v>
      </c>
      <c r="G219" s="4">
        <v>-22417375000</v>
      </c>
      <c r="H219" s="4">
        <v>-21828970000</v>
      </c>
      <c r="I219" s="1050">
        <v>-14762470000</v>
      </c>
      <c r="J219" s="4">
        <v>-14236555000</v>
      </c>
      <c r="K219" s="4">
        <v>-14158650000</v>
      </c>
      <c r="L219" s="4">
        <v>-13958533000</v>
      </c>
      <c r="M219" s="4">
        <v>-13457412000</v>
      </c>
    </row>
    <row r="220" spans="1:26" x14ac:dyDescent="0.2">
      <c r="A220" s="1493" t="s">
        <v>195</v>
      </c>
      <c r="B220" s="21" t="s">
        <v>17</v>
      </c>
      <c r="C220" s="21" t="s">
        <v>33</v>
      </c>
      <c r="D220" s="21" t="s">
        <v>14</v>
      </c>
      <c r="E220" s="21" t="s">
        <v>23</v>
      </c>
      <c r="F220" s="21" t="s">
        <v>32</v>
      </c>
      <c r="G220" s="21" t="s">
        <v>35</v>
      </c>
      <c r="H220" s="21" t="s">
        <v>22</v>
      </c>
      <c r="I220" s="21" t="s">
        <v>5</v>
      </c>
      <c r="J220" s="21" t="s">
        <v>18</v>
      </c>
      <c r="K220" s="21" t="s">
        <v>30</v>
      </c>
      <c r="L220" s="21" t="s">
        <v>24</v>
      </c>
      <c r="M220" s="21" t="s">
        <v>59</v>
      </c>
    </row>
    <row r="221" spans="1:26" x14ac:dyDescent="0.2">
      <c r="A221" s="1493" t="s">
        <v>195</v>
      </c>
      <c r="B221" s="4">
        <v>-46415180000</v>
      </c>
      <c r="C221" s="4">
        <v>-41909346000</v>
      </c>
      <c r="D221" s="4">
        <v>-35049574000</v>
      </c>
      <c r="E221" s="4">
        <v>-23907840000</v>
      </c>
      <c r="F221" s="4">
        <v>-19183995000</v>
      </c>
      <c r="G221" s="4">
        <v>-18519453000</v>
      </c>
      <c r="H221" s="1045">
        <v>-14394500000</v>
      </c>
      <c r="I221" s="4">
        <v>-12341500000</v>
      </c>
      <c r="J221" s="4">
        <v>-12275740000</v>
      </c>
      <c r="K221" s="1046">
        <v>-11262570000</v>
      </c>
      <c r="L221" s="4">
        <v>-9711275000</v>
      </c>
      <c r="M221" s="4">
        <v>-8397085000</v>
      </c>
    </row>
    <row r="222" spans="1:26" x14ac:dyDescent="0.2">
      <c r="A222" s="1493" t="s">
        <v>193</v>
      </c>
      <c r="B222" s="21" t="s">
        <v>17</v>
      </c>
      <c r="C222" s="21" t="s">
        <v>35</v>
      </c>
      <c r="D222" s="21" t="s">
        <v>33</v>
      </c>
      <c r="E222" s="21" t="s">
        <v>15</v>
      </c>
      <c r="F222" s="21" t="s">
        <v>32</v>
      </c>
      <c r="G222" s="21" t="s">
        <v>59</v>
      </c>
      <c r="H222" s="21" t="s">
        <v>24</v>
      </c>
      <c r="I222" s="21" t="s">
        <v>12</v>
      </c>
      <c r="J222" s="21" t="s">
        <v>22</v>
      </c>
      <c r="K222" s="21" t="s">
        <v>65</v>
      </c>
      <c r="L222" s="21" t="s">
        <v>64</v>
      </c>
      <c r="M222" s="21" t="s">
        <v>79</v>
      </c>
    </row>
    <row r="223" spans="1:26" x14ac:dyDescent="0.2">
      <c r="A223" s="1493" t="s">
        <v>193</v>
      </c>
      <c r="B223" s="4">
        <v>-36102135000</v>
      </c>
      <c r="C223" s="4">
        <v>-14604752000</v>
      </c>
      <c r="D223" s="4">
        <v>-12831920000</v>
      </c>
      <c r="E223" s="4">
        <v>-12521985000</v>
      </c>
      <c r="F223" s="4">
        <v>-12340287000</v>
      </c>
      <c r="G223" s="4">
        <v>-11868105000</v>
      </c>
      <c r="H223" s="4">
        <v>-9630440000</v>
      </c>
      <c r="I223" s="4">
        <v>-7330500000</v>
      </c>
      <c r="J223" s="4">
        <v>-6684975000</v>
      </c>
      <c r="K223" s="4">
        <v>-6662269000</v>
      </c>
      <c r="L223" s="4">
        <v>-6181350000</v>
      </c>
      <c r="M223" s="4">
        <v>-5730710000</v>
      </c>
    </row>
    <row r="224" spans="1:26" x14ac:dyDescent="0.2">
      <c r="A224" s="1493" t="s">
        <v>189</v>
      </c>
      <c r="B224" s="21" t="s">
        <v>33</v>
      </c>
      <c r="C224" s="21" t="s">
        <v>17</v>
      </c>
      <c r="D224" s="21" t="s">
        <v>13</v>
      </c>
      <c r="E224" s="21" t="s">
        <v>163</v>
      </c>
      <c r="F224" s="21" t="s">
        <v>79</v>
      </c>
      <c r="G224" s="21" t="s">
        <v>34</v>
      </c>
      <c r="H224" s="21" t="s">
        <v>10</v>
      </c>
      <c r="I224" s="21" t="s">
        <v>8</v>
      </c>
      <c r="J224" s="21" t="s">
        <v>176</v>
      </c>
      <c r="K224" s="21" t="s">
        <v>266</v>
      </c>
      <c r="N224" s="1493" t="s">
        <v>380</v>
      </c>
      <c r="O224" s="21" t="s">
        <v>5</v>
      </c>
      <c r="P224" s="21" t="s">
        <v>33</v>
      </c>
      <c r="Q224" s="21" t="s">
        <v>14</v>
      </c>
      <c r="R224" s="21" t="s">
        <v>17</v>
      </c>
      <c r="S224" s="21" t="s">
        <v>163</v>
      </c>
      <c r="T224" s="21" t="s">
        <v>13</v>
      </c>
      <c r="U224" s="21" t="s">
        <v>86</v>
      </c>
      <c r="V224" s="21" t="s">
        <v>32</v>
      </c>
      <c r="W224" s="21" t="s">
        <v>34</v>
      </c>
      <c r="X224" s="21" t="s">
        <v>18</v>
      </c>
      <c r="Y224" s="21" t="s">
        <v>183</v>
      </c>
      <c r="Z224" s="21" t="s">
        <v>64</v>
      </c>
    </row>
    <row r="225" spans="1:26" x14ac:dyDescent="0.2">
      <c r="A225" s="1493" t="s">
        <v>189</v>
      </c>
      <c r="B225" s="1041">
        <v>-73248490000</v>
      </c>
      <c r="C225" s="4">
        <v>-18575325000</v>
      </c>
      <c r="D225" s="4">
        <v>-12289440000</v>
      </c>
      <c r="E225" s="4">
        <v>-10173090000</v>
      </c>
      <c r="F225" s="4">
        <v>-9382875000</v>
      </c>
      <c r="G225" s="4">
        <v>-8991696000</v>
      </c>
      <c r="H225" s="4">
        <v>-2978023600</v>
      </c>
      <c r="I225" s="1042">
        <v>-2366470000</v>
      </c>
      <c r="J225" s="4">
        <v>-1442010000</v>
      </c>
      <c r="K225" s="4">
        <v>-620000000</v>
      </c>
      <c r="N225" s="1493" t="s">
        <v>380</v>
      </c>
      <c r="O225" s="4">
        <v>-120542600000</v>
      </c>
      <c r="P225" s="4">
        <v>-96996987000</v>
      </c>
      <c r="Q225" s="4">
        <v>-90112792000</v>
      </c>
      <c r="R225" s="4">
        <v>-60032917000</v>
      </c>
      <c r="S225" s="4">
        <v>-55842943000</v>
      </c>
      <c r="T225" s="4">
        <v>-51016095000</v>
      </c>
      <c r="U225" s="4">
        <v>-41570395000</v>
      </c>
      <c r="V225" s="4">
        <v>-30771528000</v>
      </c>
      <c r="W225" s="4">
        <v>-21406411000</v>
      </c>
      <c r="X225" s="4">
        <v>-18538060000</v>
      </c>
      <c r="Y225" s="4">
        <v>-11681825000</v>
      </c>
      <c r="Z225" s="4">
        <v>-7481975000</v>
      </c>
    </row>
    <row r="226" spans="1:26" x14ac:dyDescent="0.2">
      <c r="A226" s="1493" t="s">
        <v>185</v>
      </c>
      <c r="B226" s="21" t="s">
        <v>5</v>
      </c>
      <c r="C226" s="21" t="s">
        <v>75</v>
      </c>
      <c r="D226" s="21" t="s">
        <v>13</v>
      </c>
      <c r="E226" s="21" t="s">
        <v>64</v>
      </c>
      <c r="F226" s="21" t="s">
        <v>17</v>
      </c>
      <c r="G226" s="21" t="s">
        <v>34</v>
      </c>
      <c r="H226" s="21" t="s">
        <v>18</v>
      </c>
      <c r="I226" s="21" t="s">
        <v>67</v>
      </c>
      <c r="J226" s="21" t="s">
        <v>14</v>
      </c>
      <c r="K226" s="21" t="s">
        <v>20</v>
      </c>
    </row>
    <row r="227" spans="1:26" x14ac:dyDescent="0.2">
      <c r="A227" s="1493" t="s">
        <v>185</v>
      </c>
      <c r="B227" s="4">
        <v>-41250125000</v>
      </c>
      <c r="C227" s="1038">
        <v>-24653932000</v>
      </c>
      <c r="D227" s="4">
        <v>-12342220000</v>
      </c>
      <c r="E227" s="4">
        <v>-12073745000</v>
      </c>
      <c r="F227" s="4">
        <v>-9204300000</v>
      </c>
      <c r="G227" s="4">
        <v>-9036447000</v>
      </c>
      <c r="H227" s="4">
        <v>-6447750000</v>
      </c>
      <c r="I227" s="4">
        <v>-3706070000</v>
      </c>
      <c r="J227" s="4">
        <v>-1107165000</v>
      </c>
      <c r="K227" s="4">
        <v>-25000000</v>
      </c>
    </row>
    <row r="228" spans="1:26" x14ac:dyDescent="0.2">
      <c r="A228" s="1493" t="s">
        <v>181</v>
      </c>
      <c r="B228" s="21" t="s">
        <v>13</v>
      </c>
      <c r="C228" s="21" t="s">
        <v>14</v>
      </c>
      <c r="D228" s="21" t="s">
        <v>86</v>
      </c>
      <c r="E228" s="21" t="s">
        <v>163</v>
      </c>
      <c r="F228" s="21" t="s">
        <v>79</v>
      </c>
      <c r="G228" s="21" t="s">
        <v>183</v>
      </c>
      <c r="H228" s="21" t="s">
        <v>29</v>
      </c>
      <c r="I228" s="21" t="s">
        <v>12</v>
      </c>
      <c r="J228" s="21" t="s">
        <v>21</v>
      </c>
      <c r="K228" s="21" t="s">
        <v>17</v>
      </c>
      <c r="L228" s="21" t="s">
        <v>32</v>
      </c>
      <c r="M228" s="21" t="s">
        <v>59</v>
      </c>
    </row>
    <row r="229" spans="1:26" x14ac:dyDescent="0.2">
      <c r="A229" s="1493" t="s">
        <v>181</v>
      </c>
      <c r="B229" s="4">
        <v>-52890765000</v>
      </c>
      <c r="C229" s="4">
        <v>-44658787000</v>
      </c>
      <c r="D229" s="1028">
        <v>-42277880000</v>
      </c>
      <c r="E229" s="1029">
        <v>-21584750000</v>
      </c>
      <c r="F229" s="4">
        <v>-12839935000</v>
      </c>
      <c r="G229" s="1030">
        <v>-11681825000</v>
      </c>
      <c r="H229" s="1031">
        <v>-11342510000</v>
      </c>
      <c r="I229" s="4">
        <v>-7554990000</v>
      </c>
      <c r="J229" s="4">
        <v>-7234210000</v>
      </c>
      <c r="K229" s="4">
        <v>-5775285000</v>
      </c>
      <c r="L229" s="4">
        <v>-5567700000</v>
      </c>
      <c r="M229" s="4">
        <v>-3597031000</v>
      </c>
    </row>
    <row r="230" spans="1:26" x14ac:dyDescent="0.2">
      <c r="A230" s="1493" t="s">
        <v>178</v>
      </c>
      <c r="B230" s="21" t="s">
        <v>5</v>
      </c>
      <c r="C230" s="21" t="s">
        <v>14</v>
      </c>
      <c r="D230" s="21" t="s">
        <v>15</v>
      </c>
      <c r="E230" s="21" t="s">
        <v>17</v>
      </c>
      <c r="F230" s="21" t="s">
        <v>21</v>
      </c>
      <c r="G230" s="21" t="s">
        <v>33</v>
      </c>
      <c r="H230" s="21" t="s">
        <v>18</v>
      </c>
      <c r="I230" s="21" t="s">
        <v>35</v>
      </c>
      <c r="J230" s="21" t="s">
        <v>12</v>
      </c>
      <c r="K230" s="21" t="s">
        <v>64</v>
      </c>
      <c r="L230" s="21" t="s">
        <v>24</v>
      </c>
      <c r="M230" s="21" t="s">
        <v>32</v>
      </c>
    </row>
    <row r="231" spans="1:26" x14ac:dyDescent="0.2">
      <c r="A231" s="1493" t="s">
        <v>178</v>
      </c>
      <c r="B231" s="1019">
        <v>-101117683000</v>
      </c>
      <c r="C231" s="1020">
        <v>-98294545000</v>
      </c>
      <c r="D231" s="4">
        <v>-30522444000</v>
      </c>
      <c r="E231" s="4">
        <v>-27613387000</v>
      </c>
      <c r="F231" s="4">
        <v>-24496290000</v>
      </c>
      <c r="G231" s="4">
        <v>-23341236000</v>
      </c>
      <c r="H231" s="4">
        <v>-19383565000</v>
      </c>
      <c r="I231" s="4">
        <v>-18879279000</v>
      </c>
      <c r="J231" s="4">
        <v>-17524270000</v>
      </c>
      <c r="K231" s="4">
        <v>-16197130000</v>
      </c>
      <c r="L231" s="1021">
        <v>-15083005000</v>
      </c>
      <c r="M231" s="4">
        <v>-14668082000</v>
      </c>
    </row>
    <row r="232" spans="1:26" x14ac:dyDescent="0.2">
      <c r="A232" s="1493" t="s">
        <v>175</v>
      </c>
      <c r="B232" s="21" t="s">
        <v>32</v>
      </c>
      <c r="C232" s="21" t="s">
        <v>163</v>
      </c>
      <c r="D232" s="21" t="s">
        <v>33</v>
      </c>
      <c r="E232" s="21" t="s">
        <v>34</v>
      </c>
      <c r="F232" s="21" t="s">
        <v>266</v>
      </c>
      <c r="G232" s="21" t="s">
        <v>79</v>
      </c>
      <c r="H232" s="21" t="s">
        <v>8</v>
      </c>
      <c r="I232" s="21" t="s">
        <v>67</v>
      </c>
      <c r="J232" s="21" t="s">
        <v>19</v>
      </c>
    </row>
    <row r="233" spans="1:26" x14ac:dyDescent="0.2">
      <c r="A233" s="1493" t="s">
        <v>175</v>
      </c>
      <c r="B233" s="4">
        <v>-15328150000</v>
      </c>
      <c r="C233" s="1010">
        <v>-13575623000</v>
      </c>
      <c r="D233" s="4">
        <v>-11630710000</v>
      </c>
      <c r="E233" s="4">
        <v>-2579376000</v>
      </c>
      <c r="F233" s="1011">
        <v>-1599000000</v>
      </c>
      <c r="G233" s="4">
        <v>-973085000</v>
      </c>
      <c r="H233" s="4">
        <v>-625935000</v>
      </c>
      <c r="I233" s="4">
        <v>-616780000</v>
      </c>
      <c r="J233" s="4">
        <v>-123365000</v>
      </c>
    </row>
    <row r="234" spans="1:26" x14ac:dyDescent="0.2">
      <c r="A234" s="1493" t="s">
        <v>111</v>
      </c>
      <c r="B234" s="21" t="s">
        <v>19</v>
      </c>
      <c r="C234" s="21" t="s">
        <v>33</v>
      </c>
      <c r="D234" s="21" t="s">
        <v>32</v>
      </c>
      <c r="E234" s="21" t="s">
        <v>79</v>
      </c>
      <c r="F234" s="21" t="s">
        <v>25</v>
      </c>
      <c r="G234" s="21" t="s">
        <v>36</v>
      </c>
      <c r="H234" s="21" t="s">
        <v>30</v>
      </c>
      <c r="I234" s="21" t="s">
        <v>18</v>
      </c>
      <c r="J234" s="21" t="s">
        <v>34</v>
      </c>
      <c r="N234" s="1493" t="s">
        <v>379</v>
      </c>
      <c r="O234" s="21" t="s">
        <v>33</v>
      </c>
      <c r="P234" s="21" t="s">
        <v>35</v>
      </c>
      <c r="Q234" s="21" t="s">
        <v>19</v>
      </c>
      <c r="R234" s="21" t="s">
        <v>32</v>
      </c>
      <c r="S234" s="21" t="s">
        <v>13</v>
      </c>
      <c r="T234" s="21" t="s">
        <v>17</v>
      </c>
      <c r="U234" s="21" t="s">
        <v>79</v>
      </c>
      <c r="V234" s="21" t="s">
        <v>14</v>
      </c>
      <c r="W234" s="21" t="s">
        <v>59</v>
      </c>
      <c r="X234" s="21" t="s">
        <v>21</v>
      </c>
      <c r="Y234" s="21" t="s">
        <v>12</v>
      </c>
      <c r="Z234" s="21" t="s">
        <v>23</v>
      </c>
    </row>
    <row r="235" spans="1:26" x14ac:dyDescent="0.2">
      <c r="A235" s="1493" t="s">
        <v>111</v>
      </c>
      <c r="B235" s="1007">
        <v>-92822560000</v>
      </c>
      <c r="C235" s="4">
        <v>-40854584000</v>
      </c>
      <c r="D235" s="4">
        <v>-29536986000</v>
      </c>
      <c r="E235" s="4">
        <v>-7923550000</v>
      </c>
      <c r="F235" s="1008">
        <v>-6679750000</v>
      </c>
      <c r="G235" s="4">
        <v>-5961280000</v>
      </c>
      <c r="H235" s="4">
        <v>-5045240000</v>
      </c>
      <c r="I235" s="4">
        <v>-191455000</v>
      </c>
      <c r="J235" s="4">
        <v>-31506000</v>
      </c>
      <c r="N235" s="1493" t="s">
        <v>379</v>
      </c>
      <c r="O235" s="4">
        <v>-120373650000</v>
      </c>
      <c r="P235" s="4">
        <v>-120066268000</v>
      </c>
      <c r="Q235" s="4">
        <v>-105295940000</v>
      </c>
      <c r="R235" s="4">
        <v>-104351881000</v>
      </c>
      <c r="S235" s="4">
        <v>-81017980000</v>
      </c>
      <c r="T235" s="4">
        <v>-71542590000</v>
      </c>
      <c r="U235" s="4">
        <v>-71089394000</v>
      </c>
      <c r="V235" s="4">
        <v>-68695827000</v>
      </c>
      <c r="W235" s="4">
        <v>-56809710000</v>
      </c>
      <c r="X235" s="4">
        <v>-52260390000</v>
      </c>
      <c r="Y235" s="4">
        <v>-38565340000</v>
      </c>
      <c r="Z235" s="4">
        <v>-31757620000</v>
      </c>
    </row>
    <row r="236" spans="1:26" x14ac:dyDescent="0.2">
      <c r="A236" s="1493" t="s">
        <v>110</v>
      </c>
      <c r="B236" s="21" t="s">
        <v>33</v>
      </c>
      <c r="C236" s="21" t="s">
        <v>59</v>
      </c>
      <c r="D236" s="21" t="s">
        <v>35</v>
      </c>
      <c r="E236" s="21" t="s">
        <v>17</v>
      </c>
      <c r="F236" s="21" t="s">
        <v>32</v>
      </c>
      <c r="G236" s="21" t="s">
        <v>21</v>
      </c>
      <c r="H236" s="21" t="s">
        <v>5</v>
      </c>
      <c r="I236" s="21" t="s">
        <v>12</v>
      </c>
      <c r="J236" s="21" t="s">
        <v>23</v>
      </c>
      <c r="K236" s="21" t="s">
        <v>30</v>
      </c>
      <c r="L236" s="21" t="s">
        <v>13</v>
      </c>
      <c r="M236" s="21" t="s">
        <v>15</v>
      </c>
    </row>
    <row r="237" spans="1:26" x14ac:dyDescent="0.2">
      <c r="A237" s="1493" t="s">
        <v>110</v>
      </c>
      <c r="B237" s="4">
        <v>-41838956000</v>
      </c>
      <c r="C237" s="4">
        <v>-29763375000</v>
      </c>
      <c r="D237" s="4">
        <v>-13099680000</v>
      </c>
      <c r="E237" s="4">
        <v>-11879715000</v>
      </c>
      <c r="F237" s="4">
        <v>-10624590000</v>
      </c>
      <c r="G237" s="4">
        <v>-10059930000</v>
      </c>
      <c r="H237" s="4">
        <v>-9476645000</v>
      </c>
      <c r="I237" s="4">
        <v>-7330870000</v>
      </c>
      <c r="J237" s="4">
        <v>-5339110000</v>
      </c>
      <c r="K237" s="4">
        <v>-4337187000</v>
      </c>
      <c r="L237" s="4">
        <v>-3827430000</v>
      </c>
      <c r="M237" s="4">
        <v>-2731750000</v>
      </c>
    </row>
    <row r="238" spans="1:26" x14ac:dyDescent="0.2">
      <c r="A238" s="1493" t="s">
        <v>109</v>
      </c>
      <c r="B238" s="21" t="s">
        <v>13</v>
      </c>
      <c r="C238" s="21" t="s">
        <v>35</v>
      </c>
      <c r="D238" s="21" t="s">
        <v>17</v>
      </c>
      <c r="E238" s="21" t="s">
        <v>32</v>
      </c>
      <c r="F238" s="21" t="s">
        <v>79</v>
      </c>
      <c r="G238" s="21" t="s">
        <v>14</v>
      </c>
      <c r="H238" s="21" t="s">
        <v>65</v>
      </c>
      <c r="I238" s="21" t="s">
        <v>64</v>
      </c>
      <c r="J238" s="21" t="s">
        <v>40</v>
      </c>
      <c r="K238" s="21" t="s">
        <v>21</v>
      </c>
      <c r="L238" s="21" t="s">
        <v>19</v>
      </c>
      <c r="M238" s="21" t="s">
        <v>12</v>
      </c>
    </row>
    <row r="239" spans="1:26" x14ac:dyDescent="0.2">
      <c r="A239" s="1493" t="s">
        <v>109</v>
      </c>
      <c r="B239" s="4">
        <v>-61733360000</v>
      </c>
      <c r="C239" s="4">
        <v>-31574670000</v>
      </c>
      <c r="D239" s="4">
        <v>-27505625000</v>
      </c>
      <c r="E239" s="4">
        <v>-24432600000</v>
      </c>
      <c r="F239" s="4">
        <v>-22489720000</v>
      </c>
      <c r="G239" s="4">
        <v>-22191860000</v>
      </c>
      <c r="H239" s="999">
        <v>-19814305000</v>
      </c>
      <c r="I239" s="4">
        <v>-18599040000</v>
      </c>
      <c r="J239" s="4">
        <v>-18116660000</v>
      </c>
      <c r="K239" s="4">
        <v>-16977880000</v>
      </c>
      <c r="L239" s="4">
        <v>-15538555000</v>
      </c>
      <c r="M239" s="4">
        <v>-14955020000</v>
      </c>
    </row>
    <row r="240" spans="1:26" x14ac:dyDescent="0.2">
      <c r="A240" s="1493" t="s">
        <v>108</v>
      </c>
      <c r="B240" s="21" t="s">
        <v>35</v>
      </c>
      <c r="C240" s="21" t="s">
        <v>14</v>
      </c>
      <c r="D240" s="21" t="s">
        <v>32</v>
      </c>
      <c r="E240" s="21" t="s">
        <v>79</v>
      </c>
      <c r="F240" s="21" t="s">
        <v>17</v>
      </c>
      <c r="G240" s="21" t="s">
        <v>71</v>
      </c>
      <c r="H240" s="21" t="s">
        <v>12</v>
      </c>
      <c r="I240" s="21" t="s">
        <v>59</v>
      </c>
      <c r="J240" s="21" t="s">
        <v>5</v>
      </c>
      <c r="K240" s="21" t="s">
        <v>13</v>
      </c>
      <c r="L240" s="21" t="s">
        <v>23</v>
      </c>
      <c r="M240" s="21" t="s">
        <v>21</v>
      </c>
    </row>
    <row r="241" spans="1:26" x14ac:dyDescent="0.2">
      <c r="A241" s="1493" t="s">
        <v>108</v>
      </c>
      <c r="B241" s="4">
        <v>-58008823000</v>
      </c>
      <c r="C241" s="4">
        <v>-41559165000</v>
      </c>
      <c r="D241" s="4">
        <v>-29017005000</v>
      </c>
      <c r="E241" s="4">
        <v>-26446705000</v>
      </c>
      <c r="F241" s="4">
        <v>-23942540000</v>
      </c>
      <c r="G241" s="997">
        <v>-21646202000</v>
      </c>
      <c r="H241" s="4">
        <v>-17478040000</v>
      </c>
      <c r="I241" s="4">
        <v>-15847175000</v>
      </c>
      <c r="J241" s="4">
        <v>-15748075000</v>
      </c>
      <c r="K241" s="4">
        <v>-15626915000</v>
      </c>
      <c r="L241" s="4">
        <v>-14949610000</v>
      </c>
      <c r="M241" s="4">
        <v>-12818880000</v>
      </c>
    </row>
    <row r="242" spans="1:26" x14ac:dyDescent="0.2">
      <c r="A242" s="1493" t="s">
        <v>107</v>
      </c>
      <c r="B242" s="21" t="s">
        <v>14</v>
      </c>
      <c r="C242" s="21" t="s">
        <v>79</v>
      </c>
      <c r="D242" s="21" t="s">
        <v>35</v>
      </c>
      <c r="E242" s="21" t="s">
        <v>21</v>
      </c>
      <c r="F242" s="21" t="s">
        <v>33</v>
      </c>
      <c r="G242" s="21" t="s">
        <v>15</v>
      </c>
      <c r="H242" s="21" t="s">
        <v>12</v>
      </c>
      <c r="I242" s="21" t="s">
        <v>17</v>
      </c>
      <c r="J242" s="21" t="s">
        <v>5</v>
      </c>
      <c r="K242" s="21" t="s">
        <v>36</v>
      </c>
      <c r="L242" s="21" t="s">
        <v>59</v>
      </c>
      <c r="M242" s="21" t="s">
        <v>13</v>
      </c>
    </row>
    <row r="243" spans="1:26" x14ac:dyDescent="0.2">
      <c r="A243" s="1493" t="s">
        <v>107</v>
      </c>
      <c r="B243" s="4">
        <v>-52188650000</v>
      </c>
      <c r="C243" s="4">
        <v>-49330906000</v>
      </c>
      <c r="D243" s="4">
        <v>-29732020000</v>
      </c>
      <c r="E243" s="4">
        <v>-22222280000</v>
      </c>
      <c r="F243" s="4">
        <v>-22030830000</v>
      </c>
      <c r="G243" s="4">
        <v>-16276250000</v>
      </c>
      <c r="H243" s="4">
        <v>-14288280000</v>
      </c>
      <c r="I243" s="4">
        <v>-14066690000</v>
      </c>
      <c r="J243" s="4">
        <v>-14037500000</v>
      </c>
      <c r="K243" s="4">
        <v>-13246390000</v>
      </c>
      <c r="L243" s="4">
        <v>-12493925000</v>
      </c>
      <c r="M243" s="4">
        <v>-12070830000</v>
      </c>
    </row>
    <row r="244" spans="1:26" x14ac:dyDescent="0.2">
      <c r="A244" s="1493" t="s">
        <v>129</v>
      </c>
      <c r="B244" s="21" t="s">
        <v>19</v>
      </c>
      <c r="C244" s="21" t="s">
        <v>5</v>
      </c>
      <c r="D244" s="21" t="s">
        <v>35</v>
      </c>
      <c r="E244" s="21" t="s">
        <v>29</v>
      </c>
      <c r="F244" s="21" t="s">
        <v>14</v>
      </c>
      <c r="G244" s="21" t="s">
        <v>13</v>
      </c>
      <c r="H244" s="21" t="s">
        <v>34</v>
      </c>
      <c r="I244" s="21" t="s">
        <v>17</v>
      </c>
      <c r="J244" s="21" t="s">
        <v>183</v>
      </c>
      <c r="N244" s="1493" t="s">
        <v>378</v>
      </c>
      <c r="O244" s="21" t="s">
        <v>19</v>
      </c>
      <c r="P244" s="21" t="s">
        <v>14</v>
      </c>
      <c r="Q244" s="21" t="s">
        <v>5</v>
      </c>
      <c r="R244" s="21" t="s">
        <v>13</v>
      </c>
      <c r="S244" s="21" t="s">
        <v>35</v>
      </c>
      <c r="T244" s="21" t="s">
        <v>79</v>
      </c>
      <c r="U244" s="21" t="s">
        <v>15</v>
      </c>
      <c r="V244" s="21" t="s">
        <v>12</v>
      </c>
      <c r="W244" s="21" t="s">
        <v>23</v>
      </c>
      <c r="X244" s="21" t="s">
        <v>21</v>
      </c>
      <c r="Y244" s="21" t="s">
        <v>34</v>
      </c>
      <c r="Z244" s="21" t="s">
        <v>64</v>
      </c>
    </row>
    <row r="245" spans="1:26" x14ac:dyDescent="0.2">
      <c r="A245" s="1493" t="s">
        <v>129</v>
      </c>
      <c r="B245" s="988">
        <v>-80214590000</v>
      </c>
      <c r="C245" s="989">
        <v>-48418320000</v>
      </c>
      <c r="D245" s="4">
        <v>-9971124000</v>
      </c>
      <c r="E245" s="990">
        <v>-2217890000</v>
      </c>
      <c r="F245" s="4">
        <v>-1936700000</v>
      </c>
      <c r="G245" s="4">
        <v>-1248115000</v>
      </c>
      <c r="H245" s="4">
        <v>-789587000</v>
      </c>
      <c r="I245" s="4">
        <v>-625460000</v>
      </c>
      <c r="J245" s="991">
        <v>-428380000</v>
      </c>
      <c r="N245" s="1493" t="s">
        <v>378</v>
      </c>
      <c r="O245" s="4">
        <v>-80214590000</v>
      </c>
      <c r="P245" s="4">
        <v>-59592515000</v>
      </c>
      <c r="Q245" s="4">
        <v>-58225855000</v>
      </c>
      <c r="R245" s="4">
        <v>-37402445000</v>
      </c>
      <c r="S245" s="4">
        <v>-36712559000</v>
      </c>
      <c r="T245" s="4">
        <v>-30146190000</v>
      </c>
      <c r="U245" s="4">
        <v>-29641170000</v>
      </c>
      <c r="V245" s="4">
        <v>-15688707000</v>
      </c>
      <c r="W245" s="4">
        <v>-15470600000</v>
      </c>
      <c r="X245" s="4">
        <v>-11484610000</v>
      </c>
      <c r="Y245" s="4">
        <v>-11345012000</v>
      </c>
      <c r="Z245" s="4">
        <v>-9471010000</v>
      </c>
    </row>
    <row r="246" spans="1:26" x14ac:dyDescent="0.2">
      <c r="A246" s="1493" t="s">
        <v>130</v>
      </c>
      <c r="B246" s="21" t="s">
        <v>14</v>
      </c>
      <c r="C246" s="21" t="s">
        <v>15</v>
      </c>
      <c r="D246" s="21" t="s">
        <v>13</v>
      </c>
      <c r="E246" s="21" t="s">
        <v>79</v>
      </c>
      <c r="F246" s="21" t="s">
        <v>35</v>
      </c>
      <c r="G246" s="21" t="s">
        <v>21</v>
      </c>
      <c r="H246" s="21" t="s">
        <v>12</v>
      </c>
      <c r="I246" s="21" t="s">
        <v>64</v>
      </c>
      <c r="J246" s="21" t="s">
        <v>23</v>
      </c>
      <c r="K246" s="21" t="s">
        <v>32</v>
      </c>
      <c r="L246" s="21" t="s">
        <v>33</v>
      </c>
      <c r="M246" s="21" t="s">
        <v>34</v>
      </c>
    </row>
    <row r="247" spans="1:26" x14ac:dyDescent="0.2">
      <c r="A247" s="1493" t="s">
        <v>130</v>
      </c>
      <c r="B247" s="4">
        <v>-57655815000</v>
      </c>
      <c r="C247" s="4">
        <v>-41223735000</v>
      </c>
      <c r="D247" s="4">
        <v>-36154330000</v>
      </c>
      <c r="E247" s="4">
        <v>-31537985000</v>
      </c>
      <c r="F247" s="4">
        <v>-26741435000</v>
      </c>
      <c r="G247" s="4">
        <v>-22957080000</v>
      </c>
      <c r="H247" s="4">
        <v>-19916790000</v>
      </c>
      <c r="I247" s="4">
        <v>-17165700000</v>
      </c>
      <c r="J247" s="4">
        <v>-16711310000</v>
      </c>
      <c r="K247" s="4">
        <v>-15689555000</v>
      </c>
      <c r="L247" s="4">
        <v>-11038920000</v>
      </c>
      <c r="M247" s="4">
        <v>-10555425000</v>
      </c>
    </row>
    <row r="248" spans="1:26" x14ac:dyDescent="0.2">
      <c r="A248" s="1493" t="s">
        <v>131</v>
      </c>
      <c r="B248" s="21" t="s">
        <v>5</v>
      </c>
      <c r="C248" s="21" t="s">
        <v>79</v>
      </c>
      <c r="D248" s="21" t="s">
        <v>21</v>
      </c>
      <c r="E248" s="21" t="s">
        <v>14</v>
      </c>
      <c r="F248" s="21" t="s">
        <v>18</v>
      </c>
      <c r="G248" s="21" t="s">
        <v>17</v>
      </c>
      <c r="H248" s="21" t="s">
        <v>29</v>
      </c>
      <c r="I248" s="21" t="s">
        <v>180</v>
      </c>
      <c r="J248" s="21" t="s">
        <v>83</v>
      </c>
      <c r="K248" s="21" t="s">
        <v>10</v>
      </c>
      <c r="L248" s="21" t="s">
        <v>280</v>
      </c>
      <c r="N248" s="1493" t="s">
        <v>377</v>
      </c>
      <c r="O248" s="21" t="s">
        <v>17</v>
      </c>
      <c r="P248" s="21" t="s">
        <v>40</v>
      </c>
      <c r="Q248" s="21" t="s">
        <v>32</v>
      </c>
      <c r="R248" s="21" t="s">
        <v>35</v>
      </c>
      <c r="S248" s="21" t="s">
        <v>23</v>
      </c>
      <c r="T248" s="21" t="s">
        <v>5</v>
      </c>
      <c r="U248" s="21" t="s">
        <v>59</v>
      </c>
      <c r="V248" s="21" t="s">
        <v>79</v>
      </c>
      <c r="W248" s="21" t="s">
        <v>13</v>
      </c>
      <c r="X248" s="21" t="s">
        <v>18</v>
      </c>
      <c r="Y248" s="21" t="s">
        <v>19</v>
      </c>
      <c r="Z248" s="21" t="s">
        <v>65</v>
      </c>
    </row>
    <row r="249" spans="1:26" x14ac:dyDescent="0.2">
      <c r="A249" s="1493" t="s">
        <v>131</v>
      </c>
      <c r="B249" s="981">
        <v>-32438677000</v>
      </c>
      <c r="C249" s="4">
        <v>-13770770000</v>
      </c>
      <c r="D249" s="4">
        <v>-12098270000</v>
      </c>
      <c r="E249" s="4">
        <v>-7342305000</v>
      </c>
      <c r="F249" s="4">
        <v>-7041760000</v>
      </c>
      <c r="G249" s="4">
        <v>-3582110000</v>
      </c>
      <c r="H249" s="4">
        <v>-1128000000</v>
      </c>
      <c r="I249" s="982">
        <v>-190640000</v>
      </c>
      <c r="J249" s="4">
        <v>-4260000</v>
      </c>
      <c r="K249" s="4">
        <v>-1750000</v>
      </c>
      <c r="L249" s="983">
        <v>-1200000</v>
      </c>
      <c r="N249" s="1493" t="s">
        <v>377</v>
      </c>
      <c r="O249" s="4">
        <v>-221106955000</v>
      </c>
      <c r="P249" s="4">
        <v>-143014830000</v>
      </c>
      <c r="Q249" s="4">
        <v>-136417188000</v>
      </c>
      <c r="R249" s="4">
        <v>-93315475000</v>
      </c>
      <c r="S249" s="4">
        <v>-33655047000</v>
      </c>
      <c r="T249" s="4">
        <v>-26668934000</v>
      </c>
      <c r="U249" s="4">
        <v>-24010850000</v>
      </c>
      <c r="V249" s="4">
        <v>-20610765000</v>
      </c>
      <c r="W249" s="4">
        <v>-14938130000</v>
      </c>
      <c r="X249" s="4">
        <v>-8214785000</v>
      </c>
      <c r="Y249" s="4">
        <v>-1822255000</v>
      </c>
      <c r="Z249" s="4">
        <v>-1754735000</v>
      </c>
    </row>
    <row r="250" spans="1:26" x14ac:dyDescent="0.2">
      <c r="A250" s="1493" t="s">
        <v>132</v>
      </c>
      <c r="B250" s="21" t="s">
        <v>17</v>
      </c>
      <c r="C250" s="21" t="s">
        <v>32</v>
      </c>
      <c r="D250" s="21" t="s">
        <v>40</v>
      </c>
      <c r="E250" s="21" t="s">
        <v>23</v>
      </c>
      <c r="F250" s="21" t="s">
        <v>13</v>
      </c>
      <c r="G250" s="21" t="s">
        <v>59</v>
      </c>
      <c r="H250" s="21" t="s">
        <v>64</v>
      </c>
      <c r="I250" s="21" t="s">
        <v>79</v>
      </c>
      <c r="J250" s="21" t="s">
        <v>15</v>
      </c>
      <c r="K250" s="21" t="s">
        <v>5</v>
      </c>
      <c r="L250" s="21" t="s">
        <v>12</v>
      </c>
      <c r="M250" s="21" t="s">
        <v>35</v>
      </c>
    </row>
    <row r="251" spans="1:26" x14ac:dyDescent="0.2">
      <c r="A251" s="1493" t="s">
        <v>132</v>
      </c>
      <c r="B251" s="975">
        <v>-203890695000</v>
      </c>
      <c r="C251" s="976">
        <v>-157627158000</v>
      </c>
      <c r="D251" s="977">
        <v>-143014830000</v>
      </c>
      <c r="E251" s="978">
        <v>-44311747000</v>
      </c>
      <c r="F251" s="4">
        <v>-41545930000</v>
      </c>
      <c r="G251" s="979">
        <v>-34360824000</v>
      </c>
      <c r="H251" s="4">
        <v>-5647330000</v>
      </c>
      <c r="I251" s="4">
        <v>-5233135000</v>
      </c>
      <c r="J251" s="4">
        <v>-4313745000</v>
      </c>
      <c r="K251" s="4">
        <v>-3888170000</v>
      </c>
      <c r="L251" s="4">
        <v>-3153440000</v>
      </c>
      <c r="M251" s="4">
        <v>-3094445000</v>
      </c>
    </row>
    <row r="252" spans="1:26" x14ac:dyDescent="0.2">
      <c r="A252" s="1493" t="s">
        <v>133</v>
      </c>
      <c r="B252" s="21" t="s">
        <v>35</v>
      </c>
      <c r="C252" s="21" t="s">
        <v>17</v>
      </c>
      <c r="D252" s="21" t="s">
        <v>59</v>
      </c>
      <c r="E252" s="21" t="s">
        <v>33</v>
      </c>
      <c r="F252" s="21" t="s">
        <v>65</v>
      </c>
      <c r="G252" s="21" t="s">
        <v>176</v>
      </c>
      <c r="H252" s="21" t="s">
        <v>79</v>
      </c>
      <c r="I252" s="21" t="s">
        <v>292</v>
      </c>
    </row>
    <row r="253" spans="1:26" x14ac:dyDescent="0.2">
      <c r="A253" s="1493" t="s">
        <v>133</v>
      </c>
      <c r="B253" s="973">
        <v>-92144705000</v>
      </c>
      <c r="C253" s="4">
        <v>-13634150000</v>
      </c>
      <c r="D253" s="4">
        <v>-7440620000</v>
      </c>
      <c r="E253" s="4">
        <v>-4831460000</v>
      </c>
      <c r="F253" s="4">
        <v>-3077900000</v>
      </c>
      <c r="G253" s="4">
        <v>-1731240000</v>
      </c>
      <c r="H253" s="4">
        <v>-1606860000</v>
      </c>
      <c r="I253" s="4">
        <v>-22350000</v>
      </c>
    </row>
    <row r="254" spans="1:26" x14ac:dyDescent="0.2">
      <c r="A254" s="1493" t="s">
        <v>134</v>
      </c>
      <c r="B254" s="21" t="s">
        <v>14</v>
      </c>
      <c r="C254" s="21" t="s">
        <v>15</v>
      </c>
      <c r="D254" s="21" t="s">
        <v>12</v>
      </c>
      <c r="E254" s="21" t="s">
        <v>64</v>
      </c>
      <c r="F254" s="21" t="s">
        <v>42</v>
      </c>
      <c r="G254" s="21" t="s">
        <v>65</v>
      </c>
      <c r="N254" s="1493" t="s">
        <v>376</v>
      </c>
      <c r="O254" s="21" t="s">
        <v>35</v>
      </c>
      <c r="P254" s="21" t="s">
        <v>14</v>
      </c>
      <c r="Q254" s="21" t="s">
        <v>40</v>
      </c>
      <c r="R254" s="21" t="s">
        <v>34</v>
      </c>
      <c r="S254" s="21" t="s">
        <v>36</v>
      </c>
      <c r="T254" s="21" t="s">
        <v>176</v>
      </c>
      <c r="U254" s="21" t="s">
        <v>99</v>
      </c>
      <c r="V254" s="21" t="s">
        <v>10</v>
      </c>
      <c r="W254" s="21" t="s">
        <v>83</v>
      </c>
      <c r="X254" s="21" t="s">
        <v>293</v>
      </c>
      <c r="Y254" s="21" t="s">
        <v>313</v>
      </c>
      <c r="Z254" s="21" t="s">
        <v>12</v>
      </c>
    </row>
    <row r="255" spans="1:26" x14ac:dyDescent="0.2">
      <c r="A255" s="1493" t="s">
        <v>134</v>
      </c>
      <c r="B255" s="4">
        <v>-26117699000</v>
      </c>
      <c r="C255" s="4">
        <v>-8537220000</v>
      </c>
      <c r="D255" s="4">
        <v>-8051840000</v>
      </c>
      <c r="E255" s="4">
        <v>-2358825000</v>
      </c>
      <c r="F255" s="4">
        <v>-1191930000</v>
      </c>
      <c r="G255" s="4">
        <v>-504280000</v>
      </c>
      <c r="N255" s="1493" t="s">
        <v>376</v>
      </c>
      <c r="O255" s="4">
        <v>-14193308000</v>
      </c>
      <c r="P255" s="4">
        <v>-9702573000</v>
      </c>
      <c r="Q255" s="4">
        <v>-8451189000</v>
      </c>
      <c r="R255" s="4">
        <v>-7074844000</v>
      </c>
      <c r="S255" s="4">
        <v>-3456560000</v>
      </c>
      <c r="T255" s="4">
        <v>-1819759000</v>
      </c>
      <c r="U255" s="4">
        <v>-1499880000</v>
      </c>
      <c r="V255" s="4">
        <v>-191106900</v>
      </c>
      <c r="W255" s="4">
        <v>-5752000</v>
      </c>
      <c r="X255" s="4">
        <v>-1740000</v>
      </c>
      <c r="Y255" s="4">
        <v>651060000</v>
      </c>
      <c r="Z255" s="4">
        <v>883550000</v>
      </c>
    </row>
    <row r="256" spans="1:26" x14ac:dyDescent="0.2">
      <c r="A256" s="1493" t="s">
        <v>135</v>
      </c>
      <c r="B256" s="21" t="s">
        <v>40</v>
      </c>
      <c r="C256" s="21" t="s">
        <v>35</v>
      </c>
      <c r="D256" s="21" t="s">
        <v>79</v>
      </c>
      <c r="E256" s="21" t="s">
        <v>34</v>
      </c>
      <c r="F256" s="21" t="s">
        <v>14</v>
      </c>
      <c r="G256" s="21" t="s">
        <v>99</v>
      </c>
      <c r="H256" s="21" t="s">
        <v>65</v>
      </c>
      <c r="I256" s="21" t="s">
        <v>29</v>
      </c>
      <c r="J256" s="21" t="s">
        <v>64</v>
      </c>
      <c r="K256" s="21" t="s">
        <v>21</v>
      </c>
      <c r="L256" s="21" t="s">
        <v>10</v>
      </c>
    </row>
    <row r="257" spans="1:26" x14ac:dyDescent="0.2">
      <c r="A257" s="1493" t="s">
        <v>135</v>
      </c>
      <c r="B257" s="964">
        <v>-100907779000</v>
      </c>
      <c r="C257" s="4">
        <v>-20672805000</v>
      </c>
      <c r="D257" s="4">
        <v>-3190195000</v>
      </c>
      <c r="E257" s="4">
        <v>-2042945000</v>
      </c>
      <c r="F257" s="4">
        <v>-1823629000</v>
      </c>
      <c r="G257" s="4">
        <v>-1499880000</v>
      </c>
      <c r="H257" s="4">
        <v>-1379745000</v>
      </c>
      <c r="I257" s="4">
        <v>-1116000000</v>
      </c>
      <c r="J257" s="4">
        <v>-383735000</v>
      </c>
      <c r="K257" s="4">
        <v>-220150000</v>
      </c>
      <c r="L257" s="4">
        <v>-190320000</v>
      </c>
    </row>
    <row r="258" spans="1:26" x14ac:dyDescent="0.2">
      <c r="A258" s="1493" t="s">
        <v>136</v>
      </c>
      <c r="B258" s="21" t="s">
        <v>18</v>
      </c>
      <c r="C258" s="21" t="s">
        <v>32</v>
      </c>
      <c r="D258" s="21" t="s">
        <v>21</v>
      </c>
      <c r="E258" s="21" t="s">
        <v>15</v>
      </c>
      <c r="F258" s="21" t="s">
        <v>34</v>
      </c>
      <c r="G258" s="21" t="s">
        <v>12</v>
      </c>
      <c r="H258" s="21" t="s">
        <v>64</v>
      </c>
      <c r="I258" s="21" t="s">
        <v>59</v>
      </c>
      <c r="J258" s="21" t="s">
        <v>5</v>
      </c>
      <c r="K258" s="21" t="s">
        <v>40</v>
      </c>
      <c r="L258" s="21" t="s">
        <v>65</v>
      </c>
      <c r="M258" s="21" t="s">
        <v>8</v>
      </c>
    </row>
    <row r="259" spans="1:26" x14ac:dyDescent="0.2">
      <c r="A259" s="1493" t="s">
        <v>136</v>
      </c>
      <c r="B259" s="4">
        <v>-20192355000</v>
      </c>
      <c r="C259" s="4">
        <v>-15608110000</v>
      </c>
      <c r="D259" s="4">
        <v>-13471620000</v>
      </c>
      <c r="E259" s="4">
        <v>-8236160000</v>
      </c>
      <c r="F259" s="4">
        <v>-8232680000</v>
      </c>
      <c r="G259" s="4">
        <v>-7325340000</v>
      </c>
      <c r="H259" s="4">
        <v>-6000225000</v>
      </c>
      <c r="I259" s="4">
        <v>-4926380000</v>
      </c>
      <c r="J259" s="4">
        <v>-3760190000</v>
      </c>
      <c r="K259" s="4">
        <v>-3030280000</v>
      </c>
      <c r="L259" s="4">
        <v>-1904472000</v>
      </c>
      <c r="M259" s="959">
        <v>-1478680000</v>
      </c>
    </row>
    <row r="260" spans="1:26" x14ac:dyDescent="0.2">
      <c r="A260" s="1493" t="s">
        <v>137</v>
      </c>
      <c r="B260" s="21" t="s">
        <v>40</v>
      </c>
      <c r="C260" s="21" t="s">
        <v>19</v>
      </c>
      <c r="D260" s="21" t="s">
        <v>36</v>
      </c>
      <c r="E260" s="21" t="s">
        <v>176</v>
      </c>
      <c r="F260" s="21" t="s">
        <v>14</v>
      </c>
      <c r="G260" s="21" t="s">
        <v>83</v>
      </c>
      <c r="H260" s="21" t="s">
        <v>293</v>
      </c>
      <c r="I260" s="21" t="s">
        <v>202</v>
      </c>
      <c r="J260" s="21" t="s">
        <v>10</v>
      </c>
    </row>
    <row r="261" spans="1:26" x14ac:dyDescent="0.2">
      <c r="A261" s="1493" t="s">
        <v>137</v>
      </c>
      <c r="B261" s="954">
        <v>-20072370000</v>
      </c>
      <c r="C261" s="4">
        <v>-3876897000</v>
      </c>
      <c r="D261" s="4">
        <v>-3360280000</v>
      </c>
      <c r="E261" s="4">
        <v>-1819759000</v>
      </c>
      <c r="F261" s="4">
        <v>-697545000</v>
      </c>
      <c r="G261" s="4">
        <v>-3612000</v>
      </c>
      <c r="H261" s="955">
        <v>-1740000</v>
      </c>
      <c r="I261" s="956">
        <v>-1642600</v>
      </c>
      <c r="J261" s="4">
        <v>-786900</v>
      </c>
    </row>
    <row r="262" spans="1:26" x14ac:dyDescent="0.2">
      <c r="A262" s="1493" t="s">
        <v>138</v>
      </c>
      <c r="B262" s="21" t="s">
        <v>35</v>
      </c>
      <c r="C262" s="21" t="s">
        <v>13</v>
      </c>
      <c r="D262" s="21" t="s">
        <v>32</v>
      </c>
      <c r="E262" s="21" t="s">
        <v>19</v>
      </c>
      <c r="F262" s="21" t="s">
        <v>25</v>
      </c>
      <c r="G262" s="21" t="s">
        <v>30</v>
      </c>
      <c r="H262" s="21" t="s">
        <v>79</v>
      </c>
    </row>
    <row r="263" spans="1:26" x14ac:dyDescent="0.2">
      <c r="A263" s="1493" t="s">
        <v>138</v>
      </c>
      <c r="B263" s="4">
        <v>-22792521000</v>
      </c>
      <c r="C263" s="4">
        <v>-13091560000</v>
      </c>
      <c r="D263" s="4">
        <v>-3107345000</v>
      </c>
      <c r="E263" s="4">
        <v>-1207720000</v>
      </c>
      <c r="F263" s="4">
        <v>-905940000</v>
      </c>
      <c r="G263" s="4">
        <v>-809130000</v>
      </c>
      <c r="H263" s="4">
        <v>-199450000</v>
      </c>
    </row>
    <row r="264" spans="1:26" x14ac:dyDescent="0.2">
      <c r="A264" s="1493" t="s">
        <v>139</v>
      </c>
      <c r="B264" s="21" t="s">
        <v>92</v>
      </c>
      <c r="C264" s="21" t="s">
        <v>29</v>
      </c>
      <c r="N264" s="1493" t="s">
        <v>375</v>
      </c>
      <c r="O264" s="21" t="s">
        <v>33</v>
      </c>
      <c r="P264" s="21" t="s">
        <v>14</v>
      </c>
      <c r="Q264" s="21" t="s">
        <v>13</v>
      </c>
      <c r="R264" s="21" t="s">
        <v>18</v>
      </c>
      <c r="S264" s="21" t="s">
        <v>19</v>
      </c>
      <c r="T264" s="21" t="s">
        <v>15</v>
      </c>
      <c r="U264" s="21" t="s">
        <v>32</v>
      </c>
      <c r="V264" s="21" t="s">
        <v>34</v>
      </c>
      <c r="W264" s="21" t="s">
        <v>35</v>
      </c>
      <c r="X264" s="21" t="s">
        <v>59</v>
      </c>
      <c r="Y264" s="21" t="s">
        <v>64</v>
      </c>
      <c r="Z264" s="21" t="s">
        <v>92</v>
      </c>
    </row>
    <row r="265" spans="1:26" x14ac:dyDescent="0.2">
      <c r="A265" s="1493" t="s">
        <v>139</v>
      </c>
      <c r="B265" s="952">
        <v>-2349000000</v>
      </c>
      <c r="C265" s="4">
        <v>-32540000</v>
      </c>
      <c r="N265" s="1493" t="s">
        <v>375</v>
      </c>
      <c r="O265" s="4">
        <v>-85658030000</v>
      </c>
      <c r="P265" s="4">
        <v>-67237490000</v>
      </c>
      <c r="Q265" s="4">
        <v>-64632060000</v>
      </c>
      <c r="R265" s="4">
        <v>-52780279000</v>
      </c>
      <c r="S265" s="4">
        <v>-47390515000</v>
      </c>
      <c r="T265" s="4">
        <v>-34122770000</v>
      </c>
      <c r="U265" s="4">
        <v>-27778607000</v>
      </c>
      <c r="V265" s="4">
        <v>-23783254000</v>
      </c>
      <c r="W265" s="4">
        <v>-21652261000</v>
      </c>
      <c r="X265" s="4">
        <v>-10116205000</v>
      </c>
      <c r="Y265" s="4">
        <v>-9256690000</v>
      </c>
      <c r="Z265" s="4">
        <v>-3919000000</v>
      </c>
    </row>
    <row r="266" spans="1:26" x14ac:dyDescent="0.2">
      <c r="A266" s="1493" t="s">
        <v>140</v>
      </c>
      <c r="B266" s="21" t="s">
        <v>35</v>
      </c>
      <c r="C266" s="21" t="s">
        <v>15</v>
      </c>
      <c r="D266" s="21" t="s">
        <v>18</v>
      </c>
      <c r="E266" s="21" t="s">
        <v>12</v>
      </c>
      <c r="F266" s="21" t="s">
        <v>34</v>
      </c>
      <c r="G266" s="21" t="s">
        <v>32</v>
      </c>
      <c r="H266" s="21" t="s">
        <v>14</v>
      </c>
      <c r="I266" s="21" t="s">
        <v>59</v>
      </c>
      <c r="J266" s="21" t="s">
        <v>21</v>
      </c>
    </row>
    <row r="267" spans="1:26" x14ac:dyDescent="0.2">
      <c r="A267" s="1493" t="s">
        <v>140</v>
      </c>
      <c r="B267" s="4">
        <v>-23369765000</v>
      </c>
      <c r="C267" s="4">
        <v>-13300385000</v>
      </c>
      <c r="D267" s="4">
        <v>-12356489000</v>
      </c>
      <c r="E267" s="4">
        <v>-11865980000</v>
      </c>
      <c r="F267" s="4">
        <v>-5307665000</v>
      </c>
      <c r="G267" s="4">
        <v>-2923989000</v>
      </c>
      <c r="H267" s="4">
        <v>-1700050000</v>
      </c>
      <c r="I267" s="4">
        <v>-1048030000</v>
      </c>
      <c r="J267" s="4">
        <v>-481780000</v>
      </c>
    </row>
    <row r="268" spans="1:26" x14ac:dyDescent="0.2">
      <c r="A268" s="1493" t="s">
        <v>141</v>
      </c>
      <c r="B268" s="21" t="s">
        <v>33</v>
      </c>
      <c r="C268" s="21" t="s">
        <v>18</v>
      </c>
      <c r="D268" s="21" t="s">
        <v>14</v>
      </c>
      <c r="E268" s="21" t="s">
        <v>15</v>
      </c>
      <c r="F268" s="21" t="s">
        <v>79</v>
      </c>
      <c r="G268" s="21" t="s">
        <v>176</v>
      </c>
      <c r="H268" s="21" t="s">
        <v>34</v>
      </c>
      <c r="I268" s="21" t="s">
        <v>5</v>
      </c>
      <c r="J268" s="21" t="s">
        <v>59</v>
      </c>
      <c r="K268" s="21" t="s">
        <v>23</v>
      </c>
      <c r="L268" s="21" t="s">
        <v>64</v>
      </c>
      <c r="M268" s="21" t="s">
        <v>12</v>
      </c>
    </row>
    <row r="269" spans="1:26" x14ac:dyDescent="0.2">
      <c r="A269" s="1493" t="s">
        <v>141</v>
      </c>
      <c r="B269" s="4">
        <v>-34781070000</v>
      </c>
      <c r="C269" s="4">
        <v>-25428875000</v>
      </c>
      <c r="D269" s="4">
        <v>-20656290000</v>
      </c>
      <c r="E269" s="4">
        <v>-5775885000</v>
      </c>
      <c r="F269" s="4">
        <v>-5329395000</v>
      </c>
      <c r="G269" s="4">
        <v>-4395340000</v>
      </c>
      <c r="H269" s="4">
        <v>-2116460000</v>
      </c>
      <c r="I269" s="4">
        <v>-1522100000</v>
      </c>
      <c r="J269" s="4">
        <v>-1438185000</v>
      </c>
      <c r="K269" s="4">
        <v>-1219850000</v>
      </c>
      <c r="L269" s="4">
        <v>-1117985000</v>
      </c>
      <c r="M269" s="4">
        <v>-1098770000</v>
      </c>
    </row>
    <row r="270" spans="1:26" x14ac:dyDescent="0.2">
      <c r="A270" s="1493" t="s">
        <v>142</v>
      </c>
      <c r="B270" s="21" t="s">
        <v>13</v>
      </c>
      <c r="C270" s="21" t="s">
        <v>14</v>
      </c>
      <c r="D270" s="21" t="s">
        <v>15</v>
      </c>
      <c r="E270" s="21" t="s">
        <v>33</v>
      </c>
      <c r="F270" s="21" t="s">
        <v>32</v>
      </c>
      <c r="G270" s="21" t="s">
        <v>21</v>
      </c>
      <c r="H270" s="21" t="s">
        <v>35</v>
      </c>
      <c r="I270" s="21" t="s">
        <v>17</v>
      </c>
      <c r="J270" s="21" t="s">
        <v>64</v>
      </c>
      <c r="K270" s="21" t="s">
        <v>79</v>
      </c>
      <c r="L270" s="21" t="s">
        <v>23</v>
      </c>
      <c r="M270" s="21" t="s">
        <v>59</v>
      </c>
    </row>
    <row r="271" spans="1:26" x14ac:dyDescent="0.2">
      <c r="A271" s="1493" t="s">
        <v>142</v>
      </c>
      <c r="B271" s="929">
        <v>-76464010000</v>
      </c>
      <c r="C271" s="930">
        <v>-72345865000</v>
      </c>
      <c r="D271" s="4">
        <v>-70660280000</v>
      </c>
      <c r="E271" s="931">
        <v>-67817350000</v>
      </c>
      <c r="F271" s="4">
        <v>-54936760000</v>
      </c>
      <c r="G271" s="932">
        <v>-41834580000</v>
      </c>
      <c r="H271" s="4">
        <v>-39266440000</v>
      </c>
      <c r="I271" s="4">
        <v>-37295695000</v>
      </c>
      <c r="J271" s="933">
        <v>-36148165000</v>
      </c>
      <c r="K271" s="4">
        <v>-33874985000</v>
      </c>
      <c r="L271" s="934">
        <v>-32399640000</v>
      </c>
      <c r="M271" s="935">
        <v>-31863915000</v>
      </c>
    </row>
    <row r="272" spans="1:26" x14ac:dyDescent="0.2">
      <c r="A272" s="1493" t="s">
        <v>143</v>
      </c>
      <c r="B272" s="21" t="s">
        <v>19</v>
      </c>
      <c r="C272" s="21" t="s">
        <v>18</v>
      </c>
      <c r="D272" s="21" t="s">
        <v>16</v>
      </c>
      <c r="E272" s="21" t="s">
        <v>13</v>
      </c>
      <c r="F272" s="21" t="s">
        <v>34</v>
      </c>
    </row>
    <row r="273" spans="1:26" x14ac:dyDescent="0.2">
      <c r="A273" s="1493" t="s">
        <v>143</v>
      </c>
      <c r="B273" s="923">
        <v>-47390515000</v>
      </c>
      <c r="C273" s="4">
        <v>-25960645000</v>
      </c>
      <c r="D273" s="924">
        <v>-14098070000</v>
      </c>
      <c r="E273" s="4">
        <v>-11787890000</v>
      </c>
      <c r="F273" s="4">
        <v>-594330000</v>
      </c>
    </row>
    <row r="274" spans="1:26" x14ac:dyDescent="0.2">
      <c r="A274" s="1493" t="s">
        <v>144</v>
      </c>
      <c r="B274" s="21" t="s">
        <v>18</v>
      </c>
      <c r="C274" s="21" t="s">
        <v>35</v>
      </c>
      <c r="D274" s="21" t="s">
        <v>19</v>
      </c>
      <c r="E274" s="21" t="s">
        <v>17</v>
      </c>
      <c r="F274" s="21" t="s">
        <v>292</v>
      </c>
      <c r="G274" s="21" t="s">
        <v>10</v>
      </c>
      <c r="N274" s="1493" t="s">
        <v>374</v>
      </c>
      <c r="O274" s="21" t="s">
        <v>17</v>
      </c>
      <c r="P274" s="21" t="s">
        <v>18</v>
      </c>
      <c r="Q274" s="21" t="s">
        <v>15</v>
      </c>
      <c r="R274" s="21" t="s">
        <v>34</v>
      </c>
      <c r="S274" s="21" t="s">
        <v>19</v>
      </c>
      <c r="T274" s="21" t="s">
        <v>10</v>
      </c>
      <c r="U274" s="21" t="s">
        <v>30</v>
      </c>
      <c r="V274" s="21" t="s">
        <v>67</v>
      </c>
      <c r="W274" s="21" t="s">
        <v>292</v>
      </c>
      <c r="X274" s="21" t="s">
        <v>83</v>
      </c>
      <c r="Y274" s="21" t="s">
        <v>301</v>
      </c>
      <c r="Z274" s="21" t="s">
        <v>6</v>
      </c>
    </row>
    <row r="275" spans="1:26" x14ac:dyDescent="0.2">
      <c r="A275" s="1493" t="s">
        <v>144</v>
      </c>
      <c r="B275" s="4">
        <v>-20406660000</v>
      </c>
      <c r="C275" s="4">
        <v>-12958850000</v>
      </c>
      <c r="D275" s="921">
        <v>-10280560000</v>
      </c>
      <c r="E275" s="4">
        <v>-5305260000</v>
      </c>
      <c r="F275" s="922">
        <v>-64900000</v>
      </c>
      <c r="G275" s="4">
        <v>-14880000</v>
      </c>
      <c r="N275" s="1493" t="s">
        <v>374</v>
      </c>
      <c r="O275" s="4">
        <v>-42162455000</v>
      </c>
      <c r="P275" s="4">
        <v>-31401651000</v>
      </c>
      <c r="Q275" s="4">
        <v>-22020185000</v>
      </c>
      <c r="R275" s="4">
        <v>-13809044000</v>
      </c>
      <c r="S275" s="4">
        <v>-10280560000</v>
      </c>
      <c r="T275" s="4">
        <v>-3689760000</v>
      </c>
      <c r="U275" s="4">
        <v>-569810000</v>
      </c>
      <c r="V275" s="4">
        <v>-269205000</v>
      </c>
      <c r="W275" s="4">
        <v>-86590000</v>
      </c>
      <c r="X275" s="4">
        <v>-2190000</v>
      </c>
      <c r="Y275" s="4">
        <v>417750000</v>
      </c>
      <c r="Z275" s="4">
        <v>516570000</v>
      </c>
    </row>
    <row r="276" spans="1:26" x14ac:dyDescent="0.2">
      <c r="A276" s="1493" t="s">
        <v>356</v>
      </c>
      <c r="B276" s="21" t="s">
        <v>6</v>
      </c>
      <c r="C276" s="21" t="s">
        <v>10</v>
      </c>
      <c r="D276" s="21" t="s">
        <v>29</v>
      </c>
      <c r="E276" s="21" t="s">
        <v>292</v>
      </c>
    </row>
    <row r="277" spans="1:26" x14ac:dyDescent="0.2">
      <c r="A277" s="1493" t="s">
        <v>356</v>
      </c>
      <c r="B277" s="4">
        <v>-125010000</v>
      </c>
      <c r="C277" s="4">
        <v>-44880000</v>
      </c>
      <c r="D277" s="4">
        <v>-22260000</v>
      </c>
      <c r="E277" s="919">
        <v>-21690000</v>
      </c>
    </row>
    <row r="278" spans="1:26" x14ac:dyDescent="0.2">
      <c r="A278" s="1493" t="s">
        <v>145</v>
      </c>
      <c r="B278" s="21" t="s">
        <v>33</v>
      </c>
      <c r="C278" s="21" t="s">
        <v>15</v>
      </c>
      <c r="D278" s="21" t="s">
        <v>32</v>
      </c>
      <c r="E278" s="21" t="s">
        <v>17</v>
      </c>
      <c r="F278" s="21" t="s">
        <v>35</v>
      </c>
      <c r="G278" s="21" t="s">
        <v>14</v>
      </c>
      <c r="H278" s="21" t="s">
        <v>34</v>
      </c>
      <c r="I278" s="21" t="s">
        <v>12</v>
      </c>
      <c r="J278" s="21" t="s">
        <v>21</v>
      </c>
      <c r="K278" s="21" t="s">
        <v>64</v>
      </c>
      <c r="L278" s="21" t="s">
        <v>59</v>
      </c>
      <c r="M278" s="21" t="s">
        <v>23</v>
      </c>
    </row>
    <row r="279" spans="1:26" x14ac:dyDescent="0.2">
      <c r="A279" s="1493" t="s">
        <v>145</v>
      </c>
      <c r="B279" s="4">
        <v>-37493090000</v>
      </c>
      <c r="C279" s="4">
        <v>-31852535000</v>
      </c>
      <c r="D279" s="4">
        <v>-29998040000</v>
      </c>
      <c r="E279" s="4">
        <v>-28165825000</v>
      </c>
      <c r="F279" s="4">
        <v>-26080500000</v>
      </c>
      <c r="G279" s="913">
        <v>-23974670000</v>
      </c>
      <c r="H279" s="4">
        <v>-16315595000</v>
      </c>
      <c r="I279" s="4">
        <v>-15702760000</v>
      </c>
      <c r="J279" s="4">
        <v>-13634240000</v>
      </c>
      <c r="K279" s="4">
        <v>-12784175000</v>
      </c>
      <c r="L279" s="4">
        <v>-12243425000</v>
      </c>
      <c r="M279" s="4">
        <v>-10353930000</v>
      </c>
    </row>
    <row r="280" spans="1:26" x14ac:dyDescent="0.2">
      <c r="A280" s="1493" t="s">
        <v>146</v>
      </c>
      <c r="B280" s="21" t="s">
        <v>15</v>
      </c>
      <c r="C280" s="21" t="s">
        <v>17</v>
      </c>
      <c r="D280" s="21" t="s">
        <v>12</v>
      </c>
      <c r="E280" s="21" t="s">
        <v>34</v>
      </c>
      <c r="F280" s="21" t="s">
        <v>18</v>
      </c>
      <c r="G280" s="21" t="s">
        <v>10</v>
      </c>
      <c r="H280" s="21" t="s">
        <v>32</v>
      </c>
      <c r="I280" s="21" t="s">
        <v>65</v>
      </c>
      <c r="J280" s="21" t="s">
        <v>59</v>
      </c>
      <c r="K280" s="21" t="s">
        <v>67</v>
      </c>
      <c r="L280" s="21" t="s">
        <v>30</v>
      </c>
    </row>
    <row r="281" spans="1:26" x14ac:dyDescent="0.2">
      <c r="A281" s="1493" t="s">
        <v>146</v>
      </c>
      <c r="B281" s="4">
        <v>-25029610000</v>
      </c>
      <c r="C281" s="4">
        <v>-13809870000</v>
      </c>
      <c r="D281" s="4">
        <v>-9988430000</v>
      </c>
      <c r="E281" s="4">
        <v>-6972665000</v>
      </c>
      <c r="F281" s="4">
        <v>-4744417000</v>
      </c>
      <c r="G281" s="906">
        <v>-3630000000</v>
      </c>
      <c r="H281" s="4">
        <v>-2591740000</v>
      </c>
      <c r="I281" s="4">
        <v>-2282950000</v>
      </c>
      <c r="J281" s="4">
        <v>-2241625000</v>
      </c>
      <c r="K281" s="907">
        <v>-1440085000</v>
      </c>
      <c r="L281" s="4">
        <v>-217910000</v>
      </c>
    </row>
    <row r="282" spans="1:26" x14ac:dyDescent="0.2">
      <c r="A282" s="1493" t="s">
        <v>147</v>
      </c>
      <c r="B282" s="21" t="s">
        <v>35</v>
      </c>
      <c r="C282" s="21" t="s">
        <v>29</v>
      </c>
    </row>
    <row r="283" spans="1:26" x14ac:dyDescent="0.2">
      <c r="A283" s="1493" t="s">
        <v>147</v>
      </c>
      <c r="B283" s="4">
        <v>-1677755000</v>
      </c>
      <c r="C283" s="4">
        <v>-419100000</v>
      </c>
    </row>
    <row r="284" spans="1:26" x14ac:dyDescent="0.2">
      <c r="A284" s="1493" t="s">
        <v>148</v>
      </c>
      <c r="B284" s="21" t="s">
        <v>32</v>
      </c>
      <c r="C284" s="21" t="s">
        <v>18</v>
      </c>
      <c r="D284" s="21" t="s">
        <v>15</v>
      </c>
      <c r="E284" s="21" t="s">
        <v>79</v>
      </c>
      <c r="F284" s="21" t="s">
        <v>35</v>
      </c>
      <c r="G284" s="21" t="s">
        <v>33</v>
      </c>
      <c r="H284" s="21" t="s">
        <v>17</v>
      </c>
      <c r="I284" s="21" t="s">
        <v>34</v>
      </c>
      <c r="J284" s="21" t="s">
        <v>13</v>
      </c>
      <c r="K284" s="21" t="s">
        <v>59</v>
      </c>
      <c r="L284" s="21" t="s">
        <v>12</v>
      </c>
      <c r="M284" s="21" t="s">
        <v>21</v>
      </c>
      <c r="N284" s="1493" t="s">
        <v>373</v>
      </c>
      <c r="O284" s="21" t="s">
        <v>15</v>
      </c>
      <c r="P284" s="21" t="s">
        <v>18</v>
      </c>
      <c r="Q284" s="21" t="s">
        <v>17</v>
      </c>
      <c r="R284" s="21" t="s">
        <v>79</v>
      </c>
      <c r="S284" s="21" t="s">
        <v>35</v>
      </c>
      <c r="T284" s="21" t="s">
        <v>32</v>
      </c>
      <c r="U284" s="21" t="s">
        <v>34</v>
      </c>
      <c r="V284" s="21" t="s">
        <v>65</v>
      </c>
      <c r="W284" s="21" t="s">
        <v>40</v>
      </c>
      <c r="X284" s="21" t="s">
        <v>59</v>
      </c>
      <c r="Y284" s="21" t="s">
        <v>33</v>
      </c>
      <c r="Z284" s="21" t="s">
        <v>12</v>
      </c>
    </row>
    <row r="285" spans="1:26" x14ac:dyDescent="0.2">
      <c r="A285" s="1493" t="s">
        <v>148</v>
      </c>
      <c r="B285" s="893">
        <v>-88388215000</v>
      </c>
      <c r="C285" s="894">
        <v>-86715363000</v>
      </c>
      <c r="D285" s="4">
        <v>-59879895000</v>
      </c>
      <c r="E285" s="895">
        <v>-57304030000</v>
      </c>
      <c r="F285" s="4">
        <v>-55335615000</v>
      </c>
      <c r="G285" s="896">
        <v>-50406470000</v>
      </c>
      <c r="H285" s="897">
        <v>-44924950000</v>
      </c>
      <c r="I285" s="898">
        <v>-35266770000</v>
      </c>
      <c r="J285" s="4">
        <v>-29708605000</v>
      </c>
      <c r="K285" s="899">
        <v>-21387125000</v>
      </c>
      <c r="L285" s="900">
        <v>-20766040000</v>
      </c>
      <c r="M285" s="901">
        <v>-20384550000</v>
      </c>
      <c r="N285" s="1493" t="s">
        <v>373</v>
      </c>
      <c r="O285" s="4">
        <v>-354620155000</v>
      </c>
      <c r="P285" s="4">
        <v>-181266728000</v>
      </c>
      <c r="Q285" s="4">
        <v>-64974260000</v>
      </c>
      <c r="R285" s="4">
        <v>-61823365000</v>
      </c>
      <c r="S285" s="4">
        <v>-52337915000</v>
      </c>
      <c r="T285" s="4">
        <v>-47965329000</v>
      </c>
      <c r="U285" s="4">
        <v>-29619279000</v>
      </c>
      <c r="V285" s="4">
        <v>-26326530000</v>
      </c>
      <c r="W285" s="4">
        <v>-26034060000</v>
      </c>
      <c r="X285" s="4">
        <v>-24773165000</v>
      </c>
      <c r="Y285" s="4">
        <v>-21635270000</v>
      </c>
      <c r="Z285" s="4">
        <v>-19719470000</v>
      </c>
    </row>
    <row r="286" spans="1:26" x14ac:dyDescent="0.2">
      <c r="A286" s="1493" t="s">
        <v>149</v>
      </c>
      <c r="B286" s="21" t="s">
        <v>15</v>
      </c>
      <c r="C286" s="21" t="s">
        <v>18</v>
      </c>
      <c r="D286" s="21" t="s">
        <v>10</v>
      </c>
      <c r="E286" s="21" t="s">
        <v>29</v>
      </c>
      <c r="F286" s="21" t="s">
        <v>5</v>
      </c>
    </row>
    <row r="287" spans="1:26" x14ac:dyDescent="0.2">
      <c r="A287" s="1493" t="s">
        <v>149</v>
      </c>
      <c r="B287" s="885">
        <v>-282170870000</v>
      </c>
      <c r="C287" s="4">
        <v>-28054140000</v>
      </c>
      <c r="D287" s="4">
        <v>-2815050000</v>
      </c>
      <c r="E287" s="886">
        <v>-1860000000</v>
      </c>
      <c r="F287" s="4">
        <v>-68110000</v>
      </c>
    </row>
    <row r="288" spans="1:26" x14ac:dyDescent="0.2">
      <c r="A288" s="1493" t="s">
        <v>150</v>
      </c>
      <c r="B288" s="21" t="s">
        <v>18</v>
      </c>
      <c r="C288" s="21" t="s">
        <v>17</v>
      </c>
      <c r="D288" s="21" t="s">
        <v>79</v>
      </c>
      <c r="E288" s="21" t="s">
        <v>15</v>
      </c>
      <c r="F288" s="21" t="s">
        <v>35</v>
      </c>
      <c r="G288" s="21" t="s">
        <v>59</v>
      </c>
      <c r="H288" s="21" t="s">
        <v>32</v>
      </c>
      <c r="I288" s="21" t="s">
        <v>21</v>
      </c>
      <c r="J288" s="21" t="s">
        <v>12</v>
      </c>
      <c r="K288" s="21" t="s">
        <v>65</v>
      </c>
      <c r="L288" s="21" t="s">
        <v>64</v>
      </c>
      <c r="M288" s="21" t="s">
        <v>33</v>
      </c>
    </row>
    <row r="289" spans="1:26" x14ac:dyDescent="0.2">
      <c r="A289" s="1493" t="s">
        <v>150</v>
      </c>
      <c r="B289" s="877">
        <v>-53783790000</v>
      </c>
      <c r="C289" s="878">
        <v>-26870265000</v>
      </c>
      <c r="D289" s="4">
        <v>-23449330000</v>
      </c>
      <c r="E289" s="4">
        <v>-22993640000</v>
      </c>
      <c r="F289" s="4">
        <v>-17163800000</v>
      </c>
      <c r="G289" s="879">
        <v>-12146040000</v>
      </c>
      <c r="H289" s="4">
        <v>-11608175000</v>
      </c>
      <c r="I289" s="880">
        <v>-11491070000</v>
      </c>
      <c r="J289" s="4">
        <v>-11353450000</v>
      </c>
      <c r="K289" s="881">
        <v>-9694640000</v>
      </c>
      <c r="L289" s="4">
        <v>-9680855000</v>
      </c>
      <c r="M289" s="4">
        <v>-7325140000</v>
      </c>
    </row>
    <row r="290" spans="1:26" x14ac:dyDescent="0.2">
      <c r="A290" s="1493" t="s">
        <v>151</v>
      </c>
      <c r="B290" s="21" t="s">
        <v>35</v>
      </c>
      <c r="C290" s="21" t="s">
        <v>271</v>
      </c>
      <c r="D290" s="21" t="s">
        <v>99</v>
      </c>
      <c r="E290" s="21" t="s">
        <v>25</v>
      </c>
      <c r="F290" s="21" t="s">
        <v>42</v>
      </c>
      <c r="G290" s="21" t="s">
        <v>18</v>
      </c>
      <c r="H290" s="21" t="s">
        <v>79</v>
      </c>
      <c r="I290" s="21" t="s">
        <v>17</v>
      </c>
      <c r="J290" s="21" t="s">
        <v>34</v>
      </c>
    </row>
    <row r="291" spans="1:26" x14ac:dyDescent="0.2">
      <c r="A291" s="1493" t="s">
        <v>151</v>
      </c>
      <c r="B291" s="4">
        <v>-13638700000</v>
      </c>
      <c r="C291" s="868">
        <v>-5913350000</v>
      </c>
      <c r="D291" s="869">
        <v>-5443020000</v>
      </c>
      <c r="E291" s="870">
        <v>-5432470000</v>
      </c>
      <c r="F291" s="871">
        <v>-4255225000</v>
      </c>
      <c r="G291" s="4">
        <v>-3788645000</v>
      </c>
      <c r="H291" s="4">
        <v>-2217415000</v>
      </c>
      <c r="I291" s="4">
        <v>-1895820000</v>
      </c>
      <c r="J291" s="872">
        <v>-901510000</v>
      </c>
    </row>
    <row r="292" spans="1:26" x14ac:dyDescent="0.2">
      <c r="A292" s="1493" t="s">
        <v>152</v>
      </c>
      <c r="B292" s="21" t="s">
        <v>40</v>
      </c>
      <c r="C292" s="21" t="s">
        <v>18</v>
      </c>
      <c r="D292" s="21" t="s">
        <v>79</v>
      </c>
      <c r="E292" s="21" t="s">
        <v>176</v>
      </c>
      <c r="F292" s="21" t="s">
        <v>33</v>
      </c>
      <c r="G292" s="21" t="s">
        <v>35</v>
      </c>
      <c r="H292" s="21" t="s">
        <v>34</v>
      </c>
      <c r="I292" s="21" t="s">
        <v>65</v>
      </c>
    </row>
    <row r="293" spans="1:26" x14ac:dyDescent="0.2">
      <c r="A293" s="1493" t="s">
        <v>152</v>
      </c>
      <c r="B293" s="862">
        <v>-10125380000</v>
      </c>
      <c r="C293" s="4">
        <v>-8924790000</v>
      </c>
      <c r="D293" s="4">
        <v>-4410780000</v>
      </c>
      <c r="E293" s="863">
        <v>-2996990000</v>
      </c>
      <c r="F293" s="4">
        <v>-2566220000</v>
      </c>
      <c r="G293" s="4">
        <v>-807310000</v>
      </c>
      <c r="H293" s="864">
        <v>-568634000</v>
      </c>
      <c r="I293" s="4">
        <v>-408700000</v>
      </c>
    </row>
    <row r="294" spans="1:26" x14ac:dyDescent="0.2">
      <c r="A294" s="1493" t="s">
        <v>153</v>
      </c>
      <c r="B294" s="21" t="s">
        <v>13</v>
      </c>
      <c r="C294" s="21" t="s">
        <v>35</v>
      </c>
      <c r="D294" s="21" t="s">
        <v>18</v>
      </c>
      <c r="E294" s="21" t="s">
        <v>33</v>
      </c>
      <c r="F294" s="21" t="s">
        <v>40</v>
      </c>
      <c r="G294" s="21" t="s">
        <v>30</v>
      </c>
      <c r="H294" s="21" t="s">
        <v>176</v>
      </c>
      <c r="N294" s="1493" t="s">
        <v>372</v>
      </c>
      <c r="O294" s="21" t="s">
        <v>35</v>
      </c>
      <c r="P294" s="21" t="s">
        <v>15</v>
      </c>
      <c r="Q294" s="21" t="s">
        <v>18</v>
      </c>
      <c r="R294" s="21" t="s">
        <v>13</v>
      </c>
      <c r="S294" s="21" t="s">
        <v>79</v>
      </c>
      <c r="T294" s="21" t="s">
        <v>5</v>
      </c>
      <c r="U294" s="21" t="s">
        <v>12</v>
      </c>
      <c r="V294" s="21" t="s">
        <v>6</v>
      </c>
      <c r="W294" s="21" t="s">
        <v>32</v>
      </c>
      <c r="X294" s="21" t="s">
        <v>59</v>
      </c>
      <c r="Y294" s="21" t="s">
        <v>19</v>
      </c>
      <c r="Z294" s="21" t="s">
        <v>40</v>
      </c>
    </row>
    <row r="295" spans="1:26" x14ac:dyDescent="0.2">
      <c r="A295" s="1493" t="s">
        <v>153</v>
      </c>
      <c r="B295" s="4">
        <v>-28441985000</v>
      </c>
      <c r="C295" s="4">
        <v>-15248330000</v>
      </c>
      <c r="D295" s="4">
        <v>-6442775000</v>
      </c>
      <c r="E295" s="4">
        <v>-5939390000</v>
      </c>
      <c r="F295" s="4">
        <v>-2421830000</v>
      </c>
      <c r="G295" s="858">
        <v>-2189550000</v>
      </c>
      <c r="H295" s="859">
        <v>-72360000</v>
      </c>
      <c r="N295" s="1493" t="s">
        <v>372</v>
      </c>
      <c r="O295" s="4">
        <v>-127901610000</v>
      </c>
      <c r="P295" s="4">
        <v>-42616676000</v>
      </c>
      <c r="Q295" s="4">
        <v>-40195065000</v>
      </c>
      <c r="R295" s="4">
        <v>-36059735000</v>
      </c>
      <c r="S295" s="4">
        <v>-30798605000</v>
      </c>
      <c r="T295" s="4">
        <v>-27705883000</v>
      </c>
      <c r="U295" s="4">
        <v>-14661930000</v>
      </c>
      <c r="V295" s="4">
        <v>-5616890000</v>
      </c>
      <c r="W295" s="4">
        <v>-5539017000</v>
      </c>
      <c r="X295" s="4">
        <v>-1736840000</v>
      </c>
      <c r="Y295" s="4">
        <v>-421060000</v>
      </c>
      <c r="Z295" s="4">
        <v>-144650000</v>
      </c>
    </row>
    <row r="296" spans="1:26" x14ac:dyDescent="0.2">
      <c r="A296" s="1493" t="s">
        <v>154</v>
      </c>
      <c r="B296" s="21" t="s">
        <v>35</v>
      </c>
      <c r="C296" s="21" t="s">
        <v>18</v>
      </c>
      <c r="D296" s="21" t="s">
        <v>6</v>
      </c>
      <c r="E296" s="21" t="s">
        <v>83</v>
      </c>
    </row>
    <row r="297" spans="1:26" x14ac:dyDescent="0.2">
      <c r="A297" s="1493" t="s">
        <v>154</v>
      </c>
      <c r="B297" s="4">
        <v>-31194930000</v>
      </c>
      <c r="C297" s="852">
        <v>-25267885000</v>
      </c>
      <c r="D297" s="853">
        <v>-5616890000</v>
      </c>
      <c r="E297" s="854">
        <v>-4560000</v>
      </c>
    </row>
    <row r="298" spans="1:26" x14ac:dyDescent="0.2">
      <c r="A298" s="1493" t="s">
        <v>155</v>
      </c>
      <c r="B298" s="21" t="s">
        <v>35</v>
      </c>
      <c r="C298" s="21" t="s">
        <v>15</v>
      </c>
      <c r="D298" s="21" t="s">
        <v>33</v>
      </c>
      <c r="E298" s="21" t="s">
        <v>79</v>
      </c>
      <c r="F298" s="21" t="s">
        <v>13</v>
      </c>
      <c r="G298" s="21" t="s">
        <v>32</v>
      </c>
      <c r="H298" s="21" t="s">
        <v>5</v>
      </c>
      <c r="I298" s="21" t="s">
        <v>12</v>
      </c>
      <c r="J298" s="21" t="s">
        <v>23</v>
      </c>
      <c r="K298" s="21" t="s">
        <v>59</v>
      </c>
      <c r="L298" s="21" t="s">
        <v>64</v>
      </c>
      <c r="M298" s="21" t="s">
        <v>65</v>
      </c>
    </row>
    <row r="299" spans="1:26" x14ac:dyDescent="0.2">
      <c r="A299" s="1493" t="s">
        <v>155</v>
      </c>
      <c r="B299" s="828">
        <v>-57108050000</v>
      </c>
      <c r="C299" s="829">
        <v>-53705661000</v>
      </c>
      <c r="D299" s="830">
        <v>-40695900000</v>
      </c>
      <c r="E299" s="831">
        <v>-38096795000</v>
      </c>
      <c r="F299" s="832">
        <v>-35436470000</v>
      </c>
      <c r="G299" s="833">
        <v>-31402483000</v>
      </c>
      <c r="H299" s="834">
        <v>-27194041000</v>
      </c>
      <c r="I299" s="835">
        <v>-16905435000</v>
      </c>
      <c r="J299" s="836">
        <v>-11201350000</v>
      </c>
      <c r="K299" s="837">
        <v>-11163890000</v>
      </c>
      <c r="L299" s="838">
        <v>-9949255000</v>
      </c>
      <c r="M299" s="839">
        <v>-8379714000</v>
      </c>
    </row>
    <row r="300" spans="1:26" x14ac:dyDescent="0.2">
      <c r="A300" s="1493" t="s">
        <v>156</v>
      </c>
      <c r="B300" s="21" t="s">
        <v>15</v>
      </c>
      <c r="C300" s="21" t="s">
        <v>35</v>
      </c>
      <c r="D300" s="21" t="s">
        <v>13</v>
      </c>
      <c r="E300" s="21" t="s">
        <v>14</v>
      </c>
      <c r="F300" s="21" t="s">
        <v>17</v>
      </c>
      <c r="G300" s="21" t="s">
        <v>12</v>
      </c>
      <c r="H300" s="21" t="s">
        <v>79</v>
      </c>
      <c r="I300" s="21" t="s">
        <v>23</v>
      </c>
      <c r="J300" s="21" t="s">
        <v>5</v>
      </c>
      <c r="K300" s="21" t="s">
        <v>33</v>
      </c>
      <c r="L300" s="21" t="s">
        <v>40</v>
      </c>
      <c r="M300" s="21" t="s">
        <v>65</v>
      </c>
    </row>
    <row r="301" spans="1:26" x14ac:dyDescent="0.2">
      <c r="A301" s="1493" t="s">
        <v>156</v>
      </c>
      <c r="B301" s="811">
        <v>-27139100000</v>
      </c>
      <c r="C301" s="812">
        <v>-24350300000</v>
      </c>
      <c r="D301" s="813">
        <v>-20587440000</v>
      </c>
      <c r="E301" s="814">
        <v>-13536455000</v>
      </c>
      <c r="F301" s="815">
        <v>-12994020000</v>
      </c>
      <c r="G301" s="816">
        <v>-10306595000</v>
      </c>
      <c r="H301" s="817">
        <v>-5665075000</v>
      </c>
      <c r="I301" s="818">
        <v>-4156700000</v>
      </c>
      <c r="J301" s="819">
        <v>-3188096000</v>
      </c>
      <c r="K301" s="820">
        <v>-2718819000</v>
      </c>
      <c r="L301" s="821">
        <v>-2683560000</v>
      </c>
      <c r="M301" s="822">
        <v>-2533546000</v>
      </c>
    </row>
    <row r="307" spans="1:1" x14ac:dyDescent="0.2">
      <c r="A307" t="s">
        <v>368</v>
      </c>
    </row>
  </sheetData>
  <mergeCells count="184">
    <mergeCell ref="B1:M1"/>
    <mergeCell ref="O1:Z1"/>
    <mergeCell ref="A28:A29"/>
    <mergeCell ref="A26:A27"/>
    <mergeCell ref="A24:A25"/>
    <mergeCell ref="A22:A23"/>
    <mergeCell ref="N22:N23"/>
    <mergeCell ref="A8:A9"/>
    <mergeCell ref="A6:A7"/>
    <mergeCell ref="A10:A11"/>
    <mergeCell ref="A12:A13"/>
    <mergeCell ref="N12:N13"/>
    <mergeCell ref="A20:A21"/>
    <mergeCell ref="A18:A19"/>
    <mergeCell ref="A14:A15"/>
    <mergeCell ref="A16:A17"/>
    <mergeCell ref="A2:A3"/>
    <mergeCell ref="N2:N3"/>
    <mergeCell ref="A4:A5"/>
    <mergeCell ref="A34:A35"/>
    <mergeCell ref="A32:A33"/>
    <mergeCell ref="N32:N33"/>
    <mergeCell ref="A30:A31"/>
    <mergeCell ref="A40:A41"/>
    <mergeCell ref="A38:A39"/>
    <mergeCell ref="A36:A37"/>
    <mergeCell ref="A60:A61"/>
    <mergeCell ref="A58:A59"/>
    <mergeCell ref="A56:A57"/>
    <mergeCell ref="A44:A45"/>
    <mergeCell ref="A42:A43"/>
    <mergeCell ref="N42:N43"/>
    <mergeCell ref="A54:A55"/>
    <mergeCell ref="A52:A53"/>
    <mergeCell ref="N52:N53"/>
    <mergeCell ref="A50:A51"/>
    <mergeCell ref="A48:A49"/>
    <mergeCell ref="A46:A47"/>
    <mergeCell ref="N132:N133"/>
    <mergeCell ref="A82:A83"/>
    <mergeCell ref="N82:N83"/>
    <mergeCell ref="A80:A81"/>
    <mergeCell ref="A78:A79"/>
    <mergeCell ref="A76:A77"/>
    <mergeCell ref="A102:A103"/>
    <mergeCell ref="N102:N103"/>
    <mergeCell ref="A90:A91"/>
    <mergeCell ref="A88:A89"/>
    <mergeCell ref="A86:A87"/>
    <mergeCell ref="A84:A85"/>
    <mergeCell ref="A100:A101"/>
    <mergeCell ref="A98:A99"/>
    <mergeCell ref="A96:A97"/>
    <mergeCell ref="A94:A95"/>
    <mergeCell ref="A92:A93"/>
    <mergeCell ref="N92:N93"/>
    <mergeCell ref="A112:A113"/>
    <mergeCell ref="A74:A75"/>
    <mergeCell ref="A72:A73"/>
    <mergeCell ref="N72:N73"/>
    <mergeCell ref="A70:A71"/>
    <mergeCell ref="A68:A69"/>
    <mergeCell ref="A66:A67"/>
    <mergeCell ref="A64:A65"/>
    <mergeCell ref="A62:A63"/>
    <mergeCell ref="N62:N63"/>
    <mergeCell ref="A114:A115"/>
    <mergeCell ref="N112:N113"/>
    <mergeCell ref="A110:A111"/>
    <mergeCell ref="A108:A109"/>
    <mergeCell ref="A106:A107"/>
    <mergeCell ref="A104:A105"/>
    <mergeCell ref="A174:A175"/>
    <mergeCell ref="A130:A131"/>
    <mergeCell ref="A128:A129"/>
    <mergeCell ref="A126:A127"/>
    <mergeCell ref="A124:A125"/>
    <mergeCell ref="A122:A123"/>
    <mergeCell ref="N122:N123"/>
    <mergeCell ref="A120:A121"/>
    <mergeCell ref="A118:A119"/>
    <mergeCell ref="A116:A117"/>
    <mergeCell ref="A144:A145"/>
    <mergeCell ref="A142:A143"/>
    <mergeCell ref="N142:N143"/>
    <mergeCell ref="A140:A141"/>
    <mergeCell ref="A138:A139"/>
    <mergeCell ref="A136:A137"/>
    <mergeCell ref="A134:A135"/>
    <mergeCell ref="A132:A133"/>
    <mergeCell ref="A284:A285"/>
    <mergeCell ref="N284:N285"/>
    <mergeCell ref="A282:A283"/>
    <mergeCell ref="A280:A281"/>
    <mergeCell ref="A278:A279"/>
    <mergeCell ref="A276:A277"/>
    <mergeCell ref="A274:A275"/>
    <mergeCell ref="N274:N275"/>
    <mergeCell ref="A272:A273"/>
    <mergeCell ref="A300:A301"/>
    <mergeCell ref="A298:A299"/>
    <mergeCell ref="A296:A297"/>
    <mergeCell ref="A294:A295"/>
    <mergeCell ref="N294:N295"/>
    <mergeCell ref="A292:A293"/>
    <mergeCell ref="A290:A291"/>
    <mergeCell ref="A288:A289"/>
    <mergeCell ref="A286:A287"/>
    <mergeCell ref="A270:A271"/>
    <mergeCell ref="A268:A269"/>
    <mergeCell ref="A266:A267"/>
    <mergeCell ref="A264:A265"/>
    <mergeCell ref="N264:N265"/>
    <mergeCell ref="A262:A263"/>
    <mergeCell ref="A260:A261"/>
    <mergeCell ref="A258:A259"/>
    <mergeCell ref="A256:A257"/>
    <mergeCell ref="A226:A227"/>
    <mergeCell ref="A224:A225"/>
    <mergeCell ref="N224:N225"/>
    <mergeCell ref="A222:A223"/>
    <mergeCell ref="A220:A221"/>
    <mergeCell ref="A218:A219"/>
    <mergeCell ref="A216:A217"/>
    <mergeCell ref="A254:A255"/>
    <mergeCell ref="N254:N255"/>
    <mergeCell ref="A252:A253"/>
    <mergeCell ref="A250:A251"/>
    <mergeCell ref="A248:A249"/>
    <mergeCell ref="N248:N249"/>
    <mergeCell ref="A246:A247"/>
    <mergeCell ref="A244:A245"/>
    <mergeCell ref="N244:N245"/>
    <mergeCell ref="A242:A243"/>
    <mergeCell ref="A240:A241"/>
    <mergeCell ref="A238:A239"/>
    <mergeCell ref="A236:A237"/>
    <mergeCell ref="A234:A235"/>
    <mergeCell ref="N234:N235"/>
    <mergeCell ref="A232:A233"/>
    <mergeCell ref="A230:A231"/>
    <mergeCell ref="A228:A229"/>
    <mergeCell ref="N156:N157"/>
    <mergeCell ref="A212:A213"/>
    <mergeCell ref="A210:A211"/>
    <mergeCell ref="A208:A209"/>
    <mergeCell ref="A206:A207"/>
    <mergeCell ref="A204:A205"/>
    <mergeCell ref="N204:N205"/>
    <mergeCell ref="A202:A203"/>
    <mergeCell ref="A200:A201"/>
    <mergeCell ref="A198:A199"/>
    <mergeCell ref="A196:A197"/>
    <mergeCell ref="A194:A195"/>
    <mergeCell ref="N194:N195"/>
    <mergeCell ref="A192:A193"/>
    <mergeCell ref="A190:A191"/>
    <mergeCell ref="A188:A189"/>
    <mergeCell ref="A186:A187"/>
    <mergeCell ref="A184:A185"/>
    <mergeCell ref="N184:N185"/>
    <mergeCell ref="A182:A183"/>
    <mergeCell ref="A180:A181"/>
    <mergeCell ref="A178:A179"/>
    <mergeCell ref="A176:A177"/>
    <mergeCell ref="A214:A215"/>
    <mergeCell ref="N214:N215"/>
    <mergeCell ref="A154:A155"/>
    <mergeCell ref="A152:A153"/>
    <mergeCell ref="A150:A151"/>
    <mergeCell ref="A148:A149"/>
    <mergeCell ref="A146:A147"/>
    <mergeCell ref="N146:N147"/>
    <mergeCell ref="A168:A169"/>
    <mergeCell ref="A166:A167"/>
    <mergeCell ref="A164:A165"/>
    <mergeCell ref="N164:N165"/>
    <mergeCell ref="A162:A163"/>
    <mergeCell ref="A160:A161"/>
    <mergeCell ref="A158:A159"/>
    <mergeCell ref="A156:A157"/>
    <mergeCell ref="N174:N175"/>
    <mergeCell ref="A172:A173"/>
    <mergeCell ref="A170:A17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60D3-88F8-5745-BA82-C08893F5CA63}">
  <sheetPr codeName="Sheet2">
    <tabColor theme="9" tint="0.59999389629810485"/>
  </sheetPr>
  <dimension ref="A1:V542"/>
  <sheetViews>
    <sheetView workbookViewId="0">
      <selection activeCell="C2" sqref="C2:C3"/>
    </sheetView>
  </sheetViews>
  <sheetFormatPr baseColWidth="10" defaultRowHeight="16" x14ac:dyDescent="0.2"/>
  <cols>
    <col min="3" max="3" width="15" customWidth="1"/>
    <col min="4" max="4" width="16.5" customWidth="1"/>
    <col min="5" max="5" width="16.6640625" customWidth="1"/>
    <col min="6" max="6" width="14.6640625" bestFit="1" customWidth="1"/>
    <col min="7" max="7" width="15.6640625" customWidth="1"/>
    <col min="8" max="8" width="15.1640625" customWidth="1"/>
    <col min="9" max="9" width="13.5" customWidth="1"/>
    <col min="10" max="10" width="15.1640625" customWidth="1"/>
    <col min="11" max="11" width="15.5" customWidth="1"/>
    <col min="12" max="12" width="17.5" customWidth="1"/>
    <col min="13" max="13" width="14.33203125" customWidth="1"/>
    <col min="14" max="14" width="15.6640625" customWidth="1"/>
    <col min="15" max="15" width="15.1640625" customWidth="1"/>
    <col min="16" max="17" width="12.6640625" bestFit="1" customWidth="1"/>
    <col min="18" max="18" width="11.1640625" bestFit="1" customWidth="1"/>
  </cols>
  <sheetData>
    <row r="1" spans="1:8" x14ac:dyDescent="0.2">
      <c r="A1" s="10" t="s">
        <v>105</v>
      </c>
      <c r="B1" s="9" t="s">
        <v>164</v>
      </c>
    </row>
    <row r="2" spans="1:8" x14ac:dyDescent="0.2">
      <c r="B2" s="21" t="s">
        <v>160</v>
      </c>
      <c r="C2" s="1495" t="s">
        <v>18</v>
      </c>
      <c r="G2" s="1495" t="s">
        <v>78</v>
      </c>
    </row>
    <row r="3" spans="1:8" x14ac:dyDescent="0.2">
      <c r="B3" s="21" t="s">
        <v>157</v>
      </c>
      <c r="C3" s="1495" t="s">
        <v>18</v>
      </c>
      <c r="D3" s="21" t="s">
        <v>9</v>
      </c>
      <c r="E3" s="21" t="s">
        <v>313</v>
      </c>
      <c r="F3" s="21" t="s">
        <v>271</v>
      </c>
      <c r="G3" s="1495"/>
      <c r="H3" s="21" t="s">
        <v>335</v>
      </c>
    </row>
    <row r="4" spans="1:8" x14ac:dyDescent="0.2">
      <c r="A4" s="7" t="s">
        <v>508</v>
      </c>
      <c r="B4" s="21" t="s">
        <v>177</v>
      </c>
      <c r="C4" s="4">
        <v>122758110000</v>
      </c>
      <c r="D4" s="4">
        <v>59855900000</v>
      </c>
      <c r="E4" s="4">
        <v>36497600000</v>
      </c>
      <c r="F4" s="4">
        <v>10745490000</v>
      </c>
      <c r="G4" s="4">
        <v>7851490000</v>
      </c>
      <c r="H4" s="4">
        <v>106600000</v>
      </c>
    </row>
    <row r="5" spans="1:8" x14ac:dyDescent="0.2">
      <c r="B5" s="21" t="s">
        <v>162</v>
      </c>
      <c r="C5" s="1495" t="s">
        <v>30</v>
      </c>
    </row>
    <row r="6" spans="1:8" x14ac:dyDescent="0.2">
      <c r="B6" s="21" t="s">
        <v>161</v>
      </c>
      <c r="C6" s="1495" t="s">
        <v>30</v>
      </c>
    </row>
    <row r="7" spans="1:8" x14ac:dyDescent="0.2">
      <c r="B7" s="21" t="s">
        <v>160</v>
      </c>
      <c r="C7" s="1495" t="s">
        <v>30</v>
      </c>
      <c r="D7" s="1495" t="s">
        <v>202</v>
      </c>
    </row>
    <row r="8" spans="1:8" x14ac:dyDescent="0.2">
      <c r="B8" s="21" t="s">
        <v>157</v>
      </c>
      <c r="C8" s="1495" t="s">
        <v>30</v>
      </c>
      <c r="D8" s="1495" t="s">
        <v>202</v>
      </c>
      <c r="E8" s="21" t="s">
        <v>159</v>
      </c>
      <c r="F8" s="21" t="s">
        <v>431</v>
      </c>
      <c r="G8" s="21" t="s">
        <v>439</v>
      </c>
    </row>
    <row r="9" spans="1:8" x14ac:dyDescent="0.2">
      <c r="A9" s="7" t="s">
        <v>505</v>
      </c>
      <c r="B9" s="21" t="s">
        <v>177</v>
      </c>
      <c r="C9" s="4">
        <v>53108350000</v>
      </c>
      <c r="D9" s="4">
        <v>15675176765</v>
      </c>
      <c r="E9" s="4">
        <v>8113160000</v>
      </c>
      <c r="F9" s="4">
        <v>1237600000</v>
      </c>
      <c r="G9" s="4">
        <v>989920000</v>
      </c>
    </row>
    <row r="10" spans="1:8" x14ac:dyDescent="0.2">
      <c r="B10" s="21" t="s">
        <v>162</v>
      </c>
      <c r="G10" s="1495" t="s">
        <v>486</v>
      </c>
    </row>
    <row r="11" spans="1:8" x14ac:dyDescent="0.2">
      <c r="B11" s="21" t="s">
        <v>161</v>
      </c>
      <c r="G11" s="1495" t="s">
        <v>486</v>
      </c>
    </row>
    <row r="12" spans="1:8" x14ac:dyDescent="0.2">
      <c r="B12" s="21" t="s">
        <v>160</v>
      </c>
      <c r="D12" s="1495" t="s">
        <v>30</v>
      </c>
      <c r="G12" s="1495" t="s">
        <v>486</v>
      </c>
    </row>
    <row r="13" spans="1:8" x14ac:dyDescent="0.2">
      <c r="B13" s="21" t="s">
        <v>157</v>
      </c>
      <c r="C13" s="21" t="s">
        <v>66</v>
      </c>
      <c r="D13" s="1495" t="s">
        <v>30</v>
      </c>
      <c r="E13" s="21" t="s">
        <v>41</v>
      </c>
      <c r="F13" s="21" t="s">
        <v>441</v>
      </c>
      <c r="G13" s="1495" t="s">
        <v>486</v>
      </c>
    </row>
    <row r="14" spans="1:8" x14ac:dyDescent="0.2">
      <c r="A14" s="7" t="s">
        <v>503</v>
      </c>
      <c r="B14" s="21" t="s">
        <v>177</v>
      </c>
      <c r="C14" s="4">
        <v>20130320000</v>
      </c>
      <c r="D14" s="4">
        <v>14990070000</v>
      </c>
      <c r="E14" s="4">
        <v>11569220000</v>
      </c>
      <c r="F14" s="4">
        <v>2922710000</v>
      </c>
      <c r="G14" s="4">
        <v>2154949</v>
      </c>
    </row>
    <row r="15" spans="1:8" x14ac:dyDescent="0.2">
      <c r="B15" s="21" t="s">
        <v>162</v>
      </c>
      <c r="H15" s="1495" t="s">
        <v>74</v>
      </c>
    </row>
    <row r="16" spans="1:8" x14ac:dyDescent="0.2">
      <c r="B16" s="21" t="s">
        <v>161</v>
      </c>
      <c r="H16" s="1495" t="s">
        <v>74</v>
      </c>
    </row>
    <row r="17" spans="1:15" x14ac:dyDescent="0.2">
      <c r="B17" s="21" t="s">
        <v>160</v>
      </c>
      <c r="H17" s="1495" t="s">
        <v>74</v>
      </c>
    </row>
    <row r="18" spans="1:15" x14ac:dyDescent="0.2">
      <c r="B18" s="21" t="s">
        <v>157</v>
      </c>
      <c r="C18" s="21" t="s">
        <v>27</v>
      </c>
      <c r="D18" s="21" t="s">
        <v>20</v>
      </c>
      <c r="E18" s="21" t="s">
        <v>279</v>
      </c>
      <c r="F18" s="21" t="s">
        <v>88</v>
      </c>
      <c r="G18" s="21" t="s">
        <v>198</v>
      </c>
      <c r="H18" s="1495" t="s">
        <v>74</v>
      </c>
      <c r="I18" s="21" t="s">
        <v>443</v>
      </c>
      <c r="J18" s="21" t="s">
        <v>336</v>
      </c>
      <c r="K18" s="21" t="s">
        <v>326</v>
      </c>
    </row>
    <row r="19" spans="1:15" x14ac:dyDescent="0.2">
      <c r="A19" s="7" t="s">
        <v>500</v>
      </c>
      <c r="B19" s="21" t="s">
        <v>177</v>
      </c>
      <c r="C19" s="4">
        <v>32004450000</v>
      </c>
      <c r="D19" s="4">
        <v>21931523153</v>
      </c>
      <c r="E19" s="4">
        <v>20830300000</v>
      </c>
      <c r="F19" s="4">
        <v>7582630000</v>
      </c>
      <c r="G19" s="4">
        <v>5519020000</v>
      </c>
      <c r="H19" s="4">
        <v>4669200000</v>
      </c>
      <c r="I19" s="4">
        <v>1575130000</v>
      </c>
      <c r="J19" s="4">
        <v>1109860000</v>
      </c>
      <c r="K19" s="4">
        <v>729340000</v>
      </c>
    </row>
    <row r="20" spans="1:15" x14ac:dyDescent="0.2">
      <c r="B20" s="21" t="s">
        <v>162</v>
      </c>
      <c r="C20" s="1495" t="s">
        <v>265</v>
      </c>
      <c r="E20" s="1495" t="s">
        <v>285</v>
      </c>
      <c r="F20" s="1495" t="s">
        <v>459</v>
      </c>
    </row>
    <row r="21" spans="1:15" x14ac:dyDescent="0.2">
      <c r="B21" s="21" t="s">
        <v>161</v>
      </c>
      <c r="C21" s="1495" t="s">
        <v>265</v>
      </c>
      <c r="E21" s="1495" t="s">
        <v>285</v>
      </c>
      <c r="F21" s="1495" t="s">
        <v>459</v>
      </c>
    </row>
    <row r="22" spans="1:15" x14ac:dyDescent="0.2">
      <c r="B22" s="21" t="s">
        <v>160</v>
      </c>
      <c r="C22" s="1495" t="s">
        <v>265</v>
      </c>
      <c r="E22" s="1495" t="s">
        <v>285</v>
      </c>
      <c r="F22" s="1495" t="s">
        <v>459</v>
      </c>
    </row>
    <row r="23" spans="1:15" x14ac:dyDescent="0.2">
      <c r="B23" s="21" t="s">
        <v>157</v>
      </c>
      <c r="C23" s="1495" t="s">
        <v>265</v>
      </c>
      <c r="D23" s="21" t="s">
        <v>194</v>
      </c>
      <c r="E23" s="1495" t="s">
        <v>285</v>
      </c>
      <c r="F23" s="1495" t="s">
        <v>459</v>
      </c>
      <c r="G23" s="21" t="s">
        <v>40</v>
      </c>
    </row>
    <row r="24" spans="1:15" x14ac:dyDescent="0.2">
      <c r="A24" s="7" t="s">
        <v>497</v>
      </c>
      <c r="B24" s="21" t="s">
        <v>177</v>
      </c>
      <c r="C24" s="4">
        <v>62261110000</v>
      </c>
      <c r="D24" s="4">
        <v>14698120000</v>
      </c>
      <c r="E24" s="4">
        <v>4649720000</v>
      </c>
      <c r="F24" s="4">
        <v>3647570000</v>
      </c>
      <c r="G24" s="4">
        <v>3098490000</v>
      </c>
    </row>
    <row r="25" spans="1:15" x14ac:dyDescent="0.2">
      <c r="B25" s="21" t="s">
        <v>162</v>
      </c>
      <c r="M25" s="1495" t="s">
        <v>74</v>
      </c>
    </row>
    <row r="26" spans="1:15" x14ac:dyDescent="0.2">
      <c r="B26" s="21" t="s">
        <v>161</v>
      </c>
      <c r="M26" s="1495" t="s">
        <v>74</v>
      </c>
    </row>
    <row r="27" spans="1:15" x14ac:dyDescent="0.2">
      <c r="B27" s="21" t="s">
        <v>160</v>
      </c>
      <c r="K27" s="1495" t="s">
        <v>270</v>
      </c>
      <c r="L27" s="1495" t="s">
        <v>464</v>
      </c>
      <c r="M27" s="1495" t="s">
        <v>74</v>
      </c>
    </row>
    <row r="28" spans="1:15" x14ac:dyDescent="0.2">
      <c r="B28" s="21" t="s">
        <v>157</v>
      </c>
      <c r="C28" s="21" t="s">
        <v>25</v>
      </c>
      <c r="D28" s="21" t="s">
        <v>42</v>
      </c>
      <c r="E28" s="21" t="s">
        <v>20</v>
      </c>
      <c r="F28" s="21" t="s">
        <v>294</v>
      </c>
      <c r="G28" s="21" t="s">
        <v>190</v>
      </c>
      <c r="H28" s="21" t="s">
        <v>194</v>
      </c>
      <c r="I28" s="21" t="s">
        <v>192</v>
      </c>
      <c r="J28" s="21" t="s">
        <v>10</v>
      </c>
      <c r="K28" s="1495" t="s">
        <v>270</v>
      </c>
      <c r="L28" s="1495"/>
      <c r="M28" s="1495" t="s">
        <v>74</v>
      </c>
      <c r="N28" s="21" t="s">
        <v>441</v>
      </c>
      <c r="O28" s="21" t="s">
        <v>447</v>
      </c>
    </row>
    <row r="29" spans="1:15" x14ac:dyDescent="0.2">
      <c r="A29" s="7" t="s">
        <v>494</v>
      </c>
      <c r="B29" s="21" t="s">
        <v>177</v>
      </c>
      <c r="C29" s="4">
        <v>58765500000</v>
      </c>
      <c r="D29" s="4">
        <v>26638740000</v>
      </c>
      <c r="E29" s="4">
        <v>12818106650</v>
      </c>
      <c r="F29" s="4">
        <v>11918500000</v>
      </c>
      <c r="G29" s="4">
        <v>9414350000</v>
      </c>
      <c r="H29" s="4">
        <v>8454080000</v>
      </c>
      <c r="I29" s="4">
        <v>8253090000</v>
      </c>
      <c r="J29" s="4">
        <v>5453972743</v>
      </c>
      <c r="K29" s="4">
        <v>4370090000</v>
      </c>
      <c r="L29" s="4">
        <v>1677530209</v>
      </c>
      <c r="M29" s="4">
        <v>1418820000</v>
      </c>
      <c r="N29" s="4">
        <v>643730000</v>
      </c>
      <c r="O29" s="4">
        <v>144450000</v>
      </c>
    </row>
    <row r="30" spans="1:15" x14ac:dyDescent="0.2">
      <c r="B30" s="21" t="s">
        <v>162</v>
      </c>
      <c r="C30" s="1495" t="s">
        <v>12</v>
      </c>
      <c r="G30" s="1495" t="s">
        <v>448</v>
      </c>
      <c r="J30" s="1495" t="s">
        <v>458</v>
      </c>
      <c r="K30" s="1495" t="s">
        <v>463</v>
      </c>
      <c r="M30" s="1495" t="s">
        <v>74</v>
      </c>
    </row>
    <row r="31" spans="1:15" x14ac:dyDescent="0.2">
      <c r="B31" s="21" t="s">
        <v>161</v>
      </c>
      <c r="C31" s="1495" t="s">
        <v>12</v>
      </c>
      <c r="G31" s="1495" t="s">
        <v>448</v>
      </c>
      <c r="J31" s="1495" t="s">
        <v>458</v>
      </c>
      <c r="K31" s="1495" t="s">
        <v>463</v>
      </c>
      <c r="M31" s="1495" t="s">
        <v>74</v>
      </c>
    </row>
    <row r="32" spans="1:15" x14ac:dyDescent="0.2">
      <c r="B32" s="21" t="s">
        <v>160</v>
      </c>
      <c r="C32" s="1495" t="s">
        <v>12</v>
      </c>
      <c r="F32" s="1495" t="s">
        <v>70</v>
      </c>
      <c r="G32" s="1495" t="s">
        <v>448</v>
      </c>
      <c r="J32" s="1495" t="s">
        <v>458</v>
      </c>
      <c r="K32" s="1495" t="s">
        <v>463</v>
      </c>
      <c r="M32" s="1495" t="s">
        <v>74</v>
      </c>
    </row>
    <row r="33" spans="1:14" x14ac:dyDescent="0.2">
      <c r="B33" s="21" t="s">
        <v>157</v>
      </c>
      <c r="C33" s="1495" t="s">
        <v>12</v>
      </c>
      <c r="D33" s="21" t="s">
        <v>23</v>
      </c>
      <c r="E33" s="21" t="s">
        <v>71</v>
      </c>
      <c r="F33" s="1495" t="s">
        <v>70</v>
      </c>
      <c r="G33" s="1495" t="s">
        <v>448</v>
      </c>
      <c r="H33" s="21" t="s">
        <v>312</v>
      </c>
      <c r="I33" s="21" t="s">
        <v>183</v>
      </c>
      <c r="J33" s="1495" t="s">
        <v>458</v>
      </c>
      <c r="K33" s="1495" t="s">
        <v>463</v>
      </c>
      <c r="L33" s="21" t="s">
        <v>174</v>
      </c>
      <c r="M33" s="1495" t="s">
        <v>74</v>
      </c>
      <c r="N33" s="21" t="s">
        <v>447</v>
      </c>
    </row>
    <row r="34" spans="1:14" x14ac:dyDescent="0.2">
      <c r="A34" s="7" t="s">
        <v>492</v>
      </c>
      <c r="B34" s="21" t="s">
        <v>177</v>
      </c>
      <c r="C34" s="4">
        <v>191861290000</v>
      </c>
      <c r="D34" s="4">
        <v>83515980000</v>
      </c>
      <c r="E34" s="4">
        <v>56447590000</v>
      </c>
      <c r="F34" s="4">
        <v>23623310000</v>
      </c>
      <c r="G34" s="4">
        <v>15928875422</v>
      </c>
      <c r="H34" s="4">
        <v>7151820000</v>
      </c>
      <c r="I34" s="4">
        <v>6809240000</v>
      </c>
      <c r="J34" s="4">
        <v>4668530000</v>
      </c>
      <c r="K34" s="4">
        <v>1746820000</v>
      </c>
      <c r="L34" s="4">
        <v>786950000</v>
      </c>
      <c r="M34" s="4">
        <v>315080000</v>
      </c>
      <c r="N34" s="4">
        <v>124280000</v>
      </c>
    </row>
    <row r="35" spans="1:14" x14ac:dyDescent="0.2">
      <c r="B35" s="21" t="s">
        <v>162</v>
      </c>
      <c r="C35" s="1495" t="s">
        <v>21</v>
      </c>
      <c r="H35" s="1495" t="s">
        <v>474</v>
      </c>
    </row>
    <row r="36" spans="1:14" x14ac:dyDescent="0.2">
      <c r="B36" s="21" t="s">
        <v>161</v>
      </c>
      <c r="C36" s="1495" t="s">
        <v>21</v>
      </c>
      <c r="H36" s="1495" t="s">
        <v>474</v>
      </c>
    </row>
    <row r="37" spans="1:14" x14ac:dyDescent="0.2">
      <c r="B37" s="21" t="s">
        <v>160</v>
      </c>
      <c r="C37" s="1495" t="s">
        <v>21</v>
      </c>
      <c r="H37" s="1495" t="s">
        <v>474</v>
      </c>
    </row>
    <row r="38" spans="1:14" x14ac:dyDescent="0.2">
      <c r="B38" s="21" t="s">
        <v>157</v>
      </c>
      <c r="C38" s="1495" t="s">
        <v>21</v>
      </c>
      <c r="D38" s="21" t="s">
        <v>269</v>
      </c>
      <c r="E38" s="21" t="s">
        <v>84</v>
      </c>
      <c r="F38" s="21" t="s">
        <v>73</v>
      </c>
      <c r="G38" s="21" t="s">
        <v>433</v>
      </c>
      <c r="H38" s="1495" t="s">
        <v>474</v>
      </c>
    </row>
    <row r="39" spans="1:14" x14ac:dyDescent="0.2">
      <c r="A39" s="7" t="s">
        <v>491</v>
      </c>
      <c r="B39" s="21" t="s">
        <v>177</v>
      </c>
      <c r="C39" s="4">
        <v>369893580000</v>
      </c>
      <c r="D39" s="4">
        <v>11153780000</v>
      </c>
      <c r="E39" s="4">
        <v>7946530000</v>
      </c>
      <c r="F39" s="4">
        <v>3499280000</v>
      </c>
      <c r="G39" s="4">
        <v>941870000</v>
      </c>
      <c r="H39" s="4">
        <v>3720000</v>
      </c>
    </row>
    <row r="40" spans="1:14" x14ac:dyDescent="0.2">
      <c r="B40" s="21" t="s">
        <v>162</v>
      </c>
      <c r="D40" s="1495" t="s">
        <v>448</v>
      </c>
    </row>
    <row r="41" spans="1:14" x14ac:dyDescent="0.2">
      <c r="B41" s="21" t="s">
        <v>161</v>
      </c>
      <c r="D41" s="1495" t="s">
        <v>448</v>
      </c>
    </row>
    <row r="42" spans="1:14" x14ac:dyDescent="0.2">
      <c r="B42" s="21" t="s">
        <v>160</v>
      </c>
      <c r="C42" s="1495" t="s">
        <v>21</v>
      </c>
      <c r="D42" s="1495" t="s">
        <v>448</v>
      </c>
    </row>
    <row r="43" spans="1:14" x14ac:dyDescent="0.2">
      <c r="B43" s="21" t="s">
        <v>157</v>
      </c>
      <c r="C43" s="1495"/>
      <c r="D43" s="1495" t="s">
        <v>448</v>
      </c>
      <c r="E43" s="21" t="s">
        <v>273</v>
      </c>
    </row>
    <row r="44" spans="1:14" x14ac:dyDescent="0.2">
      <c r="A44" s="7" t="s">
        <v>485</v>
      </c>
      <c r="B44" s="21" t="s">
        <v>177</v>
      </c>
      <c r="C44" s="4">
        <v>124230090000</v>
      </c>
      <c r="D44" s="4">
        <v>5870633059</v>
      </c>
      <c r="E44" s="4">
        <v>1881375513</v>
      </c>
    </row>
    <row r="45" spans="1:14" x14ac:dyDescent="0.2">
      <c r="B45" s="21" t="s">
        <v>162</v>
      </c>
      <c r="D45" s="1495" t="s">
        <v>457</v>
      </c>
      <c r="F45" s="1495" t="s">
        <v>449</v>
      </c>
      <c r="G45" s="1495" t="s">
        <v>415</v>
      </c>
    </row>
    <row r="46" spans="1:14" x14ac:dyDescent="0.2">
      <c r="B46" s="21" t="s">
        <v>161</v>
      </c>
      <c r="D46" s="1495" t="s">
        <v>457</v>
      </c>
      <c r="F46" s="1495" t="s">
        <v>449</v>
      </c>
      <c r="G46" s="1495" t="s">
        <v>415</v>
      </c>
    </row>
    <row r="47" spans="1:14" x14ac:dyDescent="0.2">
      <c r="B47" s="21" t="s">
        <v>160</v>
      </c>
      <c r="C47" s="1495" t="s">
        <v>11</v>
      </c>
      <c r="D47" s="1495" t="s">
        <v>457</v>
      </c>
      <c r="F47" s="1495" t="s">
        <v>449</v>
      </c>
      <c r="G47" s="1495" t="s">
        <v>415</v>
      </c>
    </row>
    <row r="48" spans="1:14" x14ac:dyDescent="0.2">
      <c r="B48" s="21" t="s">
        <v>157</v>
      </c>
      <c r="C48" s="1495" t="s">
        <v>11</v>
      </c>
      <c r="D48" s="1495" t="s">
        <v>457</v>
      </c>
      <c r="E48" s="21" t="s">
        <v>442</v>
      </c>
      <c r="F48" s="1495" t="s">
        <v>449</v>
      </c>
      <c r="G48" s="1495" t="s">
        <v>415</v>
      </c>
      <c r="H48" s="21" t="s">
        <v>273</v>
      </c>
    </row>
    <row r="49" spans="1:19" x14ac:dyDescent="0.2">
      <c r="A49" s="7" t="s">
        <v>483</v>
      </c>
      <c r="B49" s="21" t="s">
        <v>177</v>
      </c>
      <c r="C49" s="4">
        <v>63223310000</v>
      </c>
      <c r="D49" s="4">
        <v>10958920000</v>
      </c>
      <c r="E49" s="4">
        <v>4361710000</v>
      </c>
      <c r="F49" s="4">
        <v>3692780000</v>
      </c>
      <c r="G49" s="4">
        <v>3106750595</v>
      </c>
      <c r="H49" s="4">
        <v>964808945</v>
      </c>
    </row>
    <row r="50" spans="1:19" x14ac:dyDescent="0.2">
      <c r="B50" s="21" t="s">
        <v>162</v>
      </c>
      <c r="G50" s="1495" t="s">
        <v>415</v>
      </c>
    </row>
    <row r="51" spans="1:19" x14ac:dyDescent="0.2">
      <c r="B51" s="21" t="s">
        <v>161</v>
      </c>
      <c r="G51" s="1495" t="s">
        <v>415</v>
      </c>
    </row>
    <row r="52" spans="1:19" x14ac:dyDescent="0.2">
      <c r="B52" s="21" t="s">
        <v>160</v>
      </c>
      <c r="G52" s="1495" t="s">
        <v>415</v>
      </c>
    </row>
    <row r="53" spans="1:19" x14ac:dyDescent="0.2">
      <c r="B53" s="21" t="s">
        <v>157</v>
      </c>
      <c r="C53" s="21" t="s">
        <v>23</v>
      </c>
      <c r="D53" s="21" t="s">
        <v>27</v>
      </c>
      <c r="E53" s="21" t="s">
        <v>85</v>
      </c>
      <c r="F53" s="21" t="s">
        <v>270</v>
      </c>
      <c r="G53" s="1495" t="s">
        <v>415</v>
      </c>
    </row>
    <row r="54" spans="1:19" x14ac:dyDescent="0.2">
      <c r="A54" s="7" t="s">
        <v>477</v>
      </c>
      <c r="B54" s="21" t="s">
        <v>177</v>
      </c>
      <c r="C54" s="4">
        <v>67035570000</v>
      </c>
      <c r="D54" s="4">
        <v>27842630000</v>
      </c>
      <c r="E54" s="4">
        <v>9095670000</v>
      </c>
      <c r="F54" s="4">
        <v>1276020000</v>
      </c>
      <c r="G54" s="4">
        <v>731400000</v>
      </c>
    </row>
    <row r="55" spans="1:19" x14ac:dyDescent="0.2">
      <c r="B55" s="21" t="s">
        <v>162</v>
      </c>
      <c r="D55" s="1495" t="s">
        <v>292</v>
      </c>
      <c r="E55" s="1495" t="s">
        <v>432</v>
      </c>
      <c r="G55" s="1495" t="s">
        <v>474</v>
      </c>
    </row>
    <row r="56" spans="1:19" x14ac:dyDescent="0.2">
      <c r="B56" s="21" t="s">
        <v>161</v>
      </c>
      <c r="D56" s="1495" t="s">
        <v>292</v>
      </c>
      <c r="E56" s="1495" t="s">
        <v>432</v>
      </c>
      <c r="G56" s="1495" t="s">
        <v>474</v>
      </c>
    </row>
    <row r="57" spans="1:19" x14ac:dyDescent="0.2">
      <c r="B57" s="21" t="s">
        <v>160</v>
      </c>
      <c r="D57" s="1495" t="s">
        <v>292</v>
      </c>
      <c r="E57" s="1495" t="s">
        <v>432</v>
      </c>
      <c r="G57" s="1495" t="s">
        <v>474</v>
      </c>
    </row>
    <row r="58" spans="1:19" x14ac:dyDescent="0.2">
      <c r="B58" s="21" t="s">
        <v>157</v>
      </c>
      <c r="C58" s="21" t="s">
        <v>57</v>
      </c>
      <c r="D58" s="1495" t="s">
        <v>292</v>
      </c>
      <c r="E58" s="1495" t="s">
        <v>432</v>
      </c>
      <c r="F58" s="21" t="s">
        <v>158</v>
      </c>
      <c r="G58" s="1495" t="s">
        <v>474</v>
      </c>
    </row>
    <row r="59" spans="1:19" x14ac:dyDescent="0.2">
      <c r="A59" s="7" t="s">
        <v>473</v>
      </c>
      <c r="B59" s="21" t="s">
        <v>177</v>
      </c>
      <c r="C59" s="4">
        <v>7199148292</v>
      </c>
      <c r="D59" s="4">
        <v>4901033328</v>
      </c>
      <c r="E59" s="4">
        <v>1997920000</v>
      </c>
      <c r="F59" s="4">
        <v>134418552</v>
      </c>
      <c r="G59" s="4">
        <v>2000000</v>
      </c>
    </row>
    <row r="60" spans="1:19" x14ac:dyDescent="0.2">
      <c r="B60" s="21" t="s">
        <v>162</v>
      </c>
      <c r="H60" s="1495" t="s">
        <v>77</v>
      </c>
      <c r="M60" s="1495" t="s">
        <v>448</v>
      </c>
      <c r="O60" s="1495" t="s">
        <v>456</v>
      </c>
      <c r="P60" s="1495" t="s">
        <v>432</v>
      </c>
      <c r="S60" s="1495" t="s">
        <v>460</v>
      </c>
    </row>
    <row r="61" spans="1:19" x14ac:dyDescent="0.2">
      <c r="B61" s="21" t="s">
        <v>161</v>
      </c>
      <c r="D61" s="1495" t="s">
        <v>26</v>
      </c>
      <c r="H61" s="1495" t="s">
        <v>77</v>
      </c>
      <c r="L61" s="1495" t="s">
        <v>179</v>
      </c>
      <c r="M61" s="1495" t="s">
        <v>448</v>
      </c>
      <c r="O61" s="1495" t="s">
        <v>456</v>
      </c>
      <c r="P61" s="1495" t="s">
        <v>432</v>
      </c>
      <c r="S61" s="1495" t="s">
        <v>460</v>
      </c>
    </row>
    <row r="62" spans="1:19" x14ac:dyDescent="0.2">
      <c r="B62" s="21" t="s">
        <v>160</v>
      </c>
      <c r="D62" s="1495" t="s">
        <v>26</v>
      </c>
      <c r="G62" s="1495" t="s">
        <v>287</v>
      </c>
      <c r="H62" s="1495" t="s">
        <v>77</v>
      </c>
      <c r="J62" s="1495" t="s">
        <v>207</v>
      </c>
      <c r="L62" s="1495"/>
      <c r="M62" s="1495" t="s">
        <v>448</v>
      </c>
      <c r="O62" s="1495" t="s">
        <v>456</v>
      </c>
      <c r="P62" s="1495" t="s">
        <v>432</v>
      </c>
      <c r="S62" s="1495" t="s">
        <v>460</v>
      </c>
    </row>
    <row r="63" spans="1:19" x14ac:dyDescent="0.2">
      <c r="B63" s="21" t="s">
        <v>157</v>
      </c>
      <c r="C63" s="21" t="s">
        <v>14</v>
      </c>
      <c r="D63" s="1495" t="s">
        <v>26</v>
      </c>
      <c r="E63" s="21" t="s">
        <v>99</v>
      </c>
      <c r="F63" s="21" t="s">
        <v>42</v>
      </c>
      <c r="G63" s="1495" t="s">
        <v>287</v>
      </c>
      <c r="H63" s="1495" t="s">
        <v>77</v>
      </c>
      <c r="I63" s="21" t="s">
        <v>180</v>
      </c>
      <c r="J63" s="1495" t="s">
        <v>207</v>
      </c>
      <c r="K63" s="21" t="s">
        <v>333</v>
      </c>
      <c r="L63" s="1495"/>
      <c r="M63" s="1495" t="s">
        <v>448</v>
      </c>
      <c r="N63" s="21" t="s">
        <v>19</v>
      </c>
      <c r="O63" s="1495" t="s">
        <v>456</v>
      </c>
      <c r="P63" s="1495" t="s">
        <v>432</v>
      </c>
      <c r="Q63" s="21" t="s">
        <v>441</v>
      </c>
      <c r="R63" s="21" t="s">
        <v>98</v>
      </c>
      <c r="S63" s="1495" t="s">
        <v>460</v>
      </c>
    </row>
    <row r="64" spans="1:19" x14ac:dyDescent="0.2">
      <c r="A64" s="7" t="s">
        <v>472</v>
      </c>
      <c r="B64" s="21" t="s">
        <v>177</v>
      </c>
      <c r="C64" s="4">
        <v>65288360000</v>
      </c>
      <c r="D64" s="4">
        <v>37503920000</v>
      </c>
      <c r="E64" s="4">
        <v>34300810000</v>
      </c>
      <c r="F64" s="4">
        <v>25355820000</v>
      </c>
      <c r="G64" s="4">
        <v>24791640000</v>
      </c>
      <c r="H64" s="4">
        <v>17097230000</v>
      </c>
      <c r="I64" s="4">
        <v>13802140000</v>
      </c>
      <c r="J64" s="4">
        <v>9379520000</v>
      </c>
      <c r="K64" s="4">
        <v>7900600000</v>
      </c>
      <c r="L64" s="4">
        <v>7732020000</v>
      </c>
      <c r="M64" s="4">
        <v>5248658159</v>
      </c>
      <c r="N64" s="4">
        <v>3657500000</v>
      </c>
      <c r="O64" s="4">
        <v>1847200000</v>
      </c>
      <c r="P64" s="4">
        <v>1738930000</v>
      </c>
      <c r="Q64" s="4">
        <v>627130000</v>
      </c>
      <c r="R64" s="4">
        <v>608860000</v>
      </c>
      <c r="S64" s="4">
        <v>64555056</v>
      </c>
    </row>
    <row r="65" spans="1:13" x14ac:dyDescent="0.2">
      <c r="B65" s="21" t="s">
        <v>162</v>
      </c>
      <c r="E65" s="1495" t="s">
        <v>458</v>
      </c>
      <c r="F65" s="1495" t="s">
        <v>432</v>
      </c>
      <c r="G65" s="1495" t="s">
        <v>465</v>
      </c>
      <c r="H65" s="1495" t="s">
        <v>415</v>
      </c>
    </row>
    <row r="66" spans="1:13" x14ac:dyDescent="0.2">
      <c r="B66" s="21" t="s">
        <v>161</v>
      </c>
      <c r="E66" s="1495"/>
      <c r="F66" s="1495" t="s">
        <v>432</v>
      </c>
      <c r="G66" s="1495" t="s">
        <v>465</v>
      </c>
      <c r="H66" s="1495" t="s">
        <v>415</v>
      </c>
    </row>
    <row r="67" spans="1:13" x14ac:dyDescent="0.2">
      <c r="B67" s="21" t="s">
        <v>160</v>
      </c>
      <c r="C67" s="1495" t="s">
        <v>171</v>
      </c>
      <c r="E67" s="1495"/>
      <c r="F67" s="1495" t="s">
        <v>432</v>
      </c>
      <c r="G67" s="1495" t="s">
        <v>465</v>
      </c>
      <c r="H67" s="1495" t="s">
        <v>415</v>
      </c>
    </row>
    <row r="68" spans="1:13" x14ac:dyDescent="0.2">
      <c r="B68" s="21" t="s">
        <v>157</v>
      </c>
      <c r="C68" s="1495"/>
      <c r="D68" s="21" t="s">
        <v>70</v>
      </c>
      <c r="E68" s="1495"/>
      <c r="F68" s="1495" t="s">
        <v>432</v>
      </c>
      <c r="G68" s="1495" t="s">
        <v>465</v>
      </c>
      <c r="H68" s="1495" t="s">
        <v>415</v>
      </c>
    </row>
    <row r="69" spans="1:13" x14ac:dyDescent="0.2">
      <c r="A69" s="7" t="s">
        <v>428</v>
      </c>
      <c r="B69" s="21" t="s">
        <v>177</v>
      </c>
      <c r="C69" s="4">
        <v>32879900000</v>
      </c>
      <c r="D69" s="4">
        <v>17535210000</v>
      </c>
      <c r="E69" s="4">
        <v>4367960000</v>
      </c>
      <c r="F69" s="4">
        <v>1241220000</v>
      </c>
      <c r="G69" s="4">
        <v>241920000</v>
      </c>
      <c r="H69" s="4">
        <v>201122383</v>
      </c>
    </row>
    <row r="70" spans="1:13" x14ac:dyDescent="0.2">
      <c r="B70" s="21" t="s">
        <v>162</v>
      </c>
      <c r="E70" s="1495" t="s">
        <v>284</v>
      </c>
      <c r="H70" s="1495" t="s">
        <v>298</v>
      </c>
      <c r="J70" s="1495" t="s">
        <v>454</v>
      </c>
      <c r="L70" s="1495" t="s">
        <v>465</v>
      </c>
    </row>
    <row r="71" spans="1:13" x14ac:dyDescent="0.2">
      <c r="B71" s="21" t="s">
        <v>161</v>
      </c>
      <c r="E71" s="1495" t="s">
        <v>284</v>
      </c>
      <c r="H71" s="1495" t="s">
        <v>298</v>
      </c>
      <c r="J71" s="1495" t="s">
        <v>454</v>
      </c>
      <c r="K71" s="1495" t="s">
        <v>432</v>
      </c>
      <c r="L71" s="1495" t="s">
        <v>465</v>
      </c>
    </row>
    <row r="72" spans="1:13" x14ac:dyDescent="0.2">
      <c r="B72" s="21" t="s">
        <v>160</v>
      </c>
      <c r="E72" s="1495" t="s">
        <v>284</v>
      </c>
      <c r="H72" s="1495" t="s">
        <v>298</v>
      </c>
      <c r="J72" s="1495" t="s">
        <v>454</v>
      </c>
      <c r="K72" s="1495"/>
      <c r="L72" s="1495" t="s">
        <v>465</v>
      </c>
    </row>
    <row r="73" spans="1:13" x14ac:dyDescent="0.2">
      <c r="B73" s="21" t="s">
        <v>157</v>
      </c>
      <c r="C73" s="21" t="s">
        <v>188</v>
      </c>
      <c r="D73" s="21" t="s">
        <v>86</v>
      </c>
      <c r="E73" s="1495" t="s">
        <v>284</v>
      </c>
      <c r="F73" s="21" t="s">
        <v>11</v>
      </c>
      <c r="G73" s="21" t="s">
        <v>89</v>
      </c>
      <c r="H73" s="1495" t="s">
        <v>298</v>
      </c>
      <c r="I73" s="21" t="s">
        <v>314</v>
      </c>
      <c r="J73" s="1495" t="s">
        <v>454</v>
      </c>
      <c r="K73" s="1495"/>
      <c r="L73" s="1495" t="s">
        <v>465</v>
      </c>
    </row>
    <row r="74" spans="1:13" x14ac:dyDescent="0.2">
      <c r="A74" s="7" t="s">
        <v>427</v>
      </c>
      <c r="B74" s="21" t="s">
        <v>177</v>
      </c>
      <c r="C74" s="4">
        <v>24418420000</v>
      </c>
      <c r="D74" s="4">
        <v>20231990000</v>
      </c>
      <c r="E74" s="4">
        <v>18512870000</v>
      </c>
      <c r="F74" s="4">
        <v>18380560000</v>
      </c>
      <c r="G74" s="4">
        <v>10498000000</v>
      </c>
      <c r="H74" s="4">
        <v>4034460000</v>
      </c>
      <c r="I74" s="4">
        <v>2275800000</v>
      </c>
      <c r="J74" s="4">
        <v>1910120000</v>
      </c>
      <c r="K74" s="4">
        <v>999420000</v>
      </c>
      <c r="L74" s="4">
        <v>50960000</v>
      </c>
    </row>
    <row r="75" spans="1:13" x14ac:dyDescent="0.2">
      <c r="B75" s="21" t="s">
        <v>162</v>
      </c>
      <c r="C75" s="1495" t="s">
        <v>165</v>
      </c>
      <c r="G75" s="1495" t="s">
        <v>298</v>
      </c>
      <c r="H75" s="1495" t="s">
        <v>465</v>
      </c>
    </row>
    <row r="76" spans="1:13" x14ac:dyDescent="0.2">
      <c r="B76" s="21" t="s">
        <v>161</v>
      </c>
      <c r="C76" s="1495" t="s">
        <v>165</v>
      </c>
      <c r="G76" s="1495" t="s">
        <v>298</v>
      </c>
      <c r="H76" s="1495" t="s">
        <v>465</v>
      </c>
    </row>
    <row r="77" spans="1:13" x14ac:dyDescent="0.2">
      <c r="B77" s="21" t="s">
        <v>160</v>
      </c>
      <c r="C77" s="1495" t="s">
        <v>165</v>
      </c>
      <c r="G77" s="1495" t="s">
        <v>298</v>
      </c>
      <c r="H77" s="1495" t="s">
        <v>465</v>
      </c>
    </row>
    <row r="78" spans="1:13" x14ac:dyDescent="0.2">
      <c r="B78" s="21" t="s">
        <v>157</v>
      </c>
      <c r="C78" s="1495" t="s">
        <v>165</v>
      </c>
      <c r="D78" s="21" t="s">
        <v>17</v>
      </c>
      <c r="E78" s="21" t="s">
        <v>6</v>
      </c>
      <c r="F78" s="21" t="s">
        <v>16</v>
      </c>
      <c r="G78" s="1495" t="s">
        <v>298</v>
      </c>
      <c r="H78" s="1495" t="s">
        <v>465</v>
      </c>
    </row>
    <row r="79" spans="1:13" x14ac:dyDescent="0.2">
      <c r="A79" s="7" t="s">
        <v>425</v>
      </c>
      <c r="B79" s="21" t="s">
        <v>177</v>
      </c>
      <c r="C79" s="4">
        <v>406909180000</v>
      </c>
      <c r="D79" s="4">
        <v>176522870000</v>
      </c>
      <c r="E79" s="4">
        <v>33860020000</v>
      </c>
      <c r="F79" s="4">
        <v>7058880000</v>
      </c>
      <c r="G79" s="4">
        <v>2025930000</v>
      </c>
      <c r="H79" s="4">
        <v>3940000</v>
      </c>
    </row>
    <row r="80" spans="1:13" x14ac:dyDescent="0.2">
      <c r="B80" s="21" t="s">
        <v>162</v>
      </c>
      <c r="C80" s="1495" t="s">
        <v>13</v>
      </c>
      <c r="D80" s="1495" t="s">
        <v>166</v>
      </c>
      <c r="F80" s="1495" t="s">
        <v>265</v>
      </c>
      <c r="H80" s="1495" t="s">
        <v>289</v>
      </c>
      <c r="J80" s="1495" t="s">
        <v>449</v>
      </c>
      <c r="M80" s="1495" t="s">
        <v>274</v>
      </c>
    </row>
    <row r="81" spans="1:16" x14ac:dyDescent="0.2">
      <c r="B81" s="21" t="s">
        <v>161</v>
      </c>
      <c r="C81" s="1495" t="s">
        <v>13</v>
      </c>
      <c r="D81" s="1495" t="s">
        <v>166</v>
      </c>
      <c r="F81" s="1495" t="s">
        <v>265</v>
      </c>
      <c r="H81" s="1495" t="s">
        <v>289</v>
      </c>
      <c r="J81" s="1495" t="s">
        <v>449</v>
      </c>
      <c r="M81" s="1495" t="s">
        <v>274</v>
      </c>
    </row>
    <row r="82" spans="1:16" x14ac:dyDescent="0.2">
      <c r="B82" s="21" t="s">
        <v>160</v>
      </c>
      <c r="C82" s="1495" t="s">
        <v>13</v>
      </c>
      <c r="D82" s="1495" t="s">
        <v>166</v>
      </c>
      <c r="F82" s="1495" t="s">
        <v>265</v>
      </c>
      <c r="H82" s="1495" t="s">
        <v>289</v>
      </c>
      <c r="J82" s="1495" t="s">
        <v>449</v>
      </c>
      <c r="M82" s="1495" t="s">
        <v>274</v>
      </c>
    </row>
    <row r="83" spans="1:16" x14ac:dyDescent="0.2">
      <c r="B83" s="21" t="s">
        <v>157</v>
      </c>
      <c r="C83" s="1495" t="s">
        <v>13</v>
      </c>
      <c r="D83" s="1495" t="s">
        <v>166</v>
      </c>
      <c r="E83" s="21" t="s">
        <v>14</v>
      </c>
      <c r="F83" s="1495" t="s">
        <v>265</v>
      </c>
      <c r="G83" s="21" t="s">
        <v>165</v>
      </c>
      <c r="H83" s="1495" t="s">
        <v>289</v>
      </c>
      <c r="I83" s="21" t="s">
        <v>301</v>
      </c>
      <c r="J83" s="1495" t="s">
        <v>449</v>
      </c>
      <c r="K83" s="21" t="s">
        <v>266</v>
      </c>
      <c r="L83" s="21" t="s">
        <v>172</v>
      </c>
      <c r="M83" s="1495" t="s">
        <v>274</v>
      </c>
      <c r="N83" s="21" t="s">
        <v>433</v>
      </c>
      <c r="O83" s="21" t="s">
        <v>275</v>
      </c>
    </row>
    <row r="84" spans="1:16" x14ac:dyDescent="0.2">
      <c r="A84" s="7" t="s">
        <v>424</v>
      </c>
      <c r="B84" s="21" t="s">
        <v>177</v>
      </c>
      <c r="C84" s="4">
        <v>322907990000</v>
      </c>
      <c r="D84" s="4">
        <v>106070860000</v>
      </c>
      <c r="E84" s="4">
        <v>53614440000</v>
      </c>
      <c r="F84" s="4">
        <v>48098160000</v>
      </c>
      <c r="G84" s="4">
        <v>21455620000</v>
      </c>
      <c r="H84" s="4">
        <v>9125690000</v>
      </c>
      <c r="I84" s="4">
        <v>5440080000</v>
      </c>
      <c r="J84" s="4">
        <v>2035160000</v>
      </c>
      <c r="K84" s="4">
        <v>1282793671</v>
      </c>
      <c r="L84" s="4">
        <v>619910000</v>
      </c>
      <c r="M84" s="4">
        <v>398240000</v>
      </c>
      <c r="N84" s="4">
        <v>145130000</v>
      </c>
      <c r="O84" s="4">
        <v>83827671</v>
      </c>
    </row>
    <row r="85" spans="1:16" x14ac:dyDescent="0.2">
      <c r="B85" s="21" t="s">
        <v>162</v>
      </c>
      <c r="D85" s="1495" t="s">
        <v>33</v>
      </c>
      <c r="E85" s="1495" t="s">
        <v>12</v>
      </c>
      <c r="G85" s="1495" t="s">
        <v>163</v>
      </c>
      <c r="I85" s="1495" t="s">
        <v>284</v>
      </c>
      <c r="K85" s="1495" t="s">
        <v>292</v>
      </c>
      <c r="L85" s="1495" t="s">
        <v>437</v>
      </c>
      <c r="O85" s="1495" t="s">
        <v>415</v>
      </c>
      <c r="P85" s="1495" t="s">
        <v>274</v>
      </c>
    </row>
    <row r="86" spans="1:16" x14ac:dyDescent="0.2">
      <c r="B86" s="21" t="s">
        <v>161</v>
      </c>
      <c r="D86" s="1495" t="s">
        <v>33</v>
      </c>
      <c r="E86" s="1495" t="s">
        <v>12</v>
      </c>
      <c r="G86" s="1495" t="s">
        <v>163</v>
      </c>
      <c r="I86" s="1495" t="s">
        <v>284</v>
      </c>
      <c r="K86" s="1495" t="s">
        <v>292</v>
      </c>
      <c r="L86" s="1495" t="s">
        <v>437</v>
      </c>
      <c r="O86" s="1495" t="s">
        <v>415</v>
      </c>
      <c r="P86" s="1495" t="s">
        <v>274</v>
      </c>
    </row>
    <row r="87" spans="1:16" x14ac:dyDescent="0.2">
      <c r="B87" s="21" t="s">
        <v>160</v>
      </c>
      <c r="D87" s="1495" t="s">
        <v>33</v>
      </c>
      <c r="E87" s="1495" t="s">
        <v>12</v>
      </c>
      <c r="F87" s="1495" t="s">
        <v>79</v>
      </c>
      <c r="G87" s="1495" t="s">
        <v>163</v>
      </c>
      <c r="H87" s="1495" t="s">
        <v>18</v>
      </c>
      <c r="I87" s="1495" t="s">
        <v>284</v>
      </c>
      <c r="J87" s="1495" t="s">
        <v>30</v>
      </c>
      <c r="K87" s="1495" t="s">
        <v>292</v>
      </c>
      <c r="L87" s="1495" t="s">
        <v>437</v>
      </c>
      <c r="N87" s="1495" t="s">
        <v>464</v>
      </c>
      <c r="O87" s="1495" t="s">
        <v>415</v>
      </c>
      <c r="P87" s="1495" t="s">
        <v>274</v>
      </c>
    </row>
    <row r="88" spans="1:16" x14ac:dyDescent="0.2">
      <c r="B88" s="21" t="s">
        <v>157</v>
      </c>
      <c r="C88" s="21" t="s">
        <v>17</v>
      </c>
      <c r="D88" s="1495" t="s">
        <v>33</v>
      </c>
      <c r="E88" s="1495" t="s">
        <v>12</v>
      </c>
      <c r="F88" s="1495" t="s">
        <v>79</v>
      </c>
      <c r="G88" s="1495" t="s">
        <v>163</v>
      </c>
      <c r="H88" s="1495" t="s">
        <v>18</v>
      </c>
      <c r="I88" s="1495" t="s">
        <v>284</v>
      </c>
      <c r="J88" s="1495" t="s">
        <v>30</v>
      </c>
      <c r="K88" s="1495" t="s">
        <v>292</v>
      </c>
      <c r="L88" s="1495" t="s">
        <v>437</v>
      </c>
      <c r="M88" s="21" t="s">
        <v>73</v>
      </c>
      <c r="N88" s="1495" t="s">
        <v>464</v>
      </c>
      <c r="O88" s="1495" t="s">
        <v>415</v>
      </c>
      <c r="P88" s="1495" t="s">
        <v>274</v>
      </c>
    </row>
    <row r="89" spans="1:16" x14ac:dyDescent="0.2">
      <c r="A89" s="7" t="s">
        <v>423</v>
      </c>
      <c r="B89" s="21" t="s">
        <v>177</v>
      </c>
      <c r="C89" s="4">
        <v>162744660000</v>
      </c>
      <c r="D89" s="4">
        <v>161531120000</v>
      </c>
      <c r="E89" s="4">
        <v>128528010000</v>
      </c>
      <c r="F89" s="4">
        <v>102200360000</v>
      </c>
      <c r="G89" s="4">
        <v>85909470000</v>
      </c>
      <c r="H89" s="4">
        <v>60208460000</v>
      </c>
      <c r="I89" s="4">
        <v>16879030000</v>
      </c>
      <c r="J89" s="4">
        <v>14791290000</v>
      </c>
      <c r="K89" s="4">
        <v>4608500746</v>
      </c>
      <c r="L89" s="4">
        <v>2551013468</v>
      </c>
      <c r="M89" s="4">
        <v>2365410000</v>
      </c>
      <c r="N89" s="4">
        <v>688485556</v>
      </c>
      <c r="O89" s="4">
        <v>189365845</v>
      </c>
      <c r="P89" s="4">
        <v>160150000</v>
      </c>
    </row>
    <row r="90" spans="1:16" x14ac:dyDescent="0.2">
      <c r="B90" s="21" t="s">
        <v>162</v>
      </c>
      <c r="H90" s="1495" t="s">
        <v>77</v>
      </c>
      <c r="J90" s="1495" t="s">
        <v>31</v>
      </c>
      <c r="K90" s="1495" t="s">
        <v>455</v>
      </c>
      <c r="M90" s="1495" t="s">
        <v>456</v>
      </c>
      <c r="P90" s="1495" t="s">
        <v>191</v>
      </c>
    </row>
    <row r="91" spans="1:16" x14ac:dyDescent="0.2">
      <c r="B91" s="21" t="s">
        <v>161</v>
      </c>
      <c r="H91" s="1495" t="s">
        <v>77</v>
      </c>
      <c r="J91" s="1495" t="s">
        <v>31</v>
      </c>
      <c r="K91" s="1495" t="s">
        <v>455</v>
      </c>
      <c r="M91" s="1495" t="s">
        <v>456</v>
      </c>
      <c r="P91" s="1495" t="s">
        <v>191</v>
      </c>
    </row>
    <row r="92" spans="1:16" x14ac:dyDescent="0.2">
      <c r="B92" s="21" t="s">
        <v>160</v>
      </c>
      <c r="H92" s="1495" t="s">
        <v>77</v>
      </c>
      <c r="J92" s="1495" t="s">
        <v>31</v>
      </c>
      <c r="K92" s="1495" t="s">
        <v>455</v>
      </c>
      <c r="M92" s="1495" t="s">
        <v>456</v>
      </c>
      <c r="O92" s="1495" t="s">
        <v>444</v>
      </c>
      <c r="P92" s="1495" t="s">
        <v>191</v>
      </c>
    </row>
    <row r="93" spans="1:16" x14ac:dyDescent="0.2">
      <c r="B93" s="21" t="s">
        <v>157</v>
      </c>
      <c r="C93" s="21" t="s">
        <v>33</v>
      </c>
      <c r="D93" s="21" t="s">
        <v>287</v>
      </c>
      <c r="E93" s="21" t="s">
        <v>186</v>
      </c>
      <c r="F93" s="21" t="s">
        <v>171</v>
      </c>
      <c r="G93" s="21" t="s">
        <v>18</v>
      </c>
      <c r="H93" s="1495" t="s">
        <v>77</v>
      </c>
      <c r="I93" s="21" t="s">
        <v>165</v>
      </c>
      <c r="J93" s="1495" t="s">
        <v>31</v>
      </c>
      <c r="K93" s="1495" t="s">
        <v>455</v>
      </c>
      <c r="L93" s="21" t="s">
        <v>286</v>
      </c>
      <c r="M93" s="1495" t="s">
        <v>456</v>
      </c>
      <c r="N93" s="21" t="s">
        <v>430</v>
      </c>
      <c r="O93" s="1495" t="s">
        <v>444</v>
      </c>
      <c r="P93" s="1495" t="s">
        <v>191</v>
      </c>
    </row>
    <row r="94" spans="1:16" x14ac:dyDescent="0.2">
      <c r="A94" s="7" t="s">
        <v>422</v>
      </c>
      <c r="B94" s="21" t="s">
        <v>177</v>
      </c>
      <c r="C94" s="4">
        <v>61275960000</v>
      </c>
      <c r="D94" s="4">
        <v>24562620000</v>
      </c>
      <c r="E94" s="4">
        <v>24393660000</v>
      </c>
      <c r="F94" s="4">
        <v>15766560000</v>
      </c>
      <c r="G94" s="4">
        <v>13496320000</v>
      </c>
      <c r="H94" s="4">
        <v>12911960000</v>
      </c>
      <c r="I94" s="4">
        <v>9221910000</v>
      </c>
      <c r="J94" s="4">
        <v>8892010000</v>
      </c>
      <c r="K94" s="4">
        <v>5191300000</v>
      </c>
      <c r="L94" s="4">
        <v>2102390000</v>
      </c>
      <c r="M94" s="4">
        <v>1218150000</v>
      </c>
      <c r="N94" s="4">
        <v>656720000</v>
      </c>
      <c r="O94" s="4">
        <v>236770000</v>
      </c>
      <c r="P94" s="4">
        <v>79385321</v>
      </c>
    </row>
    <row r="95" spans="1:16" x14ac:dyDescent="0.2">
      <c r="B95" s="21" t="s">
        <v>162</v>
      </c>
      <c r="C95" s="1495" t="s">
        <v>280</v>
      </c>
      <c r="E95" s="1495" t="s">
        <v>322</v>
      </c>
      <c r="G95" s="1495" t="s">
        <v>298</v>
      </c>
      <c r="H95" s="1495" t="s">
        <v>456</v>
      </c>
      <c r="I95" s="1495" t="s">
        <v>274</v>
      </c>
    </row>
    <row r="96" spans="1:16" x14ac:dyDescent="0.2">
      <c r="B96" s="21" t="s">
        <v>161</v>
      </c>
      <c r="C96" s="1495" t="s">
        <v>280</v>
      </c>
      <c r="E96" s="1495" t="s">
        <v>322</v>
      </c>
      <c r="G96" s="1495" t="s">
        <v>298</v>
      </c>
      <c r="H96" s="1495" t="s">
        <v>456</v>
      </c>
      <c r="I96" s="1495" t="s">
        <v>274</v>
      </c>
    </row>
    <row r="97" spans="1:18" x14ac:dyDescent="0.2">
      <c r="B97" s="21" t="s">
        <v>160</v>
      </c>
      <c r="C97" s="1495" t="s">
        <v>280</v>
      </c>
      <c r="E97" s="1495" t="s">
        <v>322</v>
      </c>
      <c r="F97" s="1495" t="s">
        <v>446</v>
      </c>
      <c r="G97" s="1495" t="s">
        <v>298</v>
      </c>
      <c r="H97" s="1495" t="s">
        <v>456</v>
      </c>
      <c r="I97" s="1495" t="s">
        <v>274</v>
      </c>
    </row>
    <row r="98" spans="1:18" x14ac:dyDescent="0.2">
      <c r="B98" s="21" t="s">
        <v>157</v>
      </c>
      <c r="C98" s="1495" t="s">
        <v>280</v>
      </c>
      <c r="D98" s="21" t="s">
        <v>89</v>
      </c>
      <c r="E98" s="1495" t="s">
        <v>322</v>
      </c>
      <c r="F98" s="1495" t="s">
        <v>446</v>
      </c>
      <c r="G98" s="1495" t="s">
        <v>298</v>
      </c>
      <c r="H98" s="1495" t="s">
        <v>456</v>
      </c>
      <c r="I98" s="1495" t="s">
        <v>274</v>
      </c>
    </row>
    <row r="99" spans="1:18" x14ac:dyDescent="0.2">
      <c r="A99" s="7" t="s">
        <v>420</v>
      </c>
      <c r="B99" s="21" t="s">
        <v>177</v>
      </c>
      <c r="C99" s="4">
        <v>12025234552</v>
      </c>
      <c r="D99" s="4">
        <v>8678340000</v>
      </c>
      <c r="E99" s="4">
        <v>4316690000</v>
      </c>
      <c r="F99" s="4">
        <v>4193740000</v>
      </c>
      <c r="G99" s="4">
        <v>1973150000</v>
      </c>
      <c r="H99" s="4">
        <v>978400000</v>
      </c>
      <c r="I99" s="4">
        <v>45740000</v>
      </c>
    </row>
    <row r="100" spans="1:18" x14ac:dyDescent="0.2">
      <c r="B100" s="21" t="s">
        <v>162</v>
      </c>
      <c r="G100" s="1495" t="s">
        <v>285</v>
      </c>
      <c r="H100" s="1495" t="s">
        <v>456</v>
      </c>
    </row>
    <row r="101" spans="1:18" x14ac:dyDescent="0.2">
      <c r="B101" s="21" t="s">
        <v>161</v>
      </c>
      <c r="G101" s="1495" t="s">
        <v>285</v>
      </c>
      <c r="H101" s="1495" t="s">
        <v>456</v>
      </c>
    </row>
    <row r="102" spans="1:18" x14ac:dyDescent="0.2">
      <c r="B102" s="21" t="s">
        <v>160</v>
      </c>
      <c r="C102" s="21" t="s">
        <v>170</v>
      </c>
      <c r="F102" s="1495" t="s">
        <v>446</v>
      </c>
      <c r="G102" s="1495" t="s">
        <v>285</v>
      </c>
      <c r="H102" s="1495" t="s">
        <v>456</v>
      </c>
    </row>
    <row r="103" spans="1:18" x14ac:dyDescent="0.2">
      <c r="B103" s="21" t="s">
        <v>157</v>
      </c>
      <c r="C103" s="21" t="s">
        <v>170</v>
      </c>
      <c r="D103" s="21" t="s">
        <v>302</v>
      </c>
      <c r="E103" s="21" t="s">
        <v>194</v>
      </c>
      <c r="F103" s="1495" t="s">
        <v>446</v>
      </c>
      <c r="G103" s="1495" t="s">
        <v>285</v>
      </c>
      <c r="H103" s="1495" t="s">
        <v>456</v>
      </c>
    </row>
    <row r="104" spans="1:18" x14ac:dyDescent="0.2">
      <c r="A104" s="7" t="s">
        <v>418</v>
      </c>
      <c r="B104" s="21" t="s">
        <v>177</v>
      </c>
      <c r="C104" s="4">
        <v>10793140000</v>
      </c>
      <c r="D104" s="4">
        <v>9405260000</v>
      </c>
      <c r="E104" s="4">
        <v>4083600000</v>
      </c>
      <c r="F104" s="4">
        <v>2738840000</v>
      </c>
      <c r="G104" s="4">
        <v>1549600000</v>
      </c>
      <c r="H104" s="4">
        <v>84140000</v>
      </c>
    </row>
    <row r="105" spans="1:18" x14ac:dyDescent="0.2">
      <c r="B105" s="21" t="s">
        <v>162</v>
      </c>
      <c r="C105" s="1495" t="s">
        <v>13</v>
      </c>
      <c r="D105" s="1495" t="s">
        <v>296</v>
      </c>
      <c r="E105" s="1495" t="s">
        <v>166</v>
      </c>
      <c r="P105" s="1495" t="s">
        <v>322</v>
      </c>
      <c r="Q105" s="1495" t="s">
        <v>298</v>
      </c>
      <c r="R105" s="1495" t="s">
        <v>285</v>
      </c>
    </row>
    <row r="106" spans="1:18" x14ac:dyDescent="0.2">
      <c r="B106" s="21" t="s">
        <v>161</v>
      </c>
      <c r="C106" s="1495" t="s">
        <v>13</v>
      </c>
      <c r="D106" s="1495" t="s">
        <v>296</v>
      </c>
      <c r="E106" s="1495" t="s">
        <v>166</v>
      </c>
      <c r="P106" s="1495" t="s">
        <v>322</v>
      </c>
      <c r="Q106" s="1495" t="s">
        <v>298</v>
      </c>
      <c r="R106" s="1495" t="s">
        <v>285</v>
      </c>
    </row>
    <row r="107" spans="1:18" x14ac:dyDescent="0.2">
      <c r="B107" s="21" t="s">
        <v>160</v>
      </c>
      <c r="C107" s="1495" t="s">
        <v>13</v>
      </c>
      <c r="D107" s="1495" t="s">
        <v>296</v>
      </c>
      <c r="E107" s="1495" t="s">
        <v>166</v>
      </c>
      <c r="J107" s="1495" t="s">
        <v>169</v>
      </c>
      <c r="P107" s="1495" t="s">
        <v>322</v>
      </c>
      <c r="Q107" s="1495" t="s">
        <v>298</v>
      </c>
      <c r="R107" s="1495" t="s">
        <v>285</v>
      </c>
    </row>
    <row r="108" spans="1:18" x14ac:dyDescent="0.2">
      <c r="B108" s="21" t="s">
        <v>157</v>
      </c>
      <c r="C108" s="1495" t="s">
        <v>13</v>
      </c>
      <c r="D108" s="1495" t="s">
        <v>296</v>
      </c>
      <c r="E108" s="1495" t="s">
        <v>166</v>
      </c>
      <c r="F108" s="21" t="s">
        <v>38</v>
      </c>
      <c r="G108" s="21" t="s">
        <v>313</v>
      </c>
      <c r="H108" s="21" t="s">
        <v>72</v>
      </c>
      <c r="I108" s="21" t="s">
        <v>64</v>
      </c>
      <c r="J108" s="1495" t="s">
        <v>169</v>
      </c>
      <c r="K108" s="21" t="s">
        <v>8</v>
      </c>
      <c r="L108" s="21" t="s">
        <v>96</v>
      </c>
      <c r="M108" s="21" t="s">
        <v>75</v>
      </c>
      <c r="N108" s="21" t="s">
        <v>83</v>
      </c>
      <c r="O108" s="21" t="s">
        <v>170</v>
      </c>
      <c r="P108" s="1495" t="s">
        <v>322</v>
      </c>
      <c r="Q108" s="1495" t="s">
        <v>298</v>
      </c>
      <c r="R108" s="1495" t="s">
        <v>285</v>
      </c>
    </row>
    <row r="109" spans="1:18" x14ac:dyDescent="0.2">
      <c r="A109" s="7" t="s">
        <v>417</v>
      </c>
      <c r="B109" s="21" t="s">
        <v>177</v>
      </c>
      <c r="C109" s="4">
        <v>314425630000</v>
      </c>
      <c r="D109" s="4">
        <v>163795610000</v>
      </c>
      <c r="E109" s="4">
        <v>101928420000</v>
      </c>
      <c r="F109" s="4">
        <v>61644950000</v>
      </c>
      <c r="G109" s="4">
        <v>32083410000</v>
      </c>
      <c r="H109" s="4">
        <v>30856410000</v>
      </c>
      <c r="I109" s="4">
        <v>26679400000</v>
      </c>
      <c r="J109" s="4">
        <v>24367730000</v>
      </c>
      <c r="K109" s="4">
        <v>21813550000</v>
      </c>
      <c r="L109" s="4">
        <v>11137250000</v>
      </c>
      <c r="M109" s="4">
        <v>9074630000</v>
      </c>
      <c r="N109" s="4">
        <v>6132066862</v>
      </c>
      <c r="O109" s="4">
        <v>3496080000</v>
      </c>
      <c r="P109" s="4">
        <v>2613660000</v>
      </c>
      <c r="Q109" s="4">
        <v>1067820000</v>
      </c>
      <c r="R109" s="4">
        <v>195660000</v>
      </c>
    </row>
    <row r="110" spans="1:18" x14ac:dyDescent="0.2">
      <c r="B110" s="21" t="s">
        <v>162</v>
      </c>
      <c r="D110" s="1495" t="s">
        <v>300</v>
      </c>
      <c r="E110" s="1495" t="s">
        <v>77</v>
      </c>
      <c r="G110" s="1495" t="s">
        <v>284</v>
      </c>
      <c r="H110" s="1495" t="s">
        <v>457</v>
      </c>
      <c r="K110" s="1495" t="s">
        <v>458</v>
      </c>
      <c r="L110" s="1495" t="s">
        <v>31</v>
      </c>
      <c r="M110" s="1495" t="s">
        <v>453</v>
      </c>
      <c r="P110" s="1495" t="s">
        <v>461</v>
      </c>
      <c r="Q110" s="1495" t="s">
        <v>274</v>
      </c>
    </row>
    <row r="111" spans="1:18" x14ac:dyDescent="0.2">
      <c r="B111" s="21" t="s">
        <v>161</v>
      </c>
      <c r="D111" s="1495" t="s">
        <v>300</v>
      </c>
      <c r="E111" s="1495" t="s">
        <v>77</v>
      </c>
      <c r="G111" s="1495" t="s">
        <v>284</v>
      </c>
      <c r="H111" s="1495" t="s">
        <v>457</v>
      </c>
      <c r="K111" s="1495" t="s">
        <v>458</v>
      </c>
      <c r="L111" s="1495" t="s">
        <v>31</v>
      </c>
      <c r="M111" s="1495" t="s">
        <v>453</v>
      </c>
      <c r="N111" s="1495" t="s">
        <v>445</v>
      </c>
      <c r="P111" s="1495" t="s">
        <v>461</v>
      </c>
      <c r="Q111" s="1495" t="s">
        <v>274</v>
      </c>
    </row>
    <row r="112" spans="1:18" x14ac:dyDescent="0.2">
      <c r="B112" s="21" t="s">
        <v>160</v>
      </c>
      <c r="D112" s="1495" t="s">
        <v>300</v>
      </c>
      <c r="E112" s="1495" t="s">
        <v>77</v>
      </c>
      <c r="G112" s="1495" t="s">
        <v>284</v>
      </c>
      <c r="H112" s="1495" t="s">
        <v>457</v>
      </c>
      <c r="K112" s="1495" t="s">
        <v>458</v>
      </c>
      <c r="L112" s="1495" t="s">
        <v>31</v>
      </c>
      <c r="M112" s="1495" t="s">
        <v>453</v>
      </c>
      <c r="N112" s="1495" t="s">
        <v>445</v>
      </c>
      <c r="O112" s="1495" t="s">
        <v>464</v>
      </c>
      <c r="P112" s="1495" t="s">
        <v>461</v>
      </c>
      <c r="Q112" s="1495" t="s">
        <v>274</v>
      </c>
    </row>
    <row r="113" spans="1:22" x14ac:dyDescent="0.2">
      <c r="B113" s="21" t="s">
        <v>157</v>
      </c>
      <c r="C113" s="21" t="s">
        <v>14</v>
      </c>
      <c r="D113" s="1495" t="s">
        <v>300</v>
      </c>
      <c r="E113" s="1495" t="s">
        <v>77</v>
      </c>
      <c r="F113" s="21" t="s">
        <v>202</v>
      </c>
      <c r="G113" s="1495" t="s">
        <v>284</v>
      </c>
      <c r="H113" s="1495" t="s">
        <v>457</v>
      </c>
      <c r="I113" s="21" t="s">
        <v>83</v>
      </c>
      <c r="J113" s="21" t="s">
        <v>78</v>
      </c>
      <c r="K113" s="1495" t="s">
        <v>458</v>
      </c>
      <c r="L113" s="1495" t="s">
        <v>31</v>
      </c>
      <c r="M113" s="1495" t="s">
        <v>453</v>
      </c>
      <c r="N113" s="1495" t="s">
        <v>445</v>
      </c>
      <c r="O113" s="1495" t="s">
        <v>464</v>
      </c>
      <c r="P113" s="1495" t="s">
        <v>461</v>
      </c>
      <c r="Q113" s="1495" t="s">
        <v>274</v>
      </c>
    </row>
    <row r="114" spans="1:22" x14ac:dyDescent="0.2">
      <c r="A114" s="7" t="s">
        <v>416</v>
      </c>
      <c r="B114" s="21" t="s">
        <v>177</v>
      </c>
      <c r="C114" s="4">
        <v>36220060000</v>
      </c>
      <c r="D114" s="4">
        <v>30429660000</v>
      </c>
      <c r="E114" s="4">
        <v>10624080000</v>
      </c>
      <c r="F114" s="4">
        <v>9113470787</v>
      </c>
      <c r="G114" s="4">
        <v>7887380000</v>
      </c>
      <c r="H114" s="4">
        <v>6370750000</v>
      </c>
      <c r="I114" s="4">
        <v>5312241019</v>
      </c>
      <c r="J114" s="4">
        <v>3182350000</v>
      </c>
      <c r="K114" s="4">
        <v>3077140000</v>
      </c>
      <c r="L114" s="4">
        <v>2662060000</v>
      </c>
      <c r="M114" s="4">
        <v>1738010000</v>
      </c>
      <c r="N114" s="4">
        <v>954243506</v>
      </c>
      <c r="O114" s="4">
        <v>221636801</v>
      </c>
      <c r="P114" s="4">
        <v>73019048</v>
      </c>
      <c r="Q114" s="4">
        <v>44150000</v>
      </c>
    </row>
    <row r="115" spans="1:22" x14ac:dyDescent="0.2">
      <c r="B115" s="21" t="s">
        <v>162</v>
      </c>
      <c r="C115" s="1495" t="s">
        <v>59</v>
      </c>
      <c r="H115" s="1495" t="s">
        <v>300</v>
      </c>
      <c r="P115" s="1495" t="s">
        <v>463</v>
      </c>
      <c r="U115" s="1495" t="s">
        <v>461</v>
      </c>
    </row>
    <row r="116" spans="1:22" x14ac:dyDescent="0.2">
      <c r="B116" s="21" t="s">
        <v>161</v>
      </c>
      <c r="C116" s="1495" t="s">
        <v>59</v>
      </c>
      <c r="H116" s="1495" t="s">
        <v>300</v>
      </c>
      <c r="P116" s="1495" t="s">
        <v>463</v>
      </c>
      <c r="U116" s="1495" t="s">
        <v>461</v>
      </c>
    </row>
    <row r="117" spans="1:22" x14ac:dyDescent="0.2">
      <c r="B117" s="21" t="s">
        <v>160</v>
      </c>
      <c r="C117" s="1495" t="s">
        <v>59</v>
      </c>
      <c r="H117" s="1495" t="s">
        <v>300</v>
      </c>
      <c r="P117" s="1495" t="s">
        <v>463</v>
      </c>
      <c r="T117" s="1495" t="s">
        <v>464</v>
      </c>
      <c r="U117" s="1495" t="s">
        <v>461</v>
      </c>
    </row>
    <row r="118" spans="1:22" x14ac:dyDescent="0.2">
      <c r="B118" s="21" t="s">
        <v>157</v>
      </c>
      <c r="C118" s="1495" t="s">
        <v>59</v>
      </c>
      <c r="D118" s="21" t="s">
        <v>36</v>
      </c>
      <c r="E118" s="21" t="s">
        <v>99</v>
      </c>
      <c r="F118" s="21" t="s">
        <v>24</v>
      </c>
      <c r="G118" s="21" t="s">
        <v>180</v>
      </c>
      <c r="H118" s="1495" t="s">
        <v>300</v>
      </c>
      <c r="I118" s="21" t="s">
        <v>11</v>
      </c>
      <c r="J118" s="21" t="s">
        <v>179</v>
      </c>
      <c r="K118" s="21" t="s">
        <v>269</v>
      </c>
      <c r="L118" s="21" t="s">
        <v>294</v>
      </c>
      <c r="M118" s="21" t="s">
        <v>434</v>
      </c>
      <c r="N118" s="21" t="s">
        <v>310</v>
      </c>
      <c r="O118" s="21" t="s">
        <v>440</v>
      </c>
      <c r="P118" s="1495" t="s">
        <v>463</v>
      </c>
      <c r="Q118" s="21" t="s">
        <v>30</v>
      </c>
      <c r="R118" s="21" t="s">
        <v>443</v>
      </c>
      <c r="S118" s="21" t="s">
        <v>441</v>
      </c>
      <c r="T118" s="1495" t="s">
        <v>464</v>
      </c>
      <c r="U118" s="1495" t="s">
        <v>461</v>
      </c>
    </row>
    <row r="119" spans="1:22" x14ac:dyDescent="0.2">
      <c r="A119" s="7" t="s">
        <v>414</v>
      </c>
      <c r="B119" s="21" t="s">
        <v>177</v>
      </c>
      <c r="C119" s="4">
        <v>576999690000</v>
      </c>
      <c r="D119" s="4">
        <v>41315770000</v>
      </c>
      <c r="E119" s="4">
        <v>19375730000</v>
      </c>
      <c r="F119" s="4">
        <v>11900810000</v>
      </c>
      <c r="G119" s="4">
        <v>11035330000</v>
      </c>
      <c r="H119" s="4">
        <v>10816740000</v>
      </c>
      <c r="I119" s="4">
        <v>9803820000</v>
      </c>
      <c r="J119" s="4">
        <v>6493650000</v>
      </c>
      <c r="K119" s="4">
        <v>5327430000</v>
      </c>
      <c r="L119" s="4">
        <v>4973720000</v>
      </c>
      <c r="M119" s="4">
        <v>4568910000</v>
      </c>
      <c r="N119" s="4">
        <v>3191400000</v>
      </c>
      <c r="O119" s="4">
        <v>2293240000</v>
      </c>
      <c r="P119" s="4">
        <v>1693730000</v>
      </c>
      <c r="Q119" s="4">
        <v>1557220000</v>
      </c>
      <c r="R119" s="4">
        <v>721400000</v>
      </c>
      <c r="S119" s="4">
        <v>565150000</v>
      </c>
      <c r="T119" s="4">
        <v>220375340</v>
      </c>
      <c r="U119" s="4">
        <v>13050935</v>
      </c>
    </row>
    <row r="120" spans="1:22" x14ac:dyDescent="0.2">
      <c r="B120" s="21" t="s">
        <v>162</v>
      </c>
      <c r="D120" s="1495" t="s">
        <v>69</v>
      </c>
      <c r="G120" s="1495" t="s">
        <v>457</v>
      </c>
      <c r="H120" s="1495" t="s">
        <v>449</v>
      </c>
      <c r="I120" s="1495" t="s">
        <v>458</v>
      </c>
      <c r="J120" s="1495" t="s">
        <v>455</v>
      </c>
      <c r="L120" s="1495" t="s">
        <v>459</v>
      </c>
      <c r="N120" s="1495" t="s">
        <v>460</v>
      </c>
      <c r="O120" s="1495" t="s">
        <v>461</v>
      </c>
    </row>
    <row r="121" spans="1:22" x14ac:dyDescent="0.2">
      <c r="B121" s="21" t="s">
        <v>161</v>
      </c>
      <c r="D121" s="1495" t="s">
        <v>69</v>
      </c>
      <c r="G121" s="1495" t="s">
        <v>457</v>
      </c>
      <c r="H121" s="1495" t="s">
        <v>449</v>
      </c>
      <c r="I121" s="1495" t="s">
        <v>458</v>
      </c>
      <c r="J121" s="1495" t="s">
        <v>455</v>
      </c>
      <c r="L121" s="1495" t="s">
        <v>459</v>
      </c>
      <c r="N121" s="1495" t="s">
        <v>460</v>
      </c>
      <c r="O121" s="1495" t="s">
        <v>461</v>
      </c>
    </row>
    <row r="122" spans="1:22" x14ac:dyDescent="0.2">
      <c r="B122" s="21" t="s">
        <v>160</v>
      </c>
      <c r="D122" s="1495" t="s">
        <v>69</v>
      </c>
      <c r="G122" s="1495" t="s">
        <v>457</v>
      </c>
      <c r="H122" s="1495" t="s">
        <v>449</v>
      </c>
      <c r="I122" s="1495" t="s">
        <v>458</v>
      </c>
      <c r="J122" s="1495" t="s">
        <v>455</v>
      </c>
      <c r="L122" s="1495" t="s">
        <v>459</v>
      </c>
      <c r="N122" s="1495" t="s">
        <v>460</v>
      </c>
      <c r="O122" s="1495" t="s">
        <v>461</v>
      </c>
    </row>
    <row r="123" spans="1:22" x14ac:dyDescent="0.2">
      <c r="B123" s="21" t="s">
        <v>157</v>
      </c>
      <c r="C123" s="21" t="s">
        <v>21</v>
      </c>
      <c r="D123" s="1495" t="s">
        <v>69</v>
      </c>
      <c r="E123" s="21" t="s">
        <v>94</v>
      </c>
      <c r="F123" s="21" t="s">
        <v>311</v>
      </c>
      <c r="G123" s="1495" t="s">
        <v>457</v>
      </c>
      <c r="H123" s="1495" t="s">
        <v>449</v>
      </c>
      <c r="I123" s="1495" t="s">
        <v>458</v>
      </c>
      <c r="J123" s="1495" t="s">
        <v>455</v>
      </c>
      <c r="K123" s="21" t="s">
        <v>434</v>
      </c>
      <c r="L123" s="1495" t="s">
        <v>459</v>
      </c>
      <c r="M123" s="21" t="s">
        <v>275</v>
      </c>
      <c r="N123" s="1495" t="s">
        <v>460</v>
      </c>
      <c r="O123" s="1495" t="s">
        <v>461</v>
      </c>
    </row>
    <row r="124" spans="1:22" x14ac:dyDescent="0.2">
      <c r="A124" s="7" t="s">
        <v>413</v>
      </c>
      <c r="B124" s="21" t="s">
        <v>177</v>
      </c>
      <c r="C124" s="4">
        <v>116688750000</v>
      </c>
      <c r="D124" s="4">
        <v>81957450000</v>
      </c>
      <c r="E124" s="4">
        <v>6272334147</v>
      </c>
      <c r="F124" s="4">
        <v>4042743859</v>
      </c>
      <c r="G124" s="4">
        <v>1853980000</v>
      </c>
      <c r="H124" s="4">
        <v>1331030000</v>
      </c>
      <c r="I124" s="4">
        <v>1158120000</v>
      </c>
      <c r="J124" s="4">
        <v>891580000</v>
      </c>
      <c r="K124" s="4">
        <v>539160000</v>
      </c>
      <c r="L124" s="4">
        <v>465500000</v>
      </c>
      <c r="M124" s="4">
        <v>72629990</v>
      </c>
      <c r="N124" s="4">
        <v>41242500</v>
      </c>
      <c r="O124" s="4">
        <v>10366667</v>
      </c>
    </row>
    <row r="125" spans="1:22" x14ac:dyDescent="0.2">
      <c r="B125" s="21" t="s">
        <v>162</v>
      </c>
      <c r="G125" s="1495" t="s">
        <v>159</v>
      </c>
      <c r="H125" s="21"/>
      <c r="I125" s="1495" t="s">
        <v>77</v>
      </c>
      <c r="J125" s="1495" t="s">
        <v>167</v>
      </c>
      <c r="L125" s="1495" t="s">
        <v>453</v>
      </c>
      <c r="M125" s="1495" t="s">
        <v>454</v>
      </c>
      <c r="P125" s="1495" t="s">
        <v>449</v>
      </c>
      <c r="R125" s="1495" t="s">
        <v>335</v>
      </c>
      <c r="S125" s="1495" t="s">
        <v>455</v>
      </c>
      <c r="T125" s="1495" t="s">
        <v>322</v>
      </c>
      <c r="U125" s="1495" t="s">
        <v>456</v>
      </c>
      <c r="V125" s="1495" t="s">
        <v>274</v>
      </c>
    </row>
    <row r="126" spans="1:22" x14ac:dyDescent="0.2">
      <c r="B126" s="21" t="s">
        <v>161</v>
      </c>
      <c r="G126" s="1495" t="s">
        <v>159</v>
      </c>
      <c r="H126" s="21"/>
      <c r="I126" s="1495" t="s">
        <v>77</v>
      </c>
      <c r="J126" s="1495" t="s">
        <v>167</v>
      </c>
      <c r="L126" s="1495" t="s">
        <v>453</v>
      </c>
      <c r="M126" s="1495" t="s">
        <v>454</v>
      </c>
      <c r="P126" s="1495" t="s">
        <v>449</v>
      </c>
      <c r="R126" s="1495" t="s">
        <v>335</v>
      </c>
      <c r="S126" s="1495" t="s">
        <v>455</v>
      </c>
      <c r="T126" s="1495" t="s">
        <v>322</v>
      </c>
      <c r="U126" s="1495" t="s">
        <v>456</v>
      </c>
      <c r="V126" s="1495" t="s">
        <v>274</v>
      </c>
    </row>
    <row r="127" spans="1:22" x14ac:dyDescent="0.2">
      <c r="B127" s="21" t="s">
        <v>160</v>
      </c>
      <c r="G127" s="1495" t="s">
        <v>159</v>
      </c>
      <c r="H127" s="21"/>
      <c r="I127" s="1495" t="s">
        <v>77</v>
      </c>
      <c r="J127" s="1495" t="s">
        <v>167</v>
      </c>
      <c r="L127" s="1495" t="s">
        <v>453</v>
      </c>
      <c r="M127" s="1495" t="s">
        <v>454</v>
      </c>
      <c r="O127" s="1495" t="s">
        <v>445</v>
      </c>
      <c r="P127" s="1495" t="s">
        <v>449</v>
      </c>
      <c r="R127" s="1495" t="s">
        <v>335</v>
      </c>
      <c r="S127" s="1495" t="s">
        <v>455</v>
      </c>
      <c r="T127" s="1495" t="s">
        <v>322</v>
      </c>
      <c r="U127" s="1495" t="s">
        <v>456</v>
      </c>
      <c r="V127" s="1495" t="s">
        <v>274</v>
      </c>
    </row>
    <row r="128" spans="1:22" x14ac:dyDescent="0.2">
      <c r="B128" s="21" t="s">
        <v>157</v>
      </c>
      <c r="C128" s="21" t="s">
        <v>58</v>
      </c>
      <c r="D128" s="21" t="s">
        <v>29</v>
      </c>
      <c r="E128" s="21" t="s">
        <v>36</v>
      </c>
      <c r="F128" s="21" t="s">
        <v>12</v>
      </c>
      <c r="G128" s="1495" t="s">
        <v>159</v>
      </c>
      <c r="H128" s="21" t="s">
        <v>39</v>
      </c>
      <c r="I128" s="1495" t="s">
        <v>77</v>
      </c>
      <c r="J128" s="1495" t="s">
        <v>167</v>
      </c>
      <c r="K128" s="21" t="s">
        <v>92</v>
      </c>
      <c r="L128" s="1495" t="s">
        <v>453</v>
      </c>
      <c r="M128" s="1495" t="s">
        <v>454</v>
      </c>
      <c r="N128" s="21" t="s">
        <v>429</v>
      </c>
      <c r="O128" s="1495" t="s">
        <v>445</v>
      </c>
      <c r="P128" s="1495" t="s">
        <v>449</v>
      </c>
      <c r="Q128" s="21" t="s">
        <v>32</v>
      </c>
      <c r="R128" s="1495" t="s">
        <v>335</v>
      </c>
      <c r="S128" s="1495" t="s">
        <v>455</v>
      </c>
      <c r="T128" s="1495" t="s">
        <v>322</v>
      </c>
      <c r="U128" s="1495" t="s">
        <v>456</v>
      </c>
      <c r="V128" s="1495" t="s">
        <v>274</v>
      </c>
    </row>
    <row r="129" spans="1:22" x14ac:dyDescent="0.2">
      <c r="A129" s="7" t="s">
        <v>367</v>
      </c>
      <c r="B129" s="21" t="s">
        <v>177</v>
      </c>
      <c r="C129" s="4">
        <v>98287450000</v>
      </c>
      <c r="D129" s="4">
        <v>48556327041</v>
      </c>
      <c r="E129" s="4">
        <v>35176920000</v>
      </c>
      <c r="F129" s="4">
        <v>32783170000</v>
      </c>
      <c r="G129" s="4">
        <v>14585060000</v>
      </c>
      <c r="H129" s="4">
        <v>13821660000</v>
      </c>
      <c r="I129" s="4">
        <v>10070000000</v>
      </c>
      <c r="J129" s="4">
        <v>8364710000</v>
      </c>
      <c r="K129" s="4">
        <v>4921638634</v>
      </c>
      <c r="L129" s="4">
        <v>1700000000</v>
      </c>
      <c r="M129" s="4">
        <v>1240000000</v>
      </c>
      <c r="N129" s="4">
        <v>937890000</v>
      </c>
      <c r="O129" s="4">
        <v>537255738</v>
      </c>
      <c r="P129" s="4">
        <v>219330000</v>
      </c>
      <c r="Q129" s="4">
        <v>192900000</v>
      </c>
      <c r="R129" s="4">
        <v>141000000</v>
      </c>
      <c r="S129" s="4">
        <v>70000000</v>
      </c>
      <c r="T129" s="4">
        <v>61000000</v>
      </c>
      <c r="U129" s="4">
        <v>60000000</v>
      </c>
      <c r="V129" s="4">
        <v>40000000</v>
      </c>
    </row>
    <row r="130" spans="1:22" x14ac:dyDescent="0.2">
      <c r="B130" s="21" t="s">
        <v>162</v>
      </c>
      <c r="F130" s="1495" t="s">
        <v>298</v>
      </c>
    </row>
    <row r="131" spans="1:22" x14ac:dyDescent="0.2">
      <c r="B131" s="21" t="s">
        <v>161</v>
      </c>
      <c r="F131" s="1495" t="s">
        <v>298</v>
      </c>
    </row>
    <row r="132" spans="1:22" x14ac:dyDescent="0.2">
      <c r="B132" s="21" t="s">
        <v>160</v>
      </c>
      <c r="D132" s="1495" t="s">
        <v>63</v>
      </c>
      <c r="F132" s="1495" t="s">
        <v>298</v>
      </c>
    </row>
    <row r="133" spans="1:22" x14ac:dyDescent="0.2">
      <c r="B133" s="21" t="s">
        <v>157</v>
      </c>
      <c r="C133" s="21" t="s">
        <v>6</v>
      </c>
      <c r="D133" s="1495" t="s">
        <v>63</v>
      </c>
      <c r="E133" s="21" t="s">
        <v>73</v>
      </c>
      <c r="F133" s="1495" t="s">
        <v>298</v>
      </c>
    </row>
    <row r="134" spans="1:22" x14ac:dyDescent="0.2">
      <c r="A134" s="7" t="s">
        <v>365</v>
      </c>
      <c r="B134" s="21" t="s">
        <v>177</v>
      </c>
      <c r="C134" s="4">
        <v>16549960000</v>
      </c>
      <c r="D134" s="4">
        <v>8262338078</v>
      </c>
      <c r="E134" s="4">
        <v>2006530000</v>
      </c>
      <c r="F134" s="4">
        <v>1066580000</v>
      </c>
    </row>
    <row r="135" spans="1:22" x14ac:dyDescent="0.2">
      <c r="B135" s="21" t="s">
        <v>162</v>
      </c>
      <c r="C135" s="1495" t="s">
        <v>163</v>
      </c>
      <c r="H135" s="1495" t="s">
        <v>292</v>
      </c>
    </row>
    <row r="136" spans="1:22" x14ac:dyDescent="0.2">
      <c r="B136" s="21" t="s">
        <v>161</v>
      </c>
      <c r="C136" s="1495" t="s">
        <v>163</v>
      </c>
      <c r="H136" s="1495" t="s">
        <v>292</v>
      </c>
    </row>
    <row r="137" spans="1:22" x14ac:dyDescent="0.2">
      <c r="B137" s="21" t="s">
        <v>160</v>
      </c>
      <c r="C137" s="1495" t="s">
        <v>163</v>
      </c>
      <c r="D137" s="1495" t="s">
        <v>59</v>
      </c>
      <c r="F137" s="1495" t="s">
        <v>62</v>
      </c>
      <c r="G137" s="1495" t="s">
        <v>63</v>
      </c>
      <c r="H137" s="1495" t="s">
        <v>292</v>
      </c>
    </row>
    <row r="138" spans="1:22" x14ac:dyDescent="0.2">
      <c r="B138" s="21" t="s">
        <v>157</v>
      </c>
      <c r="C138" s="1495" t="s">
        <v>163</v>
      </c>
      <c r="D138" s="1495" t="s">
        <v>59</v>
      </c>
      <c r="E138" s="21" t="s">
        <v>287</v>
      </c>
      <c r="F138" s="1495" t="s">
        <v>62</v>
      </c>
      <c r="G138" s="1495" t="s">
        <v>63</v>
      </c>
      <c r="H138" s="1495" t="s">
        <v>292</v>
      </c>
    </row>
    <row r="139" spans="1:22" x14ac:dyDescent="0.2">
      <c r="A139" s="7" t="s">
        <v>364</v>
      </c>
      <c r="B139" s="21" t="s">
        <v>177</v>
      </c>
      <c r="C139" s="4">
        <v>76998500000</v>
      </c>
      <c r="D139" s="4">
        <v>36801220000</v>
      </c>
      <c r="E139" s="4">
        <v>18929100000</v>
      </c>
      <c r="F139" s="4">
        <v>18483080000</v>
      </c>
      <c r="G139" s="4">
        <v>6660885476</v>
      </c>
      <c r="H139" s="4">
        <v>1543343874</v>
      </c>
    </row>
    <row r="140" spans="1:22" x14ac:dyDescent="0.2">
      <c r="B140" s="21" t="s">
        <v>162</v>
      </c>
      <c r="E140" s="1495" t="s">
        <v>298</v>
      </c>
    </row>
    <row r="141" spans="1:22" x14ac:dyDescent="0.2">
      <c r="B141" s="21" t="s">
        <v>161</v>
      </c>
      <c r="E141" s="1495" t="s">
        <v>298</v>
      </c>
    </row>
    <row r="142" spans="1:22" x14ac:dyDescent="0.2">
      <c r="B142" s="21" t="s">
        <v>160</v>
      </c>
      <c r="E142" s="1495" t="s">
        <v>298</v>
      </c>
    </row>
    <row r="143" spans="1:22" x14ac:dyDescent="0.2">
      <c r="B143" s="21" t="s">
        <v>157</v>
      </c>
      <c r="C143" s="21" t="s">
        <v>58</v>
      </c>
      <c r="D143" s="21" t="s">
        <v>163</v>
      </c>
      <c r="E143" s="1495" t="s">
        <v>298</v>
      </c>
      <c r="F143" s="21" t="s">
        <v>98</v>
      </c>
    </row>
    <row r="144" spans="1:22" x14ac:dyDescent="0.2">
      <c r="A144" s="7" t="s">
        <v>363</v>
      </c>
      <c r="B144" s="21" t="s">
        <v>177</v>
      </c>
      <c r="C144" s="4">
        <v>48638700000</v>
      </c>
      <c r="D144" s="4">
        <v>46591290000</v>
      </c>
      <c r="E144" s="4">
        <v>988690000</v>
      </c>
      <c r="F144" s="4">
        <v>455300000</v>
      </c>
    </row>
    <row r="145" spans="1:12" x14ac:dyDescent="0.2">
      <c r="B145" s="21" t="s">
        <v>162</v>
      </c>
      <c r="H145" s="1495" t="s">
        <v>298</v>
      </c>
    </row>
    <row r="146" spans="1:12" x14ac:dyDescent="0.2">
      <c r="B146" s="21" t="s">
        <v>161</v>
      </c>
      <c r="H146" s="1495" t="s">
        <v>298</v>
      </c>
    </row>
    <row r="147" spans="1:12" x14ac:dyDescent="0.2">
      <c r="B147" s="21" t="s">
        <v>160</v>
      </c>
      <c r="D147" s="1495" t="s">
        <v>62</v>
      </c>
      <c r="H147" s="1495" t="s">
        <v>298</v>
      </c>
    </row>
    <row r="148" spans="1:12" x14ac:dyDescent="0.2">
      <c r="B148" s="21" t="s">
        <v>157</v>
      </c>
      <c r="C148" s="21" t="s">
        <v>15</v>
      </c>
      <c r="D148" s="1495" t="s">
        <v>62</v>
      </c>
      <c r="E148" s="21" t="s">
        <v>207</v>
      </c>
      <c r="F148" s="21" t="s">
        <v>94</v>
      </c>
      <c r="G148" s="21" t="s">
        <v>278</v>
      </c>
      <c r="H148" s="1495" t="s">
        <v>298</v>
      </c>
    </row>
    <row r="149" spans="1:12" x14ac:dyDescent="0.2">
      <c r="A149" s="7" t="s">
        <v>362</v>
      </c>
      <c r="B149" s="21" t="s">
        <v>177</v>
      </c>
      <c r="C149" s="4">
        <v>73712390000</v>
      </c>
      <c r="D149" s="4">
        <v>14414200000</v>
      </c>
      <c r="E149" s="4">
        <v>8747150000</v>
      </c>
      <c r="F149" s="4">
        <v>4810894503</v>
      </c>
      <c r="G149" s="4">
        <v>2591210000</v>
      </c>
      <c r="H149" s="4">
        <v>78000000</v>
      </c>
    </row>
    <row r="150" spans="1:12" x14ac:dyDescent="0.2">
      <c r="B150" s="21" t="s">
        <v>162</v>
      </c>
      <c r="D150" s="1495" t="s">
        <v>298</v>
      </c>
    </row>
    <row r="151" spans="1:12" x14ac:dyDescent="0.2">
      <c r="B151" s="21" t="s">
        <v>161</v>
      </c>
      <c r="D151" s="1495" t="s">
        <v>298</v>
      </c>
    </row>
    <row r="152" spans="1:12" x14ac:dyDescent="0.2">
      <c r="B152" s="21" t="s">
        <v>160</v>
      </c>
      <c r="D152" s="1495" t="s">
        <v>298</v>
      </c>
    </row>
    <row r="153" spans="1:12" x14ac:dyDescent="0.2">
      <c r="B153" s="21" t="s">
        <v>157</v>
      </c>
      <c r="C153" s="21" t="s">
        <v>94</v>
      </c>
      <c r="D153" s="1495" t="s">
        <v>298</v>
      </c>
    </row>
    <row r="154" spans="1:12" x14ac:dyDescent="0.2">
      <c r="A154" s="7" t="s">
        <v>358</v>
      </c>
      <c r="B154" s="21" t="s">
        <v>177</v>
      </c>
      <c r="C154" s="4">
        <v>3535686405</v>
      </c>
      <c r="D154" s="4">
        <v>4296580</v>
      </c>
    </row>
    <row r="155" spans="1:12" x14ac:dyDescent="0.2">
      <c r="B155" s="21" t="s">
        <v>162</v>
      </c>
      <c r="F155" s="1495" t="s">
        <v>190</v>
      </c>
      <c r="G155" s="1495" t="s">
        <v>342</v>
      </c>
      <c r="H155" s="1495" t="s">
        <v>173</v>
      </c>
    </row>
    <row r="156" spans="1:12" x14ac:dyDescent="0.2">
      <c r="B156" s="21" t="s">
        <v>161</v>
      </c>
      <c r="F156" s="1495" t="s">
        <v>190</v>
      </c>
      <c r="G156" s="1495" t="s">
        <v>342</v>
      </c>
      <c r="H156" s="1495" t="s">
        <v>173</v>
      </c>
    </row>
    <row r="157" spans="1:12" x14ac:dyDescent="0.2">
      <c r="B157" s="21" t="s">
        <v>160</v>
      </c>
      <c r="F157" s="1495" t="s">
        <v>190</v>
      </c>
      <c r="G157" s="1495" t="s">
        <v>342</v>
      </c>
      <c r="H157" s="1495" t="s">
        <v>173</v>
      </c>
    </row>
    <row r="158" spans="1:12" x14ac:dyDescent="0.2">
      <c r="B158" s="21" t="s">
        <v>157</v>
      </c>
      <c r="C158" s="21" t="s">
        <v>17</v>
      </c>
      <c r="D158" s="21" t="s">
        <v>38</v>
      </c>
      <c r="E158" s="21" t="s">
        <v>67</v>
      </c>
      <c r="F158" s="1495" t="s">
        <v>190</v>
      </c>
      <c r="G158" s="1495" t="s">
        <v>342</v>
      </c>
      <c r="H158" s="1495" t="s">
        <v>173</v>
      </c>
      <c r="I158" s="21" t="s">
        <v>431</v>
      </c>
      <c r="J158" s="21" t="s">
        <v>62</v>
      </c>
      <c r="K158" s="21" t="s">
        <v>447</v>
      </c>
      <c r="L158" s="21" t="s">
        <v>444</v>
      </c>
    </row>
    <row r="159" spans="1:12" x14ac:dyDescent="0.2">
      <c r="A159" s="7" t="s">
        <v>354</v>
      </c>
      <c r="B159" s="21" t="s">
        <v>177</v>
      </c>
      <c r="C159" s="4">
        <v>105638310000</v>
      </c>
      <c r="D159" s="4">
        <v>51981640000</v>
      </c>
      <c r="E159" s="4">
        <v>42721330000</v>
      </c>
      <c r="F159" s="4">
        <v>11375620000</v>
      </c>
      <c r="G159" s="4">
        <v>7136560000</v>
      </c>
      <c r="H159" s="4">
        <v>6518380000</v>
      </c>
      <c r="I159" s="4">
        <v>3607350000</v>
      </c>
      <c r="J159" s="4">
        <v>3242210000</v>
      </c>
      <c r="K159" s="4">
        <v>1707840000</v>
      </c>
      <c r="L159" s="4">
        <v>70650000</v>
      </c>
    </row>
    <row r="160" spans="1:12" x14ac:dyDescent="0.2">
      <c r="B160" s="21" t="s">
        <v>162</v>
      </c>
      <c r="D160" s="1495" t="s">
        <v>277</v>
      </c>
      <c r="G160" s="1495" t="s">
        <v>438</v>
      </c>
    </row>
    <row r="161" spans="1:9" x14ac:dyDescent="0.2">
      <c r="B161" s="21" t="s">
        <v>161</v>
      </c>
      <c r="D161" s="1495" t="s">
        <v>277</v>
      </c>
      <c r="G161" s="1495" t="s">
        <v>438</v>
      </c>
    </row>
    <row r="162" spans="1:9" x14ac:dyDescent="0.2">
      <c r="B162" s="21" t="s">
        <v>160</v>
      </c>
      <c r="D162" s="1495" t="s">
        <v>277</v>
      </c>
      <c r="E162" s="1495" t="s">
        <v>173</v>
      </c>
      <c r="G162" s="1495" t="s">
        <v>438</v>
      </c>
    </row>
    <row r="163" spans="1:9" x14ac:dyDescent="0.2">
      <c r="B163" s="21" t="s">
        <v>157</v>
      </c>
      <c r="C163" s="21" t="s">
        <v>79</v>
      </c>
      <c r="D163" s="1495" t="s">
        <v>277</v>
      </c>
      <c r="E163" s="1495" t="s">
        <v>173</v>
      </c>
      <c r="F163" s="21" t="s">
        <v>62</v>
      </c>
      <c r="G163" s="1495" t="s">
        <v>438</v>
      </c>
    </row>
    <row r="164" spans="1:9" x14ac:dyDescent="0.2">
      <c r="A164" s="7" t="s">
        <v>353</v>
      </c>
      <c r="B164" s="21" t="s">
        <v>177</v>
      </c>
      <c r="C164" s="4">
        <v>79804570000</v>
      </c>
      <c r="D164" s="4">
        <v>10770240000</v>
      </c>
      <c r="E164" s="4">
        <v>3886830000</v>
      </c>
      <c r="F164" s="4">
        <v>1929570000</v>
      </c>
      <c r="G164" s="4">
        <v>38490000</v>
      </c>
    </row>
    <row r="165" spans="1:9" x14ac:dyDescent="0.2">
      <c r="B165" s="21" t="s">
        <v>162</v>
      </c>
      <c r="D165" s="1495" t="s">
        <v>448</v>
      </c>
    </row>
    <row r="166" spans="1:9" x14ac:dyDescent="0.2">
      <c r="B166" s="21" t="s">
        <v>161</v>
      </c>
      <c r="C166" s="1495" t="s">
        <v>9</v>
      </c>
      <c r="D166" s="1495" t="s">
        <v>448</v>
      </c>
    </row>
    <row r="167" spans="1:9" x14ac:dyDescent="0.2">
      <c r="B167" s="21" t="s">
        <v>160</v>
      </c>
      <c r="C167" s="1495" t="s">
        <v>9</v>
      </c>
      <c r="D167" s="1495" t="s">
        <v>448</v>
      </c>
    </row>
    <row r="168" spans="1:9" x14ac:dyDescent="0.2">
      <c r="B168" s="21" t="s">
        <v>157</v>
      </c>
      <c r="C168" s="1495" t="s">
        <v>9</v>
      </c>
      <c r="D168" s="1495" t="s">
        <v>448</v>
      </c>
      <c r="E168" s="21" t="s">
        <v>270</v>
      </c>
      <c r="F168" s="21" t="s">
        <v>437</v>
      </c>
    </row>
    <row r="169" spans="1:9" x14ac:dyDescent="0.2">
      <c r="A169" s="7" t="s">
        <v>352</v>
      </c>
      <c r="B169" s="21" t="s">
        <v>177</v>
      </c>
      <c r="C169" s="4">
        <v>86304280000</v>
      </c>
      <c r="D169" s="4">
        <v>5203573288</v>
      </c>
      <c r="E169" s="4">
        <v>3644290000</v>
      </c>
      <c r="F169" s="4">
        <v>314312488</v>
      </c>
    </row>
    <row r="170" spans="1:9" x14ac:dyDescent="0.2">
      <c r="B170" s="21" t="s">
        <v>162</v>
      </c>
      <c r="D170" s="1495" t="s">
        <v>442</v>
      </c>
    </row>
    <row r="171" spans="1:9" x14ac:dyDescent="0.2">
      <c r="B171" s="21" t="s">
        <v>161</v>
      </c>
      <c r="D171" s="1495" t="s">
        <v>442</v>
      </c>
    </row>
    <row r="172" spans="1:9" x14ac:dyDescent="0.2">
      <c r="B172" s="21" t="s">
        <v>160</v>
      </c>
      <c r="D172" s="1495" t="s">
        <v>442</v>
      </c>
    </row>
    <row r="173" spans="1:9" x14ac:dyDescent="0.2">
      <c r="B173" s="21" t="s">
        <v>157</v>
      </c>
      <c r="C173" s="21" t="s">
        <v>12</v>
      </c>
      <c r="D173" s="1495" t="s">
        <v>442</v>
      </c>
      <c r="E173" s="21" t="s">
        <v>301</v>
      </c>
      <c r="F173" s="21" t="s">
        <v>446</v>
      </c>
      <c r="G173" s="21" t="s">
        <v>448</v>
      </c>
      <c r="H173" s="21" t="s">
        <v>266</v>
      </c>
    </row>
    <row r="174" spans="1:9" x14ac:dyDescent="0.2">
      <c r="A174" s="7" t="s">
        <v>347</v>
      </c>
      <c r="B174" s="21" t="s">
        <v>177</v>
      </c>
      <c r="C174" s="4">
        <v>25649900000</v>
      </c>
      <c r="D174" s="4">
        <v>7088630000</v>
      </c>
      <c r="E174" s="4">
        <v>4487740000</v>
      </c>
      <c r="F174" s="4">
        <v>2463430000</v>
      </c>
      <c r="G174" s="4">
        <v>963712005</v>
      </c>
      <c r="H174" s="4">
        <v>96408224</v>
      </c>
    </row>
    <row r="175" spans="1:9" x14ac:dyDescent="0.2">
      <c r="B175" s="21" t="s">
        <v>162</v>
      </c>
      <c r="D175" s="1495" t="s">
        <v>279</v>
      </c>
      <c r="E175" s="1495" t="s">
        <v>27</v>
      </c>
      <c r="F175" s="1495" t="s">
        <v>184</v>
      </c>
      <c r="H175" s="1495" t="s">
        <v>158</v>
      </c>
      <c r="I175" s="1495" t="s">
        <v>300</v>
      </c>
    </row>
    <row r="176" spans="1:9" x14ac:dyDescent="0.2">
      <c r="B176" s="21" t="s">
        <v>161</v>
      </c>
      <c r="D176" s="1495" t="s">
        <v>279</v>
      </c>
      <c r="E176" s="1495" t="s">
        <v>27</v>
      </c>
      <c r="F176" s="1495" t="s">
        <v>184</v>
      </c>
      <c r="H176" s="1495" t="s">
        <v>158</v>
      </c>
      <c r="I176" s="1495" t="s">
        <v>300</v>
      </c>
    </row>
    <row r="177" spans="1:13" x14ac:dyDescent="0.2">
      <c r="B177" s="21" t="s">
        <v>160</v>
      </c>
      <c r="C177" s="21" t="s">
        <v>97</v>
      </c>
      <c r="D177" s="1495" t="s">
        <v>279</v>
      </c>
      <c r="E177" s="1495" t="s">
        <v>27</v>
      </c>
      <c r="F177" s="1495" t="s">
        <v>184</v>
      </c>
      <c r="H177" s="1495" t="s">
        <v>158</v>
      </c>
      <c r="I177" s="1495" t="s">
        <v>300</v>
      </c>
    </row>
    <row r="178" spans="1:13" x14ac:dyDescent="0.2">
      <c r="B178" s="21" t="s">
        <v>157</v>
      </c>
      <c r="C178" s="21" t="s">
        <v>97</v>
      </c>
      <c r="D178" s="1495" t="s">
        <v>279</v>
      </c>
      <c r="E178" s="1495" t="s">
        <v>27</v>
      </c>
      <c r="F178" s="1495" t="s">
        <v>184</v>
      </c>
      <c r="G178" s="21" t="s">
        <v>93</v>
      </c>
      <c r="H178" s="1495" t="s">
        <v>158</v>
      </c>
      <c r="I178" s="1495" t="s">
        <v>300</v>
      </c>
      <c r="J178" s="21" t="s">
        <v>92</v>
      </c>
      <c r="K178" s="21" t="s">
        <v>436</v>
      </c>
    </row>
    <row r="179" spans="1:13" x14ac:dyDescent="0.2">
      <c r="A179" s="7" t="s">
        <v>346</v>
      </c>
      <c r="B179" s="21" t="s">
        <v>177</v>
      </c>
      <c r="C179" s="4">
        <v>60661160000</v>
      </c>
      <c r="D179" s="4">
        <v>56368580000</v>
      </c>
      <c r="E179" s="4">
        <v>43053350000</v>
      </c>
      <c r="F179" s="4">
        <v>28999950000</v>
      </c>
      <c r="G179" s="4">
        <v>10229777184</v>
      </c>
      <c r="H179" s="4">
        <v>4375032765</v>
      </c>
      <c r="I179" s="4">
        <v>3940340000</v>
      </c>
      <c r="J179" s="4">
        <v>2812861528</v>
      </c>
      <c r="K179" s="4">
        <v>1569995627</v>
      </c>
    </row>
    <row r="180" spans="1:13" x14ac:dyDescent="0.2">
      <c r="B180" s="21" t="s">
        <v>162</v>
      </c>
      <c r="C180" s="1495" t="s">
        <v>37</v>
      </c>
      <c r="G180" s="1495" t="s">
        <v>300</v>
      </c>
      <c r="I180" s="1495" t="s">
        <v>191</v>
      </c>
    </row>
    <row r="181" spans="1:13" x14ac:dyDescent="0.2">
      <c r="B181" s="21" t="s">
        <v>161</v>
      </c>
      <c r="C181" s="1495" t="s">
        <v>37</v>
      </c>
      <c r="G181" s="1495" t="s">
        <v>300</v>
      </c>
      <c r="I181" s="1495" t="s">
        <v>191</v>
      </c>
    </row>
    <row r="182" spans="1:13" x14ac:dyDescent="0.2">
      <c r="B182" s="21" t="s">
        <v>160</v>
      </c>
      <c r="C182" s="1495" t="s">
        <v>37</v>
      </c>
      <c r="G182" s="1495" t="s">
        <v>300</v>
      </c>
      <c r="I182" s="1495" t="s">
        <v>191</v>
      </c>
    </row>
    <row r="183" spans="1:13" x14ac:dyDescent="0.2">
      <c r="B183" s="21" t="s">
        <v>157</v>
      </c>
      <c r="C183" s="1495" t="s">
        <v>37</v>
      </c>
      <c r="D183" s="21" t="s">
        <v>15</v>
      </c>
      <c r="E183" s="21" t="s">
        <v>325</v>
      </c>
      <c r="F183" s="21" t="s">
        <v>57</v>
      </c>
      <c r="G183" s="1495" t="s">
        <v>300</v>
      </c>
      <c r="H183" s="21" t="s">
        <v>174</v>
      </c>
      <c r="I183" s="1495" t="s">
        <v>191</v>
      </c>
    </row>
    <row r="184" spans="1:13" x14ac:dyDescent="0.2">
      <c r="A184" s="7" t="s">
        <v>345</v>
      </c>
      <c r="B184" s="21" t="s">
        <v>177</v>
      </c>
      <c r="C184" s="4">
        <v>108709280000</v>
      </c>
      <c r="D184" s="4">
        <v>41297840000</v>
      </c>
      <c r="E184" s="4">
        <v>27726090000</v>
      </c>
      <c r="F184" s="4">
        <v>10006206561</v>
      </c>
      <c r="G184" s="4">
        <v>3099050000</v>
      </c>
      <c r="H184" s="4">
        <v>1863860000</v>
      </c>
      <c r="I184" s="4">
        <v>58199591</v>
      </c>
    </row>
    <row r="185" spans="1:13" x14ac:dyDescent="0.2">
      <c r="B185" s="21" t="s">
        <v>162</v>
      </c>
      <c r="C185" s="1495" t="s">
        <v>271</v>
      </c>
      <c r="D185" s="1495" t="s">
        <v>68</v>
      </c>
      <c r="G185" s="1495" t="s">
        <v>337</v>
      </c>
      <c r="K185" s="1495" t="s">
        <v>450</v>
      </c>
      <c r="L185" s="1495" t="s">
        <v>438</v>
      </c>
    </row>
    <row r="186" spans="1:13" x14ac:dyDescent="0.2">
      <c r="B186" s="21" t="s">
        <v>161</v>
      </c>
      <c r="C186" s="1495" t="s">
        <v>271</v>
      </c>
      <c r="D186" s="1495" t="s">
        <v>68</v>
      </c>
      <c r="G186" s="1495" t="s">
        <v>337</v>
      </c>
      <c r="K186" s="1495" t="s">
        <v>450</v>
      </c>
      <c r="L186" s="1495" t="s">
        <v>438</v>
      </c>
    </row>
    <row r="187" spans="1:13" x14ac:dyDescent="0.2">
      <c r="B187" s="21" t="s">
        <v>160</v>
      </c>
      <c r="C187" s="1495" t="s">
        <v>271</v>
      </c>
      <c r="D187" s="1495" t="s">
        <v>68</v>
      </c>
      <c r="G187" s="1495" t="s">
        <v>337</v>
      </c>
      <c r="H187" s="1495" t="s">
        <v>167</v>
      </c>
      <c r="K187" s="1495" t="s">
        <v>450</v>
      </c>
      <c r="L187" s="1495" t="s">
        <v>438</v>
      </c>
    </row>
    <row r="188" spans="1:13" x14ac:dyDescent="0.2">
      <c r="B188" s="21" t="s">
        <v>157</v>
      </c>
      <c r="C188" s="1495" t="s">
        <v>271</v>
      </c>
      <c r="D188" s="1495" t="s">
        <v>68</v>
      </c>
      <c r="E188" s="21" t="s">
        <v>325</v>
      </c>
      <c r="F188" s="21" t="s">
        <v>57</v>
      </c>
      <c r="G188" s="1495" t="s">
        <v>337</v>
      </c>
      <c r="H188" s="1495" t="s">
        <v>167</v>
      </c>
      <c r="I188" s="21" t="s">
        <v>446</v>
      </c>
      <c r="J188" s="21" t="s">
        <v>174</v>
      </c>
      <c r="K188" s="1495" t="s">
        <v>450</v>
      </c>
      <c r="L188" s="1495" t="s">
        <v>438</v>
      </c>
      <c r="M188" s="21" t="s">
        <v>32</v>
      </c>
    </row>
    <row r="189" spans="1:13" x14ac:dyDescent="0.2">
      <c r="A189" s="7" t="s">
        <v>344</v>
      </c>
      <c r="B189" s="21" t="s">
        <v>177</v>
      </c>
      <c r="C189" s="4">
        <v>70195610000</v>
      </c>
      <c r="D189" s="4">
        <v>53765870000</v>
      </c>
      <c r="E189" s="4">
        <v>26414280000</v>
      </c>
      <c r="F189" s="4">
        <v>6594188759</v>
      </c>
      <c r="G189" s="4">
        <v>5376740000</v>
      </c>
      <c r="H189" s="4">
        <v>3192430000</v>
      </c>
      <c r="I189" s="4">
        <v>1133460000</v>
      </c>
      <c r="J189" s="4">
        <v>958740000</v>
      </c>
      <c r="K189" s="4">
        <v>386624852</v>
      </c>
      <c r="L189" s="4">
        <v>36600000</v>
      </c>
      <c r="M189" s="4">
        <v>1300000</v>
      </c>
    </row>
    <row r="190" spans="1:13" x14ac:dyDescent="0.2">
      <c r="B190" s="21" t="s">
        <v>162</v>
      </c>
      <c r="C190" s="1495" t="s">
        <v>263</v>
      </c>
      <c r="D190" s="1495" t="s">
        <v>279</v>
      </c>
      <c r="F190" s="1495" t="s">
        <v>262</v>
      </c>
      <c r="H190" s="1495" t="s">
        <v>159</v>
      </c>
      <c r="K190" s="1495" t="s">
        <v>281</v>
      </c>
    </row>
    <row r="191" spans="1:13" x14ac:dyDescent="0.2">
      <c r="B191" s="21" t="s">
        <v>161</v>
      </c>
      <c r="C191" s="1495" t="s">
        <v>263</v>
      </c>
      <c r="D191" s="1495" t="s">
        <v>279</v>
      </c>
      <c r="F191" s="1495" t="s">
        <v>262</v>
      </c>
      <c r="H191" s="1495" t="s">
        <v>159</v>
      </c>
      <c r="K191" s="1495" t="s">
        <v>281</v>
      </c>
    </row>
    <row r="192" spans="1:13" x14ac:dyDescent="0.2">
      <c r="B192" s="21" t="s">
        <v>160</v>
      </c>
      <c r="C192" s="1495" t="s">
        <v>263</v>
      </c>
      <c r="D192" s="1495" t="s">
        <v>279</v>
      </c>
      <c r="E192" s="1495" t="s">
        <v>168</v>
      </c>
      <c r="F192" s="1495" t="s">
        <v>262</v>
      </c>
      <c r="H192" s="1495" t="s">
        <v>159</v>
      </c>
      <c r="K192" s="1495" t="s">
        <v>281</v>
      </c>
    </row>
    <row r="193" spans="1:13" x14ac:dyDescent="0.2">
      <c r="B193" s="21" t="s">
        <v>157</v>
      </c>
      <c r="C193" s="1495" t="s">
        <v>263</v>
      </c>
      <c r="D193" s="1495" t="s">
        <v>279</v>
      </c>
      <c r="E193" s="1495" t="s">
        <v>168</v>
      </c>
      <c r="F193" s="1495" t="s">
        <v>262</v>
      </c>
      <c r="G193" s="21" t="s">
        <v>291</v>
      </c>
      <c r="H193" s="1495" t="s">
        <v>159</v>
      </c>
      <c r="I193" s="21" t="s">
        <v>198</v>
      </c>
      <c r="J193" s="21" t="s">
        <v>93</v>
      </c>
      <c r="K193" s="1495" t="s">
        <v>281</v>
      </c>
      <c r="L193" s="21" t="s">
        <v>174</v>
      </c>
      <c r="M193" s="21" t="s">
        <v>275</v>
      </c>
    </row>
    <row r="194" spans="1:13" x14ac:dyDescent="0.2">
      <c r="A194" s="7" t="s">
        <v>343</v>
      </c>
      <c r="B194" s="21" t="s">
        <v>177</v>
      </c>
      <c r="C194" s="4">
        <v>101237567321</v>
      </c>
      <c r="D194" s="4">
        <v>37402010000</v>
      </c>
      <c r="E194" s="4">
        <v>22565510000</v>
      </c>
      <c r="F194" s="4">
        <v>20559600000</v>
      </c>
      <c r="G194" s="4">
        <v>17229870000</v>
      </c>
      <c r="H194" s="4">
        <v>14340690000</v>
      </c>
      <c r="I194" s="4">
        <v>11716700000</v>
      </c>
      <c r="J194" s="4">
        <v>9620757992</v>
      </c>
      <c r="K194" s="4">
        <v>9085252101</v>
      </c>
      <c r="L194" s="4">
        <v>665240000</v>
      </c>
      <c r="M194" s="4">
        <v>55117693</v>
      </c>
    </row>
    <row r="195" spans="1:13" x14ac:dyDescent="0.2">
      <c r="B195" s="21" t="s">
        <v>162</v>
      </c>
      <c r="C195" s="1495" t="s">
        <v>42</v>
      </c>
      <c r="D195" s="1495" t="s">
        <v>296</v>
      </c>
      <c r="G195" s="1495" t="s">
        <v>279</v>
      </c>
      <c r="H195" s="1495" t="s">
        <v>76</v>
      </c>
      <c r="J195" s="1495" t="s">
        <v>339</v>
      </c>
      <c r="L195" s="1495" t="s">
        <v>300</v>
      </c>
    </row>
    <row r="196" spans="1:13" x14ac:dyDescent="0.2">
      <c r="B196" s="21" t="s">
        <v>161</v>
      </c>
      <c r="C196" s="1495" t="s">
        <v>42</v>
      </c>
      <c r="D196" s="1495" t="s">
        <v>296</v>
      </c>
      <c r="G196" s="1495" t="s">
        <v>279</v>
      </c>
      <c r="H196" s="1495" t="s">
        <v>76</v>
      </c>
      <c r="J196" s="1495" t="s">
        <v>339</v>
      </c>
      <c r="L196" s="1495" t="s">
        <v>300</v>
      </c>
    </row>
    <row r="197" spans="1:13" x14ac:dyDescent="0.2">
      <c r="B197" s="21" t="s">
        <v>160</v>
      </c>
      <c r="C197" s="1495" t="s">
        <v>42</v>
      </c>
      <c r="D197" s="1495" t="s">
        <v>296</v>
      </c>
      <c r="G197" s="1495" t="s">
        <v>279</v>
      </c>
      <c r="H197" s="1495" t="s">
        <v>76</v>
      </c>
      <c r="J197" s="1495" t="s">
        <v>339</v>
      </c>
      <c r="L197" s="1495" t="s">
        <v>300</v>
      </c>
    </row>
    <row r="198" spans="1:13" x14ac:dyDescent="0.2">
      <c r="B198" s="21" t="s">
        <v>157</v>
      </c>
      <c r="C198" s="1495" t="s">
        <v>42</v>
      </c>
      <c r="D198" s="1495" t="s">
        <v>296</v>
      </c>
      <c r="E198" s="21" t="s">
        <v>87</v>
      </c>
      <c r="F198" s="21" t="s">
        <v>97</v>
      </c>
      <c r="G198" s="1495" t="s">
        <v>279</v>
      </c>
      <c r="H198" s="1495" t="s">
        <v>76</v>
      </c>
      <c r="I198" s="21" t="s">
        <v>192</v>
      </c>
      <c r="J198" s="1495" t="s">
        <v>339</v>
      </c>
      <c r="K198" s="21" t="s">
        <v>179</v>
      </c>
      <c r="L198" s="1495" t="s">
        <v>300</v>
      </c>
      <c r="M198" s="21" t="s">
        <v>342</v>
      </c>
    </row>
    <row r="199" spans="1:13" x14ac:dyDescent="0.2">
      <c r="A199" s="7" t="s">
        <v>341</v>
      </c>
      <c r="B199" s="21" t="s">
        <v>177</v>
      </c>
      <c r="C199" s="4">
        <v>106096210000</v>
      </c>
      <c r="D199" s="4">
        <v>90501320000</v>
      </c>
      <c r="E199" s="4">
        <v>45175040000</v>
      </c>
      <c r="F199" s="4">
        <v>41196700000</v>
      </c>
      <c r="G199" s="4">
        <v>37351250000</v>
      </c>
      <c r="H199" s="4">
        <v>24356180000</v>
      </c>
      <c r="I199" s="4">
        <v>15492340000</v>
      </c>
      <c r="J199" s="4">
        <v>7276150000</v>
      </c>
      <c r="K199" s="4">
        <v>4754650000</v>
      </c>
      <c r="L199" s="4">
        <v>2107410000</v>
      </c>
      <c r="M199" s="4">
        <v>1378720000</v>
      </c>
    </row>
    <row r="200" spans="1:13" x14ac:dyDescent="0.2">
      <c r="B200" s="21" t="s">
        <v>162</v>
      </c>
      <c r="E200" s="1495" t="s">
        <v>265</v>
      </c>
      <c r="F200" s="1495" t="s">
        <v>68</v>
      </c>
      <c r="H200" s="1495" t="s">
        <v>339</v>
      </c>
      <c r="K200" s="1495" t="s">
        <v>450</v>
      </c>
    </row>
    <row r="201" spans="1:13" x14ac:dyDescent="0.2">
      <c r="B201" s="21" t="s">
        <v>161</v>
      </c>
      <c r="E201" s="1495" t="s">
        <v>265</v>
      </c>
      <c r="F201" s="1495" t="s">
        <v>68</v>
      </c>
      <c r="H201" s="1495" t="s">
        <v>339</v>
      </c>
      <c r="K201" s="1495" t="s">
        <v>450</v>
      </c>
    </row>
    <row r="202" spans="1:13" x14ac:dyDescent="0.2">
      <c r="B202" s="21" t="s">
        <v>160</v>
      </c>
      <c r="E202" s="1495" t="s">
        <v>265</v>
      </c>
      <c r="F202" s="1495" t="s">
        <v>68</v>
      </c>
      <c r="H202" s="1495" t="s">
        <v>339</v>
      </c>
      <c r="J202" s="1495" t="s">
        <v>432</v>
      </c>
      <c r="K202" s="1495" t="s">
        <v>450</v>
      </c>
    </row>
    <row r="203" spans="1:13" x14ac:dyDescent="0.2">
      <c r="B203" s="21" t="s">
        <v>157</v>
      </c>
      <c r="C203" s="21" t="s">
        <v>5</v>
      </c>
      <c r="D203" s="21" t="s">
        <v>25</v>
      </c>
      <c r="E203" s="1495" t="s">
        <v>265</v>
      </c>
      <c r="F203" s="1495" t="s">
        <v>68</v>
      </c>
      <c r="G203" s="21" t="s">
        <v>336</v>
      </c>
      <c r="H203" s="1495" t="s">
        <v>339</v>
      </c>
      <c r="I203" s="21" t="s">
        <v>278</v>
      </c>
      <c r="J203" s="1495" t="s">
        <v>432</v>
      </c>
      <c r="K203" s="1495" t="s">
        <v>450</v>
      </c>
    </row>
    <row r="204" spans="1:13" x14ac:dyDescent="0.2">
      <c r="A204" s="7" t="s">
        <v>340</v>
      </c>
      <c r="B204" s="21" t="s">
        <v>177</v>
      </c>
      <c r="C204" s="4">
        <v>74435390000</v>
      </c>
      <c r="D204" s="4">
        <v>63260800000</v>
      </c>
      <c r="E204" s="4">
        <v>47945250000</v>
      </c>
      <c r="F204" s="4">
        <v>45482850000</v>
      </c>
      <c r="G204" s="4">
        <v>5040830000</v>
      </c>
      <c r="H204" s="4">
        <v>3545680000</v>
      </c>
      <c r="I204" s="4">
        <v>2229490000</v>
      </c>
      <c r="J204" s="4">
        <v>179500000</v>
      </c>
      <c r="K204" s="4">
        <v>18564177</v>
      </c>
    </row>
    <row r="205" spans="1:13" x14ac:dyDescent="0.2">
      <c r="B205" s="21" t="s">
        <v>162</v>
      </c>
      <c r="F205" s="1495" t="s">
        <v>279</v>
      </c>
      <c r="J205" s="1495" t="s">
        <v>337</v>
      </c>
    </row>
    <row r="206" spans="1:13" x14ac:dyDescent="0.2">
      <c r="B206" s="21" t="s">
        <v>161</v>
      </c>
      <c r="F206" s="1495" t="s">
        <v>279</v>
      </c>
      <c r="J206" s="1495" t="s">
        <v>337</v>
      </c>
    </row>
    <row r="207" spans="1:13" x14ac:dyDescent="0.2">
      <c r="B207" s="21" t="s">
        <v>160</v>
      </c>
      <c r="E207" s="1495" t="s">
        <v>16</v>
      </c>
      <c r="F207" s="1495" t="s">
        <v>279</v>
      </c>
      <c r="H207" s="1495" t="s">
        <v>171</v>
      </c>
      <c r="J207" s="1495" t="s">
        <v>337</v>
      </c>
    </row>
    <row r="208" spans="1:13" x14ac:dyDescent="0.2">
      <c r="B208" s="21" t="s">
        <v>157</v>
      </c>
      <c r="C208" s="21" t="s">
        <v>35</v>
      </c>
      <c r="D208" s="21" t="s">
        <v>65</v>
      </c>
      <c r="E208" s="1495" t="s">
        <v>16</v>
      </c>
      <c r="F208" s="1495" t="s">
        <v>279</v>
      </c>
      <c r="G208" s="21" t="s">
        <v>9</v>
      </c>
      <c r="H208" s="1495" t="s">
        <v>171</v>
      </c>
      <c r="I208" s="21" t="s">
        <v>169</v>
      </c>
      <c r="J208" s="1495" t="s">
        <v>337</v>
      </c>
      <c r="K208" s="21" t="s">
        <v>292</v>
      </c>
      <c r="L208" s="21" t="s">
        <v>432</v>
      </c>
    </row>
    <row r="209" spans="1:12" x14ac:dyDescent="0.2">
      <c r="A209" s="7" t="s">
        <v>338</v>
      </c>
      <c r="B209" s="21" t="s">
        <v>177</v>
      </c>
      <c r="C209" s="4">
        <v>153919130000</v>
      </c>
      <c r="D209" s="4">
        <v>49051460000</v>
      </c>
      <c r="E209" s="4">
        <v>36370320000</v>
      </c>
      <c r="F209" s="4">
        <v>35042070000</v>
      </c>
      <c r="G209" s="4">
        <v>22275040000</v>
      </c>
      <c r="H209" s="4">
        <v>16311240000</v>
      </c>
      <c r="I209" s="4">
        <v>11664180000</v>
      </c>
      <c r="J209" s="4">
        <v>425080000</v>
      </c>
      <c r="K209" s="4">
        <v>170523821</v>
      </c>
      <c r="L209" s="4">
        <v>44750000</v>
      </c>
    </row>
    <row r="210" spans="1:12" x14ac:dyDescent="0.2">
      <c r="B210" s="21" t="s">
        <v>160</v>
      </c>
      <c r="F210" s="1495" t="s">
        <v>16</v>
      </c>
      <c r="H210" s="1495" t="s">
        <v>171</v>
      </c>
    </row>
    <row r="211" spans="1:12" x14ac:dyDescent="0.2">
      <c r="B211" s="21" t="s">
        <v>157</v>
      </c>
      <c r="C211" s="21" t="s">
        <v>5</v>
      </c>
      <c r="D211" s="21" t="s">
        <v>29</v>
      </c>
      <c r="E211" s="21" t="s">
        <v>67</v>
      </c>
      <c r="F211" s="1495" t="s">
        <v>16</v>
      </c>
      <c r="G211" s="21" t="s">
        <v>95</v>
      </c>
      <c r="H211" s="1495" t="s">
        <v>171</v>
      </c>
      <c r="I211" s="21" t="s">
        <v>314</v>
      </c>
      <c r="J211" s="21" t="s">
        <v>436</v>
      </c>
    </row>
    <row r="212" spans="1:12" x14ac:dyDescent="0.2">
      <c r="A212" s="7" t="s">
        <v>334</v>
      </c>
      <c r="B212" s="21" t="s">
        <v>177</v>
      </c>
      <c r="C212" s="4">
        <v>61180010000</v>
      </c>
      <c r="D212" s="4">
        <v>46631300519</v>
      </c>
      <c r="E212" s="4">
        <v>31756230000</v>
      </c>
      <c r="F212" s="4">
        <v>23171170000</v>
      </c>
      <c r="G212" s="4">
        <v>15403560000</v>
      </c>
      <c r="H212" s="4">
        <v>11347750000</v>
      </c>
      <c r="I212" s="4">
        <v>4900150000</v>
      </c>
      <c r="J212" s="4">
        <v>1505663074</v>
      </c>
    </row>
    <row r="213" spans="1:12" x14ac:dyDescent="0.2">
      <c r="B213" s="21" t="s">
        <v>162</v>
      </c>
      <c r="D213" s="1495" t="s">
        <v>296</v>
      </c>
      <c r="G213" s="1495" t="s">
        <v>280</v>
      </c>
      <c r="H213" s="1495" t="s">
        <v>281</v>
      </c>
      <c r="I213" s="1495" t="s">
        <v>326</v>
      </c>
    </row>
    <row r="214" spans="1:12" x14ac:dyDescent="0.2">
      <c r="B214" s="21" t="s">
        <v>161</v>
      </c>
      <c r="D214" s="1495" t="s">
        <v>296</v>
      </c>
      <c r="G214" s="1495" t="s">
        <v>280</v>
      </c>
      <c r="H214" s="1495" t="s">
        <v>281</v>
      </c>
      <c r="I214" s="1495" t="s">
        <v>326</v>
      </c>
    </row>
    <row r="215" spans="1:12" x14ac:dyDescent="0.2">
      <c r="B215" s="21" t="s">
        <v>160</v>
      </c>
      <c r="D215" s="1495" t="s">
        <v>296</v>
      </c>
      <c r="G215" s="1495" t="s">
        <v>280</v>
      </c>
      <c r="H215" s="1495" t="s">
        <v>281</v>
      </c>
      <c r="I215" s="1495" t="s">
        <v>326</v>
      </c>
    </row>
    <row r="216" spans="1:12" x14ac:dyDescent="0.2">
      <c r="B216" s="21" t="s">
        <v>157</v>
      </c>
      <c r="C216" s="21" t="s">
        <v>61</v>
      </c>
      <c r="D216" s="1495" t="s">
        <v>296</v>
      </c>
      <c r="E216" s="21" t="s">
        <v>333</v>
      </c>
      <c r="F216" s="21" t="s">
        <v>312</v>
      </c>
      <c r="G216" s="1495" t="s">
        <v>280</v>
      </c>
      <c r="H216" s="1495" t="s">
        <v>281</v>
      </c>
      <c r="I216" s="1495" t="s">
        <v>326</v>
      </c>
      <c r="J216" s="21" t="s">
        <v>173</v>
      </c>
    </row>
    <row r="217" spans="1:12" x14ac:dyDescent="0.2">
      <c r="A217" s="7" t="s">
        <v>332</v>
      </c>
      <c r="B217" s="21" t="s">
        <v>177</v>
      </c>
      <c r="C217" s="4">
        <v>71237770000</v>
      </c>
      <c r="D217" s="4">
        <v>30282240000</v>
      </c>
      <c r="E217" s="4">
        <v>12089760000</v>
      </c>
      <c r="F217" s="4">
        <v>8056050000</v>
      </c>
      <c r="G217" s="4">
        <v>7693288958</v>
      </c>
      <c r="H217" s="4">
        <v>4345653063</v>
      </c>
      <c r="I217" s="4">
        <v>1730660000</v>
      </c>
      <c r="J217" s="4">
        <v>1430540000</v>
      </c>
    </row>
    <row r="218" spans="1:12" x14ac:dyDescent="0.2">
      <c r="B218" s="21" t="s">
        <v>162</v>
      </c>
      <c r="E218" s="1495" t="s">
        <v>182</v>
      </c>
      <c r="F218" s="1495" t="s">
        <v>277</v>
      </c>
    </row>
    <row r="219" spans="1:12" x14ac:dyDescent="0.2">
      <c r="B219" s="21" t="s">
        <v>161</v>
      </c>
      <c r="E219" s="1495" t="s">
        <v>182</v>
      </c>
      <c r="F219" s="1495" t="s">
        <v>277</v>
      </c>
    </row>
    <row r="220" spans="1:12" x14ac:dyDescent="0.2">
      <c r="B220" s="21" t="s">
        <v>160</v>
      </c>
      <c r="E220" s="1495" t="s">
        <v>182</v>
      </c>
      <c r="F220" s="1495" t="s">
        <v>277</v>
      </c>
      <c r="H220" s="1495" t="s">
        <v>158</v>
      </c>
    </row>
    <row r="221" spans="1:12" x14ac:dyDescent="0.2">
      <c r="B221" s="21" t="s">
        <v>157</v>
      </c>
      <c r="C221" s="21" t="s">
        <v>28</v>
      </c>
      <c r="D221" s="21" t="s">
        <v>186</v>
      </c>
      <c r="E221" s="1495" t="s">
        <v>182</v>
      </c>
      <c r="F221" s="1495" t="s">
        <v>277</v>
      </c>
      <c r="G221" s="21" t="s">
        <v>57</v>
      </c>
      <c r="H221" s="1495" t="s">
        <v>158</v>
      </c>
    </row>
    <row r="222" spans="1:12" x14ac:dyDescent="0.2">
      <c r="A222" s="7" t="s">
        <v>331</v>
      </c>
      <c r="B222" s="21" t="s">
        <v>177</v>
      </c>
      <c r="C222" s="4">
        <v>44818930000</v>
      </c>
      <c r="D222" s="4">
        <v>30813230000</v>
      </c>
      <c r="E222" s="4">
        <v>14730430000</v>
      </c>
      <c r="F222" s="4">
        <v>2650620000</v>
      </c>
      <c r="G222" s="4">
        <v>975337494</v>
      </c>
      <c r="H222" s="4">
        <v>975163604</v>
      </c>
    </row>
    <row r="223" spans="1:12" x14ac:dyDescent="0.2">
      <c r="B223" s="21" t="s">
        <v>162</v>
      </c>
      <c r="D223" s="1495" t="s">
        <v>265</v>
      </c>
    </row>
    <row r="224" spans="1:12" x14ac:dyDescent="0.2">
      <c r="B224" s="21" t="s">
        <v>161</v>
      </c>
      <c r="D224" s="1495" t="s">
        <v>265</v>
      </c>
    </row>
    <row r="225" spans="1:13" x14ac:dyDescent="0.2">
      <c r="B225" s="21" t="s">
        <v>160</v>
      </c>
      <c r="D225" s="1495" t="s">
        <v>265</v>
      </c>
      <c r="E225" s="1495" t="s">
        <v>171</v>
      </c>
    </row>
    <row r="226" spans="1:13" x14ac:dyDescent="0.2">
      <c r="B226" s="21" t="s">
        <v>157</v>
      </c>
      <c r="C226" s="21" t="s">
        <v>271</v>
      </c>
      <c r="D226" s="1495" t="s">
        <v>265</v>
      </c>
      <c r="E226" s="1495" t="s">
        <v>171</v>
      </c>
      <c r="F226" s="21" t="s">
        <v>431</v>
      </c>
      <c r="G226" s="21" t="s">
        <v>437</v>
      </c>
    </row>
    <row r="227" spans="1:13" x14ac:dyDescent="0.2">
      <c r="A227" s="7" t="s">
        <v>327</v>
      </c>
      <c r="B227" s="21" t="s">
        <v>177</v>
      </c>
      <c r="C227" s="4">
        <v>64029050000</v>
      </c>
      <c r="D227" s="4">
        <v>23496270000</v>
      </c>
      <c r="E227" s="4">
        <v>8068080000</v>
      </c>
      <c r="F227" s="4">
        <v>2792560000</v>
      </c>
      <c r="G227" s="4">
        <v>258519525</v>
      </c>
    </row>
    <row r="228" spans="1:13" x14ac:dyDescent="0.2">
      <c r="B228" s="21" t="s">
        <v>162</v>
      </c>
      <c r="K228" s="1495" t="s">
        <v>191</v>
      </c>
    </row>
    <row r="229" spans="1:13" x14ac:dyDescent="0.2">
      <c r="B229" s="21" t="s">
        <v>161</v>
      </c>
      <c r="K229" s="1495" t="s">
        <v>191</v>
      </c>
    </row>
    <row r="230" spans="1:13" x14ac:dyDescent="0.2">
      <c r="B230" s="21" t="s">
        <v>160</v>
      </c>
      <c r="C230" s="1495" t="s">
        <v>40</v>
      </c>
      <c r="G230" s="1495" t="s">
        <v>281</v>
      </c>
      <c r="K230" s="1495" t="s">
        <v>191</v>
      </c>
    </row>
    <row r="231" spans="1:13" x14ac:dyDescent="0.2">
      <c r="B231" s="21" t="s">
        <v>157</v>
      </c>
      <c r="C231" s="1495" t="s">
        <v>40</v>
      </c>
      <c r="D231" s="21" t="s">
        <v>325</v>
      </c>
      <c r="E231" s="21" t="s">
        <v>192</v>
      </c>
      <c r="F231" s="21" t="s">
        <v>179</v>
      </c>
      <c r="G231" s="1495" t="s">
        <v>281</v>
      </c>
      <c r="H231" s="21" t="s">
        <v>326</v>
      </c>
      <c r="I231" s="21" t="s">
        <v>445</v>
      </c>
      <c r="J231" s="21" t="s">
        <v>437</v>
      </c>
      <c r="K231" s="1495" t="s">
        <v>191</v>
      </c>
    </row>
    <row r="232" spans="1:13" x14ac:dyDescent="0.2">
      <c r="A232" s="7" t="s">
        <v>324</v>
      </c>
      <c r="B232" s="21" t="s">
        <v>177</v>
      </c>
      <c r="C232" s="4">
        <v>42918423314</v>
      </c>
      <c r="D232" s="4">
        <v>18239496999</v>
      </c>
      <c r="E232" s="4">
        <v>13330160000</v>
      </c>
      <c r="F232" s="4">
        <v>3628023574</v>
      </c>
      <c r="G232" s="4">
        <v>1776228047</v>
      </c>
      <c r="H232" s="4">
        <v>849426693</v>
      </c>
      <c r="I232" s="4">
        <v>510341667</v>
      </c>
      <c r="J232" s="4">
        <v>118861057</v>
      </c>
      <c r="K232" s="4">
        <v>32423423</v>
      </c>
    </row>
    <row r="233" spans="1:13" x14ac:dyDescent="0.2">
      <c r="B233" s="21" t="s">
        <v>162</v>
      </c>
      <c r="C233" s="1495" t="s">
        <v>23</v>
      </c>
      <c r="G233" s="1495" t="s">
        <v>60</v>
      </c>
      <c r="I233" s="1495" t="s">
        <v>430</v>
      </c>
      <c r="K233" s="1495" t="s">
        <v>442</v>
      </c>
      <c r="M233" s="1495" t="s">
        <v>450</v>
      </c>
    </row>
    <row r="234" spans="1:13" x14ac:dyDescent="0.2">
      <c r="B234" s="21" t="s">
        <v>161</v>
      </c>
      <c r="C234" s="1495" t="s">
        <v>23</v>
      </c>
      <c r="G234" s="1495" t="s">
        <v>60</v>
      </c>
      <c r="I234" s="1495" t="s">
        <v>430</v>
      </c>
      <c r="K234" s="1495" t="s">
        <v>442</v>
      </c>
      <c r="M234" s="1495" t="s">
        <v>450</v>
      </c>
    </row>
    <row r="235" spans="1:13" x14ac:dyDescent="0.2">
      <c r="B235" s="21" t="s">
        <v>160</v>
      </c>
      <c r="C235" s="1495" t="s">
        <v>23</v>
      </c>
      <c r="G235" s="1495" t="s">
        <v>60</v>
      </c>
      <c r="I235" s="1495" t="s">
        <v>430</v>
      </c>
      <c r="K235" s="1495" t="s">
        <v>442</v>
      </c>
      <c r="M235" s="1495" t="s">
        <v>450</v>
      </c>
    </row>
    <row r="236" spans="1:13" x14ac:dyDescent="0.2">
      <c r="B236" s="21" t="s">
        <v>157</v>
      </c>
      <c r="C236" s="1495" t="s">
        <v>23</v>
      </c>
      <c r="D236" s="21" t="s">
        <v>21</v>
      </c>
      <c r="E236" s="21" t="s">
        <v>25</v>
      </c>
      <c r="F236" s="21" t="s">
        <v>36</v>
      </c>
      <c r="G236" s="1495" t="s">
        <v>60</v>
      </c>
      <c r="H236" s="21" t="s">
        <v>269</v>
      </c>
      <c r="I236" s="1495" t="s">
        <v>430</v>
      </c>
      <c r="J236" s="21" t="s">
        <v>170</v>
      </c>
      <c r="K236" s="1495" t="s">
        <v>442</v>
      </c>
      <c r="L236" s="21" t="s">
        <v>261</v>
      </c>
      <c r="M236" s="1495" t="s">
        <v>450</v>
      </c>
    </row>
    <row r="237" spans="1:13" x14ac:dyDescent="0.2">
      <c r="A237" s="7" t="s">
        <v>323</v>
      </c>
      <c r="B237" s="21" t="s">
        <v>177</v>
      </c>
      <c r="C237" s="4">
        <v>138622680000</v>
      </c>
      <c r="D237" s="4">
        <v>121133470000</v>
      </c>
      <c r="E237" s="4">
        <v>38300430000</v>
      </c>
      <c r="F237" s="4">
        <v>30810070000</v>
      </c>
      <c r="G237" s="4">
        <v>29585200000</v>
      </c>
      <c r="H237" s="4">
        <v>18768370000</v>
      </c>
      <c r="I237" s="4">
        <v>8390300000</v>
      </c>
      <c r="J237" s="4">
        <v>6597860000</v>
      </c>
      <c r="K237" s="4">
        <v>3367980000</v>
      </c>
      <c r="L237" s="4">
        <v>2966550000</v>
      </c>
      <c r="M237" s="4">
        <v>9326916</v>
      </c>
    </row>
    <row r="238" spans="1:13" x14ac:dyDescent="0.2">
      <c r="B238" s="21" t="s">
        <v>162</v>
      </c>
      <c r="G238" s="1495" t="s">
        <v>296</v>
      </c>
      <c r="K238" s="1495" t="s">
        <v>439</v>
      </c>
    </row>
    <row r="239" spans="1:13" x14ac:dyDescent="0.2">
      <c r="B239" s="21" t="s">
        <v>161</v>
      </c>
      <c r="G239" s="1495" t="s">
        <v>296</v>
      </c>
      <c r="K239" s="1495" t="s">
        <v>439</v>
      </c>
    </row>
    <row r="240" spans="1:13" x14ac:dyDescent="0.2">
      <c r="B240" s="21" t="s">
        <v>160</v>
      </c>
      <c r="C240" s="1495" t="s">
        <v>42</v>
      </c>
      <c r="G240" s="1495" t="s">
        <v>296</v>
      </c>
      <c r="K240" s="1495" t="s">
        <v>439</v>
      </c>
    </row>
    <row r="241" spans="1:14" x14ac:dyDescent="0.2">
      <c r="B241" s="21" t="s">
        <v>157</v>
      </c>
      <c r="C241" s="1495" t="s">
        <v>42</v>
      </c>
      <c r="D241" s="21" t="s">
        <v>87</v>
      </c>
      <c r="E241" s="21" t="s">
        <v>97</v>
      </c>
      <c r="F241" s="21" t="s">
        <v>18</v>
      </c>
      <c r="G241" s="1495" t="s">
        <v>296</v>
      </c>
      <c r="H241" s="21" t="s">
        <v>25</v>
      </c>
      <c r="I241" s="21" t="s">
        <v>91</v>
      </c>
      <c r="J241" s="21" t="s">
        <v>36</v>
      </c>
      <c r="K241" s="1495" t="s">
        <v>439</v>
      </c>
      <c r="L241" s="21" t="s">
        <v>447</v>
      </c>
    </row>
    <row r="242" spans="1:14" x14ac:dyDescent="0.2">
      <c r="A242" s="7" t="s">
        <v>321</v>
      </c>
      <c r="B242" s="21" t="s">
        <v>177</v>
      </c>
      <c r="C242" s="4">
        <v>64505520000</v>
      </c>
      <c r="D242" s="4">
        <v>44021360000</v>
      </c>
      <c r="E242" s="4">
        <v>32265490000</v>
      </c>
      <c r="F242" s="4">
        <v>27834080000</v>
      </c>
      <c r="G242" s="4">
        <v>27788220000</v>
      </c>
      <c r="H242" s="4">
        <v>25008150000</v>
      </c>
      <c r="I242" s="4">
        <v>15045490000</v>
      </c>
      <c r="J242" s="4">
        <v>14640700000</v>
      </c>
      <c r="K242" s="4">
        <v>4003300000</v>
      </c>
      <c r="L242" s="4">
        <v>1527790000</v>
      </c>
    </row>
    <row r="243" spans="1:14" x14ac:dyDescent="0.2">
      <c r="B243" s="21" t="s">
        <v>162</v>
      </c>
      <c r="H243" s="1495" t="s">
        <v>76</v>
      </c>
      <c r="I243" s="1495" t="s">
        <v>265</v>
      </c>
      <c r="K243" s="1495" t="s">
        <v>166</v>
      </c>
      <c r="L243" s="1495" t="s">
        <v>300</v>
      </c>
    </row>
    <row r="244" spans="1:14" x14ac:dyDescent="0.2">
      <c r="B244" s="21" t="s">
        <v>161</v>
      </c>
      <c r="H244" s="1495" t="s">
        <v>76</v>
      </c>
      <c r="I244" s="1495" t="s">
        <v>265</v>
      </c>
      <c r="K244" s="1495" t="s">
        <v>166</v>
      </c>
      <c r="L244" s="1495" t="s">
        <v>300</v>
      </c>
    </row>
    <row r="245" spans="1:14" x14ac:dyDescent="0.2">
      <c r="B245" s="21" t="s">
        <v>160</v>
      </c>
      <c r="H245" s="1495" t="s">
        <v>76</v>
      </c>
      <c r="I245" s="1495" t="s">
        <v>265</v>
      </c>
      <c r="K245" s="1495" t="s">
        <v>166</v>
      </c>
      <c r="L245" s="1495" t="s">
        <v>300</v>
      </c>
    </row>
    <row r="246" spans="1:14" x14ac:dyDescent="0.2">
      <c r="B246" s="21" t="s">
        <v>157</v>
      </c>
      <c r="C246" s="21" t="s">
        <v>35</v>
      </c>
      <c r="D246" s="21" t="s">
        <v>66</v>
      </c>
      <c r="E246" s="21" t="s">
        <v>59</v>
      </c>
      <c r="F246" s="21" t="s">
        <v>99</v>
      </c>
      <c r="G246" s="21" t="s">
        <v>15</v>
      </c>
      <c r="H246" s="1495" t="s">
        <v>76</v>
      </c>
      <c r="I246" s="1495" t="s">
        <v>265</v>
      </c>
      <c r="J246" s="21" t="s">
        <v>91</v>
      </c>
      <c r="K246" s="1495" t="s">
        <v>166</v>
      </c>
      <c r="L246" s="1495" t="s">
        <v>300</v>
      </c>
      <c r="M246" s="21" t="s">
        <v>434</v>
      </c>
      <c r="N246" s="21" t="s">
        <v>283</v>
      </c>
    </row>
    <row r="247" spans="1:14" x14ac:dyDescent="0.2">
      <c r="A247" s="7" t="s">
        <v>317</v>
      </c>
      <c r="B247" s="21" t="s">
        <v>177</v>
      </c>
      <c r="C247" s="4">
        <v>139549190000</v>
      </c>
      <c r="D247" s="4">
        <v>50215420000</v>
      </c>
      <c r="E247" s="4">
        <v>36094040000</v>
      </c>
      <c r="F247" s="4">
        <v>34776890000</v>
      </c>
      <c r="G247" s="4">
        <v>30300910000</v>
      </c>
      <c r="H247" s="4">
        <v>18468730000</v>
      </c>
      <c r="I247" s="4">
        <v>15629980000</v>
      </c>
      <c r="J247" s="4">
        <v>6637020000</v>
      </c>
      <c r="K247" s="4">
        <v>2922340000</v>
      </c>
      <c r="L247" s="4">
        <v>1000650000</v>
      </c>
      <c r="M247" s="4">
        <v>467570000</v>
      </c>
      <c r="N247" s="4">
        <v>434780000</v>
      </c>
    </row>
    <row r="248" spans="1:14" x14ac:dyDescent="0.2">
      <c r="B248" s="21" t="s">
        <v>162</v>
      </c>
      <c r="G248" s="1495" t="s">
        <v>430</v>
      </c>
      <c r="H248" s="1495" t="s">
        <v>166</v>
      </c>
    </row>
    <row r="249" spans="1:14" x14ac:dyDescent="0.2">
      <c r="B249" s="21" t="s">
        <v>161</v>
      </c>
      <c r="G249" s="1495" t="s">
        <v>430</v>
      </c>
      <c r="H249" s="1495" t="s">
        <v>166</v>
      </c>
    </row>
    <row r="250" spans="1:14" x14ac:dyDescent="0.2">
      <c r="B250" s="21" t="s">
        <v>160</v>
      </c>
      <c r="E250" s="1495" t="s">
        <v>202</v>
      </c>
      <c r="G250" s="1495" t="s">
        <v>430</v>
      </c>
      <c r="H250" s="1495" t="s">
        <v>166</v>
      </c>
    </row>
    <row r="251" spans="1:14" x14ac:dyDescent="0.2">
      <c r="B251" s="21" t="s">
        <v>157</v>
      </c>
      <c r="C251" s="21" t="s">
        <v>79</v>
      </c>
      <c r="D251" s="21" t="s">
        <v>23</v>
      </c>
      <c r="E251" s="1495" t="s">
        <v>202</v>
      </c>
      <c r="F251" s="21" t="s">
        <v>310</v>
      </c>
      <c r="G251" s="1495" t="s">
        <v>430</v>
      </c>
      <c r="H251" s="1495" t="s">
        <v>166</v>
      </c>
      <c r="I251" s="21" t="s">
        <v>303</v>
      </c>
    </row>
    <row r="252" spans="1:14" x14ac:dyDescent="0.2">
      <c r="A252" s="7" t="s">
        <v>309</v>
      </c>
      <c r="B252" s="21" t="s">
        <v>177</v>
      </c>
      <c r="C252" s="4">
        <v>62934030000</v>
      </c>
      <c r="D252" s="4">
        <v>53230990000</v>
      </c>
      <c r="E252" s="4">
        <v>14025956959</v>
      </c>
      <c r="F252" s="4">
        <v>11392590000</v>
      </c>
      <c r="G252" s="4">
        <v>2188880000</v>
      </c>
      <c r="H252" s="4">
        <v>727780000</v>
      </c>
      <c r="I252" s="4">
        <v>572680000</v>
      </c>
    </row>
    <row r="253" spans="1:14" x14ac:dyDescent="0.2">
      <c r="B253" s="21" t="s">
        <v>162</v>
      </c>
      <c r="C253" s="1495" t="s">
        <v>41</v>
      </c>
    </row>
    <row r="254" spans="1:14" x14ac:dyDescent="0.2">
      <c r="B254" s="21" t="s">
        <v>161</v>
      </c>
      <c r="C254" s="1495" t="s">
        <v>41</v>
      </c>
    </row>
    <row r="255" spans="1:14" x14ac:dyDescent="0.2">
      <c r="B255" s="21" t="s">
        <v>160</v>
      </c>
      <c r="C255" s="1495" t="s">
        <v>41</v>
      </c>
      <c r="D255" s="1495" t="s">
        <v>60</v>
      </c>
      <c r="E255" s="1495" t="s">
        <v>73</v>
      </c>
    </row>
    <row r="256" spans="1:14" x14ac:dyDescent="0.2">
      <c r="B256" s="21" t="s">
        <v>157</v>
      </c>
      <c r="C256" s="1495" t="s">
        <v>41</v>
      </c>
      <c r="D256" s="1495" t="s">
        <v>60</v>
      </c>
      <c r="E256" s="1495" t="s">
        <v>73</v>
      </c>
      <c r="F256" s="21" t="s">
        <v>82</v>
      </c>
      <c r="G256" s="21" t="s">
        <v>278</v>
      </c>
      <c r="H256" s="21" t="s">
        <v>63</v>
      </c>
      <c r="I256" s="21" t="s">
        <v>300</v>
      </c>
    </row>
    <row r="257" spans="1:13" x14ac:dyDescent="0.2">
      <c r="A257" s="7" t="s">
        <v>305</v>
      </c>
      <c r="B257" s="21" t="s">
        <v>177</v>
      </c>
      <c r="C257" s="4">
        <v>24342580000</v>
      </c>
      <c r="D257" s="4">
        <v>13853090000</v>
      </c>
      <c r="E257" s="4">
        <v>11479190000</v>
      </c>
      <c r="F257" s="4">
        <v>8862058128</v>
      </c>
      <c r="G257" s="4">
        <v>2029610000</v>
      </c>
      <c r="H257" s="4">
        <v>1736771163</v>
      </c>
      <c r="I257" s="4">
        <v>667020000</v>
      </c>
    </row>
    <row r="258" spans="1:13" x14ac:dyDescent="0.2">
      <c r="B258" s="21" t="s">
        <v>162</v>
      </c>
      <c r="C258" s="1495" t="s">
        <v>33</v>
      </c>
    </row>
    <row r="259" spans="1:13" x14ac:dyDescent="0.2">
      <c r="B259" s="21" t="s">
        <v>161</v>
      </c>
      <c r="C259" s="1495" t="s">
        <v>33</v>
      </c>
    </row>
    <row r="260" spans="1:13" x14ac:dyDescent="0.2">
      <c r="B260" s="21" t="s">
        <v>160</v>
      </c>
      <c r="C260" s="1495" t="s">
        <v>33</v>
      </c>
    </row>
    <row r="261" spans="1:13" x14ac:dyDescent="0.2">
      <c r="B261" s="21" t="s">
        <v>157</v>
      </c>
      <c r="C261" s="1495" t="s">
        <v>33</v>
      </c>
      <c r="D261" s="21" t="s">
        <v>39</v>
      </c>
      <c r="E261" s="21" t="s">
        <v>99</v>
      </c>
      <c r="F261" s="21" t="s">
        <v>198</v>
      </c>
      <c r="G261" s="21" t="s">
        <v>98</v>
      </c>
      <c r="H261" s="21" t="s">
        <v>170</v>
      </c>
      <c r="I261" s="21" t="s">
        <v>179</v>
      </c>
      <c r="J261" s="21" t="s">
        <v>443</v>
      </c>
      <c r="K261" s="21" t="s">
        <v>433</v>
      </c>
      <c r="L261" s="21" t="s">
        <v>158</v>
      </c>
      <c r="M261" s="21" t="s">
        <v>176</v>
      </c>
    </row>
    <row r="262" spans="1:13" x14ac:dyDescent="0.2">
      <c r="A262" s="7" t="s">
        <v>260</v>
      </c>
      <c r="B262" s="21" t="s">
        <v>177</v>
      </c>
      <c r="C262" s="4">
        <v>136073680000</v>
      </c>
      <c r="D262" s="4">
        <v>22460430000</v>
      </c>
      <c r="E262" s="4">
        <v>20195210000</v>
      </c>
      <c r="F262" s="4">
        <v>8703460000</v>
      </c>
      <c r="G262" s="4">
        <v>5938000000</v>
      </c>
      <c r="H262" s="4">
        <v>4500200000</v>
      </c>
      <c r="I262" s="4">
        <v>3403070000</v>
      </c>
      <c r="J262" s="4">
        <v>3322160000</v>
      </c>
      <c r="K262" s="4">
        <v>2769780000</v>
      </c>
      <c r="L262" s="4">
        <v>517690160</v>
      </c>
      <c r="M262" s="4">
        <v>304800000</v>
      </c>
    </row>
    <row r="263" spans="1:13" x14ac:dyDescent="0.2">
      <c r="B263" s="21" t="s">
        <v>162</v>
      </c>
      <c r="C263" s="1495" t="s">
        <v>33</v>
      </c>
      <c r="D263" s="1495" t="s">
        <v>27</v>
      </c>
      <c r="E263" s="1495" t="s">
        <v>7</v>
      </c>
    </row>
    <row r="264" spans="1:13" x14ac:dyDescent="0.2">
      <c r="B264" s="21" t="s">
        <v>161</v>
      </c>
      <c r="C264" s="1495" t="s">
        <v>33</v>
      </c>
      <c r="D264" s="1495" t="s">
        <v>27</v>
      </c>
      <c r="E264" s="1495" t="s">
        <v>7</v>
      </c>
    </row>
    <row r="265" spans="1:13" x14ac:dyDescent="0.2">
      <c r="B265" s="21" t="s">
        <v>160</v>
      </c>
      <c r="C265" s="1495" t="s">
        <v>33</v>
      </c>
      <c r="D265" s="1495" t="s">
        <v>27</v>
      </c>
      <c r="E265" s="1495" t="s">
        <v>7</v>
      </c>
      <c r="H265" s="1495" t="s">
        <v>440</v>
      </c>
    </row>
    <row r="266" spans="1:13" x14ac:dyDescent="0.2">
      <c r="B266" s="21" t="s">
        <v>157</v>
      </c>
      <c r="C266" s="1495" t="s">
        <v>33</v>
      </c>
      <c r="D266" s="1495" t="s">
        <v>27</v>
      </c>
      <c r="E266" s="1495" t="s">
        <v>7</v>
      </c>
      <c r="F266" s="21" t="s">
        <v>267</v>
      </c>
      <c r="G266" s="21" t="s">
        <v>39</v>
      </c>
      <c r="H266" s="1495" t="s">
        <v>440</v>
      </c>
      <c r="I266" s="21" t="s">
        <v>158</v>
      </c>
    </row>
    <row r="267" spans="1:13" x14ac:dyDescent="0.2">
      <c r="A267" s="7" t="s">
        <v>259</v>
      </c>
      <c r="B267" s="21" t="s">
        <v>177</v>
      </c>
      <c r="C267" s="4">
        <v>112514690000</v>
      </c>
      <c r="D267" s="4">
        <v>39872210000</v>
      </c>
      <c r="E267" s="4">
        <v>23759837130</v>
      </c>
      <c r="F267" s="4">
        <v>17496820000</v>
      </c>
      <c r="G267" s="4">
        <v>14295160000</v>
      </c>
      <c r="H267" s="4">
        <v>3024550000</v>
      </c>
      <c r="I267" s="4">
        <v>42470837</v>
      </c>
    </row>
    <row r="268" spans="1:13" x14ac:dyDescent="0.2">
      <c r="B268" s="21" t="s">
        <v>162</v>
      </c>
      <c r="G268" s="1495" t="s">
        <v>277</v>
      </c>
    </row>
    <row r="269" spans="1:13" x14ac:dyDescent="0.2">
      <c r="B269" s="21" t="s">
        <v>161</v>
      </c>
      <c r="G269" s="1495" t="s">
        <v>277</v>
      </c>
    </row>
    <row r="270" spans="1:13" x14ac:dyDescent="0.2">
      <c r="B270" s="21" t="s">
        <v>160</v>
      </c>
      <c r="G270" s="1495" t="s">
        <v>277</v>
      </c>
    </row>
    <row r="271" spans="1:13" x14ac:dyDescent="0.2">
      <c r="B271" s="21" t="s">
        <v>157</v>
      </c>
      <c r="C271" s="21" t="s">
        <v>97</v>
      </c>
      <c r="D271" s="21" t="s">
        <v>182</v>
      </c>
      <c r="E271" s="21" t="s">
        <v>302</v>
      </c>
      <c r="F271" s="21" t="s">
        <v>207</v>
      </c>
      <c r="G271" s="1495" t="s">
        <v>277</v>
      </c>
      <c r="H271" s="21" t="s">
        <v>444</v>
      </c>
    </row>
    <row r="272" spans="1:13" x14ac:dyDescent="0.2">
      <c r="A272" s="7" t="s">
        <v>258</v>
      </c>
      <c r="B272" s="21" t="s">
        <v>177</v>
      </c>
      <c r="C272" s="4">
        <v>30532570000</v>
      </c>
      <c r="D272" s="4">
        <v>9689940000</v>
      </c>
      <c r="E272" s="4">
        <v>8391580000</v>
      </c>
      <c r="F272" s="4">
        <v>8227730000</v>
      </c>
      <c r="G272" s="4">
        <v>1278030000</v>
      </c>
      <c r="H272" s="4">
        <v>68500000</v>
      </c>
    </row>
    <row r="273" spans="1:12" x14ac:dyDescent="0.2">
      <c r="B273" s="21" t="s">
        <v>162</v>
      </c>
      <c r="C273" s="1495" t="s">
        <v>90</v>
      </c>
    </row>
    <row r="274" spans="1:12" x14ac:dyDescent="0.2">
      <c r="B274" s="21" t="s">
        <v>161</v>
      </c>
      <c r="C274" s="1495" t="s">
        <v>90</v>
      </c>
    </row>
    <row r="275" spans="1:12" x14ac:dyDescent="0.2">
      <c r="B275" s="21" t="s">
        <v>160</v>
      </c>
      <c r="C275" s="1495" t="s">
        <v>90</v>
      </c>
    </row>
    <row r="276" spans="1:12" x14ac:dyDescent="0.2">
      <c r="B276" s="21" t="s">
        <v>157</v>
      </c>
      <c r="C276" s="1495" t="s">
        <v>90</v>
      </c>
      <c r="D276" s="21" t="s">
        <v>168</v>
      </c>
      <c r="E276" s="21" t="s">
        <v>96</v>
      </c>
      <c r="F276" s="21" t="s">
        <v>190</v>
      </c>
      <c r="G276" s="21" t="s">
        <v>437</v>
      </c>
      <c r="H276" s="21" t="s">
        <v>292</v>
      </c>
    </row>
    <row r="277" spans="1:12" x14ac:dyDescent="0.2">
      <c r="A277" s="7" t="s">
        <v>257</v>
      </c>
      <c r="B277" s="21" t="s">
        <v>177</v>
      </c>
      <c r="C277" s="4">
        <v>26818920000</v>
      </c>
      <c r="D277" s="4">
        <v>16703890000</v>
      </c>
      <c r="E277" s="4">
        <v>13040080000</v>
      </c>
      <c r="F277" s="4">
        <v>8116690000</v>
      </c>
      <c r="G277" s="4">
        <v>109883899</v>
      </c>
      <c r="H277" s="4">
        <v>50455875</v>
      </c>
    </row>
    <row r="278" spans="1:12" x14ac:dyDescent="0.2">
      <c r="B278" s="21" t="s">
        <v>162</v>
      </c>
      <c r="E278" s="1495" t="s">
        <v>295</v>
      </c>
      <c r="G278" s="1495" t="s">
        <v>184</v>
      </c>
      <c r="I278" s="1495" t="s">
        <v>296</v>
      </c>
      <c r="J278" s="1495" t="s">
        <v>273</v>
      </c>
      <c r="L278" s="1495" t="s">
        <v>277</v>
      </c>
    </row>
    <row r="279" spans="1:12" x14ac:dyDescent="0.2">
      <c r="B279" s="21" t="s">
        <v>161</v>
      </c>
      <c r="E279" s="1495" t="s">
        <v>295</v>
      </c>
      <c r="G279" s="1495" t="s">
        <v>184</v>
      </c>
      <c r="I279" s="1495" t="s">
        <v>296</v>
      </c>
      <c r="J279" s="1495" t="s">
        <v>273</v>
      </c>
      <c r="L279" s="1495" t="s">
        <v>277</v>
      </c>
    </row>
    <row r="280" spans="1:12" x14ac:dyDescent="0.2">
      <c r="B280" s="21" t="s">
        <v>160</v>
      </c>
      <c r="C280" s="1495" t="s">
        <v>38</v>
      </c>
      <c r="D280" s="1495" t="s">
        <v>40</v>
      </c>
      <c r="E280" s="1495" t="s">
        <v>295</v>
      </c>
      <c r="G280" s="1495" t="s">
        <v>184</v>
      </c>
      <c r="I280" s="1495" t="s">
        <v>296</v>
      </c>
      <c r="J280" s="1495" t="s">
        <v>273</v>
      </c>
      <c r="L280" s="1495" t="s">
        <v>277</v>
      </c>
    </row>
    <row r="281" spans="1:12" x14ac:dyDescent="0.2">
      <c r="B281" s="21" t="s">
        <v>157</v>
      </c>
      <c r="C281" s="1495" t="s">
        <v>38</v>
      </c>
      <c r="D281" s="1495" t="s">
        <v>40</v>
      </c>
      <c r="E281" s="1495" t="s">
        <v>295</v>
      </c>
      <c r="F281" s="21" t="s">
        <v>59</v>
      </c>
      <c r="G281" s="1495" t="s">
        <v>184</v>
      </c>
      <c r="H281" s="21" t="s">
        <v>192</v>
      </c>
      <c r="I281" s="1495" t="s">
        <v>296</v>
      </c>
      <c r="J281" s="1495" t="s">
        <v>273</v>
      </c>
      <c r="K281" s="21" t="s">
        <v>167</v>
      </c>
      <c r="L281" s="1495" t="s">
        <v>277</v>
      </c>
    </row>
    <row r="282" spans="1:12" x14ac:dyDescent="0.2">
      <c r="A282" s="7" t="s">
        <v>256</v>
      </c>
      <c r="B282" s="21" t="s">
        <v>177</v>
      </c>
      <c r="C282" s="4">
        <v>77769940000</v>
      </c>
      <c r="D282" s="4">
        <v>30091860000</v>
      </c>
      <c r="E282" s="4">
        <v>19966351962</v>
      </c>
      <c r="F282" s="4">
        <v>15660500000</v>
      </c>
      <c r="G282" s="4">
        <v>15305110000</v>
      </c>
      <c r="H282" s="4">
        <v>11086780000</v>
      </c>
      <c r="I282" s="4">
        <v>9714050000</v>
      </c>
      <c r="J282" s="4">
        <v>4225549695</v>
      </c>
      <c r="K282" s="4">
        <v>2371600000</v>
      </c>
      <c r="L282" s="4">
        <v>22170000</v>
      </c>
    </row>
    <row r="283" spans="1:12" x14ac:dyDescent="0.2">
      <c r="B283" s="21" t="s">
        <v>157</v>
      </c>
      <c r="C283" s="21" t="s">
        <v>8</v>
      </c>
      <c r="D283" s="21" t="s">
        <v>82</v>
      </c>
    </row>
    <row r="284" spans="1:12" x14ac:dyDescent="0.2">
      <c r="A284" s="7" t="s">
        <v>255</v>
      </c>
      <c r="B284" s="21" t="s">
        <v>177</v>
      </c>
      <c r="C284" s="4">
        <v>48677070000</v>
      </c>
      <c r="D284" s="4">
        <v>8764226709</v>
      </c>
    </row>
    <row r="285" spans="1:12" x14ac:dyDescent="0.2">
      <c r="B285" s="21" t="s">
        <v>162</v>
      </c>
      <c r="C285" s="1495" t="s">
        <v>71</v>
      </c>
      <c r="D285" s="1495" t="s">
        <v>263</v>
      </c>
    </row>
    <row r="286" spans="1:12" x14ac:dyDescent="0.2">
      <c r="B286" s="21" t="s">
        <v>161</v>
      </c>
      <c r="C286" s="1495" t="s">
        <v>71</v>
      </c>
      <c r="D286" s="1495" t="s">
        <v>263</v>
      </c>
    </row>
    <row r="287" spans="1:12" x14ac:dyDescent="0.2">
      <c r="B287" s="21" t="s">
        <v>160</v>
      </c>
      <c r="C287" s="1495" t="s">
        <v>71</v>
      </c>
      <c r="D287" s="1495" t="s">
        <v>263</v>
      </c>
    </row>
    <row r="288" spans="1:12" x14ac:dyDescent="0.2">
      <c r="B288" s="21" t="s">
        <v>157</v>
      </c>
      <c r="C288" s="1495" t="s">
        <v>71</v>
      </c>
      <c r="D288" s="1495" t="s">
        <v>263</v>
      </c>
      <c r="E288" s="21" t="s">
        <v>159</v>
      </c>
      <c r="F288" s="21" t="s">
        <v>90</v>
      </c>
      <c r="G288" s="21" t="s">
        <v>172</v>
      </c>
      <c r="H288" s="21" t="s">
        <v>442</v>
      </c>
      <c r="I288" s="21" t="s">
        <v>158</v>
      </c>
    </row>
    <row r="289" spans="1:14" x14ac:dyDescent="0.2">
      <c r="A289" s="7" t="s">
        <v>254</v>
      </c>
      <c r="B289" s="21" t="s">
        <v>177</v>
      </c>
      <c r="C289" s="4">
        <v>288572790000</v>
      </c>
      <c r="D289" s="4">
        <v>32537151941</v>
      </c>
      <c r="E289" s="4">
        <v>6174400000</v>
      </c>
      <c r="F289" s="4">
        <v>5487260000</v>
      </c>
      <c r="G289" s="4">
        <v>2671740000</v>
      </c>
      <c r="H289" s="4">
        <v>2419990000</v>
      </c>
      <c r="I289" s="4">
        <v>25137370</v>
      </c>
    </row>
    <row r="290" spans="1:14" x14ac:dyDescent="0.2">
      <c r="B290" s="21" t="s">
        <v>162</v>
      </c>
      <c r="C290" s="1495" t="s">
        <v>71</v>
      </c>
      <c r="J290" s="1495" t="s">
        <v>289</v>
      </c>
    </row>
    <row r="291" spans="1:14" x14ac:dyDescent="0.2">
      <c r="B291" s="21" t="s">
        <v>161</v>
      </c>
      <c r="C291" s="1495" t="s">
        <v>71</v>
      </c>
      <c r="F291" s="1495" t="s">
        <v>26</v>
      </c>
      <c r="J291" s="1495" t="s">
        <v>289</v>
      </c>
    </row>
    <row r="292" spans="1:14" x14ac:dyDescent="0.2">
      <c r="B292" s="21" t="s">
        <v>160</v>
      </c>
      <c r="C292" s="1495" t="s">
        <v>71</v>
      </c>
      <c r="F292" s="1495" t="s">
        <v>26</v>
      </c>
      <c r="J292" s="1495" t="s">
        <v>289</v>
      </c>
    </row>
    <row r="293" spans="1:14" x14ac:dyDescent="0.2">
      <c r="B293" s="21" t="s">
        <v>157</v>
      </c>
      <c r="C293" s="1495" t="s">
        <v>71</v>
      </c>
      <c r="D293" s="21" t="s">
        <v>19</v>
      </c>
      <c r="E293" s="21" t="s">
        <v>87</v>
      </c>
      <c r="F293" s="1495" t="s">
        <v>26</v>
      </c>
      <c r="G293" s="21" t="s">
        <v>35</v>
      </c>
      <c r="H293" s="21" t="s">
        <v>264</v>
      </c>
      <c r="I293" s="21" t="s">
        <v>269</v>
      </c>
      <c r="J293" s="1495" t="s">
        <v>289</v>
      </c>
      <c r="K293" s="21" t="s">
        <v>82</v>
      </c>
      <c r="L293" s="21" t="s">
        <v>443</v>
      </c>
      <c r="M293" s="21" t="s">
        <v>98</v>
      </c>
      <c r="N293" s="21" t="s">
        <v>445</v>
      </c>
    </row>
    <row r="294" spans="1:14" x14ac:dyDescent="0.2">
      <c r="A294" s="7" t="s">
        <v>253</v>
      </c>
      <c r="B294" s="21" t="s">
        <v>177</v>
      </c>
      <c r="C294" s="4">
        <v>165081380000</v>
      </c>
      <c r="D294" s="4">
        <v>44566710000</v>
      </c>
      <c r="E294" s="4">
        <v>40549350000</v>
      </c>
      <c r="F294" s="4">
        <v>31713300000</v>
      </c>
      <c r="G294" s="4">
        <v>17684110000</v>
      </c>
      <c r="H294" s="4">
        <v>16605040000</v>
      </c>
      <c r="I294" s="4">
        <v>9072020000</v>
      </c>
      <c r="J294" s="4">
        <v>8171840000</v>
      </c>
      <c r="K294" s="4">
        <v>4237579651</v>
      </c>
      <c r="L294" s="4">
        <v>1897290000</v>
      </c>
      <c r="M294" s="4">
        <v>1853800000</v>
      </c>
      <c r="N294" s="4">
        <v>194712692</v>
      </c>
    </row>
    <row r="295" spans="1:14" x14ac:dyDescent="0.2">
      <c r="B295" s="21" t="s">
        <v>162</v>
      </c>
      <c r="D295" s="1495" t="s">
        <v>85</v>
      </c>
    </row>
    <row r="296" spans="1:14" x14ac:dyDescent="0.2">
      <c r="B296" s="21" t="s">
        <v>161</v>
      </c>
      <c r="D296" s="1495" t="s">
        <v>85</v>
      </c>
    </row>
    <row r="297" spans="1:14" x14ac:dyDescent="0.2">
      <c r="B297" s="21" t="s">
        <v>160</v>
      </c>
      <c r="D297" s="1495" t="s">
        <v>85</v>
      </c>
    </row>
    <row r="298" spans="1:14" x14ac:dyDescent="0.2">
      <c r="B298" s="21" t="s">
        <v>157</v>
      </c>
      <c r="C298" s="21" t="s">
        <v>71</v>
      </c>
      <c r="D298" s="1495" t="s">
        <v>85</v>
      </c>
      <c r="E298" s="21" t="s">
        <v>34</v>
      </c>
      <c r="F298" s="21" t="s">
        <v>202</v>
      </c>
      <c r="G298" s="21" t="s">
        <v>158</v>
      </c>
    </row>
    <row r="299" spans="1:14" x14ac:dyDescent="0.2">
      <c r="A299" s="7" t="s">
        <v>252</v>
      </c>
      <c r="B299" s="21" t="s">
        <v>177</v>
      </c>
      <c r="C299" s="4">
        <v>47921520000</v>
      </c>
      <c r="D299" s="4">
        <v>42286920000</v>
      </c>
      <c r="E299" s="4">
        <v>10829250000</v>
      </c>
      <c r="F299" s="4">
        <v>6487581811</v>
      </c>
      <c r="G299" s="4">
        <v>5073905</v>
      </c>
    </row>
    <row r="300" spans="1:14" x14ac:dyDescent="0.2">
      <c r="B300" s="21" t="s">
        <v>162</v>
      </c>
      <c r="C300" s="1495" t="s">
        <v>58</v>
      </c>
      <c r="G300" s="1495" t="s">
        <v>194</v>
      </c>
    </row>
    <row r="301" spans="1:14" x14ac:dyDescent="0.2">
      <c r="B301" s="21" t="s">
        <v>161</v>
      </c>
      <c r="C301" s="1495" t="s">
        <v>58</v>
      </c>
      <c r="G301" s="1495" t="s">
        <v>194</v>
      </c>
    </row>
    <row r="302" spans="1:14" x14ac:dyDescent="0.2">
      <c r="B302" s="21" t="s">
        <v>160</v>
      </c>
      <c r="C302" s="1495" t="s">
        <v>58</v>
      </c>
      <c r="G302" s="1495" t="s">
        <v>194</v>
      </c>
    </row>
    <row r="303" spans="1:14" x14ac:dyDescent="0.2">
      <c r="B303" s="21" t="s">
        <v>157</v>
      </c>
      <c r="C303" s="1495" t="s">
        <v>58</v>
      </c>
      <c r="D303" s="21" t="s">
        <v>13</v>
      </c>
      <c r="E303" s="21" t="s">
        <v>28</v>
      </c>
      <c r="F303" s="21" t="s">
        <v>88</v>
      </c>
      <c r="G303" s="1495" t="s">
        <v>194</v>
      </c>
      <c r="H303" s="21" t="s">
        <v>59</v>
      </c>
      <c r="I303" s="21" t="s">
        <v>38</v>
      </c>
      <c r="J303" s="21" t="s">
        <v>34</v>
      </c>
      <c r="K303" s="21" t="s">
        <v>440</v>
      </c>
      <c r="L303" s="21" t="s">
        <v>173</v>
      </c>
    </row>
    <row r="304" spans="1:14" x14ac:dyDescent="0.2">
      <c r="A304" s="7" t="s">
        <v>251</v>
      </c>
      <c r="B304" s="21" t="s">
        <v>177</v>
      </c>
      <c r="C304" s="4">
        <v>111059600000</v>
      </c>
      <c r="D304" s="4">
        <v>56173906297</v>
      </c>
      <c r="E304" s="4">
        <v>41098570000</v>
      </c>
      <c r="F304" s="4">
        <v>30262701617</v>
      </c>
      <c r="G304" s="4">
        <v>29251765359</v>
      </c>
      <c r="H304" s="4">
        <v>9083560000</v>
      </c>
      <c r="I304" s="4">
        <v>7760736081</v>
      </c>
      <c r="J304" s="4">
        <v>4887319852</v>
      </c>
      <c r="K304" s="4">
        <v>2538780000</v>
      </c>
      <c r="L304" s="4">
        <v>1394820000</v>
      </c>
    </row>
    <row r="305" spans="1:15" x14ac:dyDescent="0.2">
      <c r="B305" s="21" t="s">
        <v>162</v>
      </c>
      <c r="D305" s="1495" t="s">
        <v>69</v>
      </c>
      <c r="H305" s="1495" t="s">
        <v>279</v>
      </c>
      <c r="L305" s="1495" t="s">
        <v>280</v>
      </c>
      <c r="N305" s="1495" t="s">
        <v>32</v>
      </c>
    </row>
    <row r="306" spans="1:15" x14ac:dyDescent="0.2">
      <c r="B306" s="21" t="s">
        <v>161</v>
      </c>
      <c r="D306" s="1495" t="s">
        <v>69</v>
      </c>
      <c r="E306" s="1495" t="s">
        <v>33</v>
      </c>
      <c r="H306" s="1495" t="s">
        <v>279</v>
      </c>
      <c r="L306" s="1495" t="s">
        <v>280</v>
      </c>
      <c r="N306" s="1495" t="s">
        <v>32</v>
      </c>
    </row>
    <row r="307" spans="1:15" x14ac:dyDescent="0.2">
      <c r="B307" s="21" t="s">
        <v>160</v>
      </c>
      <c r="D307" s="1495" t="s">
        <v>69</v>
      </c>
      <c r="E307" s="1495" t="s">
        <v>33</v>
      </c>
      <c r="H307" s="1495" t="s">
        <v>279</v>
      </c>
      <c r="L307" s="1495" t="s">
        <v>280</v>
      </c>
      <c r="M307" s="21" t="s">
        <v>281</v>
      </c>
      <c r="N307" s="1495" t="s">
        <v>32</v>
      </c>
    </row>
    <row r="308" spans="1:15" x14ac:dyDescent="0.2">
      <c r="B308" s="21" t="s">
        <v>157</v>
      </c>
      <c r="C308" s="21" t="s">
        <v>72</v>
      </c>
      <c r="D308" s="1495" t="s">
        <v>69</v>
      </c>
      <c r="E308" s="1495" t="s">
        <v>33</v>
      </c>
      <c r="F308" s="21" t="s">
        <v>13</v>
      </c>
      <c r="G308" s="21" t="s">
        <v>87</v>
      </c>
      <c r="H308" s="1495" t="s">
        <v>279</v>
      </c>
      <c r="I308" s="21" t="s">
        <v>83</v>
      </c>
      <c r="J308" s="21" t="s">
        <v>310</v>
      </c>
      <c r="K308" s="21" t="s">
        <v>16</v>
      </c>
      <c r="L308" s="1495" t="s">
        <v>280</v>
      </c>
      <c r="M308" s="21" t="s">
        <v>281</v>
      </c>
      <c r="N308" s="1495" t="s">
        <v>32</v>
      </c>
      <c r="O308" s="21" t="s">
        <v>273</v>
      </c>
    </row>
    <row r="309" spans="1:15" x14ac:dyDescent="0.2">
      <c r="A309" s="7" t="s">
        <v>250</v>
      </c>
      <c r="B309" s="21" t="s">
        <v>177</v>
      </c>
      <c r="C309" s="4">
        <v>78606310000</v>
      </c>
      <c r="D309" s="4">
        <v>59582570000</v>
      </c>
      <c r="E309" s="4">
        <v>50997860000</v>
      </c>
      <c r="F309" s="4">
        <v>45433550000</v>
      </c>
      <c r="G309" s="4">
        <v>36841100000</v>
      </c>
      <c r="H309" s="4">
        <v>32754480000</v>
      </c>
      <c r="I309" s="4">
        <v>13538268231</v>
      </c>
      <c r="J309" s="4">
        <v>9294800000</v>
      </c>
      <c r="K309" s="4">
        <v>7524790000</v>
      </c>
      <c r="L309" s="4">
        <v>7218951421</v>
      </c>
      <c r="M309" s="4">
        <v>1646907711</v>
      </c>
      <c r="N309" s="4">
        <v>1575230000</v>
      </c>
      <c r="O309" s="4">
        <v>1013667860</v>
      </c>
    </row>
    <row r="310" spans="1:15" x14ac:dyDescent="0.2">
      <c r="B310" s="21" t="s">
        <v>157</v>
      </c>
      <c r="C310" s="21" t="s">
        <v>71</v>
      </c>
      <c r="D310" s="21" t="s">
        <v>72</v>
      </c>
      <c r="E310" s="21" t="s">
        <v>184</v>
      </c>
      <c r="F310" s="21" t="s">
        <v>300</v>
      </c>
    </row>
    <row r="311" spans="1:15" x14ac:dyDescent="0.2">
      <c r="A311" s="7" t="s">
        <v>249</v>
      </c>
      <c r="B311" s="21" t="s">
        <v>177</v>
      </c>
      <c r="C311" s="4">
        <v>34198048341</v>
      </c>
      <c r="D311" s="4">
        <v>15467210000</v>
      </c>
      <c r="E311" s="4">
        <v>7377130000</v>
      </c>
      <c r="F311" s="4">
        <v>254470000</v>
      </c>
    </row>
    <row r="312" spans="1:15" x14ac:dyDescent="0.2">
      <c r="B312" s="21" t="s">
        <v>162</v>
      </c>
      <c r="C312" s="1495" t="s">
        <v>84</v>
      </c>
      <c r="E312" s="1495" t="s">
        <v>448</v>
      </c>
    </row>
    <row r="313" spans="1:15" x14ac:dyDescent="0.2">
      <c r="B313" s="21" t="s">
        <v>161</v>
      </c>
      <c r="C313" s="1495" t="s">
        <v>84</v>
      </c>
      <c r="E313" s="1495" t="s">
        <v>448</v>
      </c>
    </row>
    <row r="314" spans="1:15" x14ac:dyDescent="0.2">
      <c r="B314" s="21" t="s">
        <v>160</v>
      </c>
      <c r="C314" s="1495" t="s">
        <v>84</v>
      </c>
      <c r="E314" s="1495" t="s">
        <v>448</v>
      </c>
    </row>
    <row r="315" spans="1:15" x14ac:dyDescent="0.2">
      <c r="B315" s="21" t="s">
        <v>157</v>
      </c>
      <c r="C315" s="1495" t="s">
        <v>84</v>
      </c>
      <c r="D315" s="21" t="s">
        <v>442</v>
      </c>
      <c r="E315" s="1495" t="s">
        <v>448</v>
      </c>
      <c r="F315" s="21" t="s">
        <v>443</v>
      </c>
    </row>
    <row r="316" spans="1:15" x14ac:dyDescent="0.2">
      <c r="A316" s="7" t="s">
        <v>248</v>
      </c>
      <c r="B316" s="21" t="s">
        <v>177</v>
      </c>
      <c r="C316" s="4">
        <v>51969160858</v>
      </c>
      <c r="D316" s="4">
        <v>2306797526</v>
      </c>
      <c r="E316" s="4">
        <v>1947009626</v>
      </c>
      <c r="F316" s="4">
        <v>1230200000</v>
      </c>
    </row>
    <row r="317" spans="1:15" x14ac:dyDescent="0.2">
      <c r="B317" s="21" t="s">
        <v>162</v>
      </c>
      <c r="D317" s="1495" t="s">
        <v>183</v>
      </c>
    </row>
    <row r="318" spans="1:15" x14ac:dyDescent="0.2">
      <c r="B318" s="21" t="s">
        <v>161</v>
      </c>
      <c r="D318" s="1495" t="s">
        <v>183</v>
      </c>
    </row>
    <row r="319" spans="1:15" x14ac:dyDescent="0.2">
      <c r="B319" s="21" t="s">
        <v>160</v>
      </c>
      <c r="D319" s="1495" t="s">
        <v>183</v>
      </c>
    </row>
    <row r="320" spans="1:15" x14ac:dyDescent="0.2">
      <c r="B320" s="21" t="s">
        <v>157</v>
      </c>
      <c r="C320" s="21" t="s">
        <v>79</v>
      </c>
      <c r="D320" s="1495" t="s">
        <v>183</v>
      </c>
      <c r="E320" s="21" t="s">
        <v>442</v>
      </c>
    </row>
    <row r="321" spans="1:8" x14ac:dyDescent="0.2">
      <c r="A321" s="7" t="s">
        <v>247</v>
      </c>
      <c r="B321" s="21" t="s">
        <v>177</v>
      </c>
      <c r="C321" s="4">
        <v>61481100000</v>
      </c>
      <c r="D321" s="4">
        <v>48765430000</v>
      </c>
      <c r="E321" s="4">
        <v>1259810000</v>
      </c>
    </row>
    <row r="322" spans="1:8" x14ac:dyDescent="0.2">
      <c r="B322" s="21" t="s">
        <v>162</v>
      </c>
      <c r="C322" s="1495" t="s">
        <v>183</v>
      </c>
      <c r="D322" s="1495" t="s">
        <v>68</v>
      </c>
      <c r="H322" s="1495" t="s">
        <v>438</v>
      </c>
    </row>
    <row r="323" spans="1:8" x14ac:dyDescent="0.2">
      <c r="B323" s="21" t="s">
        <v>161</v>
      </c>
      <c r="C323" s="1495" t="s">
        <v>183</v>
      </c>
      <c r="D323" s="1495" t="s">
        <v>68</v>
      </c>
      <c r="H323" s="1495" t="s">
        <v>438</v>
      </c>
    </row>
    <row r="324" spans="1:8" x14ac:dyDescent="0.2">
      <c r="B324" s="21" t="s">
        <v>160</v>
      </c>
      <c r="C324" s="1495" t="s">
        <v>183</v>
      </c>
      <c r="D324" s="1495" t="s">
        <v>68</v>
      </c>
      <c r="H324" s="1495" t="s">
        <v>438</v>
      </c>
    </row>
    <row r="325" spans="1:8" x14ac:dyDescent="0.2">
      <c r="B325" s="21" t="s">
        <v>157</v>
      </c>
      <c r="C325" s="1495" t="s">
        <v>183</v>
      </c>
      <c r="D325" s="1495" t="s">
        <v>68</v>
      </c>
      <c r="E325" s="21" t="s">
        <v>271</v>
      </c>
      <c r="F325" s="21" t="s">
        <v>76</v>
      </c>
      <c r="G325" s="21" t="s">
        <v>171</v>
      </c>
      <c r="H325" s="1495" t="s">
        <v>438</v>
      </c>
    </row>
    <row r="326" spans="1:8" x14ac:dyDescent="0.2">
      <c r="A326" s="7" t="s">
        <v>243</v>
      </c>
      <c r="B326" s="21" t="s">
        <v>177</v>
      </c>
      <c r="C326" s="4">
        <v>43875220000</v>
      </c>
      <c r="D326" s="4">
        <v>16174500000</v>
      </c>
      <c r="E326" s="4">
        <v>14946970000</v>
      </c>
      <c r="F326" s="4">
        <v>8020360000</v>
      </c>
      <c r="G326" s="4">
        <v>7801080000</v>
      </c>
      <c r="H326" s="4">
        <v>22450000</v>
      </c>
    </row>
    <row r="327" spans="1:8" x14ac:dyDescent="0.2">
      <c r="B327" s="21" t="s">
        <v>162</v>
      </c>
      <c r="E327" s="1495" t="s">
        <v>430</v>
      </c>
    </row>
    <row r="328" spans="1:8" x14ac:dyDescent="0.2">
      <c r="B328" s="21" t="s">
        <v>161</v>
      </c>
      <c r="E328" s="1495" t="s">
        <v>430</v>
      </c>
    </row>
    <row r="329" spans="1:8" x14ac:dyDescent="0.2">
      <c r="B329" s="21" t="s">
        <v>160</v>
      </c>
      <c r="C329" s="1495" t="s">
        <v>20</v>
      </c>
      <c r="E329" s="1495" t="s">
        <v>430</v>
      </c>
    </row>
    <row r="330" spans="1:8" x14ac:dyDescent="0.2">
      <c r="B330" s="21" t="s">
        <v>157</v>
      </c>
      <c r="C330" s="1495" t="s">
        <v>20</v>
      </c>
      <c r="D330" s="21" t="s">
        <v>76</v>
      </c>
      <c r="E330" s="1495" t="s">
        <v>430</v>
      </c>
      <c r="F330" s="21" t="s">
        <v>448</v>
      </c>
    </row>
    <row r="331" spans="1:8" x14ac:dyDescent="0.2">
      <c r="A331" s="7" t="s">
        <v>242</v>
      </c>
      <c r="B331" s="21" t="s">
        <v>177</v>
      </c>
      <c r="C331" s="4">
        <v>74508187214</v>
      </c>
      <c r="D331" s="4">
        <v>4872620000</v>
      </c>
      <c r="E331" s="4">
        <v>1415680000</v>
      </c>
      <c r="F331" s="4">
        <v>8763082</v>
      </c>
    </row>
    <row r="332" spans="1:8" x14ac:dyDescent="0.2">
      <c r="B332" s="21" t="s">
        <v>162</v>
      </c>
      <c r="D332" s="1495" t="s">
        <v>41</v>
      </c>
      <c r="F332" s="1495" t="s">
        <v>430</v>
      </c>
    </row>
    <row r="333" spans="1:8" x14ac:dyDescent="0.2">
      <c r="B333" s="21" t="s">
        <v>161</v>
      </c>
      <c r="D333" s="1495" t="s">
        <v>41</v>
      </c>
      <c r="F333" s="1495" t="s">
        <v>430</v>
      </c>
    </row>
    <row r="334" spans="1:8" x14ac:dyDescent="0.2">
      <c r="B334" s="21" t="s">
        <v>160</v>
      </c>
      <c r="D334" s="1495" t="s">
        <v>41</v>
      </c>
      <c r="F334" s="1495" t="s">
        <v>430</v>
      </c>
    </row>
    <row r="335" spans="1:8" x14ac:dyDescent="0.2">
      <c r="B335" s="21" t="s">
        <v>157</v>
      </c>
      <c r="C335" s="21" t="s">
        <v>14</v>
      </c>
      <c r="D335" s="1495" t="s">
        <v>41</v>
      </c>
      <c r="E335" s="21" t="s">
        <v>34</v>
      </c>
      <c r="F335" s="1495" t="s">
        <v>430</v>
      </c>
      <c r="G335" s="21" t="s">
        <v>300</v>
      </c>
    </row>
    <row r="336" spans="1:8" x14ac:dyDescent="0.2">
      <c r="A336" s="7" t="s">
        <v>241</v>
      </c>
      <c r="B336" s="21" t="s">
        <v>177</v>
      </c>
      <c r="C336" s="4">
        <v>219699410000</v>
      </c>
      <c r="D336" s="4">
        <v>11069670000</v>
      </c>
      <c r="E336" s="4">
        <v>785630000</v>
      </c>
      <c r="F336" s="4">
        <v>505270000</v>
      </c>
      <c r="G336" s="4">
        <v>201630000</v>
      </c>
    </row>
    <row r="337" spans="1:14" x14ac:dyDescent="0.2">
      <c r="B337" s="21" t="s">
        <v>160</v>
      </c>
      <c r="F337" s="1495" t="s">
        <v>27</v>
      </c>
    </row>
    <row r="338" spans="1:14" x14ac:dyDescent="0.2">
      <c r="B338" s="21" t="s">
        <v>157</v>
      </c>
      <c r="C338" s="21" t="s">
        <v>294</v>
      </c>
      <c r="D338" s="21" t="s">
        <v>20</v>
      </c>
      <c r="E338" s="21" t="s">
        <v>19</v>
      </c>
      <c r="F338" s="1495" t="s">
        <v>27</v>
      </c>
      <c r="G338" s="21" t="s">
        <v>192</v>
      </c>
      <c r="H338" s="21" t="s">
        <v>342</v>
      </c>
      <c r="I338" s="21" t="s">
        <v>440</v>
      </c>
      <c r="J338" s="21" t="s">
        <v>439</v>
      </c>
      <c r="K338" s="21" t="s">
        <v>433</v>
      </c>
      <c r="L338" s="21" t="s">
        <v>442</v>
      </c>
      <c r="M338" s="21" t="s">
        <v>430</v>
      </c>
      <c r="N338" s="21" t="s">
        <v>300</v>
      </c>
    </row>
    <row r="339" spans="1:14" x14ac:dyDescent="0.2">
      <c r="A339" s="7" t="s">
        <v>240</v>
      </c>
      <c r="B339" s="21" t="s">
        <v>177</v>
      </c>
      <c r="C339" s="4">
        <v>26079170000</v>
      </c>
      <c r="D339" s="4">
        <v>26038722201</v>
      </c>
      <c r="E339" s="4">
        <v>11322300000</v>
      </c>
      <c r="F339" s="4">
        <v>10048270000</v>
      </c>
      <c r="G339" s="4">
        <v>8450630000</v>
      </c>
      <c r="H339" s="4">
        <v>5332700000</v>
      </c>
      <c r="I339" s="4">
        <v>1964510000</v>
      </c>
      <c r="J339" s="4">
        <v>1581110000</v>
      </c>
      <c r="K339" s="4">
        <v>1415430000</v>
      </c>
      <c r="L339" s="4">
        <v>777980000</v>
      </c>
      <c r="M339" s="4">
        <v>208300000</v>
      </c>
      <c r="N339" s="4">
        <v>143650000</v>
      </c>
    </row>
    <row r="340" spans="1:14" x14ac:dyDescent="0.2">
      <c r="B340" s="21" t="s">
        <v>162</v>
      </c>
      <c r="C340" s="1495" t="s">
        <v>17</v>
      </c>
    </row>
    <row r="341" spans="1:14" x14ac:dyDescent="0.2">
      <c r="B341" s="21" t="s">
        <v>161</v>
      </c>
      <c r="C341" s="1495" t="s">
        <v>17</v>
      </c>
    </row>
    <row r="342" spans="1:14" x14ac:dyDescent="0.2">
      <c r="B342" s="21" t="s">
        <v>160</v>
      </c>
      <c r="C342" s="1495" t="s">
        <v>17</v>
      </c>
      <c r="E342" s="1495" t="s">
        <v>68</v>
      </c>
    </row>
    <row r="343" spans="1:14" x14ac:dyDescent="0.2">
      <c r="B343" s="21" t="s">
        <v>157</v>
      </c>
      <c r="C343" s="1495" t="s">
        <v>17</v>
      </c>
      <c r="D343" s="21" t="s">
        <v>22</v>
      </c>
      <c r="E343" s="1495" t="s">
        <v>68</v>
      </c>
      <c r="F343" s="21" t="s">
        <v>275</v>
      </c>
    </row>
    <row r="344" spans="1:14" x14ac:dyDescent="0.2">
      <c r="A344" s="7" t="s">
        <v>239</v>
      </c>
      <c r="B344" s="21" t="s">
        <v>177</v>
      </c>
      <c r="C344" s="4">
        <v>545488620000</v>
      </c>
      <c r="D344" s="4">
        <v>59676690000</v>
      </c>
      <c r="E344" s="4">
        <v>8605270000</v>
      </c>
      <c r="F344" s="4">
        <v>103474514</v>
      </c>
    </row>
    <row r="345" spans="1:14" x14ac:dyDescent="0.2">
      <c r="B345" s="21" t="s">
        <v>162</v>
      </c>
      <c r="C345" s="1495" t="s">
        <v>163</v>
      </c>
    </row>
    <row r="346" spans="1:14" x14ac:dyDescent="0.2">
      <c r="B346" s="21" t="s">
        <v>161</v>
      </c>
      <c r="C346" s="1495" t="s">
        <v>163</v>
      </c>
    </row>
    <row r="347" spans="1:14" x14ac:dyDescent="0.2">
      <c r="B347" s="21" t="s">
        <v>160</v>
      </c>
      <c r="C347" s="1495" t="s">
        <v>163</v>
      </c>
    </row>
    <row r="348" spans="1:14" x14ac:dyDescent="0.2">
      <c r="B348" s="21" t="s">
        <v>157</v>
      </c>
      <c r="C348" s="1495" t="s">
        <v>163</v>
      </c>
      <c r="D348" s="21" t="s">
        <v>24</v>
      </c>
      <c r="E348" s="21" t="s">
        <v>194</v>
      </c>
    </row>
    <row r="349" spans="1:14" x14ac:dyDescent="0.2">
      <c r="A349" s="7" t="s">
        <v>238</v>
      </c>
      <c r="B349" s="21" t="s">
        <v>177</v>
      </c>
      <c r="C349" s="4">
        <v>54782470000</v>
      </c>
      <c r="D349" s="4">
        <v>24799900000</v>
      </c>
      <c r="E349" s="4">
        <v>1667980000</v>
      </c>
    </row>
    <row r="350" spans="1:14" x14ac:dyDescent="0.2">
      <c r="B350" s="21" t="s">
        <v>157</v>
      </c>
      <c r="C350" s="21" t="s">
        <v>23</v>
      </c>
      <c r="D350" s="21" t="s">
        <v>64</v>
      </c>
      <c r="E350" s="21" t="s">
        <v>62</v>
      </c>
      <c r="F350" s="21" t="s">
        <v>24</v>
      </c>
    </row>
    <row r="351" spans="1:14" x14ac:dyDescent="0.2">
      <c r="A351" s="7" t="s">
        <v>237</v>
      </c>
      <c r="B351" s="21" t="s">
        <v>177</v>
      </c>
      <c r="C351" s="4">
        <v>49809100000</v>
      </c>
      <c r="D351" s="4">
        <v>43194780000</v>
      </c>
      <c r="E351" s="4">
        <v>12780510000</v>
      </c>
      <c r="F351" s="4">
        <v>78850000</v>
      </c>
    </row>
    <row r="352" spans="1:14" x14ac:dyDescent="0.2">
      <c r="B352" s="21" t="s">
        <v>162</v>
      </c>
      <c r="C352" s="1495" t="s">
        <v>92</v>
      </c>
    </row>
    <row r="353" spans="1:10" x14ac:dyDescent="0.2">
      <c r="B353" s="21" t="s">
        <v>161</v>
      </c>
      <c r="C353" s="1495" t="s">
        <v>92</v>
      </c>
    </row>
    <row r="354" spans="1:10" x14ac:dyDescent="0.2">
      <c r="B354" s="21" t="s">
        <v>160</v>
      </c>
      <c r="C354" s="1495" t="s">
        <v>92</v>
      </c>
    </row>
    <row r="355" spans="1:10" x14ac:dyDescent="0.2">
      <c r="B355" s="21" t="s">
        <v>157</v>
      </c>
      <c r="C355" s="1495" t="s">
        <v>92</v>
      </c>
      <c r="D355" s="21" t="s">
        <v>33</v>
      </c>
    </row>
    <row r="356" spans="1:10" x14ac:dyDescent="0.2">
      <c r="A356" s="7" t="s">
        <v>236</v>
      </c>
      <c r="B356" s="21" t="s">
        <v>177</v>
      </c>
      <c r="C356" s="4">
        <v>16428906779</v>
      </c>
      <c r="D356" s="4">
        <v>2418140000</v>
      </c>
    </row>
    <row r="357" spans="1:10" x14ac:dyDescent="0.2">
      <c r="B357" s="21" t="s">
        <v>161</v>
      </c>
      <c r="D357" s="1495" t="s">
        <v>65</v>
      </c>
      <c r="H357" s="1495" t="s">
        <v>436</v>
      </c>
    </row>
    <row r="358" spans="1:10" x14ac:dyDescent="0.2">
      <c r="B358" s="21" t="s">
        <v>160</v>
      </c>
      <c r="D358" s="1495" t="s">
        <v>65</v>
      </c>
      <c r="H358" s="1495" t="s">
        <v>436</v>
      </c>
    </row>
    <row r="359" spans="1:10" x14ac:dyDescent="0.2">
      <c r="B359" s="21" t="s">
        <v>157</v>
      </c>
      <c r="C359" s="21" t="s">
        <v>14</v>
      </c>
      <c r="D359" s="1495" t="s">
        <v>65</v>
      </c>
      <c r="E359" s="21" t="s">
        <v>313</v>
      </c>
      <c r="F359" s="21" t="s">
        <v>169</v>
      </c>
      <c r="G359" s="21" t="s">
        <v>264</v>
      </c>
      <c r="H359" s="1495" t="s">
        <v>436</v>
      </c>
      <c r="I359" s="21" t="s">
        <v>184</v>
      </c>
      <c r="J359" s="21" t="s">
        <v>433</v>
      </c>
    </row>
    <row r="360" spans="1:10" x14ac:dyDescent="0.2">
      <c r="A360" s="7" t="s">
        <v>235</v>
      </c>
      <c r="B360" s="21" t="s">
        <v>177</v>
      </c>
      <c r="C360" s="4">
        <v>163984090000</v>
      </c>
      <c r="D360" s="4">
        <v>60505710000</v>
      </c>
      <c r="E360" s="4">
        <v>47614990000</v>
      </c>
      <c r="F360" s="4">
        <v>17334780000</v>
      </c>
      <c r="G360" s="4">
        <v>9279570000</v>
      </c>
      <c r="H360" s="4">
        <v>4409007144</v>
      </c>
      <c r="I360" s="4">
        <v>4357650000</v>
      </c>
      <c r="J360" s="4">
        <v>534500000</v>
      </c>
    </row>
    <row r="361" spans="1:10" x14ac:dyDescent="0.2">
      <c r="B361" s="21" t="s">
        <v>162</v>
      </c>
      <c r="D361" s="1495" t="s">
        <v>303</v>
      </c>
      <c r="G361" s="1495" t="s">
        <v>41</v>
      </c>
    </row>
    <row r="362" spans="1:10" x14ac:dyDescent="0.2">
      <c r="B362" s="21" t="s">
        <v>161</v>
      </c>
      <c r="D362" s="1495" t="s">
        <v>303</v>
      </c>
      <c r="G362" s="1495" t="s">
        <v>41</v>
      </c>
      <c r="H362" s="1495" t="s">
        <v>436</v>
      </c>
    </row>
    <row r="363" spans="1:10" x14ac:dyDescent="0.2">
      <c r="B363" s="21" t="s">
        <v>160</v>
      </c>
      <c r="D363" s="1495" t="s">
        <v>303</v>
      </c>
      <c r="G363" s="1495" t="s">
        <v>41</v>
      </c>
      <c r="H363" s="1495" t="s">
        <v>436</v>
      </c>
    </row>
    <row r="364" spans="1:10" x14ac:dyDescent="0.2">
      <c r="B364" s="21" t="s">
        <v>157</v>
      </c>
      <c r="C364" s="21" t="s">
        <v>14</v>
      </c>
      <c r="D364" s="1495" t="s">
        <v>303</v>
      </c>
      <c r="E364" s="21" t="s">
        <v>325</v>
      </c>
      <c r="F364" s="21" t="s">
        <v>40</v>
      </c>
      <c r="G364" s="1495" t="s">
        <v>41</v>
      </c>
      <c r="H364" s="1495" t="s">
        <v>436</v>
      </c>
    </row>
    <row r="365" spans="1:10" x14ac:dyDescent="0.2">
      <c r="A365" s="7" t="s">
        <v>234</v>
      </c>
      <c r="B365" s="21" t="s">
        <v>177</v>
      </c>
      <c r="C365" s="4">
        <v>102673120000</v>
      </c>
      <c r="D365" s="4">
        <v>21330840000</v>
      </c>
      <c r="E365" s="4">
        <v>17572310000</v>
      </c>
      <c r="F365" s="4">
        <v>9481000000</v>
      </c>
      <c r="G365" s="4">
        <v>9372050000</v>
      </c>
      <c r="H365" s="4">
        <v>3445499469</v>
      </c>
    </row>
    <row r="366" spans="1:10" x14ac:dyDescent="0.2">
      <c r="B366" s="21" t="s">
        <v>162</v>
      </c>
      <c r="E366" s="1495" t="s">
        <v>95</v>
      </c>
      <c r="G366" s="1495" t="s">
        <v>270</v>
      </c>
    </row>
    <row r="367" spans="1:10" x14ac:dyDescent="0.2">
      <c r="B367" s="21" t="s">
        <v>161</v>
      </c>
      <c r="E367" s="1495" t="s">
        <v>95</v>
      </c>
      <c r="G367" s="1495" t="s">
        <v>270</v>
      </c>
    </row>
    <row r="368" spans="1:10" x14ac:dyDescent="0.2">
      <c r="B368" s="21" t="s">
        <v>160</v>
      </c>
      <c r="E368" s="1495" t="s">
        <v>95</v>
      </c>
      <c r="G368" s="1495" t="s">
        <v>270</v>
      </c>
    </row>
    <row r="369" spans="1:15" x14ac:dyDescent="0.2">
      <c r="B369" s="21" t="s">
        <v>157</v>
      </c>
      <c r="C369" s="21" t="s">
        <v>22</v>
      </c>
      <c r="D369" s="21" t="s">
        <v>313</v>
      </c>
      <c r="E369" s="1495" t="s">
        <v>95</v>
      </c>
      <c r="F369" s="21" t="s">
        <v>325</v>
      </c>
      <c r="G369" s="1495" t="s">
        <v>270</v>
      </c>
      <c r="H369" s="21" t="s">
        <v>190</v>
      </c>
      <c r="I369" s="21" t="s">
        <v>19</v>
      </c>
      <c r="J369" s="21" t="s">
        <v>436</v>
      </c>
    </row>
    <row r="370" spans="1:15" x14ac:dyDescent="0.2">
      <c r="A370" s="7" t="s">
        <v>233</v>
      </c>
      <c r="B370" s="21" t="s">
        <v>177</v>
      </c>
      <c r="C370" s="4">
        <v>50427120000</v>
      </c>
      <c r="D370" s="4">
        <v>41999800000</v>
      </c>
      <c r="E370" s="4">
        <v>36354310000</v>
      </c>
      <c r="F370" s="4">
        <v>14388090000</v>
      </c>
      <c r="G370" s="4">
        <v>11310630000</v>
      </c>
      <c r="H370" s="4">
        <v>7578510000</v>
      </c>
      <c r="I370" s="4">
        <v>5255230000</v>
      </c>
      <c r="J370" s="4">
        <v>1375140528</v>
      </c>
    </row>
    <row r="371" spans="1:15" x14ac:dyDescent="0.2">
      <c r="B371" s="21" t="s">
        <v>162</v>
      </c>
      <c r="H371" s="1495" t="s">
        <v>314</v>
      </c>
      <c r="I371" s="1495" t="s">
        <v>266</v>
      </c>
    </row>
    <row r="372" spans="1:15" x14ac:dyDescent="0.2">
      <c r="B372" s="21" t="s">
        <v>161</v>
      </c>
      <c r="F372" s="1495" t="s">
        <v>333</v>
      </c>
      <c r="H372" s="1495" t="s">
        <v>314</v>
      </c>
      <c r="I372" s="1495" t="s">
        <v>266</v>
      </c>
    </row>
    <row r="373" spans="1:15" x14ac:dyDescent="0.2">
      <c r="B373" s="21" t="s">
        <v>160</v>
      </c>
      <c r="F373" s="1495" t="s">
        <v>333</v>
      </c>
      <c r="H373" s="1495" t="s">
        <v>314</v>
      </c>
      <c r="I373" s="1495" t="s">
        <v>266</v>
      </c>
    </row>
    <row r="374" spans="1:15" x14ac:dyDescent="0.2">
      <c r="B374" s="21" t="s">
        <v>157</v>
      </c>
      <c r="C374" s="21" t="s">
        <v>14</v>
      </c>
      <c r="D374" s="21" t="s">
        <v>9</v>
      </c>
      <c r="E374" s="21" t="s">
        <v>188</v>
      </c>
      <c r="F374" s="1495" t="s">
        <v>333</v>
      </c>
      <c r="G374" s="21" t="s">
        <v>62</v>
      </c>
      <c r="H374" s="1495" t="s">
        <v>314</v>
      </c>
      <c r="I374" s="1495" t="s">
        <v>266</v>
      </c>
    </row>
    <row r="375" spans="1:15" x14ac:dyDescent="0.2">
      <c r="A375" s="7" t="s">
        <v>232</v>
      </c>
      <c r="B375" s="21" t="s">
        <v>177</v>
      </c>
      <c r="C375" s="4">
        <v>81910260000</v>
      </c>
      <c r="D375" s="4">
        <v>67094780000</v>
      </c>
      <c r="E375" s="4">
        <v>46714460000</v>
      </c>
      <c r="F375" s="4">
        <v>27866460000</v>
      </c>
      <c r="G375" s="4">
        <v>11830130000</v>
      </c>
      <c r="H375" s="4">
        <v>8428120000</v>
      </c>
      <c r="I375" s="4">
        <v>5872658841</v>
      </c>
    </row>
    <row r="376" spans="1:15" x14ac:dyDescent="0.2">
      <c r="B376" s="21" t="s">
        <v>162</v>
      </c>
      <c r="C376" s="1495" t="s">
        <v>36</v>
      </c>
      <c r="D376" s="1495" t="s">
        <v>302</v>
      </c>
    </row>
    <row r="377" spans="1:15" x14ac:dyDescent="0.2">
      <c r="B377" s="21" t="s">
        <v>161</v>
      </c>
      <c r="C377" s="1495" t="s">
        <v>36</v>
      </c>
      <c r="D377" s="1495" t="s">
        <v>302</v>
      </c>
    </row>
    <row r="378" spans="1:15" x14ac:dyDescent="0.2">
      <c r="B378" s="21" t="s">
        <v>160</v>
      </c>
      <c r="C378" s="1495" t="s">
        <v>36</v>
      </c>
      <c r="D378" s="1495" t="s">
        <v>302</v>
      </c>
    </row>
    <row r="379" spans="1:15" x14ac:dyDescent="0.2">
      <c r="B379" s="21" t="s">
        <v>157</v>
      </c>
      <c r="C379" s="1495" t="s">
        <v>36</v>
      </c>
      <c r="D379" s="1495" t="s">
        <v>302</v>
      </c>
    </row>
    <row r="380" spans="1:15" x14ac:dyDescent="0.2">
      <c r="A380" s="7" t="s">
        <v>231</v>
      </c>
      <c r="B380" s="21" t="s">
        <v>177</v>
      </c>
      <c r="C380" s="4">
        <v>62078060000</v>
      </c>
      <c r="D380" s="4">
        <v>10866700000</v>
      </c>
    </row>
    <row r="381" spans="1:15" x14ac:dyDescent="0.2">
      <c r="B381" s="21" t="s">
        <v>162</v>
      </c>
      <c r="C381" s="1495" t="s">
        <v>207</v>
      </c>
      <c r="E381" s="1495" t="s">
        <v>287</v>
      </c>
      <c r="F381" s="1495" t="s">
        <v>262</v>
      </c>
      <c r="H381" s="1495" t="s">
        <v>312</v>
      </c>
      <c r="K381" s="1495" t="s">
        <v>92</v>
      </c>
      <c r="L381" s="1495" t="s">
        <v>266</v>
      </c>
    </row>
    <row r="382" spans="1:15" x14ac:dyDescent="0.2">
      <c r="B382" s="21" t="s">
        <v>161</v>
      </c>
      <c r="C382" s="1495" t="s">
        <v>207</v>
      </c>
      <c r="E382" s="1495" t="s">
        <v>287</v>
      </c>
      <c r="F382" s="1495" t="s">
        <v>262</v>
      </c>
      <c r="H382" s="1495" t="s">
        <v>312</v>
      </c>
      <c r="J382" s="1495" t="s">
        <v>179</v>
      </c>
      <c r="K382" s="1495" t="s">
        <v>92</v>
      </c>
      <c r="L382" s="1495" t="s">
        <v>266</v>
      </c>
    </row>
    <row r="383" spans="1:15" x14ac:dyDescent="0.2">
      <c r="B383" s="21" t="s">
        <v>160</v>
      </c>
      <c r="C383" s="1495" t="s">
        <v>207</v>
      </c>
      <c r="E383" s="1495" t="s">
        <v>287</v>
      </c>
      <c r="F383" s="1495" t="s">
        <v>262</v>
      </c>
      <c r="H383" s="1495" t="s">
        <v>312</v>
      </c>
      <c r="J383" s="1495" t="s">
        <v>179</v>
      </c>
      <c r="K383" s="1495" t="s">
        <v>92</v>
      </c>
      <c r="L383" s="1495" t="s">
        <v>266</v>
      </c>
    </row>
    <row r="384" spans="1:15" x14ac:dyDescent="0.2">
      <c r="B384" s="21" t="s">
        <v>157</v>
      </c>
      <c r="C384" s="1495" t="s">
        <v>207</v>
      </c>
      <c r="D384" s="21" t="s">
        <v>97</v>
      </c>
      <c r="E384" s="1495" t="s">
        <v>287</v>
      </c>
      <c r="F384" s="1495" t="s">
        <v>262</v>
      </c>
      <c r="G384" s="21" t="s">
        <v>271</v>
      </c>
      <c r="H384" s="1495" t="s">
        <v>312</v>
      </c>
      <c r="I384" s="21" t="s">
        <v>264</v>
      </c>
      <c r="J384" s="1495" t="s">
        <v>179</v>
      </c>
      <c r="K384" s="1495" t="s">
        <v>92</v>
      </c>
      <c r="L384" s="1495" t="s">
        <v>266</v>
      </c>
      <c r="M384" s="21" t="s">
        <v>270</v>
      </c>
      <c r="N384" s="21" t="s">
        <v>437</v>
      </c>
      <c r="O384" s="21" t="s">
        <v>448</v>
      </c>
    </row>
    <row r="385" spans="1:15" x14ac:dyDescent="0.2">
      <c r="A385" s="7" t="s">
        <v>230</v>
      </c>
      <c r="B385" s="21" t="s">
        <v>177</v>
      </c>
      <c r="C385" s="4">
        <v>50011340000</v>
      </c>
      <c r="D385" s="4">
        <v>45222010000</v>
      </c>
      <c r="E385" s="4">
        <v>27263300000</v>
      </c>
      <c r="F385" s="4">
        <v>17425290000</v>
      </c>
      <c r="G385" s="4">
        <v>14429490000</v>
      </c>
      <c r="H385" s="4">
        <v>14158070000</v>
      </c>
      <c r="I385" s="4">
        <v>8801830000</v>
      </c>
      <c r="J385" s="4">
        <v>7307720000</v>
      </c>
      <c r="K385" s="4">
        <v>6253716182</v>
      </c>
      <c r="L385" s="4">
        <v>5838830649</v>
      </c>
      <c r="M385" s="4">
        <v>2906680000</v>
      </c>
      <c r="N385" s="4">
        <v>1654059827</v>
      </c>
      <c r="O385" s="4">
        <v>4772710</v>
      </c>
    </row>
    <row r="386" spans="1:15" x14ac:dyDescent="0.2">
      <c r="B386" s="21" t="s">
        <v>162</v>
      </c>
      <c r="D386" s="1495" t="s">
        <v>94</v>
      </c>
      <c r="E386" s="1495" t="s">
        <v>266</v>
      </c>
    </row>
    <row r="387" spans="1:15" x14ac:dyDescent="0.2">
      <c r="B387" s="21" t="s">
        <v>161</v>
      </c>
      <c r="D387" s="1495" t="s">
        <v>94</v>
      </c>
      <c r="E387" s="1495" t="s">
        <v>266</v>
      </c>
    </row>
    <row r="388" spans="1:15" x14ac:dyDescent="0.2">
      <c r="B388" s="21" t="s">
        <v>160</v>
      </c>
      <c r="D388" s="1495" t="s">
        <v>94</v>
      </c>
      <c r="E388" s="1495" t="s">
        <v>266</v>
      </c>
    </row>
    <row r="389" spans="1:15" x14ac:dyDescent="0.2">
      <c r="B389" s="21" t="s">
        <v>157</v>
      </c>
      <c r="C389" s="21" t="s">
        <v>20</v>
      </c>
      <c r="D389" s="1495" t="s">
        <v>94</v>
      </c>
      <c r="E389" s="1495" t="s">
        <v>266</v>
      </c>
      <c r="F389" s="21" t="s">
        <v>437</v>
      </c>
      <c r="G389" s="21" t="s">
        <v>432</v>
      </c>
    </row>
    <row r="390" spans="1:15" x14ac:dyDescent="0.2">
      <c r="A390" s="7" t="s">
        <v>229</v>
      </c>
      <c r="B390" s="21" t="s">
        <v>177</v>
      </c>
      <c r="C390" s="4">
        <v>25240925757</v>
      </c>
      <c r="D390" s="4">
        <v>6771424838</v>
      </c>
      <c r="E390" s="4">
        <v>3866142741</v>
      </c>
      <c r="F390" s="4">
        <v>1457731692</v>
      </c>
      <c r="G390" s="4">
        <v>123850000</v>
      </c>
    </row>
    <row r="391" spans="1:15" x14ac:dyDescent="0.2">
      <c r="B391" s="21" t="s">
        <v>162</v>
      </c>
      <c r="C391" s="1495" t="s">
        <v>165</v>
      </c>
      <c r="G391" s="1495" t="s">
        <v>92</v>
      </c>
    </row>
    <row r="392" spans="1:15" x14ac:dyDescent="0.2">
      <c r="B392" s="21" t="s">
        <v>161</v>
      </c>
      <c r="C392" s="1495" t="s">
        <v>165</v>
      </c>
      <c r="G392" s="1495" t="s">
        <v>92</v>
      </c>
    </row>
    <row r="393" spans="1:15" x14ac:dyDescent="0.2">
      <c r="B393" s="21" t="s">
        <v>160</v>
      </c>
      <c r="C393" s="1495" t="s">
        <v>165</v>
      </c>
      <c r="G393" s="1495" t="s">
        <v>92</v>
      </c>
    </row>
    <row r="394" spans="1:15" x14ac:dyDescent="0.2">
      <c r="B394" s="21" t="s">
        <v>157</v>
      </c>
      <c r="C394" s="1495" t="s">
        <v>165</v>
      </c>
      <c r="D394" s="21" t="s">
        <v>20</v>
      </c>
      <c r="E394" s="21" t="s">
        <v>261</v>
      </c>
      <c r="F394" s="21" t="s">
        <v>303</v>
      </c>
      <c r="G394" s="1495" t="s">
        <v>92</v>
      </c>
      <c r="H394" s="21" t="s">
        <v>33</v>
      </c>
      <c r="I394" s="21" t="s">
        <v>326</v>
      </c>
    </row>
    <row r="395" spans="1:15" x14ac:dyDescent="0.2">
      <c r="A395" s="7" t="s">
        <v>228</v>
      </c>
      <c r="B395" s="21" t="s">
        <v>177</v>
      </c>
      <c r="C395" s="4">
        <v>63809490000</v>
      </c>
      <c r="D395" s="4">
        <v>25049261529</v>
      </c>
      <c r="E395" s="4">
        <v>16220910000</v>
      </c>
      <c r="F395" s="4">
        <v>11000420000</v>
      </c>
      <c r="G395" s="4">
        <v>4907127636</v>
      </c>
      <c r="H395" s="4">
        <v>1524130000</v>
      </c>
      <c r="I395" s="4">
        <v>1038260000</v>
      </c>
    </row>
    <row r="396" spans="1:15" x14ac:dyDescent="0.2">
      <c r="B396" s="21" t="s">
        <v>162</v>
      </c>
      <c r="C396" s="1495" t="s">
        <v>37</v>
      </c>
      <c r="D396" s="1495" t="s">
        <v>165</v>
      </c>
      <c r="F396" s="1495" t="s">
        <v>94</v>
      </c>
    </row>
    <row r="397" spans="1:15" x14ac:dyDescent="0.2">
      <c r="B397" s="21" t="s">
        <v>161</v>
      </c>
      <c r="C397" s="1495" t="s">
        <v>37</v>
      </c>
      <c r="D397" s="1495" t="s">
        <v>165</v>
      </c>
      <c r="F397" s="1495" t="s">
        <v>94</v>
      </c>
      <c r="G397" s="1495" t="s">
        <v>174</v>
      </c>
    </row>
    <row r="398" spans="1:15" x14ac:dyDescent="0.2">
      <c r="B398" s="21" t="s">
        <v>160</v>
      </c>
      <c r="C398" s="1495" t="s">
        <v>37</v>
      </c>
      <c r="D398" s="1495" t="s">
        <v>165</v>
      </c>
      <c r="F398" s="1495" t="s">
        <v>94</v>
      </c>
      <c r="G398" s="1495" t="s">
        <v>174</v>
      </c>
    </row>
    <row r="399" spans="1:15" x14ac:dyDescent="0.2">
      <c r="B399" s="21" t="s">
        <v>157</v>
      </c>
      <c r="C399" s="1495" t="s">
        <v>37</v>
      </c>
      <c r="D399" s="1495" t="s">
        <v>165</v>
      </c>
      <c r="E399" s="21" t="s">
        <v>57</v>
      </c>
      <c r="F399" s="1495" t="s">
        <v>94</v>
      </c>
      <c r="G399" s="1495" t="s">
        <v>174</v>
      </c>
    </row>
    <row r="400" spans="1:15" x14ac:dyDescent="0.2">
      <c r="A400" s="7" t="s">
        <v>227</v>
      </c>
      <c r="B400" s="21" t="s">
        <v>177</v>
      </c>
      <c r="C400" s="4">
        <v>94040600000</v>
      </c>
      <c r="D400" s="4">
        <v>59340490000</v>
      </c>
      <c r="E400" s="4">
        <v>15568810287</v>
      </c>
      <c r="F400" s="4">
        <v>5685475805</v>
      </c>
      <c r="G400" s="4">
        <v>3687950000</v>
      </c>
    </row>
    <row r="401" spans="1:11" x14ac:dyDescent="0.2">
      <c r="B401" s="21" t="s">
        <v>162</v>
      </c>
      <c r="C401" s="1495" t="s">
        <v>35</v>
      </c>
      <c r="D401" s="1495" t="s">
        <v>278</v>
      </c>
    </row>
    <row r="402" spans="1:11" x14ac:dyDescent="0.2">
      <c r="B402" s="21" t="s">
        <v>161</v>
      </c>
      <c r="C402" s="1495" t="s">
        <v>35</v>
      </c>
      <c r="D402" s="1495" t="s">
        <v>278</v>
      </c>
    </row>
    <row r="403" spans="1:11" x14ac:dyDescent="0.2">
      <c r="B403" s="21" t="s">
        <v>160</v>
      </c>
      <c r="C403" s="1495" t="s">
        <v>35</v>
      </c>
      <c r="D403" s="1495" t="s">
        <v>278</v>
      </c>
    </row>
    <row r="404" spans="1:11" x14ac:dyDescent="0.2">
      <c r="B404" s="21" t="s">
        <v>157</v>
      </c>
      <c r="C404" s="1495" t="s">
        <v>35</v>
      </c>
      <c r="D404" s="1495" t="s">
        <v>278</v>
      </c>
      <c r="E404" s="21" t="s">
        <v>158</v>
      </c>
    </row>
    <row r="405" spans="1:11" x14ac:dyDescent="0.2">
      <c r="A405" s="7" t="s">
        <v>226</v>
      </c>
      <c r="B405" s="21" t="s">
        <v>177</v>
      </c>
      <c r="C405" s="4">
        <v>427750610000</v>
      </c>
      <c r="D405" s="4">
        <v>3054390000</v>
      </c>
      <c r="E405" s="4">
        <v>461442353</v>
      </c>
    </row>
    <row r="406" spans="1:11" x14ac:dyDescent="0.2">
      <c r="B406" s="21" t="s">
        <v>162</v>
      </c>
      <c r="C406" s="1495" t="s">
        <v>17</v>
      </c>
    </row>
    <row r="407" spans="1:11" x14ac:dyDescent="0.2">
      <c r="B407" s="21" t="s">
        <v>161</v>
      </c>
      <c r="C407" s="1495" t="s">
        <v>17</v>
      </c>
    </row>
    <row r="408" spans="1:11" x14ac:dyDescent="0.2">
      <c r="B408" s="21" t="s">
        <v>160</v>
      </c>
      <c r="C408" s="1495" t="s">
        <v>17</v>
      </c>
    </row>
    <row r="409" spans="1:11" x14ac:dyDescent="0.2">
      <c r="B409" s="21" t="s">
        <v>157</v>
      </c>
      <c r="C409" s="1495" t="s">
        <v>17</v>
      </c>
      <c r="D409" s="21" t="s">
        <v>163</v>
      </c>
      <c r="E409" s="21" t="s">
        <v>159</v>
      </c>
      <c r="F409" s="21" t="s">
        <v>326</v>
      </c>
      <c r="G409" s="21" t="s">
        <v>433</v>
      </c>
    </row>
    <row r="410" spans="1:11" x14ac:dyDescent="0.2">
      <c r="A410" s="7" t="s">
        <v>225</v>
      </c>
      <c r="B410" s="21" t="s">
        <v>177</v>
      </c>
      <c r="C410" s="4">
        <v>276121530000</v>
      </c>
      <c r="D410" s="4">
        <v>48765340000</v>
      </c>
      <c r="E410" s="4">
        <v>9426810000</v>
      </c>
      <c r="F410" s="4">
        <v>515380000</v>
      </c>
      <c r="G410" s="4">
        <v>294180000</v>
      </c>
    </row>
    <row r="411" spans="1:11" x14ac:dyDescent="0.2">
      <c r="B411" s="21" t="s">
        <v>162</v>
      </c>
      <c r="C411" s="1495" t="s">
        <v>165</v>
      </c>
      <c r="E411" s="1495" t="s">
        <v>207</v>
      </c>
      <c r="K411" s="1495" t="s">
        <v>438</v>
      </c>
    </row>
    <row r="412" spans="1:11" x14ac:dyDescent="0.2">
      <c r="B412" s="21" t="s">
        <v>161</v>
      </c>
      <c r="C412" s="1495" t="s">
        <v>165</v>
      </c>
      <c r="E412" s="1495" t="s">
        <v>207</v>
      </c>
      <c r="K412" s="1495" t="s">
        <v>438</v>
      </c>
    </row>
    <row r="413" spans="1:11" x14ac:dyDescent="0.2">
      <c r="B413" s="21" t="s">
        <v>160</v>
      </c>
      <c r="C413" s="1495" t="s">
        <v>165</v>
      </c>
      <c r="E413" s="1495" t="s">
        <v>207</v>
      </c>
      <c r="K413" s="1495" t="s">
        <v>438</v>
      </c>
    </row>
    <row r="414" spans="1:11" x14ac:dyDescent="0.2">
      <c r="B414" s="21" t="s">
        <v>157</v>
      </c>
      <c r="C414" s="1495" t="s">
        <v>165</v>
      </c>
      <c r="D414" s="21" t="s">
        <v>163</v>
      </c>
      <c r="E414" s="1495" t="s">
        <v>207</v>
      </c>
      <c r="F414" s="21" t="s">
        <v>279</v>
      </c>
      <c r="G414" s="21" t="s">
        <v>27</v>
      </c>
      <c r="H414" s="21" t="s">
        <v>68</v>
      </c>
      <c r="I414" s="21" t="s">
        <v>270</v>
      </c>
      <c r="J414" s="21" t="s">
        <v>326</v>
      </c>
      <c r="K414" s="1495" t="s">
        <v>438</v>
      </c>
    </row>
    <row r="415" spans="1:11" x14ac:dyDescent="0.2">
      <c r="A415" s="7" t="s">
        <v>224</v>
      </c>
      <c r="B415" s="21" t="s">
        <v>177</v>
      </c>
      <c r="C415" s="4">
        <v>56719100000</v>
      </c>
      <c r="D415" s="4">
        <v>42048840000</v>
      </c>
      <c r="E415" s="4">
        <v>36116770000</v>
      </c>
      <c r="F415" s="4">
        <v>18360940000</v>
      </c>
      <c r="G415" s="4">
        <v>7308070000</v>
      </c>
      <c r="H415" s="4">
        <v>5950110000</v>
      </c>
      <c r="I415" s="4">
        <v>1923930000</v>
      </c>
      <c r="J415" s="4">
        <v>439090000</v>
      </c>
      <c r="K415" s="4">
        <v>16470000</v>
      </c>
    </row>
    <row r="416" spans="1:11" x14ac:dyDescent="0.2">
      <c r="B416" s="21" t="s">
        <v>162</v>
      </c>
      <c r="C416" s="1495" t="s">
        <v>165</v>
      </c>
      <c r="G416" s="1495" t="s">
        <v>41</v>
      </c>
      <c r="H416" s="1495" t="s">
        <v>434</v>
      </c>
    </row>
    <row r="417" spans="1:11" x14ac:dyDescent="0.2">
      <c r="B417" s="21" t="s">
        <v>161</v>
      </c>
      <c r="C417" s="1495" t="s">
        <v>165</v>
      </c>
      <c r="F417" s="21"/>
      <c r="G417" s="1495" t="s">
        <v>41</v>
      </c>
      <c r="H417" s="1495" t="s">
        <v>434</v>
      </c>
    </row>
    <row r="418" spans="1:11" x14ac:dyDescent="0.2">
      <c r="B418" s="21" t="s">
        <v>160</v>
      </c>
      <c r="C418" s="1495" t="s">
        <v>165</v>
      </c>
      <c r="F418" s="21"/>
      <c r="G418" s="1495" t="s">
        <v>41</v>
      </c>
      <c r="H418" s="1495" t="s">
        <v>434</v>
      </c>
    </row>
    <row r="419" spans="1:11" x14ac:dyDescent="0.2">
      <c r="B419" s="21" t="s">
        <v>157</v>
      </c>
      <c r="C419" s="1495" t="s">
        <v>165</v>
      </c>
      <c r="D419" s="21" t="s">
        <v>75</v>
      </c>
      <c r="E419" s="21" t="s">
        <v>39</v>
      </c>
      <c r="F419" s="21" t="s">
        <v>303</v>
      </c>
      <c r="G419" s="1495" t="s">
        <v>41</v>
      </c>
      <c r="H419" s="1495" t="s">
        <v>434</v>
      </c>
    </row>
    <row r="420" spans="1:11" x14ac:dyDescent="0.2">
      <c r="A420" s="7" t="s">
        <v>223</v>
      </c>
      <c r="B420" s="21" t="s">
        <v>177</v>
      </c>
      <c r="C420" s="4">
        <v>55393940000</v>
      </c>
      <c r="D420" s="4">
        <v>46132860000</v>
      </c>
      <c r="E420" s="4">
        <v>24452200000</v>
      </c>
      <c r="F420" s="21">
        <v>8271410000</v>
      </c>
      <c r="G420" s="21">
        <v>6101390000</v>
      </c>
      <c r="H420" s="4">
        <v>4820050000</v>
      </c>
    </row>
    <row r="421" spans="1:11" x14ac:dyDescent="0.2">
      <c r="B421" s="21" t="s">
        <v>162</v>
      </c>
      <c r="E421" s="1495" t="s">
        <v>37</v>
      </c>
      <c r="F421" s="1495" t="s">
        <v>71</v>
      </c>
      <c r="G421" s="1495" t="s">
        <v>207</v>
      </c>
      <c r="I421" s="1495" t="s">
        <v>262</v>
      </c>
    </row>
    <row r="422" spans="1:11" x14ac:dyDescent="0.2">
      <c r="B422" s="21" t="s">
        <v>161</v>
      </c>
      <c r="C422" s="1495" t="s">
        <v>21</v>
      </c>
      <c r="E422" s="1495" t="s">
        <v>37</v>
      </c>
      <c r="F422" s="1495" t="s">
        <v>71</v>
      </c>
      <c r="G422" s="1495" t="s">
        <v>207</v>
      </c>
      <c r="I422" s="1495" t="s">
        <v>262</v>
      </c>
    </row>
    <row r="423" spans="1:11" x14ac:dyDescent="0.2">
      <c r="B423" s="21" t="s">
        <v>160</v>
      </c>
      <c r="C423" s="1495" t="s">
        <v>21</v>
      </c>
      <c r="E423" s="1495" t="s">
        <v>37</v>
      </c>
      <c r="F423" s="1495" t="s">
        <v>71</v>
      </c>
      <c r="G423" s="1495" t="s">
        <v>207</v>
      </c>
      <c r="I423" s="1495" t="s">
        <v>262</v>
      </c>
    </row>
    <row r="424" spans="1:11" x14ac:dyDescent="0.2">
      <c r="B424" s="21" t="s">
        <v>157</v>
      </c>
      <c r="C424" s="1495" t="s">
        <v>21</v>
      </c>
      <c r="D424" s="21" t="s">
        <v>12</v>
      </c>
      <c r="E424" s="1495" t="s">
        <v>37</v>
      </c>
      <c r="F424" s="1495" t="s">
        <v>71</v>
      </c>
      <c r="G424" s="1495" t="s">
        <v>207</v>
      </c>
      <c r="H424" s="21" t="s">
        <v>65</v>
      </c>
      <c r="I424" s="1495" t="s">
        <v>262</v>
      </c>
      <c r="J424" s="21" t="s">
        <v>33</v>
      </c>
    </row>
    <row r="425" spans="1:11" x14ac:dyDescent="0.2">
      <c r="A425" s="7" t="s">
        <v>222</v>
      </c>
      <c r="B425" s="21" t="s">
        <v>177</v>
      </c>
      <c r="C425" s="4">
        <v>135598370000</v>
      </c>
      <c r="D425" s="4">
        <v>84089480000</v>
      </c>
      <c r="E425" s="4">
        <v>78242590000</v>
      </c>
      <c r="F425" s="4">
        <v>66510550000</v>
      </c>
      <c r="G425" s="4">
        <v>33420160000</v>
      </c>
      <c r="H425" s="4">
        <v>30164570000</v>
      </c>
      <c r="I425" s="4">
        <v>14466370000</v>
      </c>
      <c r="J425" s="4">
        <v>969100000</v>
      </c>
    </row>
    <row r="426" spans="1:11" x14ac:dyDescent="0.2">
      <c r="B426" s="21" t="s">
        <v>162</v>
      </c>
      <c r="C426" s="1495" t="s">
        <v>66</v>
      </c>
      <c r="D426" s="1495" t="s">
        <v>69</v>
      </c>
      <c r="G426" s="1495" t="s">
        <v>289</v>
      </c>
      <c r="H426" s="1495" t="s">
        <v>92</v>
      </c>
    </row>
    <row r="427" spans="1:11" x14ac:dyDescent="0.2">
      <c r="B427" s="21" t="s">
        <v>161</v>
      </c>
      <c r="C427" s="1495" t="s">
        <v>66</v>
      </c>
      <c r="D427" s="1495" t="s">
        <v>69</v>
      </c>
      <c r="G427" s="1495" t="s">
        <v>289</v>
      </c>
      <c r="H427" s="1495" t="s">
        <v>92</v>
      </c>
    </row>
    <row r="428" spans="1:11" x14ac:dyDescent="0.2">
      <c r="B428" s="21" t="s">
        <v>160</v>
      </c>
      <c r="C428" s="1495" t="s">
        <v>66</v>
      </c>
      <c r="D428" s="1495" t="s">
        <v>69</v>
      </c>
      <c r="G428" s="1495" t="s">
        <v>289</v>
      </c>
      <c r="H428" s="1495" t="s">
        <v>92</v>
      </c>
    </row>
    <row r="429" spans="1:11" x14ac:dyDescent="0.2">
      <c r="B429" s="21" t="s">
        <v>157</v>
      </c>
      <c r="C429" s="1495" t="s">
        <v>66</v>
      </c>
      <c r="D429" s="1495" t="s">
        <v>69</v>
      </c>
      <c r="E429" s="21" t="s">
        <v>286</v>
      </c>
      <c r="F429" s="21" t="s">
        <v>73</v>
      </c>
      <c r="G429" s="1495" t="s">
        <v>289</v>
      </c>
      <c r="H429" s="1495" t="s">
        <v>92</v>
      </c>
      <c r="I429" s="21" t="s">
        <v>278</v>
      </c>
      <c r="J429" s="21" t="s">
        <v>176</v>
      </c>
      <c r="K429" s="21" t="s">
        <v>326</v>
      </c>
    </row>
    <row r="430" spans="1:11" x14ac:dyDescent="0.2">
      <c r="A430" s="7" t="s">
        <v>221</v>
      </c>
      <c r="B430" s="21" t="s">
        <v>177</v>
      </c>
      <c r="C430" s="4">
        <v>74953220000</v>
      </c>
      <c r="D430" s="4">
        <v>51551070000</v>
      </c>
      <c r="E430" s="4">
        <v>19503350000</v>
      </c>
      <c r="F430" s="4">
        <v>9630290000</v>
      </c>
      <c r="G430" s="4">
        <v>6928310000</v>
      </c>
      <c r="H430" s="4">
        <v>4470160734</v>
      </c>
      <c r="I430" s="4">
        <v>1095570000</v>
      </c>
      <c r="J430" s="4">
        <v>642950000</v>
      </c>
      <c r="K430" s="4">
        <v>47390000</v>
      </c>
    </row>
    <row r="431" spans="1:11" x14ac:dyDescent="0.2">
      <c r="B431" s="21" t="s">
        <v>162</v>
      </c>
      <c r="C431" s="1495" t="s">
        <v>89</v>
      </c>
      <c r="D431" s="1495" t="s">
        <v>29</v>
      </c>
    </row>
    <row r="432" spans="1:11" x14ac:dyDescent="0.2">
      <c r="B432" s="21" t="s">
        <v>161</v>
      </c>
      <c r="C432" s="1495" t="s">
        <v>89</v>
      </c>
      <c r="D432" s="1495" t="s">
        <v>29</v>
      </c>
    </row>
    <row r="433" spans="1:9" x14ac:dyDescent="0.2">
      <c r="B433" s="21" t="s">
        <v>160</v>
      </c>
      <c r="C433" s="1495" t="s">
        <v>89</v>
      </c>
      <c r="D433" s="1495" t="s">
        <v>29</v>
      </c>
    </row>
    <row r="434" spans="1:9" x14ac:dyDescent="0.2">
      <c r="B434" s="21" t="s">
        <v>157</v>
      </c>
      <c r="C434" s="1495" t="s">
        <v>89</v>
      </c>
      <c r="D434" s="1495" t="s">
        <v>29</v>
      </c>
      <c r="E434" s="21" t="s">
        <v>78</v>
      </c>
    </row>
    <row r="435" spans="1:9" x14ac:dyDescent="0.2">
      <c r="A435" s="7" t="s">
        <v>219</v>
      </c>
      <c r="B435" s="21" t="s">
        <v>177</v>
      </c>
      <c r="C435" s="4">
        <v>165655590000</v>
      </c>
      <c r="D435" s="4">
        <v>70447947659</v>
      </c>
      <c r="E435" s="4">
        <v>21964270000</v>
      </c>
    </row>
    <row r="436" spans="1:9" x14ac:dyDescent="0.2">
      <c r="B436" s="21" t="s">
        <v>162</v>
      </c>
      <c r="C436" s="1495" t="s">
        <v>90</v>
      </c>
      <c r="E436" s="1495" t="s">
        <v>41</v>
      </c>
      <c r="G436" s="1495" t="s">
        <v>266</v>
      </c>
    </row>
    <row r="437" spans="1:9" x14ac:dyDescent="0.2">
      <c r="B437" s="21" t="s">
        <v>161</v>
      </c>
      <c r="C437" s="1495" t="s">
        <v>90</v>
      </c>
      <c r="E437" s="1495" t="s">
        <v>41</v>
      </c>
      <c r="G437" s="1495" t="s">
        <v>266</v>
      </c>
    </row>
    <row r="438" spans="1:9" x14ac:dyDescent="0.2">
      <c r="B438" s="21" t="s">
        <v>160</v>
      </c>
      <c r="C438" s="1495" t="s">
        <v>90</v>
      </c>
      <c r="E438" s="1495" t="s">
        <v>41</v>
      </c>
      <c r="G438" s="1495" t="s">
        <v>266</v>
      </c>
    </row>
    <row r="439" spans="1:9" x14ac:dyDescent="0.2">
      <c r="B439" s="21" t="s">
        <v>157</v>
      </c>
      <c r="C439" s="1495" t="s">
        <v>90</v>
      </c>
      <c r="D439" s="21" t="s">
        <v>57</v>
      </c>
      <c r="E439" s="1495" t="s">
        <v>41</v>
      </c>
      <c r="F439" s="21" t="s">
        <v>27</v>
      </c>
      <c r="G439" s="1495" t="s">
        <v>266</v>
      </c>
      <c r="H439" s="21" t="s">
        <v>40</v>
      </c>
      <c r="I439" s="21" t="s">
        <v>158</v>
      </c>
    </row>
    <row r="440" spans="1:9" x14ac:dyDescent="0.2">
      <c r="A440" s="7" t="s">
        <v>218</v>
      </c>
      <c r="B440" s="21" t="s">
        <v>177</v>
      </c>
      <c r="C440" s="4">
        <v>23567380000</v>
      </c>
      <c r="D440" s="4">
        <v>10355628645</v>
      </c>
      <c r="E440" s="4">
        <v>3947680000</v>
      </c>
      <c r="F440" s="4">
        <v>3844120000</v>
      </c>
      <c r="G440" s="4">
        <v>3449869524</v>
      </c>
      <c r="H440" s="4">
        <v>2032940000</v>
      </c>
      <c r="I440" s="4">
        <v>306601377</v>
      </c>
    </row>
    <row r="441" spans="1:9" x14ac:dyDescent="0.2">
      <c r="B441" s="21" t="s">
        <v>162</v>
      </c>
      <c r="E441" s="1495" t="s">
        <v>294</v>
      </c>
    </row>
    <row r="442" spans="1:9" x14ac:dyDescent="0.2">
      <c r="B442" s="21" t="s">
        <v>161</v>
      </c>
      <c r="E442" s="1495" t="s">
        <v>294</v>
      </c>
    </row>
    <row r="443" spans="1:9" x14ac:dyDescent="0.2">
      <c r="B443" s="21" t="s">
        <v>160</v>
      </c>
      <c r="E443" s="1495" t="s">
        <v>294</v>
      </c>
    </row>
    <row r="444" spans="1:9" x14ac:dyDescent="0.2">
      <c r="B444" s="21" t="s">
        <v>157</v>
      </c>
      <c r="C444" s="21" t="s">
        <v>13</v>
      </c>
      <c r="D444" s="21" t="s">
        <v>8</v>
      </c>
      <c r="E444" s="1495" t="s">
        <v>294</v>
      </c>
      <c r="F444" s="21" t="s">
        <v>7</v>
      </c>
      <c r="G444" s="21" t="s">
        <v>295</v>
      </c>
      <c r="H444" s="21" t="s">
        <v>167</v>
      </c>
    </row>
    <row r="445" spans="1:9" x14ac:dyDescent="0.2">
      <c r="A445" s="7" t="s">
        <v>217</v>
      </c>
      <c r="B445" s="21" t="s">
        <v>177</v>
      </c>
      <c r="C445" s="4">
        <v>182560220000</v>
      </c>
      <c r="D445" s="4">
        <v>31471871716</v>
      </c>
      <c r="E445" s="4">
        <v>26945945636</v>
      </c>
      <c r="F445" s="4">
        <v>18747265138</v>
      </c>
      <c r="G445" s="4">
        <v>13295101421</v>
      </c>
      <c r="H445" s="4">
        <v>2444300000</v>
      </c>
    </row>
    <row r="446" spans="1:9" x14ac:dyDescent="0.2">
      <c r="B446" s="21" t="s">
        <v>162</v>
      </c>
      <c r="C446" s="1495" t="s">
        <v>192</v>
      </c>
      <c r="E446" s="1495" t="s">
        <v>443</v>
      </c>
      <c r="F446" s="1495" t="s">
        <v>280</v>
      </c>
      <c r="H446" s="1495" t="s">
        <v>439</v>
      </c>
    </row>
    <row r="447" spans="1:9" x14ac:dyDescent="0.2">
      <c r="B447" s="21" t="s">
        <v>161</v>
      </c>
      <c r="C447" s="1495" t="s">
        <v>192</v>
      </c>
      <c r="E447" s="1495" t="s">
        <v>443</v>
      </c>
      <c r="F447" s="1495" t="s">
        <v>280</v>
      </c>
      <c r="H447" s="1495" t="s">
        <v>439</v>
      </c>
    </row>
    <row r="448" spans="1:9" x14ac:dyDescent="0.2">
      <c r="B448" s="21" t="s">
        <v>160</v>
      </c>
      <c r="C448" s="1495" t="s">
        <v>192</v>
      </c>
      <c r="E448" s="1495" t="s">
        <v>443</v>
      </c>
      <c r="F448" s="1495" t="s">
        <v>280</v>
      </c>
      <c r="H448" s="1495" t="s">
        <v>439</v>
      </c>
      <c r="I448" s="1495" t="s">
        <v>79</v>
      </c>
    </row>
    <row r="449" spans="1:11" x14ac:dyDescent="0.2">
      <c r="B449" s="21" t="s">
        <v>157</v>
      </c>
      <c r="C449" s="1495" t="s">
        <v>192</v>
      </c>
      <c r="D449" s="21" t="s">
        <v>42</v>
      </c>
      <c r="E449" s="1495" t="s">
        <v>443</v>
      </c>
      <c r="F449" s="1495" t="s">
        <v>280</v>
      </c>
      <c r="G449" s="21" t="s">
        <v>165</v>
      </c>
      <c r="H449" s="1495" t="s">
        <v>439</v>
      </c>
      <c r="I449" s="1495" t="s">
        <v>79</v>
      </c>
    </row>
    <row r="450" spans="1:11" x14ac:dyDescent="0.2">
      <c r="A450" s="7" t="s">
        <v>216</v>
      </c>
      <c r="B450" s="21" t="s">
        <v>177</v>
      </c>
      <c r="C450" s="4">
        <v>45332240000</v>
      </c>
      <c r="D450" s="4">
        <v>32641190000</v>
      </c>
      <c r="E450" s="4">
        <v>7323060000</v>
      </c>
      <c r="F450" s="4">
        <v>5215600665</v>
      </c>
      <c r="G450" s="4">
        <v>4325840000</v>
      </c>
      <c r="H450" s="4">
        <v>3322640000</v>
      </c>
      <c r="I450" s="4">
        <v>2366450000</v>
      </c>
    </row>
    <row r="451" spans="1:11" x14ac:dyDescent="0.2">
      <c r="B451" s="21" t="s">
        <v>162</v>
      </c>
      <c r="D451" s="1495" t="s">
        <v>93</v>
      </c>
    </row>
    <row r="452" spans="1:11" x14ac:dyDescent="0.2">
      <c r="B452" s="21" t="s">
        <v>161</v>
      </c>
      <c r="C452" s="1495" t="s">
        <v>15</v>
      </c>
      <c r="D452" s="1495" t="s">
        <v>93</v>
      </c>
    </row>
    <row r="453" spans="1:11" x14ac:dyDescent="0.2">
      <c r="B453" s="21" t="s">
        <v>160</v>
      </c>
      <c r="C453" s="1495" t="s">
        <v>15</v>
      </c>
      <c r="D453" s="1495" t="s">
        <v>93</v>
      </c>
    </row>
    <row r="454" spans="1:11" x14ac:dyDescent="0.2">
      <c r="B454" s="21" t="s">
        <v>157</v>
      </c>
      <c r="C454" s="1495" t="s">
        <v>15</v>
      </c>
      <c r="D454" s="1495" t="s">
        <v>93</v>
      </c>
      <c r="E454" s="21" t="s">
        <v>63</v>
      </c>
      <c r="F454" s="21" t="s">
        <v>41</v>
      </c>
    </row>
    <row r="455" spans="1:11" x14ac:dyDescent="0.2">
      <c r="A455" s="7" t="s">
        <v>215</v>
      </c>
      <c r="B455" s="21" t="s">
        <v>177</v>
      </c>
      <c r="C455" s="4">
        <v>94186580000</v>
      </c>
      <c r="D455" s="4">
        <v>15085053073</v>
      </c>
      <c r="E455" s="4">
        <v>11116938366</v>
      </c>
      <c r="F455" s="4">
        <v>2479660000</v>
      </c>
    </row>
    <row r="456" spans="1:11" x14ac:dyDescent="0.2">
      <c r="B456" s="21" t="s">
        <v>162</v>
      </c>
      <c r="C456" s="1495" t="s">
        <v>72</v>
      </c>
      <c r="D456" s="1495" t="s">
        <v>93</v>
      </c>
    </row>
    <row r="457" spans="1:11" x14ac:dyDescent="0.2">
      <c r="B457" s="21" t="s">
        <v>161</v>
      </c>
      <c r="C457" s="1495" t="s">
        <v>72</v>
      </c>
      <c r="D457" s="1495" t="s">
        <v>93</v>
      </c>
    </row>
    <row r="458" spans="1:11" x14ac:dyDescent="0.2">
      <c r="B458" s="21" t="s">
        <v>160</v>
      </c>
      <c r="C458" s="1495" t="s">
        <v>72</v>
      </c>
      <c r="D458" s="1495" t="s">
        <v>93</v>
      </c>
    </row>
    <row r="459" spans="1:11" x14ac:dyDescent="0.2">
      <c r="B459" s="21" t="s">
        <v>157</v>
      </c>
      <c r="C459" s="1495" t="s">
        <v>72</v>
      </c>
      <c r="D459" s="1495" t="s">
        <v>93</v>
      </c>
      <c r="E459" s="21" t="s">
        <v>34</v>
      </c>
      <c r="F459" s="21" t="s">
        <v>171</v>
      </c>
      <c r="G459" s="21" t="s">
        <v>40</v>
      </c>
    </row>
    <row r="460" spans="1:11" x14ac:dyDescent="0.2">
      <c r="A460" s="7" t="s">
        <v>214</v>
      </c>
      <c r="B460" s="21" t="s">
        <v>177</v>
      </c>
      <c r="C460" s="4">
        <v>237384840000</v>
      </c>
      <c r="D460" s="4">
        <v>14140059848</v>
      </c>
      <c r="E460" s="4">
        <v>11614250000</v>
      </c>
      <c r="F460" s="4">
        <v>5588980000</v>
      </c>
      <c r="G460" s="4">
        <v>1311600000</v>
      </c>
    </row>
    <row r="461" spans="1:11" x14ac:dyDescent="0.2">
      <c r="B461" s="21" t="s">
        <v>162</v>
      </c>
      <c r="C461" s="1495" t="s">
        <v>86</v>
      </c>
      <c r="G461" s="1495" t="s">
        <v>93</v>
      </c>
      <c r="H461" s="1495" t="s">
        <v>273</v>
      </c>
      <c r="I461" s="1495" t="s">
        <v>429</v>
      </c>
    </row>
    <row r="462" spans="1:11" x14ac:dyDescent="0.2">
      <c r="B462" s="21" t="s">
        <v>161</v>
      </c>
      <c r="C462" s="1495" t="s">
        <v>86</v>
      </c>
      <c r="G462" s="1495" t="s">
        <v>93</v>
      </c>
      <c r="H462" s="1495" t="s">
        <v>273</v>
      </c>
      <c r="I462" s="1495" t="s">
        <v>429</v>
      </c>
    </row>
    <row r="463" spans="1:11" x14ac:dyDescent="0.2">
      <c r="B463" s="21" t="s">
        <v>160</v>
      </c>
      <c r="C463" s="1495" t="s">
        <v>86</v>
      </c>
      <c r="G463" s="1495" t="s">
        <v>93</v>
      </c>
      <c r="H463" s="1495" t="s">
        <v>273</v>
      </c>
      <c r="I463" s="1495" t="s">
        <v>429</v>
      </c>
    </row>
    <row r="464" spans="1:11" x14ac:dyDescent="0.2">
      <c r="B464" s="21" t="s">
        <v>157</v>
      </c>
      <c r="C464" s="1495" t="s">
        <v>86</v>
      </c>
      <c r="D464" s="21" t="s">
        <v>180</v>
      </c>
      <c r="E464" s="21" t="s">
        <v>12</v>
      </c>
      <c r="F464" s="21" t="s">
        <v>42</v>
      </c>
      <c r="G464" s="1495" t="s">
        <v>93</v>
      </c>
      <c r="H464" s="1495" t="s">
        <v>273</v>
      </c>
      <c r="I464" s="1495" t="s">
        <v>429</v>
      </c>
      <c r="J464" s="21" t="s">
        <v>68</v>
      </c>
      <c r="K464" s="21" t="s">
        <v>446</v>
      </c>
    </row>
    <row r="465" spans="1:14" x14ac:dyDescent="0.2">
      <c r="A465" s="7" t="s">
        <v>213</v>
      </c>
      <c r="B465" s="21" t="s">
        <v>177</v>
      </c>
      <c r="C465" s="4">
        <v>192843620000</v>
      </c>
      <c r="D465" s="4">
        <v>122182750000</v>
      </c>
      <c r="E465" s="4">
        <v>78849200000</v>
      </c>
      <c r="F465" s="4">
        <v>29788580000</v>
      </c>
      <c r="G465" s="4">
        <v>4096156397</v>
      </c>
      <c r="H465" s="4">
        <v>2728344032</v>
      </c>
      <c r="I465" s="4">
        <v>2370100000</v>
      </c>
      <c r="J465" s="4">
        <v>2282190000</v>
      </c>
      <c r="K465" s="4">
        <v>860860000</v>
      </c>
    </row>
    <row r="466" spans="1:14" x14ac:dyDescent="0.2">
      <c r="B466" s="21" t="s">
        <v>162</v>
      </c>
      <c r="C466" s="1495" t="s">
        <v>6</v>
      </c>
      <c r="F466" s="1495" t="s">
        <v>291</v>
      </c>
      <c r="J466" s="1495" t="s">
        <v>443</v>
      </c>
      <c r="K466" s="1495" t="s">
        <v>439</v>
      </c>
      <c r="M466" s="1495" t="s">
        <v>444</v>
      </c>
      <c r="N466" s="1495" t="s">
        <v>438</v>
      </c>
    </row>
    <row r="467" spans="1:14" x14ac:dyDescent="0.2">
      <c r="B467" s="21" t="s">
        <v>161</v>
      </c>
      <c r="C467" s="1495" t="s">
        <v>6</v>
      </c>
      <c r="F467" s="1495" t="s">
        <v>291</v>
      </c>
      <c r="J467" s="1495" t="s">
        <v>443</v>
      </c>
      <c r="K467" s="1495" t="s">
        <v>439</v>
      </c>
      <c r="M467" s="1495" t="s">
        <v>444</v>
      </c>
      <c r="N467" s="1495" t="s">
        <v>438</v>
      </c>
    </row>
    <row r="468" spans="1:14" x14ac:dyDescent="0.2">
      <c r="B468" s="21" t="s">
        <v>160</v>
      </c>
      <c r="C468" s="1495" t="s">
        <v>6</v>
      </c>
      <c r="F468" s="1495" t="s">
        <v>291</v>
      </c>
      <c r="J468" s="1495" t="s">
        <v>443</v>
      </c>
      <c r="K468" s="1495" t="s">
        <v>439</v>
      </c>
      <c r="L468" s="1495" t="s">
        <v>194</v>
      </c>
      <c r="M468" s="1495" t="s">
        <v>444</v>
      </c>
      <c r="N468" s="1495" t="s">
        <v>438</v>
      </c>
    </row>
    <row r="469" spans="1:14" x14ac:dyDescent="0.2">
      <c r="B469" s="21" t="s">
        <v>157</v>
      </c>
      <c r="C469" s="1495" t="s">
        <v>6</v>
      </c>
      <c r="D469" s="21" t="s">
        <v>88</v>
      </c>
      <c r="E469" s="21" t="s">
        <v>12</v>
      </c>
      <c r="F469" s="1495" t="s">
        <v>291</v>
      </c>
      <c r="G469" s="21" t="s">
        <v>42</v>
      </c>
      <c r="H469" s="21" t="s">
        <v>301</v>
      </c>
      <c r="I469" s="21" t="s">
        <v>57</v>
      </c>
      <c r="J469" s="1495" t="s">
        <v>443</v>
      </c>
      <c r="K469" s="1495" t="s">
        <v>439</v>
      </c>
      <c r="L469" s="1495" t="s">
        <v>194</v>
      </c>
      <c r="M469" s="1495" t="s">
        <v>444</v>
      </c>
      <c r="N469" s="1495" t="s">
        <v>438</v>
      </c>
    </row>
    <row r="470" spans="1:14" x14ac:dyDescent="0.2">
      <c r="A470" s="7" t="s">
        <v>211</v>
      </c>
      <c r="B470" s="21" t="s">
        <v>177</v>
      </c>
      <c r="C470" s="4">
        <v>187794580000</v>
      </c>
      <c r="D470" s="4">
        <v>37804480000</v>
      </c>
      <c r="E470" s="4">
        <v>29025640000</v>
      </c>
      <c r="F470" s="4">
        <v>19224370000</v>
      </c>
      <c r="G470" s="4">
        <v>18598320000</v>
      </c>
      <c r="H470" s="4">
        <v>12258420000</v>
      </c>
      <c r="I470" s="4">
        <v>7569852519</v>
      </c>
      <c r="J470" s="4">
        <v>4512770000</v>
      </c>
      <c r="K470" s="4">
        <v>3175490000</v>
      </c>
      <c r="L470" s="4">
        <v>2694670000</v>
      </c>
      <c r="M470" s="4">
        <v>707700000</v>
      </c>
      <c r="N470" s="4">
        <v>15090000</v>
      </c>
    </row>
    <row r="471" spans="1:14" x14ac:dyDescent="0.2">
      <c r="B471" s="21" t="s">
        <v>162</v>
      </c>
      <c r="C471" s="1495" t="s">
        <v>85</v>
      </c>
      <c r="E471" s="1495" t="s">
        <v>442</v>
      </c>
    </row>
    <row r="472" spans="1:14" x14ac:dyDescent="0.2">
      <c r="B472" s="21" t="s">
        <v>161</v>
      </c>
      <c r="C472" s="1495" t="s">
        <v>85</v>
      </c>
      <c r="E472" s="1495" t="s">
        <v>442</v>
      </c>
    </row>
    <row r="473" spans="1:14" x14ac:dyDescent="0.2">
      <c r="B473" s="21" t="s">
        <v>160</v>
      </c>
      <c r="C473" s="1495" t="s">
        <v>85</v>
      </c>
      <c r="E473" s="1495" t="s">
        <v>442</v>
      </c>
    </row>
    <row r="474" spans="1:14" x14ac:dyDescent="0.2">
      <c r="B474" s="21" t="s">
        <v>157</v>
      </c>
      <c r="C474" s="1495" t="s">
        <v>85</v>
      </c>
      <c r="D474" s="21" t="s">
        <v>279</v>
      </c>
      <c r="E474" s="1495" t="s">
        <v>442</v>
      </c>
    </row>
    <row r="475" spans="1:14" x14ac:dyDescent="0.2">
      <c r="A475" s="7" t="s">
        <v>210</v>
      </c>
      <c r="B475" s="21" t="s">
        <v>177</v>
      </c>
      <c r="C475" s="4">
        <v>41887560000</v>
      </c>
      <c r="D475" s="4">
        <v>14593300000</v>
      </c>
      <c r="E475" s="4">
        <v>3268180000</v>
      </c>
    </row>
    <row r="476" spans="1:14" x14ac:dyDescent="0.2">
      <c r="B476" s="21" t="s">
        <v>162</v>
      </c>
      <c r="C476" s="1495" t="s">
        <v>64</v>
      </c>
      <c r="D476" s="1495" t="s">
        <v>87</v>
      </c>
      <c r="E476" s="1495" t="s">
        <v>61</v>
      </c>
      <c r="F476" s="1495" t="s">
        <v>96</v>
      </c>
      <c r="G476" s="1495" t="s">
        <v>198</v>
      </c>
      <c r="H476" s="1495" t="s">
        <v>269</v>
      </c>
      <c r="I476" s="1495" t="s">
        <v>262</v>
      </c>
      <c r="J476" s="1495" t="s">
        <v>342</v>
      </c>
      <c r="M476" s="1495" t="s">
        <v>430</v>
      </c>
      <c r="N476" s="1495" t="s">
        <v>275</v>
      </c>
    </row>
    <row r="477" spans="1:14" x14ac:dyDescent="0.2">
      <c r="B477" s="21" t="s">
        <v>161</v>
      </c>
      <c r="C477" s="1495" t="s">
        <v>64</v>
      </c>
      <c r="D477" s="1495" t="s">
        <v>87</v>
      </c>
      <c r="E477" s="1495" t="s">
        <v>61</v>
      </c>
      <c r="F477" s="1495" t="s">
        <v>96</v>
      </c>
      <c r="G477" s="1495" t="s">
        <v>198</v>
      </c>
      <c r="H477" s="1495" t="s">
        <v>269</v>
      </c>
      <c r="I477" s="1495" t="s">
        <v>262</v>
      </c>
      <c r="J477" s="1495" t="s">
        <v>342</v>
      </c>
      <c r="M477" s="1495" t="s">
        <v>430</v>
      </c>
      <c r="N477" s="1495" t="s">
        <v>275</v>
      </c>
    </row>
    <row r="478" spans="1:14" x14ac:dyDescent="0.2">
      <c r="B478" s="21" t="s">
        <v>160</v>
      </c>
      <c r="C478" s="1495" t="s">
        <v>64</v>
      </c>
      <c r="D478" s="1495" t="s">
        <v>87</v>
      </c>
      <c r="E478" s="1495" t="s">
        <v>61</v>
      </c>
      <c r="F478" s="1495" t="s">
        <v>96</v>
      </c>
      <c r="G478" s="1495" t="s">
        <v>198</v>
      </c>
      <c r="H478" s="1495" t="s">
        <v>269</v>
      </c>
      <c r="I478" s="1495" t="s">
        <v>262</v>
      </c>
      <c r="J478" s="1495" t="s">
        <v>342</v>
      </c>
      <c r="M478" s="1495" t="s">
        <v>430</v>
      </c>
      <c r="N478" s="1495" t="s">
        <v>275</v>
      </c>
    </row>
    <row r="479" spans="1:14" x14ac:dyDescent="0.2">
      <c r="B479" s="21" t="s">
        <v>157</v>
      </c>
      <c r="C479" s="1495" t="s">
        <v>64</v>
      </c>
      <c r="D479" s="1495" t="s">
        <v>87</v>
      </c>
      <c r="E479" s="1495" t="s">
        <v>61</v>
      </c>
      <c r="F479" s="1495" t="s">
        <v>96</v>
      </c>
      <c r="G479" s="1495" t="s">
        <v>198</v>
      </c>
      <c r="H479" s="1495" t="s">
        <v>269</v>
      </c>
      <c r="I479" s="1495" t="s">
        <v>262</v>
      </c>
      <c r="J479" s="1495" t="s">
        <v>342</v>
      </c>
      <c r="K479" s="21" t="s">
        <v>270</v>
      </c>
      <c r="L479" s="21" t="s">
        <v>33</v>
      </c>
      <c r="M479" s="1495" t="s">
        <v>430</v>
      </c>
      <c r="N479" s="1495" t="s">
        <v>275</v>
      </c>
    </row>
    <row r="480" spans="1:14" x14ac:dyDescent="0.2">
      <c r="A480" s="7" t="s">
        <v>209</v>
      </c>
      <c r="B480" s="21" t="s">
        <v>177</v>
      </c>
      <c r="C480" s="4">
        <v>195355660000</v>
      </c>
      <c r="D480" s="4">
        <v>88111540000</v>
      </c>
      <c r="E480" s="4">
        <v>73523700000</v>
      </c>
      <c r="F480" s="4">
        <v>45773470000</v>
      </c>
      <c r="G480" s="4">
        <v>34815010000</v>
      </c>
      <c r="H480" s="4">
        <v>27622070000</v>
      </c>
      <c r="I480" s="4">
        <v>14270490000</v>
      </c>
      <c r="J480" s="4">
        <v>6752160000</v>
      </c>
      <c r="K480" s="4">
        <v>784320000</v>
      </c>
      <c r="L480" s="4">
        <v>724110000</v>
      </c>
      <c r="M480" s="4">
        <v>273000000</v>
      </c>
      <c r="N480" s="4">
        <v>209544844</v>
      </c>
    </row>
    <row r="481" spans="1:17" x14ac:dyDescent="0.2">
      <c r="B481" s="21" t="s">
        <v>162</v>
      </c>
      <c r="C481" s="1495" t="s">
        <v>22</v>
      </c>
      <c r="D481" s="1495" t="s">
        <v>89</v>
      </c>
      <c r="E481" s="1495" t="s">
        <v>19</v>
      </c>
      <c r="F481" s="1495" t="s">
        <v>37</v>
      </c>
      <c r="I481" s="1495" t="s">
        <v>95</v>
      </c>
      <c r="J481" s="1495" t="s">
        <v>198</v>
      </c>
      <c r="M481" s="1495" t="s">
        <v>207</v>
      </c>
      <c r="N481" s="1495" t="s">
        <v>98</v>
      </c>
      <c r="O481" s="1495" t="s">
        <v>441</v>
      </c>
      <c r="P481" s="1495" t="s">
        <v>429</v>
      </c>
      <c r="Q481" s="1495" t="s">
        <v>438</v>
      </c>
    </row>
    <row r="482" spans="1:17" x14ac:dyDescent="0.2">
      <c r="B482" s="21" t="s">
        <v>161</v>
      </c>
      <c r="C482" s="1495" t="s">
        <v>22</v>
      </c>
      <c r="D482" s="1495" t="s">
        <v>89</v>
      </c>
      <c r="E482" s="1495" t="s">
        <v>19</v>
      </c>
      <c r="F482" s="1495" t="s">
        <v>37</v>
      </c>
      <c r="I482" s="1495" t="s">
        <v>95</v>
      </c>
      <c r="J482" s="1495" t="s">
        <v>198</v>
      </c>
      <c r="M482" s="1495" t="s">
        <v>207</v>
      </c>
      <c r="N482" s="1495" t="s">
        <v>98</v>
      </c>
      <c r="O482" s="1495" t="s">
        <v>441</v>
      </c>
      <c r="P482" s="1495" t="s">
        <v>429</v>
      </c>
      <c r="Q482" s="1495" t="s">
        <v>438</v>
      </c>
    </row>
    <row r="483" spans="1:17" x14ac:dyDescent="0.2">
      <c r="B483" s="21" t="s">
        <v>160</v>
      </c>
      <c r="C483" s="1495" t="s">
        <v>22</v>
      </c>
      <c r="D483" s="1495" t="s">
        <v>89</v>
      </c>
      <c r="E483" s="1495" t="s">
        <v>19</v>
      </c>
      <c r="F483" s="1495" t="s">
        <v>37</v>
      </c>
      <c r="H483" s="21" t="s">
        <v>36</v>
      </c>
      <c r="I483" s="1495" t="s">
        <v>95</v>
      </c>
      <c r="J483" s="1495" t="s">
        <v>198</v>
      </c>
      <c r="M483" s="1495" t="s">
        <v>207</v>
      </c>
      <c r="N483" s="1495" t="s">
        <v>98</v>
      </c>
      <c r="O483" s="1495" t="s">
        <v>441</v>
      </c>
      <c r="P483" s="1495" t="s">
        <v>429</v>
      </c>
      <c r="Q483" s="1495" t="s">
        <v>438</v>
      </c>
    </row>
    <row r="484" spans="1:17" x14ac:dyDescent="0.2">
      <c r="B484" s="21" t="s">
        <v>157</v>
      </c>
      <c r="C484" s="1495" t="s">
        <v>22</v>
      </c>
      <c r="D484" s="1495" t="s">
        <v>89</v>
      </c>
      <c r="E484" s="1495" t="s">
        <v>19</v>
      </c>
      <c r="F484" s="1495" t="s">
        <v>37</v>
      </c>
      <c r="G484" s="21" t="s">
        <v>180</v>
      </c>
      <c r="H484" s="21" t="s">
        <v>36</v>
      </c>
      <c r="I484" s="1495" t="s">
        <v>95</v>
      </c>
      <c r="J484" s="1495" t="s">
        <v>198</v>
      </c>
      <c r="K484" s="21" t="s">
        <v>83</v>
      </c>
      <c r="L484" s="21" t="s">
        <v>88</v>
      </c>
      <c r="M484" s="1495" t="s">
        <v>207</v>
      </c>
      <c r="N484" s="1495" t="s">
        <v>98</v>
      </c>
      <c r="O484" s="1495" t="s">
        <v>441</v>
      </c>
      <c r="P484" s="1495" t="s">
        <v>429</v>
      </c>
      <c r="Q484" s="1495" t="s">
        <v>438</v>
      </c>
    </row>
    <row r="485" spans="1:17" x14ac:dyDescent="0.2">
      <c r="A485" s="7" t="s">
        <v>208</v>
      </c>
      <c r="B485" s="21" t="s">
        <v>177</v>
      </c>
      <c r="C485" s="4">
        <v>141397000000</v>
      </c>
      <c r="D485" s="4">
        <v>132142220000</v>
      </c>
      <c r="E485" s="4">
        <v>80360940000</v>
      </c>
      <c r="F485" s="4">
        <v>63774350000</v>
      </c>
      <c r="G485" s="4">
        <v>63653000000</v>
      </c>
      <c r="H485" s="4">
        <v>41912460000</v>
      </c>
      <c r="I485" s="4">
        <v>35229420000</v>
      </c>
      <c r="J485" s="4">
        <v>31495060000</v>
      </c>
      <c r="K485" s="4">
        <v>30091054172</v>
      </c>
      <c r="L485" s="4">
        <v>28354550000</v>
      </c>
      <c r="M485" s="4">
        <v>22194290000</v>
      </c>
      <c r="N485" s="4">
        <v>13597420000</v>
      </c>
      <c r="O485" s="4">
        <v>10228950000</v>
      </c>
      <c r="P485" s="4">
        <v>2006490000</v>
      </c>
      <c r="Q485" s="4">
        <v>12550000</v>
      </c>
    </row>
    <row r="486" spans="1:17" x14ac:dyDescent="0.2">
      <c r="B486" s="21" t="s">
        <v>162</v>
      </c>
      <c r="C486" s="1495" t="s">
        <v>188</v>
      </c>
      <c r="E486" s="1495" t="s">
        <v>207</v>
      </c>
    </row>
    <row r="487" spans="1:17" x14ac:dyDescent="0.2">
      <c r="B487" s="21" t="s">
        <v>161</v>
      </c>
      <c r="C487" s="1495" t="s">
        <v>188</v>
      </c>
      <c r="E487" s="1495" t="s">
        <v>207</v>
      </c>
    </row>
    <row r="488" spans="1:17" x14ac:dyDescent="0.2">
      <c r="B488" s="21" t="s">
        <v>160</v>
      </c>
      <c r="C488" s="1495" t="s">
        <v>188</v>
      </c>
      <c r="E488" s="1495" t="s">
        <v>207</v>
      </c>
    </row>
    <row r="489" spans="1:17" x14ac:dyDescent="0.2">
      <c r="B489" s="21" t="s">
        <v>157</v>
      </c>
      <c r="C489" s="1495" t="s">
        <v>188</v>
      </c>
      <c r="D489" s="21" t="s">
        <v>198</v>
      </c>
      <c r="E489" s="1495" t="s">
        <v>207</v>
      </c>
    </row>
    <row r="490" spans="1:17" x14ac:dyDescent="0.2">
      <c r="A490" s="7" t="s">
        <v>206</v>
      </c>
      <c r="B490" s="21" t="s">
        <v>177</v>
      </c>
      <c r="C490" s="4">
        <v>138574700000</v>
      </c>
      <c r="D490" s="4">
        <v>12429860000</v>
      </c>
      <c r="E490" s="4">
        <v>9155720000</v>
      </c>
    </row>
    <row r="491" spans="1:17" x14ac:dyDescent="0.2">
      <c r="B491" s="21" t="s">
        <v>162</v>
      </c>
      <c r="C491" s="1495" t="s">
        <v>70</v>
      </c>
      <c r="E491" s="1495" t="s">
        <v>183</v>
      </c>
      <c r="F491" s="1495" t="s">
        <v>95</v>
      </c>
      <c r="G491" s="1495" t="s">
        <v>312</v>
      </c>
      <c r="J491" s="1495" t="s">
        <v>280</v>
      </c>
    </row>
    <row r="492" spans="1:17" x14ac:dyDescent="0.2">
      <c r="B492" s="21" t="s">
        <v>161</v>
      </c>
      <c r="C492" s="1495" t="s">
        <v>70</v>
      </c>
      <c r="E492" s="1495" t="s">
        <v>183</v>
      </c>
      <c r="F492" s="1495" t="s">
        <v>95</v>
      </c>
      <c r="G492" s="1495" t="s">
        <v>312</v>
      </c>
      <c r="J492" s="1495" t="s">
        <v>280</v>
      </c>
    </row>
    <row r="493" spans="1:17" x14ac:dyDescent="0.2">
      <c r="B493" s="21" t="s">
        <v>160</v>
      </c>
      <c r="C493" s="1495" t="s">
        <v>70</v>
      </c>
      <c r="D493" s="1495" t="s">
        <v>29</v>
      </c>
      <c r="E493" s="1495" t="s">
        <v>183</v>
      </c>
      <c r="F493" s="1495" t="s">
        <v>95</v>
      </c>
      <c r="G493" s="1495" t="s">
        <v>312</v>
      </c>
      <c r="J493" s="1495" t="s">
        <v>280</v>
      </c>
      <c r="K493" s="1495" t="s">
        <v>431</v>
      </c>
      <c r="L493" s="1495" t="s">
        <v>174</v>
      </c>
      <c r="M493" s="1495" t="s">
        <v>194</v>
      </c>
    </row>
    <row r="494" spans="1:17" x14ac:dyDescent="0.2">
      <c r="B494" s="21" t="s">
        <v>157</v>
      </c>
      <c r="C494" s="1495" t="s">
        <v>70</v>
      </c>
      <c r="D494" s="1495" t="s">
        <v>29</v>
      </c>
      <c r="E494" s="1495" t="s">
        <v>183</v>
      </c>
      <c r="F494" s="1495" t="s">
        <v>95</v>
      </c>
      <c r="G494" s="1495" t="s">
        <v>312</v>
      </c>
      <c r="H494" s="21" t="s">
        <v>60</v>
      </c>
      <c r="I494" s="21" t="s">
        <v>302</v>
      </c>
      <c r="J494" s="1495" t="s">
        <v>280</v>
      </c>
      <c r="K494" s="1495" t="s">
        <v>431</v>
      </c>
      <c r="L494" s="1495" t="s">
        <v>174</v>
      </c>
      <c r="M494" s="1495" t="s">
        <v>194</v>
      </c>
      <c r="N494" s="21" t="s">
        <v>281</v>
      </c>
      <c r="O494" s="21" t="s">
        <v>438</v>
      </c>
    </row>
    <row r="495" spans="1:17" x14ac:dyDescent="0.2">
      <c r="A495" s="7" t="s">
        <v>205</v>
      </c>
      <c r="B495" s="21" t="s">
        <v>177</v>
      </c>
      <c r="C495" s="4">
        <v>71089960000</v>
      </c>
      <c r="D495" s="4">
        <v>54450977103</v>
      </c>
      <c r="E495" s="4">
        <v>40578890000</v>
      </c>
      <c r="F495" s="4">
        <v>28199510000</v>
      </c>
      <c r="G495" s="4">
        <v>13292510000</v>
      </c>
      <c r="H495" s="4">
        <v>11974250000</v>
      </c>
      <c r="I495" s="4">
        <v>7387280000</v>
      </c>
      <c r="J495" s="4">
        <v>4786074857</v>
      </c>
      <c r="K495" s="4">
        <v>4580390000</v>
      </c>
      <c r="L495" s="4">
        <v>2695050000</v>
      </c>
      <c r="M495" s="4">
        <v>2573920000</v>
      </c>
      <c r="N495" s="4">
        <v>1229664099</v>
      </c>
      <c r="O495" s="4">
        <v>5200000</v>
      </c>
    </row>
    <row r="496" spans="1:17" x14ac:dyDescent="0.2">
      <c r="B496" s="21" t="s">
        <v>162</v>
      </c>
      <c r="E496" s="1495" t="s">
        <v>310</v>
      </c>
      <c r="F496" s="1495" t="s">
        <v>311</v>
      </c>
      <c r="G496" s="1495" t="s">
        <v>184</v>
      </c>
      <c r="H496" s="1495" t="s">
        <v>314</v>
      </c>
      <c r="J496" s="1495" t="s">
        <v>439</v>
      </c>
      <c r="M496" s="1495" t="s">
        <v>275</v>
      </c>
    </row>
    <row r="497" spans="1:16" x14ac:dyDescent="0.2">
      <c r="B497" s="21" t="s">
        <v>161</v>
      </c>
      <c r="E497" s="1495" t="s">
        <v>310</v>
      </c>
      <c r="F497" s="1495" t="s">
        <v>311</v>
      </c>
      <c r="G497" s="1495" t="s">
        <v>184</v>
      </c>
      <c r="H497" s="1495" t="s">
        <v>314</v>
      </c>
      <c r="J497" s="1495" t="s">
        <v>439</v>
      </c>
      <c r="M497" s="1495" t="s">
        <v>275</v>
      </c>
    </row>
    <row r="498" spans="1:16" x14ac:dyDescent="0.2">
      <c r="B498" s="21" t="s">
        <v>160</v>
      </c>
      <c r="C498" s="1495" t="s">
        <v>69</v>
      </c>
      <c r="D498" s="1495" t="s">
        <v>66</v>
      </c>
      <c r="E498" s="1495" t="s">
        <v>310</v>
      </c>
      <c r="F498" s="1495" t="s">
        <v>311</v>
      </c>
      <c r="G498" s="1495" t="s">
        <v>184</v>
      </c>
      <c r="H498" s="1495" t="s">
        <v>314</v>
      </c>
      <c r="I498" s="1495" t="s">
        <v>173</v>
      </c>
      <c r="J498" s="1495" t="s">
        <v>439</v>
      </c>
      <c r="M498" s="1495" t="s">
        <v>275</v>
      </c>
    </row>
    <row r="499" spans="1:16" x14ac:dyDescent="0.2">
      <c r="B499" s="21" t="s">
        <v>157</v>
      </c>
      <c r="C499" s="1495" t="s">
        <v>69</v>
      </c>
      <c r="D499" s="1495" t="s">
        <v>66</v>
      </c>
      <c r="E499" s="1495" t="s">
        <v>310</v>
      </c>
      <c r="F499" s="1495" t="s">
        <v>311</v>
      </c>
      <c r="G499" s="1495" t="s">
        <v>184</v>
      </c>
      <c r="H499" s="1495" t="s">
        <v>314</v>
      </c>
      <c r="I499" s="1495" t="s">
        <v>173</v>
      </c>
      <c r="J499" s="1495" t="s">
        <v>439</v>
      </c>
      <c r="K499" s="21" t="s">
        <v>92</v>
      </c>
      <c r="L499" s="21" t="s">
        <v>440</v>
      </c>
      <c r="M499" s="1495" t="s">
        <v>275</v>
      </c>
    </row>
    <row r="500" spans="1:16" x14ac:dyDescent="0.2">
      <c r="A500" s="7" t="s">
        <v>204</v>
      </c>
      <c r="B500" s="21" t="s">
        <v>177</v>
      </c>
      <c r="C500" s="4">
        <v>41985390000</v>
      </c>
      <c r="D500" s="4">
        <v>31265240000</v>
      </c>
      <c r="E500" s="4">
        <v>14022730000</v>
      </c>
      <c r="F500" s="4">
        <v>11200642807</v>
      </c>
      <c r="G500" s="4">
        <v>9852410000</v>
      </c>
      <c r="H500" s="4">
        <v>8382290000</v>
      </c>
      <c r="I500" s="4">
        <v>4429540000</v>
      </c>
      <c r="J500" s="4">
        <v>3104480000</v>
      </c>
      <c r="K500" s="4">
        <v>3070172416</v>
      </c>
      <c r="L500" s="4">
        <v>2673370000</v>
      </c>
      <c r="M500" s="4">
        <v>167404187</v>
      </c>
    </row>
    <row r="501" spans="1:16" x14ac:dyDescent="0.2">
      <c r="B501" s="21" t="s">
        <v>162</v>
      </c>
      <c r="D501" s="1495" t="s">
        <v>271</v>
      </c>
      <c r="F501" s="1495" t="s">
        <v>267</v>
      </c>
      <c r="G501" s="1495" t="s">
        <v>263</v>
      </c>
      <c r="H501" s="1495" t="s">
        <v>182</v>
      </c>
      <c r="J501" s="1495" t="s">
        <v>311</v>
      </c>
      <c r="K501" s="1495" t="s">
        <v>262</v>
      </c>
      <c r="M501" s="1495" t="s">
        <v>184</v>
      </c>
    </row>
    <row r="502" spans="1:16" x14ac:dyDescent="0.2">
      <c r="B502" s="21" t="s">
        <v>161</v>
      </c>
      <c r="D502" s="1495" t="s">
        <v>271</v>
      </c>
      <c r="F502" s="1495" t="s">
        <v>267</v>
      </c>
      <c r="G502" s="1495" t="s">
        <v>263</v>
      </c>
      <c r="H502" s="1495" t="s">
        <v>182</v>
      </c>
      <c r="J502" s="1495" t="s">
        <v>311</v>
      </c>
      <c r="K502" s="1495" t="s">
        <v>262</v>
      </c>
      <c r="M502" s="1495" t="s">
        <v>184</v>
      </c>
    </row>
    <row r="503" spans="1:16" x14ac:dyDescent="0.2">
      <c r="B503" s="21" t="s">
        <v>160</v>
      </c>
      <c r="D503" s="1495" t="s">
        <v>271</v>
      </c>
      <c r="F503" s="1495" t="s">
        <v>267</v>
      </c>
      <c r="G503" s="1495" t="s">
        <v>263</v>
      </c>
      <c r="H503" s="1495" t="s">
        <v>182</v>
      </c>
      <c r="J503" s="1495" t="s">
        <v>311</v>
      </c>
      <c r="K503" s="1495" t="s">
        <v>262</v>
      </c>
      <c r="L503" s="1495" t="s">
        <v>179</v>
      </c>
      <c r="M503" s="1495" t="s">
        <v>184</v>
      </c>
    </row>
    <row r="504" spans="1:16" x14ac:dyDescent="0.2">
      <c r="B504" s="21" t="s">
        <v>157</v>
      </c>
      <c r="C504" s="21" t="s">
        <v>19</v>
      </c>
      <c r="D504" s="1495" t="s">
        <v>271</v>
      </c>
      <c r="E504" s="21" t="s">
        <v>169</v>
      </c>
      <c r="F504" s="1495" t="s">
        <v>267</v>
      </c>
      <c r="G504" s="1495" t="s">
        <v>263</v>
      </c>
      <c r="H504" s="1495" t="s">
        <v>182</v>
      </c>
      <c r="I504" s="21" t="s">
        <v>190</v>
      </c>
      <c r="J504" s="1495" t="s">
        <v>311</v>
      </c>
      <c r="K504" s="1495" t="s">
        <v>262</v>
      </c>
      <c r="L504" s="1495" t="s">
        <v>179</v>
      </c>
      <c r="M504" s="1495" t="s">
        <v>184</v>
      </c>
      <c r="N504" s="21" t="s">
        <v>283</v>
      </c>
      <c r="O504" s="21" t="s">
        <v>281</v>
      </c>
      <c r="P504" s="21" t="s">
        <v>438</v>
      </c>
    </row>
    <row r="505" spans="1:16" x14ac:dyDescent="0.2">
      <c r="A505" s="7" t="s">
        <v>203</v>
      </c>
      <c r="B505" s="21" t="s">
        <v>177</v>
      </c>
      <c r="C505" s="4">
        <v>70739950000</v>
      </c>
      <c r="D505" s="4">
        <v>64518730000</v>
      </c>
      <c r="E505" s="4">
        <v>30929470000</v>
      </c>
      <c r="F505" s="4">
        <v>29750040000</v>
      </c>
      <c r="G505" s="4">
        <v>13972715061</v>
      </c>
      <c r="H505" s="4">
        <v>13883150000</v>
      </c>
      <c r="I505" s="4">
        <v>9579680000</v>
      </c>
      <c r="J505" s="4">
        <v>9288940834</v>
      </c>
      <c r="K505" s="4">
        <v>8438710000</v>
      </c>
      <c r="L505" s="4">
        <v>6223070000</v>
      </c>
      <c r="M505" s="4">
        <v>4223140000</v>
      </c>
      <c r="N505" s="4">
        <v>837110000</v>
      </c>
      <c r="O505" s="4">
        <v>311953559</v>
      </c>
      <c r="P505" s="4">
        <v>5080000</v>
      </c>
    </row>
    <row r="506" spans="1:16" x14ac:dyDescent="0.2">
      <c r="B506" s="21" t="s">
        <v>162</v>
      </c>
      <c r="C506" s="1495" t="s">
        <v>28</v>
      </c>
      <c r="E506" s="1495" t="s">
        <v>188</v>
      </c>
      <c r="F506" s="1495" t="s">
        <v>59</v>
      </c>
      <c r="G506" s="1495" t="s">
        <v>170</v>
      </c>
      <c r="H506" s="1495" t="s">
        <v>90</v>
      </c>
      <c r="J506" s="1495" t="s">
        <v>263</v>
      </c>
    </row>
    <row r="507" spans="1:16" x14ac:dyDescent="0.2">
      <c r="B507" s="21" t="s">
        <v>161</v>
      </c>
      <c r="C507" s="1495" t="s">
        <v>28</v>
      </c>
      <c r="E507" s="1495" t="s">
        <v>188</v>
      </c>
      <c r="F507" s="1495" t="s">
        <v>59</v>
      </c>
      <c r="G507" s="1495" t="s">
        <v>170</v>
      </c>
      <c r="H507" s="1495" t="s">
        <v>90</v>
      </c>
      <c r="J507" s="1495" t="s">
        <v>263</v>
      </c>
    </row>
    <row r="508" spans="1:16" x14ac:dyDescent="0.2">
      <c r="B508" s="21" t="s">
        <v>160</v>
      </c>
      <c r="C508" s="1495" t="s">
        <v>28</v>
      </c>
      <c r="E508" s="1495" t="s">
        <v>188</v>
      </c>
      <c r="F508" s="1495" t="s">
        <v>59</v>
      </c>
      <c r="G508" s="1495" t="s">
        <v>170</v>
      </c>
      <c r="H508" s="1495" t="s">
        <v>90</v>
      </c>
      <c r="J508" s="1495" t="s">
        <v>263</v>
      </c>
    </row>
    <row r="509" spans="1:16" x14ac:dyDescent="0.2">
      <c r="B509" s="21" t="s">
        <v>157</v>
      </c>
      <c r="C509" s="1495" t="s">
        <v>28</v>
      </c>
      <c r="D509" s="21" t="s">
        <v>19</v>
      </c>
      <c r="E509" s="1495" t="s">
        <v>188</v>
      </c>
      <c r="F509" s="1495" t="s">
        <v>59</v>
      </c>
      <c r="G509" s="1495" t="s">
        <v>170</v>
      </c>
      <c r="H509" s="1495" t="s">
        <v>90</v>
      </c>
      <c r="I509" s="21" t="s">
        <v>198</v>
      </c>
      <c r="J509" s="1495" t="s">
        <v>263</v>
      </c>
      <c r="K509" s="21" t="s">
        <v>92</v>
      </c>
    </row>
    <row r="510" spans="1:16" x14ac:dyDescent="0.2">
      <c r="A510" s="7" t="s">
        <v>201</v>
      </c>
      <c r="B510" s="21" t="s">
        <v>177</v>
      </c>
      <c r="C510" s="4">
        <v>97335880000</v>
      </c>
      <c r="D510" s="4">
        <v>65853950000</v>
      </c>
      <c r="E510" s="4">
        <v>62858430000</v>
      </c>
      <c r="F510" s="4">
        <v>38206710000</v>
      </c>
      <c r="G510" s="4">
        <v>23549450000</v>
      </c>
      <c r="H510" s="4">
        <v>22093280000</v>
      </c>
      <c r="I510" s="4">
        <v>9363450000</v>
      </c>
      <c r="J510" s="4">
        <v>3964618614</v>
      </c>
      <c r="K510" s="4">
        <v>2807685324</v>
      </c>
    </row>
    <row r="511" spans="1:16" x14ac:dyDescent="0.2">
      <c r="B511" s="21" t="s">
        <v>162</v>
      </c>
      <c r="C511" s="1495" t="s">
        <v>67</v>
      </c>
      <c r="D511" s="1495" t="s">
        <v>313</v>
      </c>
      <c r="E511" s="1495" t="s">
        <v>91</v>
      </c>
      <c r="L511" s="1495" t="s">
        <v>292</v>
      </c>
    </row>
    <row r="512" spans="1:16" x14ac:dyDescent="0.2">
      <c r="B512" s="21" t="s">
        <v>161</v>
      </c>
      <c r="C512" s="1495" t="s">
        <v>67</v>
      </c>
      <c r="D512" s="1495" t="s">
        <v>313</v>
      </c>
      <c r="E512" s="1495" t="s">
        <v>91</v>
      </c>
      <c r="L512" s="1495" t="s">
        <v>292</v>
      </c>
    </row>
    <row r="513" spans="1:12" x14ac:dyDescent="0.2">
      <c r="B513" s="21" t="s">
        <v>160</v>
      </c>
      <c r="C513" s="1495" t="s">
        <v>67</v>
      </c>
      <c r="D513" s="1495" t="s">
        <v>313</v>
      </c>
      <c r="E513" s="1495" t="s">
        <v>91</v>
      </c>
      <c r="J513" s="21" t="s">
        <v>173</v>
      </c>
      <c r="L513" s="1495" t="s">
        <v>292</v>
      </c>
    </row>
    <row r="514" spans="1:12" x14ac:dyDescent="0.2">
      <c r="B514" s="21" t="s">
        <v>157</v>
      </c>
      <c r="C514" s="1495" t="s">
        <v>67</v>
      </c>
      <c r="D514" s="1495" t="s">
        <v>313</v>
      </c>
      <c r="E514" s="1495" t="s">
        <v>91</v>
      </c>
      <c r="F514" s="21" t="s">
        <v>38</v>
      </c>
      <c r="G514" s="21" t="s">
        <v>95</v>
      </c>
      <c r="H514" s="21" t="s">
        <v>190</v>
      </c>
      <c r="I514" s="21" t="s">
        <v>29</v>
      </c>
      <c r="J514" s="21" t="s">
        <v>173</v>
      </c>
      <c r="K514" s="21" t="s">
        <v>431</v>
      </c>
      <c r="L514" s="1495" t="s">
        <v>292</v>
      </c>
    </row>
    <row r="515" spans="1:12" x14ac:dyDescent="0.2">
      <c r="A515" s="7" t="s">
        <v>200</v>
      </c>
      <c r="B515" s="21" t="s">
        <v>177</v>
      </c>
      <c r="C515" s="4">
        <v>71073400000</v>
      </c>
      <c r="D515" s="4">
        <v>63592420000</v>
      </c>
      <c r="E515" s="4">
        <v>31559430000</v>
      </c>
      <c r="F515" s="4">
        <v>7207690000</v>
      </c>
      <c r="G515" s="4">
        <v>6891270000</v>
      </c>
      <c r="H515" s="4">
        <v>6301870000</v>
      </c>
      <c r="I515" s="4">
        <v>3402416723</v>
      </c>
      <c r="J515" s="4">
        <v>1954450000</v>
      </c>
      <c r="K515" s="4">
        <v>1579700000</v>
      </c>
      <c r="L515" s="4">
        <v>1340043412</v>
      </c>
    </row>
    <row r="516" spans="1:12" x14ac:dyDescent="0.2">
      <c r="B516" s="21" t="s">
        <v>162</v>
      </c>
      <c r="C516" s="1495" t="s">
        <v>11</v>
      </c>
      <c r="F516" s="1495" t="s">
        <v>314</v>
      </c>
      <c r="H516" s="1495" t="s">
        <v>266</v>
      </c>
    </row>
    <row r="517" spans="1:12" x14ac:dyDescent="0.2">
      <c r="B517" s="21" t="s">
        <v>161</v>
      </c>
      <c r="C517" s="1495" t="s">
        <v>11</v>
      </c>
      <c r="F517" s="1495" t="s">
        <v>314</v>
      </c>
      <c r="H517" s="1495" t="s">
        <v>266</v>
      </c>
    </row>
    <row r="518" spans="1:12" x14ac:dyDescent="0.2">
      <c r="B518" s="21" t="s">
        <v>160</v>
      </c>
      <c r="C518" s="1495" t="s">
        <v>11</v>
      </c>
      <c r="D518" s="1495" t="s">
        <v>10</v>
      </c>
      <c r="F518" s="1495" t="s">
        <v>314</v>
      </c>
      <c r="H518" s="1495" t="s">
        <v>266</v>
      </c>
    </row>
    <row r="519" spans="1:12" x14ac:dyDescent="0.2">
      <c r="B519" s="21" t="s">
        <v>157</v>
      </c>
      <c r="C519" s="1495" t="s">
        <v>11</v>
      </c>
      <c r="D519" s="1495" t="s">
        <v>10</v>
      </c>
      <c r="E519" s="21" t="s">
        <v>61</v>
      </c>
      <c r="F519" s="1495" t="s">
        <v>314</v>
      </c>
      <c r="G519" s="21" t="s">
        <v>289</v>
      </c>
      <c r="H519" s="1495" t="s">
        <v>266</v>
      </c>
      <c r="I519" s="21" t="s">
        <v>281</v>
      </c>
    </row>
    <row r="520" spans="1:12" x14ac:dyDescent="0.2">
      <c r="A520" s="7" t="s">
        <v>199</v>
      </c>
      <c r="B520" s="21" t="s">
        <v>177</v>
      </c>
      <c r="C520" s="4">
        <v>298044320000</v>
      </c>
      <c r="D520" s="4">
        <v>67947047478</v>
      </c>
      <c r="E520" s="4">
        <v>36509200000</v>
      </c>
      <c r="F520" s="4">
        <v>7209320000</v>
      </c>
      <c r="G520" s="4">
        <v>4202960000</v>
      </c>
      <c r="H520" s="4">
        <v>3118400820</v>
      </c>
      <c r="I520" s="4">
        <v>271285755</v>
      </c>
    </row>
    <row r="521" spans="1:12" x14ac:dyDescent="0.2">
      <c r="B521" s="21" t="s">
        <v>162</v>
      </c>
      <c r="C521" s="1495" t="s">
        <v>58</v>
      </c>
      <c r="F521" s="1495" t="s">
        <v>266</v>
      </c>
      <c r="G521" s="1495" t="s">
        <v>263</v>
      </c>
    </row>
    <row r="522" spans="1:12" x14ac:dyDescent="0.2">
      <c r="B522" s="21" t="s">
        <v>161</v>
      </c>
      <c r="C522" s="1495" t="s">
        <v>58</v>
      </c>
      <c r="F522" s="1495" t="s">
        <v>266</v>
      </c>
      <c r="G522" s="1495" t="s">
        <v>263</v>
      </c>
    </row>
    <row r="523" spans="1:12" x14ac:dyDescent="0.2">
      <c r="B523" s="21" t="s">
        <v>160</v>
      </c>
      <c r="C523" s="1495" t="s">
        <v>58</v>
      </c>
      <c r="F523" s="1495" t="s">
        <v>266</v>
      </c>
      <c r="G523" s="1495" t="s">
        <v>263</v>
      </c>
    </row>
    <row r="524" spans="1:12" x14ac:dyDescent="0.2">
      <c r="B524" s="21" t="s">
        <v>157</v>
      </c>
      <c r="C524" s="1495" t="s">
        <v>58</v>
      </c>
      <c r="D524" s="21" t="s">
        <v>87</v>
      </c>
      <c r="E524" s="21" t="s">
        <v>73</v>
      </c>
      <c r="F524" s="1495" t="s">
        <v>266</v>
      </c>
      <c r="G524" s="1495" t="s">
        <v>263</v>
      </c>
    </row>
    <row r="525" spans="1:12" x14ac:dyDescent="0.2">
      <c r="A525" s="7" t="s">
        <v>196</v>
      </c>
      <c r="B525" s="21" t="s">
        <v>177</v>
      </c>
      <c r="C525" s="4">
        <v>84995910000</v>
      </c>
      <c r="D525" s="4">
        <v>24368680000</v>
      </c>
      <c r="E525" s="4">
        <v>8570240000</v>
      </c>
      <c r="F525" s="4">
        <v>2511248759</v>
      </c>
      <c r="G525" s="4">
        <v>853578265</v>
      </c>
    </row>
    <row r="526" spans="1:12" x14ac:dyDescent="0.2">
      <c r="B526" s="21" t="s">
        <v>162</v>
      </c>
      <c r="C526" s="1495" t="s">
        <v>17</v>
      </c>
      <c r="D526" s="1495" t="s">
        <v>23</v>
      </c>
      <c r="E526" s="1495" t="s">
        <v>325</v>
      </c>
      <c r="G526" s="1495" t="s">
        <v>172</v>
      </c>
      <c r="I526" s="1495" t="s">
        <v>280</v>
      </c>
      <c r="J526" s="1495" t="s">
        <v>300</v>
      </c>
    </row>
    <row r="527" spans="1:12" x14ac:dyDescent="0.2">
      <c r="B527" s="21" t="s">
        <v>161</v>
      </c>
      <c r="C527" s="1495" t="s">
        <v>17</v>
      </c>
      <c r="D527" s="1495" t="s">
        <v>23</v>
      </c>
      <c r="E527" s="1495" t="s">
        <v>325</v>
      </c>
      <c r="G527" s="1495" t="s">
        <v>172</v>
      </c>
      <c r="I527" s="1495" t="s">
        <v>280</v>
      </c>
      <c r="J527" s="1495" t="s">
        <v>300</v>
      </c>
    </row>
    <row r="528" spans="1:12" x14ac:dyDescent="0.2">
      <c r="B528" s="21" t="s">
        <v>160</v>
      </c>
      <c r="C528" s="1495" t="s">
        <v>17</v>
      </c>
      <c r="D528" s="1495" t="s">
        <v>23</v>
      </c>
      <c r="E528" s="1495" t="s">
        <v>325</v>
      </c>
      <c r="G528" s="1495" t="s">
        <v>172</v>
      </c>
      <c r="I528" s="1495" t="s">
        <v>280</v>
      </c>
      <c r="J528" s="1495" t="s">
        <v>300</v>
      </c>
    </row>
    <row r="529" spans="1:15" x14ac:dyDescent="0.2">
      <c r="B529" s="21" t="s">
        <v>157</v>
      </c>
      <c r="C529" s="1495" t="s">
        <v>17</v>
      </c>
      <c r="D529" s="1495" t="s">
        <v>23</v>
      </c>
      <c r="E529" s="1495" t="s">
        <v>325</v>
      </c>
      <c r="F529" s="21" t="s">
        <v>59</v>
      </c>
      <c r="G529" s="1495" t="s">
        <v>172</v>
      </c>
      <c r="H529" s="21" t="s">
        <v>95</v>
      </c>
      <c r="I529" s="1495" t="s">
        <v>280</v>
      </c>
      <c r="J529" s="1495" t="s">
        <v>300</v>
      </c>
    </row>
    <row r="530" spans="1:15" x14ac:dyDescent="0.2">
      <c r="A530" s="7" t="s">
        <v>195</v>
      </c>
      <c r="B530" s="21" t="s">
        <v>177</v>
      </c>
      <c r="C530" s="4">
        <v>211393470000</v>
      </c>
      <c r="D530" s="4">
        <v>115231140000</v>
      </c>
      <c r="E530" s="4">
        <v>50824050000</v>
      </c>
      <c r="F530" s="4">
        <v>28987650000</v>
      </c>
      <c r="G530" s="4">
        <v>18998820000</v>
      </c>
      <c r="H530" s="4">
        <v>5619170000</v>
      </c>
      <c r="I530" s="4">
        <v>2307015910</v>
      </c>
      <c r="J530" s="4">
        <v>841710000</v>
      </c>
    </row>
    <row r="531" spans="1:15" x14ac:dyDescent="0.2">
      <c r="B531" s="21" t="s">
        <v>162</v>
      </c>
      <c r="C531" s="1495" t="s">
        <v>99</v>
      </c>
      <c r="D531" s="1495" t="s">
        <v>89</v>
      </c>
      <c r="E531" s="1495" t="s">
        <v>58</v>
      </c>
      <c r="F531" s="1495" t="s">
        <v>67</v>
      </c>
      <c r="G531" s="1495" t="s">
        <v>37</v>
      </c>
      <c r="H531" s="1495" t="s">
        <v>96</v>
      </c>
      <c r="I531" s="1495" t="s">
        <v>291</v>
      </c>
      <c r="J531" s="1495" t="s">
        <v>76</v>
      </c>
    </row>
    <row r="532" spans="1:15" x14ac:dyDescent="0.2">
      <c r="B532" s="21" t="s">
        <v>161</v>
      </c>
      <c r="C532" s="1495" t="s">
        <v>99</v>
      </c>
      <c r="D532" s="1495" t="s">
        <v>89</v>
      </c>
      <c r="E532" s="1495" t="s">
        <v>58</v>
      </c>
      <c r="F532" s="1495" t="s">
        <v>67</v>
      </c>
      <c r="G532" s="1495" t="s">
        <v>37</v>
      </c>
      <c r="H532" s="1495" t="s">
        <v>96</v>
      </c>
      <c r="I532" s="1495" t="s">
        <v>291</v>
      </c>
      <c r="J532" s="1495" t="s">
        <v>76</v>
      </c>
    </row>
    <row r="533" spans="1:15" x14ac:dyDescent="0.2">
      <c r="B533" s="21" t="s">
        <v>160</v>
      </c>
      <c r="C533" s="1495" t="s">
        <v>99</v>
      </c>
      <c r="D533" s="1495" t="s">
        <v>89</v>
      </c>
      <c r="E533" s="1495" t="s">
        <v>58</v>
      </c>
      <c r="F533" s="1495" t="s">
        <v>67</v>
      </c>
      <c r="G533" s="1495" t="s">
        <v>37</v>
      </c>
      <c r="H533" s="1495" t="s">
        <v>96</v>
      </c>
      <c r="I533" s="1495" t="s">
        <v>291</v>
      </c>
      <c r="J533" s="1495" t="s">
        <v>76</v>
      </c>
      <c r="M533" s="1495" t="s">
        <v>432</v>
      </c>
    </row>
    <row r="534" spans="1:15" x14ac:dyDescent="0.2">
      <c r="B534" s="21" t="s">
        <v>157</v>
      </c>
      <c r="C534" s="1495" t="s">
        <v>99</v>
      </c>
      <c r="D534" s="1495" t="s">
        <v>89</v>
      </c>
      <c r="E534" s="1495" t="s">
        <v>58</v>
      </c>
      <c r="F534" s="1495" t="s">
        <v>67</v>
      </c>
      <c r="G534" s="1495" t="s">
        <v>37</v>
      </c>
      <c r="H534" s="1495" t="s">
        <v>96</v>
      </c>
      <c r="I534" s="1495" t="s">
        <v>291</v>
      </c>
      <c r="J534" s="1495" t="s">
        <v>76</v>
      </c>
      <c r="K534" s="21" t="s">
        <v>73</v>
      </c>
      <c r="L534" s="21" t="s">
        <v>431</v>
      </c>
      <c r="M534" s="1495" t="s">
        <v>432</v>
      </c>
      <c r="N534" s="21" t="s">
        <v>194</v>
      </c>
    </row>
    <row r="535" spans="1:15" x14ac:dyDescent="0.2">
      <c r="A535" s="7" t="s">
        <v>193</v>
      </c>
      <c r="B535" s="21" t="s">
        <v>177</v>
      </c>
      <c r="C535" s="4">
        <v>281551050000</v>
      </c>
      <c r="D535" s="4">
        <v>103999210000</v>
      </c>
      <c r="E535" s="4">
        <v>74162780000</v>
      </c>
      <c r="F535" s="4">
        <v>60035840000</v>
      </c>
      <c r="G535" s="4">
        <v>16703900000</v>
      </c>
      <c r="H535" s="4">
        <v>11441090000</v>
      </c>
      <c r="I535" s="4">
        <v>8939080000</v>
      </c>
      <c r="J535" s="4">
        <v>8899850000</v>
      </c>
      <c r="K535" s="4">
        <v>1880810000</v>
      </c>
      <c r="L535" s="4">
        <v>869000000</v>
      </c>
      <c r="M535" s="4">
        <v>846550000</v>
      </c>
      <c r="N535" s="4">
        <v>782760000</v>
      </c>
    </row>
    <row r="536" spans="1:15" x14ac:dyDescent="0.2">
      <c r="B536" s="21" t="s">
        <v>162</v>
      </c>
      <c r="F536" s="1495" t="s">
        <v>313</v>
      </c>
      <c r="H536" s="1495" t="s">
        <v>336</v>
      </c>
      <c r="I536" s="1495" t="s">
        <v>325</v>
      </c>
      <c r="L536" s="1495" t="s">
        <v>342</v>
      </c>
      <c r="M536" s="1495" t="s">
        <v>266</v>
      </c>
      <c r="N536" s="1495" t="s">
        <v>429</v>
      </c>
      <c r="O536" s="1495" t="s">
        <v>273</v>
      </c>
    </row>
    <row r="537" spans="1:15" x14ac:dyDescent="0.2">
      <c r="B537" s="21" t="s">
        <v>161</v>
      </c>
      <c r="F537" s="1495" t="s">
        <v>313</v>
      </c>
      <c r="H537" s="1495" t="s">
        <v>336</v>
      </c>
      <c r="I537" s="1495" t="s">
        <v>325</v>
      </c>
      <c r="L537" s="1495" t="s">
        <v>342</v>
      </c>
      <c r="M537" s="1495" t="s">
        <v>266</v>
      </c>
      <c r="N537" s="1495" t="s">
        <v>429</v>
      </c>
      <c r="O537" s="1495" t="s">
        <v>273</v>
      </c>
    </row>
    <row r="538" spans="1:15" x14ac:dyDescent="0.2">
      <c r="B538" s="21" t="s">
        <v>160</v>
      </c>
      <c r="D538" s="1495" t="s">
        <v>86</v>
      </c>
      <c r="F538" s="1495" t="s">
        <v>313</v>
      </c>
      <c r="H538" s="1495" t="s">
        <v>336</v>
      </c>
      <c r="I538" s="1495" t="s">
        <v>325</v>
      </c>
      <c r="J538" s="1495" t="s">
        <v>333</v>
      </c>
      <c r="L538" s="1495" t="s">
        <v>342</v>
      </c>
      <c r="M538" s="1495" t="s">
        <v>266</v>
      </c>
      <c r="N538" s="1495" t="s">
        <v>429</v>
      </c>
      <c r="O538" s="1495" t="s">
        <v>273</v>
      </c>
    </row>
    <row r="539" spans="1:15" x14ac:dyDescent="0.2">
      <c r="B539" s="21" t="s">
        <v>157</v>
      </c>
      <c r="C539" s="21" t="s">
        <v>17</v>
      </c>
      <c r="D539" s="1495" t="s">
        <v>86</v>
      </c>
      <c r="E539" s="21" t="s">
        <v>9</v>
      </c>
      <c r="F539" s="1495" t="s">
        <v>313</v>
      </c>
      <c r="G539" s="21" t="s">
        <v>10</v>
      </c>
      <c r="H539" s="1495" t="s">
        <v>336</v>
      </c>
      <c r="I539" s="1495" t="s">
        <v>325</v>
      </c>
      <c r="J539" s="1495" t="s">
        <v>333</v>
      </c>
      <c r="K539" s="21" t="s">
        <v>26</v>
      </c>
      <c r="L539" s="1495" t="s">
        <v>342</v>
      </c>
      <c r="M539" s="1495" t="s">
        <v>266</v>
      </c>
      <c r="N539" s="1495" t="s">
        <v>429</v>
      </c>
      <c r="O539" s="1495" t="s">
        <v>273</v>
      </c>
    </row>
    <row r="540" spans="1:15" x14ac:dyDescent="0.2">
      <c r="A540" s="7" t="s">
        <v>189</v>
      </c>
      <c r="B540" s="21" t="s">
        <v>177</v>
      </c>
      <c r="C540" s="4">
        <v>138670380000</v>
      </c>
      <c r="D540" s="4">
        <v>85920160000</v>
      </c>
      <c r="E540" s="4">
        <v>81698120000</v>
      </c>
      <c r="F540" s="4">
        <v>53602860000</v>
      </c>
      <c r="G540" s="4">
        <v>41272162125</v>
      </c>
      <c r="H540" s="4">
        <v>35814410000</v>
      </c>
      <c r="I540" s="4">
        <v>27648790000</v>
      </c>
      <c r="J540" s="4">
        <v>20685550000</v>
      </c>
      <c r="K540" s="4">
        <v>13367530000</v>
      </c>
      <c r="L540" s="4">
        <v>2673350000</v>
      </c>
      <c r="M540" s="4">
        <v>2467054010</v>
      </c>
      <c r="N540" s="4">
        <v>1443460000</v>
      </c>
      <c r="O540" s="4">
        <v>422023528</v>
      </c>
    </row>
    <row r="542" spans="1:15" x14ac:dyDescent="0.2">
      <c r="A542" t="s">
        <v>368</v>
      </c>
    </row>
  </sheetData>
  <mergeCells count="421">
    <mergeCell ref="G30:G33"/>
    <mergeCell ref="J70:J73"/>
    <mergeCell ref="L70:L73"/>
    <mergeCell ref="D40:D43"/>
    <mergeCell ref="C42:C43"/>
    <mergeCell ref="C47:C48"/>
    <mergeCell ref="C20:C23"/>
    <mergeCell ref="E20:E23"/>
    <mergeCell ref="F20:F23"/>
    <mergeCell ref="L27:L28"/>
    <mergeCell ref="K27:K28"/>
    <mergeCell ref="J30:J33"/>
    <mergeCell ref="K30:K33"/>
    <mergeCell ref="F32:F33"/>
    <mergeCell ref="E65:E68"/>
    <mergeCell ref="F65:F68"/>
    <mergeCell ref="G65:G68"/>
    <mergeCell ref="H65:H68"/>
    <mergeCell ref="H70:H73"/>
    <mergeCell ref="E70:E73"/>
    <mergeCell ref="C67:C68"/>
    <mergeCell ref="L85:L88"/>
    <mergeCell ref="C35:C38"/>
    <mergeCell ref="H35:H38"/>
    <mergeCell ref="O85:O88"/>
    <mergeCell ref="P85:P88"/>
    <mergeCell ref="P90:P93"/>
    <mergeCell ref="M90:M93"/>
    <mergeCell ref="K90:K93"/>
    <mergeCell ref="C80:C83"/>
    <mergeCell ref="C75:C78"/>
    <mergeCell ref="H80:H83"/>
    <mergeCell ref="J80:J83"/>
    <mergeCell ref="M80:M83"/>
    <mergeCell ref="D85:D88"/>
    <mergeCell ref="E85:E88"/>
    <mergeCell ref="G85:G88"/>
    <mergeCell ref="I85:I88"/>
    <mergeCell ref="K85:K88"/>
    <mergeCell ref="H87:H88"/>
    <mergeCell ref="F87:F88"/>
    <mergeCell ref="N87:N88"/>
    <mergeCell ref="O92:O93"/>
    <mergeCell ref="F80:F83"/>
    <mergeCell ref="D80:D83"/>
    <mergeCell ref="H75:H78"/>
    <mergeCell ref="G75:G78"/>
    <mergeCell ref="E95:E98"/>
    <mergeCell ref="C95:C98"/>
    <mergeCell ref="G100:G103"/>
    <mergeCell ref="H100:H103"/>
    <mergeCell ref="E105:E108"/>
    <mergeCell ref="D105:D108"/>
    <mergeCell ref="C105:C108"/>
    <mergeCell ref="J90:J93"/>
    <mergeCell ref="H90:H93"/>
    <mergeCell ref="I95:I98"/>
    <mergeCell ref="H95:H98"/>
    <mergeCell ref="G95:G98"/>
    <mergeCell ref="F97:F98"/>
    <mergeCell ref="F102:F103"/>
    <mergeCell ref="P105:P108"/>
    <mergeCell ref="Q105:Q108"/>
    <mergeCell ref="R105:R108"/>
    <mergeCell ref="P110:P113"/>
    <mergeCell ref="Q110:Q113"/>
    <mergeCell ref="O112:O113"/>
    <mergeCell ref="D110:D113"/>
    <mergeCell ref="E110:E113"/>
    <mergeCell ref="G110:G113"/>
    <mergeCell ref="H110:H113"/>
    <mergeCell ref="K110:K113"/>
    <mergeCell ref="L110:L113"/>
    <mergeCell ref="C115:C118"/>
    <mergeCell ref="D120:D123"/>
    <mergeCell ref="G120:G123"/>
    <mergeCell ref="H120:H123"/>
    <mergeCell ref="I120:I123"/>
    <mergeCell ref="J120:J123"/>
    <mergeCell ref="L120:L123"/>
    <mergeCell ref="N120:N123"/>
    <mergeCell ref="M110:M113"/>
    <mergeCell ref="V125:V128"/>
    <mergeCell ref="U125:U128"/>
    <mergeCell ref="T125:T128"/>
    <mergeCell ref="S125:S128"/>
    <mergeCell ref="R125:R128"/>
    <mergeCell ref="F130:F133"/>
    <mergeCell ref="O127:O128"/>
    <mergeCell ref="O120:O123"/>
    <mergeCell ref="U115:U118"/>
    <mergeCell ref="G125:G128"/>
    <mergeCell ref="I125:I128"/>
    <mergeCell ref="J125:J128"/>
    <mergeCell ref="L125:L128"/>
    <mergeCell ref="M125:M128"/>
    <mergeCell ref="P125:P128"/>
    <mergeCell ref="T117:T118"/>
    <mergeCell ref="P115:P118"/>
    <mergeCell ref="H115:H118"/>
    <mergeCell ref="H155:H158"/>
    <mergeCell ref="G160:G163"/>
    <mergeCell ref="D160:D163"/>
    <mergeCell ref="D165:D168"/>
    <mergeCell ref="D170:D173"/>
    <mergeCell ref="E162:E163"/>
    <mergeCell ref="H135:H138"/>
    <mergeCell ref="C135:C138"/>
    <mergeCell ref="E140:E143"/>
    <mergeCell ref="H145:H148"/>
    <mergeCell ref="D150:D153"/>
    <mergeCell ref="G155:G158"/>
    <mergeCell ref="F155:F158"/>
    <mergeCell ref="D147:D148"/>
    <mergeCell ref="G137:G138"/>
    <mergeCell ref="C180:C183"/>
    <mergeCell ref="C185:C188"/>
    <mergeCell ref="D185:D188"/>
    <mergeCell ref="G185:G188"/>
    <mergeCell ref="K185:K188"/>
    <mergeCell ref="L185:L188"/>
    <mergeCell ref="D175:D178"/>
    <mergeCell ref="E175:E178"/>
    <mergeCell ref="F175:F178"/>
    <mergeCell ref="H175:H178"/>
    <mergeCell ref="I175:I178"/>
    <mergeCell ref="I180:I183"/>
    <mergeCell ref="G180:G183"/>
    <mergeCell ref="H187:H188"/>
    <mergeCell ref="H210:H211"/>
    <mergeCell ref="F210:F211"/>
    <mergeCell ref="E225:E226"/>
    <mergeCell ref="K190:K193"/>
    <mergeCell ref="H190:H193"/>
    <mergeCell ref="F190:F193"/>
    <mergeCell ref="D190:D193"/>
    <mergeCell ref="C190:C193"/>
    <mergeCell ref="C195:C198"/>
    <mergeCell ref="D195:D198"/>
    <mergeCell ref="G195:G198"/>
    <mergeCell ref="H195:H198"/>
    <mergeCell ref="J195:J198"/>
    <mergeCell ref="L195:L198"/>
    <mergeCell ref="K200:K203"/>
    <mergeCell ref="H200:H203"/>
    <mergeCell ref="F200:F203"/>
    <mergeCell ref="E200:E203"/>
    <mergeCell ref="F205:F208"/>
    <mergeCell ref="J205:J208"/>
    <mergeCell ref="J202:J203"/>
    <mergeCell ref="H207:H208"/>
    <mergeCell ref="M233:M236"/>
    <mergeCell ref="I233:I236"/>
    <mergeCell ref="G233:G236"/>
    <mergeCell ref="G238:G241"/>
    <mergeCell ref="K238:K241"/>
    <mergeCell ref="I213:I216"/>
    <mergeCell ref="H213:H216"/>
    <mergeCell ref="H220:H221"/>
    <mergeCell ref="D213:D216"/>
    <mergeCell ref="E218:E221"/>
    <mergeCell ref="F218:F221"/>
    <mergeCell ref="D223:D226"/>
    <mergeCell ref="G230:G231"/>
    <mergeCell ref="K228:K231"/>
    <mergeCell ref="H243:H246"/>
    <mergeCell ref="I243:I246"/>
    <mergeCell ref="K243:K246"/>
    <mergeCell ref="L243:L246"/>
    <mergeCell ref="H248:H251"/>
    <mergeCell ref="G248:G251"/>
    <mergeCell ref="E250:E251"/>
    <mergeCell ref="C240:C241"/>
    <mergeCell ref="K233:K236"/>
    <mergeCell ref="C329:C330"/>
    <mergeCell ref="E342:E343"/>
    <mergeCell ref="F332:F335"/>
    <mergeCell ref="C345:C348"/>
    <mergeCell ref="C352:C355"/>
    <mergeCell ref="C285:C288"/>
    <mergeCell ref="C290:C293"/>
    <mergeCell ref="D295:D298"/>
    <mergeCell ref="J290:J293"/>
    <mergeCell ref="H305:H308"/>
    <mergeCell ref="G461:G464"/>
    <mergeCell ref="G436:G439"/>
    <mergeCell ref="E441:E444"/>
    <mergeCell ref="E446:E449"/>
    <mergeCell ref="C446:C449"/>
    <mergeCell ref="H446:H449"/>
    <mergeCell ref="D451:D454"/>
    <mergeCell ref="C452:C454"/>
    <mergeCell ref="I448:I449"/>
    <mergeCell ref="I461:I464"/>
    <mergeCell ref="C436:C439"/>
    <mergeCell ref="E436:E439"/>
    <mergeCell ref="F446:F449"/>
    <mergeCell ref="H461:H464"/>
    <mergeCell ref="D456:D459"/>
    <mergeCell ref="C456:C459"/>
    <mergeCell ref="C461:C464"/>
    <mergeCell ref="P481:P484"/>
    <mergeCell ref="Q481:Q484"/>
    <mergeCell ref="M496:M499"/>
    <mergeCell ref="I476:I479"/>
    <mergeCell ref="J476:J479"/>
    <mergeCell ref="M476:M479"/>
    <mergeCell ref="N476:N479"/>
    <mergeCell ref="C481:C484"/>
    <mergeCell ref="D481:D484"/>
    <mergeCell ref="E481:E484"/>
    <mergeCell ref="F481:F484"/>
    <mergeCell ref="I481:I484"/>
    <mergeCell ref="J481:J484"/>
    <mergeCell ref="J491:J494"/>
    <mergeCell ref="J496:J499"/>
    <mergeCell ref="H496:H499"/>
    <mergeCell ref="G491:G494"/>
    <mergeCell ref="F491:F494"/>
    <mergeCell ref="E491:E494"/>
    <mergeCell ref="M481:M484"/>
    <mergeCell ref="N481:N484"/>
    <mergeCell ref="O481:O484"/>
    <mergeCell ref="D476:D479"/>
    <mergeCell ref="C476:C479"/>
    <mergeCell ref="H516:H519"/>
    <mergeCell ref="G521:G524"/>
    <mergeCell ref="F521:F524"/>
    <mergeCell ref="E526:E529"/>
    <mergeCell ref="G526:G529"/>
    <mergeCell ref="E506:E509"/>
    <mergeCell ref="C511:C514"/>
    <mergeCell ref="D511:D514"/>
    <mergeCell ref="E511:E514"/>
    <mergeCell ref="H506:H509"/>
    <mergeCell ref="F506:F509"/>
    <mergeCell ref="C521:C524"/>
    <mergeCell ref="G506:G509"/>
    <mergeCell ref="C506:C509"/>
    <mergeCell ref="C516:C519"/>
    <mergeCell ref="D526:D529"/>
    <mergeCell ref="C526:C529"/>
    <mergeCell ref="N466:N469"/>
    <mergeCell ref="F501:F504"/>
    <mergeCell ref="D501:D504"/>
    <mergeCell ref="G501:G504"/>
    <mergeCell ref="H501:H504"/>
    <mergeCell ref="F466:F469"/>
    <mergeCell ref="C471:C474"/>
    <mergeCell ref="E471:E474"/>
    <mergeCell ref="E476:E479"/>
    <mergeCell ref="F476:F479"/>
    <mergeCell ref="G476:G479"/>
    <mergeCell ref="H476:H479"/>
    <mergeCell ref="D498:D499"/>
    <mergeCell ref="C498:C499"/>
    <mergeCell ref="C491:C494"/>
    <mergeCell ref="E496:E499"/>
    <mergeCell ref="F496:F499"/>
    <mergeCell ref="G496:G499"/>
    <mergeCell ref="E486:E489"/>
    <mergeCell ref="C486:C489"/>
    <mergeCell ref="J466:J469"/>
    <mergeCell ref="K466:K469"/>
    <mergeCell ref="M466:M469"/>
    <mergeCell ref="C466:C469"/>
    <mergeCell ref="C230:C231"/>
    <mergeCell ref="N536:N539"/>
    <mergeCell ref="O536:O539"/>
    <mergeCell ref="K71:K73"/>
    <mergeCell ref="N111:N113"/>
    <mergeCell ref="J382:J384"/>
    <mergeCell ref="J87:J88"/>
    <mergeCell ref="J107:J108"/>
    <mergeCell ref="F531:F534"/>
    <mergeCell ref="E531:E534"/>
    <mergeCell ref="F536:F539"/>
    <mergeCell ref="H536:H539"/>
    <mergeCell ref="I526:I529"/>
    <mergeCell ref="J526:J529"/>
    <mergeCell ref="J531:J534"/>
    <mergeCell ref="I531:I534"/>
    <mergeCell ref="H531:H534"/>
    <mergeCell ref="G531:G534"/>
    <mergeCell ref="F516:F519"/>
    <mergeCell ref="K501:K504"/>
    <mergeCell ref="M501:M504"/>
    <mergeCell ref="L511:L514"/>
    <mergeCell ref="J506:J509"/>
    <mergeCell ref="J501:J504"/>
    <mergeCell ref="C376:C379"/>
    <mergeCell ref="D132:D133"/>
    <mergeCell ref="D137:D138"/>
    <mergeCell ref="F137:F138"/>
    <mergeCell ref="C166:C168"/>
    <mergeCell ref="F291:F293"/>
    <mergeCell ref="G213:G216"/>
    <mergeCell ref="E306:E308"/>
    <mergeCell ref="D357:D359"/>
    <mergeCell ref="E192:E193"/>
    <mergeCell ref="E207:E208"/>
    <mergeCell ref="E312:E315"/>
    <mergeCell ref="C312:C315"/>
    <mergeCell ref="D317:D320"/>
    <mergeCell ref="D322:D325"/>
    <mergeCell ref="C322:C325"/>
    <mergeCell ref="C258:C261"/>
    <mergeCell ref="C263:C266"/>
    <mergeCell ref="E263:E266"/>
    <mergeCell ref="D263:D266"/>
    <mergeCell ref="D255:D256"/>
    <mergeCell ref="D332:D335"/>
    <mergeCell ref="E327:E330"/>
    <mergeCell ref="G300:G303"/>
    <mergeCell ref="N305:N308"/>
    <mergeCell ref="L278:L281"/>
    <mergeCell ref="D285:D288"/>
    <mergeCell ref="I278:I281"/>
    <mergeCell ref="J278:J281"/>
    <mergeCell ref="G278:G281"/>
    <mergeCell ref="E278:E281"/>
    <mergeCell ref="H265:H266"/>
    <mergeCell ref="D280:D281"/>
    <mergeCell ref="D305:D308"/>
    <mergeCell ref="L305:L308"/>
    <mergeCell ref="D431:D434"/>
    <mergeCell ref="H426:H429"/>
    <mergeCell ref="E255:E256"/>
    <mergeCell ref="C253:C256"/>
    <mergeCell ref="G268:G271"/>
    <mergeCell ref="C273:C276"/>
    <mergeCell ref="C233:C236"/>
    <mergeCell ref="F396:F399"/>
    <mergeCell ref="L381:L384"/>
    <mergeCell ref="H381:H384"/>
    <mergeCell ref="C280:C281"/>
    <mergeCell ref="D376:D379"/>
    <mergeCell ref="C381:C384"/>
    <mergeCell ref="E381:E384"/>
    <mergeCell ref="C300:C303"/>
    <mergeCell ref="F372:F374"/>
    <mergeCell ref="D361:D364"/>
    <mergeCell ref="E366:E369"/>
    <mergeCell ref="G366:G369"/>
    <mergeCell ref="D386:D389"/>
    <mergeCell ref="E386:E389"/>
    <mergeCell ref="C391:C394"/>
    <mergeCell ref="G391:G394"/>
    <mergeCell ref="G397:G399"/>
    <mergeCell ref="C406:C409"/>
    <mergeCell ref="G361:G364"/>
    <mergeCell ref="M533:M534"/>
    <mergeCell ref="J538:J539"/>
    <mergeCell ref="D493:D494"/>
    <mergeCell ref="L468:L469"/>
    <mergeCell ref="F337:F338"/>
    <mergeCell ref="K493:K494"/>
    <mergeCell ref="L493:L494"/>
    <mergeCell ref="M493:M494"/>
    <mergeCell ref="L503:L504"/>
    <mergeCell ref="I498:I499"/>
    <mergeCell ref="D518:D519"/>
    <mergeCell ref="I536:I539"/>
    <mergeCell ref="L536:L539"/>
    <mergeCell ref="M536:M539"/>
    <mergeCell ref="D531:D534"/>
    <mergeCell ref="G421:G424"/>
    <mergeCell ref="F421:F424"/>
    <mergeCell ref="E421:E424"/>
    <mergeCell ref="D426:D429"/>
    <mergeCell ref="I421:I424"/>
    <mergeCell ref="G416:G419"/>
    <mergeCell ref="H416:H419"/>
    <mergeCell ref="D12:D13"/>
    <mergeCell ref="C30:C33"/>
    <mergeCell ref="C531:C534"/>
    <mergeCell ref="D538:D539"/>
    <mergeCell ref="K381:K384"/>
    <mergeCell ref="H371:H374"/>
    <mergeCell ref="I371:I374"/>
    <mergeCell ref="H362:H364"/>
    <mergeCell ref="F381:F384"/>
    <mergeCell ref="E411:E414"/>
    <mergeCell ref="H322:H325"/>
    <mergeCell ref="K411:K414"/>
    <mergeCell ref="H357:H359"/>
    <mergeCell ref="C426:C429"/>
    <mergeCell ref="C422:C424"/>
    <mergeCell ref="C411:C414"/>
    <mergeCell ref="C416:C419"/>
    <mergeCell ref="C431:C434"/>
    <mergeCell ref="G426:G429"/>
    <mergeCell ref="C340:C343"/>
    <mergeCell ref="D396:D399"/>
    <mergeCell ref="C396:C399"/>
    <mergeCell ref="C401:C404"/>
    <mergeCell ref="D401:D404"/>
    <mergeCell ref="G2:G3"/>
    <mergeCell ref="C2:C3"/>
    <mergeCell ref="C5:C8"/>
    <mergeCell ref="D7:D8"/>
    <mergeCell ref="H15:H18"/>
    <mergeCell ref="O60:O63"/>
    <mergeCell ref="P60:P63"/>
    <mergeCell ref="S60:S63"/>
    <mergeCell ref="J62:J63"/>
    <mergeCell ref="L61:L63"/>
    <mergeCell ref="D61:D63"/>
    <mergeCell ref="G62:G63"/>
    <mergeCell ref="G45:G48"/>
    <mergeCell ref="F45:F48"/>
    <mergeCell ref="D45:D48"/>
    <mergeCell ref="G50:G53"/>
    <mergeCell ref="G55:G58"/>
    <mergeCell ref="E55:E58"/>
    <mergeCell ref="D55:D58"/>
    <mergeCell ref="H60:H63"/>
    <mergeCell ref="M60:M63"/>
    <mergeCell ref="M25:M28"/>
    <mergeCell ref="M30:M33"/>
    <mergeCell ref="G10:G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FFD4-60EC-7543-AB9E-966DAB3621FA}">
  <sheetPr codeName="Sheet3">
    <tabColor rgb="FFFF7E79"/>
  </sheetPr>
  <dimension ref="A1:AD548"/>
  <sheetViews>
    <sheetView zoomScaleNormal="100" workbookViewId="0">
      <selection activeCell="E7" sqref="E7:E10"/>
    </sheetView>
  </sheetViews>
  <sheetFormatPr baseColWidth="10" defaultRowHeight="16" x14ac:dyDescent="0.2"/>
  <cols>
    <col min="3" max="3" width="20.83203125" customWidth="1"/>
    <col min="4" max="4" width="20" customWidth="1"/>
    <col min="5" max="5" width="21.33203125" customWidth="1"/>
    <col min="6" max="6" width="18" customWidth="1"/>
    <col min="7" max="8" width="15.33203125" customWidth="1"/>
    <col min="9" max="9" width="14.1640625" customWidth="1"/>
    <col min="10" max="10" width="15.6640625" customWidth="1"/>
    <col min="11" max="11" width="18.6640625" customWidth="1"/>
    <col min="12" max="12" width="14.6640625" customWidth="1"/>
    <col min="13" max="13" width="15.5" customWidth="1"/>
    <col min="14" max="15" width="17.5" customWidth="1"/>
    <col min="16" max="16" width="14.33203125" customWidth="1"/>
    <col min="17" max="17" width="14.6640625" customWidth="1"/>
    <col min="18" max="18" width="15" customWidth="1"/>
    <col min="19" max="19" width="16.33203125" customWidth="1"/>
    <col min="20" max="20" width="17.5" customWidth="1"/>
    <col min="21" max="21" width="16.5" customWidth="1"/>
    <col min="22" max="22" width="11.83203125" bestFit="1" customWidth="1"/>
  </cols>
  <sheetData>
    <row r="1" spans="1:10" x14ac:dyDescent="0.2">
      <c r="A1" s="10" t="s">
        <v>105</v>
      </c>
      <c r="B1" s="9" t="s">
        <v>164</v>
      </c>
    </row>
    <row r="2" spans="1:10" x14ac:dyDescent="0.2">
      <c r="B2" s="21" t="s">
        <v>157</v>
      </c>
      <c r="C2" s="21" t="s">
        <v>27</v>
      </c>
      <c r="D2" s="21" t="s">
        <v>95</v>
      </c>
      <c r="E2" s="21" t="s">
        <v>171</v>
      </c>
      <c r="F2" s="21" t="s">
        <v>314</v>
      </c>
      <c r="G2" s="21" t="s">
        <v>172</v>
      </c>
    </row>
    <row r="3" spans="1:10" x14ac:dyDescent="0.2">
      <c r="A3" s="7" t="s">
        <v>508</v>
      </c>
      <c r="B3" s="21" t="s">
        <v>177</v>
      </c>
      <c r="C3" s="4">
        <v>-18977420000</v>
      </c>
      <c r="D3" s="4">
        <v>-8256190000</v>
      </c>
      <c r="E3" s="4">
        <v>-3570410000</v>
      </c>
      <c r="F3" s="4">
        <v>-1801550000</v>
      </c>
      <c r="G3" s="4">
        <v>-612220000</v>
      </c>
    </row>
    <row r="4" spans="1:10" x14ac:dyDescent="0.2">
      <c r="B4" s="21" t="s">
        <v>160</v>
      </c>
      <c r="D4" s="1495" t="s">
        <v>78</v>
      </c>
    </row>
    <row r="5" spans="1:10" x14ac:dyDescent="0.2">
      <c r="B5" s="21" t="s">
        <v>157</v>
      </c>
      <c r="C5" s="21" t="s">
        <v>79</v>
      </c>
      <c r="D5" s="1495" t="s">
        <v>78</v>
      </c>
      <c r="E5" s="21" t="s">
        <v>99</v>
      </c>
      <c r="F5" s="21" t="s">
        <v>188</v>
      </c>
      <c r="G5" s="21" t="s">
        <v>174</v>
      </c>
      <c r="H5" s="21" t="s">
        <v>34</v>
      </c>
    </row>
    <row r="6" spans="1:10" x14ac:dyDescent="0.2">
      <c r="A6" s="7" t="s">
        <v>505</v>
      </c>
      <c r="B6" s="21" t="s">
        <v>177</v>
      </c>
      <c r="C6" s="4">
        <v>-214086470000</v>
      </c>
      <c r="D6" s="4">
        <v>-24576030000</v>
      </c>
      <c r="E6" s="4">
        <v>-17774220000</v>
      </c>
      <c r="F6" s="4">
        <v>-16730270000</v>
      </c>
      <c r="G6" s="4">
        <v>-3205170000</v>
      </c>
      <c r="H6" s="4">
        <v>-1959670000</v>
      </c>
    </row>
    <row r="7" spans="1:10" x14ac:dyDescent="0.2">
      <c r="B7" s="21" t="s">
        <v>162</v>
      </c>
      <c r="E7" s="1495" t="s">
        <v>65</v>
      </c>
      <c r="I7" s="1495" t="s">
        <v>463</v>
      </c>
    </row>
    <row r="8" spans="1:10" x14ac:dyDescent="0.2">
      <c r="B8" s="21" t="s">
        <v>161</v>
      </c>
      <c r="E8" s="1495" t="s">
        <v>65</v>
      </c>
      <c r="I8" s="1495" t="s">
        <v>463</v>
      </c>
    </row>
    <row r="9" spans="1:10" x14ac:dyDescent="0.2">
      <c r="B9" s="21" t="s">
        <v>160</v>
      </c>
      <c r="E9" s="1495" t="s">
        <v>65</v>
      </c>
      <c r="I9" s="1495" t="s">
        <v>463</v>
      </c>
    </row>
    <row r="10" spans="1:10" x14ac:dyDescent="0.2">
      <c r="B10" s="21" t="s">
        <v>157</v>
      </c>
      <c r="C10" s="21" t="s">
        <v>24</v>
      </c>
      <c r="D10" s="21" t="s">
        <v>15</v>
      </c>
      <c r="E10" s="1495" t="s">
        <v>65</v>
      </c>
      <c r="F10" s="21" t="s">
        <v>188</v>
      </c>
      <c r="G10" s="21" t="s">
        <v>267</v>
      </c>
      <c r="H10" s="21" t="s">
        <v>286</v>
      </c>
      <c r="I10" s="1495" t="s">
        <v>463</v>
      </c>
      <c r="J10" s="21" t="s">
        <v>172</v>
      </c>
    </row>
    <row r="11" spans="1:10" x14ac:dyDescent="0.2">
      <c r="A11" s="7" t="s">
        <v>503</v>
      </c>
      <c r="B11" s="21" t="s">
        <v>177</v>
      </c>
      <c r="C11" s="4">
        <v>-720134120000</v>
      </c>
      <c r="D11" s="4">
        <v>-117653000000</v>
      </c>
      <c r="E11" s="4">
        <v>-102713650000</v>
      </c>
      <c r="F11" s="4">
        <v>-14311230000</v>
      </c>
      <c r="G11" s="4">
        <v>-7473440000</v>
      </c>
      <c r="H11" s="4">
        <v>-6053680000</v>
      </c>
      <c r="I11" s="4">
        <v>-2223750000</v>
      </c>
      <c r="J11" s="4">
        <v>-539830000</v>
      </c>
    </row>
    <row r="12" spans="1:10" x14ac:dyDescent="0.2">
      <c r="B12" s="21" t="s">
        <v>162</v>
      </c>
      <c r="C12" s="1495" t="s">
        <v>285</v>
      </c>
      <c r="D12" s="1495" t="s">
        <v>60</v>
      </c>
      <c r="E12" s="1495" t="s">
        <v>298</v>
      </c>
      <c r="F12" s="1495" t="s">
        <v>463</v>
      </c>
      <c r="H12" s="1495" t="s">
        <v>458</v>
      </c>
      <c r="I12" s="1495" t="s">
        <v>460</v>
      </c>
      <c r="J12" s="1495" t="s">
        <v>501</v>
      </c>
    </row>
    <row r="13" spans="1:10" x14ac:dyDescent="0.2">
      <c r="B13" s="21" t="s">
        <v>161</v>
      </c>
      <c r="C13" s="1495" t="s">
        <v>285</v>
      </c>
      <c r="D13" s="1495" t="s">
        <v>60</v>
      </c>
      <c r="E13" s="1495" t="s">
        <v>298</v>
      </c>
      <c r="F13" s="1495" t="s">
        <v>463</v>
      </c>
      <c r="H13" s="1495" t="s">
        <v>458</v>
      </c>
      <c r="I13" s="1495" t="s">
        <v>460</v>
      </c>
      <c r="J13" s="1495" t="s">
        <v>501</v>
      </c>
    </row>
    <row r="14" spans="1:10" x14ac:dyDescent="0.2">
      <c r="B14" s="21" t="s">
        <v>160</v>
      </c>
      <c r="C14" s="1495" t="s">
        <v>285</v>
      </c>
      <c r="D14" s="1495" t="s">
        <v>60</v>
      </c>
      <c r="E14" s="1495" t="s">
        <v>298</v>
      </c>
      <c r="F14" s="1495" t="s">
        <v>463</v>
      </c>
      <c r="H14" s="1495" t="s">
        <v>458</v>
      </c>
      <c r="I14" s="1495" t="s">
        <v>460</v>
      </c>
      <c r="J14" s="1495" t="s">
        <v>501</v>
      </c>
    </row>
    <row r="15" spans="1:10" x14ac:dyDescent="0.2">
      <c r="B15" s="21" t="s">
        <v>157</v>
      </c>
      <c r="C15" s="1495" t="s">
        <v>285</v>
      </c>
      <c r="D15" s="1495" t="s">
        <v>60</v>
      </c>
      <c r="E15" s="1495" t="s">
        <v>298</v>
      </c>
      <c r="F15" s="1495" t="s">
        <v>463</v>
      </c>
      <c r="G15" s="21" t="s">
        <v>273</v>
      </c>
      <c r="H15" s="1495" t="s">
        <v>458</v>
      </c>
      <c r="I15" s="1495" t="s">
        <v>460</v>
      </c>
      <c r="J15" s="1495" t="s">
        <v>501</v>
      </c>
    </row>
    <row r="16" spans="1:10" x14ac:dyDescent="0.2">
      <c r="A16" s="7" t="s">
        <v>500</v>
      </c>
      <c r="B16" s="21" t="s">
        <v>177</v>
      </c>
      <c r="C16" s="4">
        <v>-115054880000</v>
      </c>
      <c r="D16" s="4">
        <v>-10841720000</v>
      </c>
      <c r="E16" s="4">
        <v>-4871120000</v>
      </c>
      <c r="F16" s="4">
        <v>-1567960000</v>
      </c>
      <c r="G16" s="4">
        <v>-273950599</v>
      </c>
      <c r="H16" s="4">
        <v>-123150000</v>
      </c>
      <c r="I16" s="4">
        <v>-6060435</v>
      </c>
      <c r="J16" s="4">
        <v>-980000</v>
      </c>
    </row>
    <row r="17" spans="1:14" x14ac:dyDescent="0.2">
      <c r="B17" s="21" t="s">
        <v>162</v>
      </c>
      <c r="C17" s="1495" t="s">
        <v>14</v>
      </c>
      <c r="F17" s="1495" t="s">
        <v>455</v>
      </c>
      <c r="K17" s="1495" t="s">
        <v>498</v>
      </c>
    </row>
    <row r="18" spans="1:14" x14ac:dyDescent="0.2">
      <c r="B18" s="21" t="s">
        <v>161</v>
      </c>
      <c r="C18" s="1495" t="s">
        <v>14</v>
      </c>
      <c r="F18" s="1495" t="s">
        <v>455</v>
      </c>
      <c r="K18" s="1495" t="s">
        <v>498</v>
      </c>
    </row>
    <row r="19" spans="1:14" x14ac:dyDescent="0.2">
      <c r="B19" s="21" t="s">
        <v>160</v>
      </c>
      <c r="C19" s="1495" t="s">
        <v>14</v>
      </c>
      <c r="F19" s="1495" t="s">
        <v>455</v>
      </c>
      <c r="H19" s="1495" t="s">
        <v>78</v>
      </c>
      <c r="K19" s="1495" t="s">
        <v>498</v>
      </c>
    </row>
    <row r="20" spans="1:14" x14ac:dyDescent="0.2">
      <c r="B20" s="21" t="s">
        <v>157</v>
      </c>
      <c r="C20" s="1495" t="s">
        <v>14</v>
      </c>
      <c r="D20" s="21" t="s">
        <v>87</v>
      </c>
      <c r="E20" s="21" t="s">
        <v>36</v>
      </c>
      <c r="F20" s="1495" t="s">
        <v>455</v>
      </c>
      <c r="G20" s="21" t="s">
        <v>9</v>
      </c>
      <c r="H20" s="1495"/>
      <c r="I20" s="21" t="s">
        <v>269</v>
      </c>
      <c r="J20" s="21" t="s">
        <v>286</v>
      </c>
      <c r="K20" s="1495" t="s">
        <v>498</v>
      </c>
    </row>
    <row r="21" spans="1:14" x14ac:dyDescent="0.2">
      <c r="A21" s="7" t="s">
        <v>497</v>
      </c>
      <c r="B21" s="21" t="s">
        <v>177</v>
      </c>
      <c r="C21" s="4">
        <v>-231933550000</v>
      </c>
      <c r="D21" s="4">
        <v>-31372670000</v>
      </c>
      <c r="E21" s="4">
        <v>-27811680000</v>
      </c>
      <c r="F21" s="4">
        <v>-21313580000</v>
      </c>
      <c r="G21" s="4">
        <v>-20270000000</v>
      </c>
      <c r="H21" s="4">
        <v>-18382250000</v>
      </c>
      <c r="I21" s="4">
        <v>-9493540000</v>
      </c>
      <c r="J21" s="4">
        <v>-5008150000</v>
      </c>
      <c r="K21" s="4">
        <v>-2647652</v>
      </c>
    </row>
    <row r="22" spans="1:14" x14ac:dyDescent="0.2">
      <c r="B22" s="21" t="s">
        <v>162</v>
      </c>
      <c r="C22" s="1495" t="s">
        <v>77</v>
      </c>
      <c r="K22" s="1495" t="s">
        <v>486</v>
      </c>
      <c r="L22" s="1495" t="s">
        <v>461</v>
      </c>
    </row>
    <row r="23" spans="1:14" x14ac:dyDescent="0.2">
      <c r="B23" s="21" t="s">
        <v>161</v>
      </c>
      <c r="C23" s="1495" t="s">
        <v>77</v>
      </c>
      <c r="K23" s="1495" t="s">
        <v>486</v>
      </c>
      <c r="L23" s="1495" t="s">
        <v>461</v>
      </c>
    </row>
    <row r="24" spans="1:14" x14ac:dyDescent="0.2">
      <c r="B24" s="21" t="s">
        <v>160</v>
      </c>
      <c r="C24" s="1495" t="s">
        <v>77</v>
      </c>
      <c r="K24" s="1495" t="s">
        <v>486</v>
      </c>
      <c r="L24" s="1495" t="s">
        <v>461</v>
      </c>
    </row>
    <row r="25" spans="1:14" x14ac:dyDescent="0.2">
      <c r="B25" s="21" t="s">
        <v>157</v>
      </c>
      <c r="C25" s="1495" t="s">
        <v>77</v>
      </c>
      <c r="D25" s="21" t="s">
        <v>286</v>
      </c>
      <c r="E25" s="21" t="s">
        <v>431</v>
      </c>
      <c r="F25" s="21" t="s">
        <v>269</v>
      </c>
      <c r="G25" s="21" t="s">
        <v>442</v>
      </c>
      <c r="H25" s="21" t="s">
        <v>197</v>
      </c>
      <c r="I25" s="21" t="s">
        <v>303</v>
      </c>
      <c r="J25" s="21" t="s">
        <v>273</v>
      </c>
      <c r="K25" s="1495" t="s">
        <v>486</v>
      </c>
      <c r="L25" s="1495" t="s">
        <v>461</v>
      </c>
    </row>
    <row r="26" spans="1:14" x14ac:dyDescent="0.2">
      <c r="A26" s="7" t="s">
        <v>494</v>
      </c>
      <c r="B26" s="21" t="s">
        <v>177</v>
      </c>
      <c r="C26" s="4">
        <v>-22455200000</v>
      </c>
      <c r="D26" s="4">
        <v>-4501680000</v>
      </c>
      <c r="E26" s="4">
        <v>-2784270000</v>
      </c>
      <c r="F26" s="4">
        <v>-2565490000</v>
      </c>
      <c r="G26" s="4">
        <v>-2145480000</v>
      </c>
      <c r="H26" s="4">
        <v>-1240434845</v>
      </c>
      <c r="I26" s="4">
        <v>-432230000</v>
      </c>
      <c r="J26" s="4">
        <v>-263290058</v>
      </c>
      <c r="K26" s="4">
        <v>-137750926</v>
      </c>
      <c r="L26" s="4">
        <v>-96925333</v>
      </c>
    </row>
    <row r="27" spans="1:14" x14ac:dyDescent="0.2">
      <c r="B27" s="21" t="s">
        <v>162</v>
      </c>
      <c r="E27" s="1495" t="s">
        <v>287</v>
      </c>
      <c r="F27" s="1495" t="s">
        <v>457</v>
      </c>
      <c r="H27" s="1495" t="s">
        <v>31</v>
      </c>
      <c r="J27" s="1495" t="s">
        <v>285</v>
      </c>
      <c r="M27" s="1495" t="s">
        <v>459</v>
      </c>
    </row>
    <row r="28" spans="1:14" x14ac:dyDescent="0.2">
      <c r="B28" s="21" t="s">
        <v>161</v>
      </c>
      <c r="E28" s="1495" t="s">
        <v>287</v>
      </c>
      <c r="F28" s="1495" t="s">
        <v>457</v>
      </c>
      <c r="H28" s="1495" t="s">
        <v>31</v>
      </c>
      <c r="J28" s="1495" t="s">
        <v>285</v>
      </c>
      <c r="M28" s="1495" t="s">
        <v>459</v>
      </c>
    </row>
    <row r="29" spans="1:14" x14ac:dyDescent="0.2">
      <c r="B29" s="21" t="s">
        <v>160</v>
      </c>
      <c r="E29" s="1495" t="s">
        <v>287</v>
      </c>
      <c r="F29" s="1495" t="s">
        <v>457</v>
      </c>
      <c r="H29" s="1495" t="s">
        <v>31</v>
      </c>
      <c r="J29" s="1495" t="s">
        <v>285</v>
      </c>
      <c r="K29" s="1495" t="s">
        <v>270</v>
      </c>
      <c r="M29" s="1495" t="s">
        <v>459</v>
      </c>
    </row>
    <row r="30" spans="1:14" x14ac:dyDescent="0.2">
      <c r="B30" s="21" t="s">
        <v>157</v>
      </c>
      <c r="C30" s="21" t="s">
        <v>11</v>
      </c>
      <c r="D30" s="21" t="s">
        <v>37</v>
      </c>
      <c r="E30" s="1495" t="s">
        <v>287</v>
      </c>
      <c r="F30" s="1495" t="s">
        <v>457</v>
      </c>
      <c r="G30" s="21" t="s">
        <v>84</v>
      </c>
      <c r="H30" s="1495" t="s">
        <v>31</v>
      </c>
      <c r="I30" s="21" t="s">
        <v>286</v>
      </c>
      <c r="J30" s="1495" t="s">
        <v>285</v>
      </c>
      <c r="K30" s="1495"/>
      <c r="L30" s="21" t="s">
        <v>278</v>
      </c>
      <c r="M30" s="1495" t="s">
        <v>459</v>
      </c>
      <c r="N30" s="21" t="s">
        <v>303</v>
      </c>
    </row>
    <row r="31" spans="1:14" x14ac:dyDescent="0.2">
      <c r="A31" s="7" t="s">
        <v>492</v>
      </c>
      <c r="B31" s="21" t="s">
        <v>177</v>
      </c>
      <c r="C31" s="4">
        <v>-71296590000</v>
      </c>
      <c r="D31" s="4">
        <v>-34126620000</v>
      </c>
      <c r="E31" s="4">
        <v>-12999860000</v>
      </c>
      <c r="F31" s="4">
        <v>-7044950000</v>
      </c>
      <c r="G31" s="4">
        <v>-6980990000</v>
      </c>
      <c r="H31" s="4">
        <v>-4696540000</v>
      </c>
      <c r="I31" s="4">
        <v>-4013550000</v>
      </c>
      <c r="J31" s="4">
        <v>-2104470000</v>
      </c>
      <c r="K31" s="4">
        <v>-1875780000</v>
      </c>
      <c r="L31" s="4">
        <v>-492110000</v>
      </c>
      <c r="M31" s="4">
        <v>-332800000</v>
      </c>
      <c r="N31" s="4">
        <v>-206710000</v>
      </c>
    </row>
    <row r="32" spans="1:14" x14ac:dyDescent="0.2">
      <c r="B32" s="21" t="s">
        <v>162</v>
      </c>
      <c r="C32" s="1495" t="s">
        <v>64</v>
      </c>
      <c r="E32" s="1495" t="s">
        <v>443</v>
      </c>
      <c r="H32" s="1495" t="s">
        <v>300</v>
      </c>
    </row>
    <row r="33" spans="1:10" x14ac:dyDescent="0.2">
      <c r="B33" s="21" t="s">
        <v>161</v>
      </c>
      <c r="C33" s="1495" t="s">
        <v>64</v>
      </c>
      <c r="E33" s="1495" t="s">
        <v>443</v>
      </c>
      <c r="H33" s="1495" t="s">
        <v>300</v>
      </c>
    </row>
    <row r="34" spans="1:10" x14ac:dyDescent="0.2">
      <c r="B34" s="21" t="s">
        <v>160</v>
      </c>
      <c r="C34" s="1495" t="s">
        <v>64</v>
      </c>
      <c r="E34" s="1495" t="s">
        <v>443</v>
      </c>
      <c r="H34" s="1495" t="s">
        <v>300</v>
      </c>
    </row>
    <row r="35" spans="1:10" x14ac:dyDescent="0.2">
      <c r="B35" s="21" t="s">
        <v>157</v>
      </c>
      <c r="C35" s="1495" t="s">
        <v>64</v>
      </c>
      <c r="D35" s="21" t="s">
        <v>18</v>
      </c>
      <c r="E35" s="1495" t="s">
        <v>443</v>
      </c>
      <c r="F35" s="21" t="s">
        <v>85</v>
      </c>
      <c r="G35" s="21" t="s">
        <v>263</v>
      </c>
      <c r="H35" s="1495" t="s">
        <v>300</v>
      </c>
      <c r="I35" s="21" t="s">
        <v>40</v>
      </c>
      <c r="J35" s="21" t="s">
        <v>174</v>
      </c>
    </row>
    <row r="36" spans="1:10" x14ac:dyDescent="0.2">
      <c r="A36" s="7" t="s">
        <v>491</v>
      </c>
      <c r="B36" s="21" t="s">
        <v>177</v>
      </c>
      <c r="C36" s="4">
        <v>-967911510000</v>
      </c>
      <c r="D36" s="4">
        <v>-57681810000</v>
      </c>
      <c r="E36" s="4">
        <v>-30833530000</v>
      </c>
      <c r="F36" s="4">
        <v>-9861000000</v>
      </c>
      <c r="G36" s="4">
        <v>-8342881340</v>
      </c>
      <c r="H36" s="4">
        <v>-3020490000</v>
      </c>
      <c r="I36" s="4">
        <v>-2777740000</v>
      </c>
      <c r="J36" s="4">
        <v>-742130000</v>
      </c>
    </row>
    <row r="37" spans="1:10" x14ac:dyDescent="0.2">
      <c r="B37" s="21" t="s">
        <v>162</v>
      </c>
      <c r="H37" s="1495" t="s">
        <v>486</v>
      </c>
    </row>
    <row r="38" spans="1:10" x14ac:dyDescent="0.2">
      <c r="B38" s="21" t="s">
        <v>161</v>
      </c>
      <c r="H38" s="1495" t="s">
        <v>486</v>
      </c>
    </row>
    <row r="39" spans="1:10" x14ac:dyDescent="0.2">
      <c r="B39" s="21" t="s">
        <v>160</v>
      </c>
      <c r="H39" s="1495" t="s">
        <v>486</v>
      </c>
    </row>
    <row r="40" spans="1:10" x14ac:dyDescent="0.2">
      <c r="B40" s="21" t="s">
        <v>157</v>
      </c>
      <c r="C40" s="21" t="s">
        <v>271</v>
      </c>
      <c r="D40" s="21" t="s">
        <v>262</v>
      </c>
      <c r="E40" s="21" t="s">
        <v>35</v>
      </c>
      <c r="F40" s="21" t="s">
        <v>179</v>
      </c>
      <c r="G40" s="21" t="s">
        <v>82</v>
      </c>
      <c r="H40" s="1495" t="s">
        <v>486</v>
      </c>
      <c r="I40" s="21" t="s">
        <v>432</v>
      </c>
    </row>
    <row r="41" spans="1:10" x14ac:dyDescent="0.2">
      <c r="A41" s="7" t="s">
        <v>485</v>
      </c>
      <c r="B41" s="21" t="s">
        <v>177</v>
      </c>
      <c r="C41" s="4">
        <v>-35955590000</v>
      </c>
      <c r="D41" s="4">
        <v>-12526900000</v>
      </c>
      <c r="E41" s="4">
        <v>-8534090000</v>
      </c>
      <c r="F41" s="4">
        <v>-5041730000</v>
      </c>
      <c r="G41" s="4">
        <v>-3196001980</v>
      </c>
      <c r="H41" s="4">
        <v>-79886923</v>
      </c>
      <c r="I41" s="4">
        <v>-56320000</v>
      </c>
    </row>
    <row r="42" spans="1:10" x14ac:dyDescent="0.2">
      <c r="B42" s="21" t="s">
        <v>162</v>
      </c>
      <c r="E42" s="1495" t="s">
        <v>292</v>
      </c>
      <c r="I42" s="1495" t="s">
        <v>298</v>
      </c>
    </row>
    <row r="43" spans="1:10" x14ac:dyDescent="0.2">
      <c r="B43" s="21" t="s">
        <v>161</v>
      </c>
      <c r="E43" s="1495" t="s">
        <v>292</v>
      </c>
      <c r="I43" s="1495" t="s">
        <v>298</v>
      </c>
    </row>
    <row r="44" spans="1:10" x14ac:dyDescent="0.2">
      <c r="B44" s="21" t="s">
        <v>160</v>
      </c>
      <c r="E44" s="1495" t="s">
        <v>292</v>
      </c>
      <c r="G44" s="1495" t="s">
        <v>7</v>
      </c>
      <c r="I44" s="1495" t="s">
        <v>298</v>
      </c>
    </row>
    <row r="45" spans="1:10" x14ac:dyDescent="0.2">
      <c r="B45" s="21" t="s">
        <v>157</v>
      </c>
      <c r="C45" s="21" t="s">
        <v>180</v>
      </c>
      <c r="D45" s="21" t="s">
        <v>29</v>
      </c>
      <c r="E45" s="1495" t="s">
        <v>292</v>
      </c>
      <c r="F45" s="21" t="s">
        <v>61</v>
      </c>
      <c r="G45" s="1495" t="s">
        <v>7</v>
      </c>
      <c r="H45" s="21" t="s">
        <v>333</v>
      </c>
      <c r="I45" s="1495" t="s">
        <v>298</v>
      </c>
      <c r="J45" s="21" t="s">
        <v>433</v>
      </c>
    </row>
    <row r="46" spans="1:10" x14ac:dyDescent="0.2">
      <c r="A46" s="7" t="s">
        <v>483</v>
      </c>
      <c r="B46" s="21" t="s">
        <v>177</v>
      </c>
      <c r="C46" s="4">
        <v>-41398580000</v>
      </c>
      <c r="D46" s="4">
        <v>-32590052473</v>
      </c>
      <c r="E46" s="4">
        <v>-17626177848</v>
      </c>
      <c r="F46" s="4">
        <v>-16655750000</v>
      </c>
      <c r="G46" s="4">
        <v>-13423028353</v>
      </c>
      <c r="H46" s="4">
        <v>-4548780000</v>
      </c>
      <c r="I46" s="4">
        <v>-2431010000</v>
      </c>
      <c r="J46" s="4">
        <v>-1227830000</v>
      </c>
    </row>
    <row r="47" spans="1:10" x14ac:dyDescent="0.2">
      <c r="B47" s="21" t="s">
        <v>162</v>
      </c>
      <c r="F47" s="1495" t="s">
        <v>326</v>
      </c>
    </row>
    <row r="48" spans="1:10" x14ac:dyDescent="0.2">
      <c r="B48" s="21" t="s">
        <v>161</v>
      </c>
      <c r="F48" s="1495" t="s">
        <v>326</v>
      </c>
    </row>
    <row r="49" spans="1:10" x14ac:dyDescent="0.2">
      <c r="B49" s="21" t="s">
        <v>160</v>
      </c>
      <c r="E49" s="1495" t="s">
        <v>294</v>
      </c>
      <c r="F49" s="1495" t="s">
        <v>326</v>
      </c>
    </row>
    <row r="50" spans="1:10" x14ac:dyDescent="0.2">
      <c r="B50" s="21" t="s">
        <v>157</v>
      </c>
      <c r="C50" s="21" t="s">
        <v>29</v>
      </c>
      <c r="D50" s="21" t="s">
        <v>271</v>
      </c>
      <c r="E50" s="1495" t="s">
        <v>294</v>
      </c>
      <c r="F50" s="1495" t="s">
        <v>326</v>
      </c>
    </row>
    <row r="51" spans="1:10" x14ac:dyDescent="0.2">
      <c r="A51" s="7" t="s">
        <v>477</v>
      </c>
      <c r="B51" s="21" t="s">
        <v>177</v>
      </c>
      <c r="C51" s="4">
        <v>-23552793086</v>
      </c>
      <c r="D51" s="4">
        <v>-21234370000</v>
      </c>
      <c r="E51" s="4">
        <v>-15488020000</v>
      </c>
      <c r="F51" s="4">
        <v>-7038160000</v>
      </c>
    </row>
    <row r="52" spans="1:10" x14ac:dyDescent="0.2">
      <c r="B52" s="21" t="s">
        <v>162</v>
      </c>
      <c r="I52" s="1495" t="s">
        <v>293</v>
      </c>
      <c r="J52" s="1495" t="s">
        <v>465</v>
      </c>
    </row>
    <row r="53" spans="1:10" x14ac:dyDescent="0.2">
      <c r="B53" s="21" t="s">
        <v>161</v>
      </c>
      <c r="I53" s="1495" t="s">
        <v>293</v>
      </c>
      <c r="J53" s="1495" t="s">
        <v>465</v>
      </c>
    </row>
    <row r="54" spans="1:10" x14ac:dyDescent="0.2">
      <c r="B54" s="21" t="s">
        <v>160</v>
      </c>
      <c r="C54" s="1495" t="s">
        <v>5</v>
      </c>
      <c r="I54" s="1495" t="s">
        <v>293</v>
      </c>
      <c r="J54" s="1495" t="s">
        <v>465</v>
      </c>
    </row>
    <row r="55" spans="1:10" x14ac:dyDescent="0.2">
      <c r="B55" s="21" t="s">
        <v>157</v>
      </c>
      <c r="C55" s="1495" t="s">
        <v>5</v>
      </c>
      <c r="D55" s="21" t="s">
        <v>65</v>
      </c>
      <c r="E55" s="21" t="s">
        <v>89</v>
      </c>
      <c r="F55" s="21" t="s">
        <v>188</v>
      </c>
      <c r="G55" s="21" t="s">
        <v>9</v>
      </c>
      <c r="H55" s="21" t="s">
        <v>443</v>
      </c>
      <c r="I55" s="1495" t="s">
        <v>293</v>
      </c>
      <c r="J55" s="1495" t="s">
        <v>465</v>
      </c>
    </row>
    <row r="56" spans="1:10" x14ac:dyDescent="0.2">
      <c r="A56" s="7" t="s">
        <v>473</v>
      </c>
      <c r="B56" s="21" t="s">
        <v>177</v>
      </c>
      <c r="C56" s="4">
        <v>-168432170000</v>
      </c>
      <c r="D56" s="4">
        <v>-19382840000</v>
      </c>
      <c r="E56" s="4">
        <v>-16398020000</v>
      </c>
      <c r="F56" s="4">
        <v>-11706020000</v>
      </c>
      <c r="G56" s="4">
        <v>-10751540000</v>
      </c>
      <c r="H56" s="4">
        <v>-597220000</v>
      </c>
      <c r="I56" s="4">
        <v>-294878362</v>
      </c>
      <c r="J56" s="4">
        <v>-109600000</v>
      </c>
    </row>
    <row r="57" spans="1:10" x14ac:dyDescent="0.2">
      <c r="B57" s="21" t="s">
        <v>162</v>
      </c>
      <c r="E57" s="1495" t="s">
        <v>190</v>
      </c>
      <c r="G57" s="1495" t="s">
        <v>167</v>
      </c>
      <c r="H57" s="1495" t="s">
        <v>31</v>
      </c>
      <c r="I57" s="1495" t="s">
        <v>459</v>
      </c>
    </row>
    <row r="58" spans="1:10" x14ac:dyDescent="0.2">
      <c r="B58" s="21" t="s">
        <v>161</v>
      </c>
      <c r="E58" s="1495" t="s">
        <v>190</v>
      </c>
      <c r="G58" s="1495" t="s">
        <v>167</v>
      </c>
      <c r="H58" s="1495" t="s">
        <v>31</v>
      </c>
      <c r="I58" s="1495" t="s">
        <v>459</v>
      </c>
    </row>
    <row r="59" spans="1:10" x14ac:dyDescent="0.2">
      <c r="B59" s="21" t="s">
        <v>160</v>
      </c>
      <c r="D59" s="1495" t="s">
        <v>313</v>
      </c>
      <c r="E59" s="1495" t="s">
        <v>190</v>
      </c>
      <c r="G59" s="1495" t="s">
        <v>167</v>
      </c>
      <c r="H59" s="1495" t="s">
        <v>31</v>
      </c>
      <c r="I59" s="1495" t="s">
        <v>459</v>
      </c>
    </row>
    <row r="60" spans="1:10" x14ac:dyDescent="0.2">
      <c r="B60" s="21" t="s">
        <v>157</v>
      </c>
      <c r="C60" s="21" t="s">
        <v>5</v>
      </c>
      <c r="D60" s="1495" t="s">
        <v>313</v>
      </c>
      <c r="E60" s="1495" t="s">
        <v>190</v>
      </c>
      <c r="F60" s="21" t="s">
        <v>89</v>
      </c>
      <c r="G60" s="1495" t="s">
        <v>167</v>
      </c>
      <c r="H60" s="1495" t="s">
        <v>31</v>
      </c>
      <c r="I60" s="1495" t="s">
        <v>459</v>
      </c>
    </row>
    <row r="61" spans="1:10" x14ac:dyDescent="0.2">
      <c r="A61" s="7" t="s">
        <v>472</v>
      </c>
      <c r="B61" s="21" t="s">
        <v>177</v>
      </c>
      <c r="C61" s="4">
        <v>-88405290000</v>
      </c>
      <c r="D61" s="4">
        <v>-34514920000</v>
      </c>
      <c r="E61" s="4">
        <v>-11405160000</v>
      </c>
      <c r="F61" s="4">
        <v>-7713520000</v>
      </c>
      <c r="G61" s="4">
        <v>-4627420000</v>
      </c>
      <c r="H61" s="4">
        <v>-3134600000</v>
      </c>
      <c r="I61" s="4">
        <v>-227540000</v>
      </c>
    </row>
    <row r="62" spans="1:10" x14ac:dyDescent="0.2">
      <c r="B62" s="21" t="s">
        <v>162</v>
      </c>
      <c r="F62" s="1495" t="s">
        <v>92</v>
      </c>
      <c r="G62" s="1495" t="s">
        <v>311</v>
      </c>
      <c r="I62" s="1495" t="s">
        <v>93</v>
      </c>
      <c r="J62" s="1495" t="s">
        <v>449</v>
      </c>
    </row>
    <row r="63" spans="1:10" x14ac:dyDescent="0.2">
      <c r="B63" s="21" t="s">
        <v>161</v>
      </c>
      <c r="F63" s="1495"/>
      <c r="G63" s="1495" t="s">
        <v>311</v>
      </c>
      <c r="I63" s="1495" t="s">
        <v>93</v>
      </c>
      <c r="J63" s="1495" t="s">
        <v>449</v>
      </c>
    </row>
    <row r="64" spans="1:10" x14ac:dyDescent="0.2">
      <c r="B64" s="21" t="s">
        <v>160</v>
      </c>
      <c r="F64" s="1495"/>
      <c r="G64" s="1495" t="s">
        <v>311</v>
      </c>
      <c r="I64" s="1495" t="s">
        <v>93</v>
      </c>
      <c r="J64" s="1495" t="s">
        <v>449</v>
      </c>
    </row>
    <row r="65" spans="1:14" x14ac:dyDescent="0.2">
      <c r="B65" s="21" t="s">
        <v>157</v>
      </c>
      <c r="C65" s="21" t="s">
        <v>25</v>
      </c>
      <c r="D65" s="21" t="s">
        <v>37</v>
      </c>
      <c r="E65" s="21" t="s">
        <v>8</v>
      </c>
      <c r="F65" s="1495"/>
      <c r="G65" s="1495" t="s">
        <v>311</v>
      </c>
      <c r="H65" s="21" t="s">
        <v>310</v>
      </c>
      <c r="I65" s="1495" t="s">
        <v>93</v>
      </c>
      <c r="J65" s="1495" t="s">
        <v>449</v>
      </c>
      <c r="K65" s="21" t="s">
        <v>434</v>
      </c>
      <c r="L65" s="21" t="s">
        <v>444</v>
      </c>
    </row>
    <row r="66" spans="1:14" x14ac:dyDescent="0.2">
      <c r="A66" s="7" t="s">
        <v>428</v>
      </c>
      <c r="B66" s="21" t="s">
        <v>177</v>
      </c>
      <c r="C66" s="4">
        <v>-129164350000</v>
      </c>
      <c r="D66" s="4">
        <v>-30692830000</v>
      </c>
      <c r="E66" s="4">
        <v>-23656100000</v>
      </c>
      <c r="F66" s="4">
        <v>-17716375161</v>
      </c>
      <c r="G66" s="4">
        <v>-8601108598</v>
      </c>
      <c r="H66" s="4">
        <v>-8487240000</v>
      </c>
      <c r="I66" s="4">
        <v>-2660416136</v>
      </c>
      <c r="J66" s="4">
        <v>-1957130000</v>
      </c>
      <c r="K66" s="4">
        <v>-1890110000</v>
      </c>
      <c r="L66" s="4">
        <v>-1758180000</v>
      </c>
    </row>
    <row r="67" spans="1:14" x14ac:dyDescent="0.2">
      <c r="B67" s="21" t="s">
        <v>162</v>
      </c>
      <c r="E67" s="1495" t="s">
        <v>74</v>
      </c>
      <c r="G67" s="1495" t="s">
        <v>339</v>
      </c>
      <c r="L67" s="1495" t="s">
        <v>456</v>
      </c>
      <c r="M67" s="1495" t="s">
        <v>463</v>
      </c>
    </row>
    <row r="68" spans="1:14" x14ac:dyDescent="0.2">
      <c r="B68" s="21" t="s">
        <v>161</v>
      </c>
      <c r="E68" s="1495" t="s">
        <v>74</v>
      </c>
      <c r="G68" s="1495" t="s">
        <v>339</v>
      </c>
      <c r="L68" s="1495" t="s">
        <v>456</v>
      </c>
      <c r="M68" s="1495" t="s">
        <v>463</v>
      </c>
    </row>
    <row r="69" spans="1:14" x14ac:dyDescent="0.2">
      <c r="B69" s="21" t="s">
        <v>160</v>
      </c>
      <c r="E69" s="1495" t="s">
        <v>74</v>
      </c>
      <c r="G69" s="1495" t="s">
        <v>339</v>
      </c>
      <c r="H69" s="1495" t="s">
        <v>7</v>
      </c>
      <c r="L69" s="1495" t="s">
        <v>456</v>
      </c>
      <c r="M69" s="1495" t="s">
        <v>463</v>
      </c>
    </row>
    <row r="70" spans="1:14" x14ac:dyDescent="0.2">
      <c r="B70" s="21" t="s">
        <v>157</v>
      </c>
      <c r="C70" s="21" t="s">
        <v>25</v>
      </c>
      <c r="D70" s="21" t="s">
        <v>38</v>
      </c>
      <c r="E70" s="1495" t="s">
        <v>74</v>
      </c>
      <c r="F70" s="21" t="s">
        <v>325</v>
      </c>
      <c r="G70" s="1495" t="s">
        <v>339</v>
      </c>
      <c r="H70" s="1495" t="s">
        <v>7</v>
      </c>
      <c r="I70" s="21" t="s">
        <v>202</v>
      </c>
      <c r="J70" s="21" t="s">
        <v>280</v>
      </c>
      <c r="K70" s="21" t="s">
        <v>286</v>
      </c>
      <c r="L70" s="1495" t="s">
        <v>456</v>
      </c>
      <c r="M70" s="1495" t="s">
        <v>463</v>
      </c>
      <c r="N70" s="21" t="s">
        <v>98</v>
      </c>
    </row>
    <row r="71" spans="1:14" x14ac:dyDescent="0.2">
      <c r="A71" s="7" t="s">
        <v>427</v>
      </c>
      <c r="B71" s="21" t="s">
        <v>177</v>
      </c>
      <c r="C71" s="4">
        <v>-97309390000</v>
      </c>
      <c r="D71" s="4">
        <v>-17523350000</v>
      </c>
      <c r="E71" s="4">
        <v>-13982670000</v>
      </c>
      <c r="F71" s="4">
        <v>-11190920000</v>
      </c>
      <c r="G71" s="4">
        <v>-10789510000</v>
      </c>
      <c r="H71" s="4">
        <v>-9126163498</v>
      </c>
      <c r="I71" s="4">
        <v>-5549240166</v>
      </c>
      <c r="J71" s="4">
        <v>-4025296299</v>
      </c>
      <c r="K71" s="4">
        <v>-3395180000</v>
      </c>
      <c r="L71" s="4">
        <v>-1999060000</v>
      </c>
      <c r="M71" s="4">
        <v>-1403590000</v>
      </c>
      <c r="N71" s="4">
        <v>-430250000</v>
      </c>
    </row>
    <row r="72" spans="1:14" x14ac:dyDescent="0.2">
      <c r="B72" s="21" t="s">
        <v>162</v>
      </c>
      <c r="C72" s="1495" t="s">
        <v>42</v>
      </c>
      <c r="E72" s="1495" t="s">
        <v>74</v>
      </c>
      <c r="H72" s="1495" t="s">
        <v>463</v>
      </c>
    </row>
    <row r="73" spans="1:14" x14ac:dyDescent="0.2">
      <c r="B73" s="21" t="s">
        <v>161</v>
      </c>
      <c r="C73" s="1495" t="s">
        <v>42</v>
      </c>
      <c r="D73" s="1495" t="s">
        <v>88</v>
      </c>
      <c r="E73" s="1495" t="s">
        <v>74</v>
      </c>
      <c r="H73" s="1495" t="s">
        <v>463</v>
      </c>
    </row>
    <row r="74" spans="1:14" x14ac:dyDescent="0.2">
      <c r="B74" s="21" t="s">
        <v>160</v>
      </c>
      <c r="C74" s="1495" t="s">
        <v>42</v>
      </c>
      <c r="D74" s="1495"/>
      <c r="E74" s="1495" t="s">
        <v>74</v>
      </c>
      <c r="H74" s="1495" t="s">
        <v>463</v>
      </c>
    </row>
    <row r="75" spans="1:14" x14ac:dyDescent="0.2">
      <c r="B75" s="21" t="s">
        <v>157</v>
      </c>
      <c r="C75" s="1495" t="s">
        <v>42</v>
      </c>
      <c r="D75" s="1495"/>
      <c r="E75" s="1495" t="s">
        <v>74</v>
      </c>
      <c r="F75" s="21" t="s">
        <v>65</v>
      </c>
      <c r="G75" s="21" t="s">
        <v>310</v>
      </c>
      <c r="H75" s="1495" t="s">
        <v>463</v>
      </c>
      <c r="I75" s="21" t="s">
        <v>98</v>
      </c>
    </row>
    <row r="76" spans="1:14" x14ac:dyDescent="0.2">
      <c r="A76" s="7" t="s">
        <v>425</v>
      </c>
      <c r="B76" s="21" t="s">
        <v>177</v>
      </c>
      <c r="C76" s="4">
        <v>-66425760000</v>
      </c>
      <c r="D76" s="4">
        <v>-45156200000</v>
      </c>
      <c r="E76" s="4">
        <v>-13575490000</v>
      </c>
      <c r="F76" s="4">
        <v>-10825070000</v>
      </c>
      <c r="G76" s="4">
        <v>-1933990000</v>
      </c>
      <c r="H76" s="4">
        <v>-1059970000</v>
      </c>
      <c r="I76" s="4">
        <v>-294000000</v>
      </c>
    </row>
    <row r="77" spans="1:14" x14ac:dyDescent="0.2">
      <c r="B77" s="21" t="s">
        <v>162</v>
      </c>
      <c r="C77" s="1495" t="s">
        <v>415</v>
      </c>
      <c r="D77" s="1495" t="s">
        <v>322</v>
      </c>
    </row>
    <row r="78" spans="1:14" x14ac:dyDescent="0.2">
      <c r="B78" s="21" t="s">
        <v>161</v>
      </c>
      <c r="C78" s="1495" t="s">
        <v>415</v>
      </c>
      <c r="D78" s="1495" t="s">
        <v>322</v>
      </c>
    </row>
    <row r="79" spans="1:14" x14ac:dyDescent="0.2">
      <c r="B79" s="21" t="s">
        <v>160</v>
      </c>
      <c r="C79" s="1495" t="s">
        <v>415</v>
      </c>
      <c r="D79" s="1495" t="s">
        <v>322</v>
      </c>
    </row>
    <row r="80" spans="1:14" x14ac:dyDescent="0.2">
      <c r="B80" s="21" t="s">
        <v>157</v>
      </c>
      <c r="C80" s="1495" t="s">
        <v>415</v>
      </c>
      <c r="D80" s="1495" t="s">
        <v>322</v>
      </c>
      <c r="E80" s="21" t="s">
        <v>443</v>
      </c>
    </row>
    <row r="81" spans="1:24" x14ac:dyDescent="0.2">
      <c r="A81" s="7" t="s">
        <v>424</v>
      </c>
      <c r="B81" s="21" t="s">
        <v>177</v>
      </c>
      <c r="C81" s="4">
        <v>-82791651206</v>
      </c>
      <c r="D81" s="4">
        <v>-4224110000</v>
      </c>
      <c r="E81" s="4">
        <v>-282740000</v>
      </c>
    </row>
    <row r="82" spans="1:24" x14ac:dyDescent="0.2">
      <c r="B82" s="21" t="s">
        <v>162</v>
      </c>
      <c r="E82" s="1495" t="s">
        <v>77</v>
      </c>
      <c r="F82" s="1495" t="s">
        <v>289</v>
      </c>
      <c r="K82" s="1495" t="s">
        <v>74</v>
      </c>
      <c r="N82" s="1495" t="s">
        <v>446</v>
      </c>
      <c r="O82" s="1495" t="s">
        <v>322</v>
      </c>
      <c r="P82" s="1495" t="s">
        <v>285</v>
      </c>
      <c r="V82" s="1495" t="s">
        <v>459</v>
      </c>
      <c r="W82" s="1495" t="s">
        <v>465</v>
      </c>
    </row>
    <row r="83" spans="1:24" x14ac:dyDescent="0.2">
      <c r="B83" s="21" t="s">
        <v>161</v>
      </c>
      <c r="E83" s="1495" t="s">
        <v>77</v>
      </c>
      <c r="F83" s="1495" t="s">
        <v>289</v>
      </c>
      <c r="K83" s="1495" t="s">
        <v>74</v>
      </c>
      <c r="N83" s="1495" t="s">
        <v>446</v>
      </c>
      <c r="O83" s="1495" t="s">
        <v>322</v>
      </c>
      <c r="P83" s="1495" t="s">
        <v>285</v>
      </c>
      <c r="V83" s="1495" t="s">
        <v>459</v>
      </c>
      <c r="W83" s="1495" t="s">
        <v>465</v>
      </c>
    </row>
    <row r="84" spans="1:24" x14ac:dyDescent="0.2">
      <c r="B84" s="21" t="s">
        <v>160</v>
      </c>
      <c r="C84" s="1495" t="s">
        <v>279</v>
      </c>
      <c r="E84" s="1495" t="s">
        <v>77</v>
      </c>
      <c r="F84" s="1495" t="s">
        <v>289</v>
      </c>
      <c r="J84" s="1495" t="s">
        <v>170</v>
      </c>
      <c r="K84" s="1495" t="s">
        <v>74</v>
      </c>
      <c r="N84" s="1495" t="s">
        <v>446</v>
      </c>
      <c r="O84" s="1495" t="s">
        <v>322</v>
      </c>
      <c r="P84" s="1495" t="s">
        <v>285</v>
      </c>
      <c r="V84" s="1495" t="s">
        <v>459</v>
      </c>
      <c r="W84" s="1495" t="s">
        <v>465</v>
      </c>
      <c r="X84" s="1495" t="s">
        <v>275</v>
      </c>
    </row>
    <row r="85" spans="1:24" x14ac:dyDescent="0.2">
      <c r="B85" s="21" t="s">
        <v>157</v>
      </c>
      <c r="C85" s="1495" t="s">
        <v>279</v>
      </c>
      <c r="D85" s="21" t="s">
        <v>70</v>
      </c>
      <c r="E85" s="1495" t="s">
        <v>77</v>
      </c>
      <c r="F85" s="1495" t="s">
        <v>289</v>
      </c>
      <c r="G85" s="21" t="s">
        <v>261</v>
      </c>
      <c r="H85" s="21" t="s">
        <v>294</v>
      </c>
      <c r="I85" s="21" t="s">
        <v>75</v>
      </c>
      <c r="J85" s="1495" t="s">
        <v>170</v>
      </c>
      <c r="K85" s="1495" t="s">
        <v>74</v>
      </c>
      <c r="L85" s="21" t="s">
        <v>83</v>
      </c>
      <c r="M85" s="21" t="s">
        <v>342</v>
      </c>
      <c r="N85" s="1495" t="s">
        <v>446</v>
      </c>
      <c r="O85" s="1495" t="s">
        <v>322</v>
      </c>
      <c r="P85" s="1495" t="s">
        <v>285</v>
      </c>
      <c r="Q85" s="21" t="s">
        <v>441</v>
      </c>
      <c r="R85" s="21" t="s">
        <v>270</v>
      </c>
      <c r="S85" s="21" t="s">
        <v>435</v>
      </c>
      <c r="T85" s="21" t="s">
        <v>443</v>
      </c>
      <c r="U85" s="21" t="s">
        <v>98</v>
      </c>
      <c r="V85" s="1495" t="s">
        <v>459</v>
      </c>
      <c r="W85" s="1495" t="s">
        <v>465</v>
      </c>
      <c r="X85" s="1495" t="s">
        <v>275</v>
      </c>
    </row>
    <row r="86" spans="1:24" x14ac:dyDescent="0.2">
      <c r="A86" s="7" t="s">
        <v>423</v>
      </c>
      <c r="B86" s="21" t="s">
        <v>177</v>
      </c>
      <c r="C86" s="4">
        <v>-31423090000</v>
      </c>
      <c r="D86" s="4">
        <v>-26911820000</v>
      </c>
      <c r="E86" s="4">
        <v>-22345000000</v>
      </c>
      <c r="F86" s="4">
        <v>-14776740000</v>
      </c>
      <c r="G86" s="4">
        <v>-12664200000</v>
      </c>
      <c r="H86" s="4">
        <v>-11985900000</v>
      </c>
      <c r="I86" s="4">
        <v>-8603390000</v>
      </c>
      <c r="J86" s="4">
        <v>-6249280000</v>
      </c>
      <c r="K86" s="4">
        <v>-5964200000</v>
      </c>
      <c r="L86" s="4">
        <v>-5687571628</v>
      </c>
      <c r="M86" s="4">
        <v>-4940460000</v>
      </c>
      <c r="N86" s="4">
        <v>-4089820000</v>
      </c>
      <c r="O86" s="4">
        <v>-2959140000</v>
      </c>
      <c r="P86" s="4">
        <v>-1898990000</v>
      </c>
      <c r="Q86" s="4">
        <v>-1683560000</v>
      </c>
      <c r="R86" s="4">
        <v>-1159910000</v>
      </c>
      <c r="S86" s="4">
        <v>-420910000</v>
      </c>
      <c r="T86" s="4">
        <v>-257500000</v>
      </c>
      <c r="U86" s="4">
        <v>-173650000</v>
      </c>
      <c r="V86" s="4">
        <v>-148570000</v>
      </c>
      <c r="W86" s="4">
        <v>-93950000</v>
      </c>
      <c r="X86" s="4">
        <v>-85457155</v>
      </c>
    </row>
    <row r="87" spans="1:24" x14ac:dyDescent="0.2">
      <c r="B87" s="21" t="s">
        <v>162</v>
      </c>
      <c r="E87" s="1495" t="s">
        <v>74</v>
      </c>
      <c r="J87" s="1495" t="s">
        <v>464</v>
      </c>
      <c r="M87" s="1495" t="s">
        <v>322</v>
      </c>
      <c r="O87" s="1495" t="s">
        <v>293</v>
      </c>
    </row>
    <row r="88" spans="1:24" x14ac:dyDescent="0.2">
      <c r="B88" s="21" t="s">
        <v>161</v>
      </c>
      <c r="E88" s="1495" t="s">
        <v>74</v>
      </c>
      <c r="J88" s="1495" t="s">
        <v>464</v>
      </c>
      <c r="M88" s="1495" t="s">
        <v>322</v>
      </c>
      <c r="O88" s="1495" t="s">
        <v>293</v>
      </c>
    </row>
    <row r="89" spans="1:24" x14ac:dyDescent="0.2">
      <c r="B89" s="21" t="s">
        <v>160</v>
      </c>
      <c r="E89" s="1495" t="s">
        <v>74</v>
      </c>
      <c r="J89" s="1495" t="s">
        <v>464</v>
      </c>
      <c r="M89" s="1495" t="s">
        <v>322</v>
      </c>
      <c r="O89" s="1495" t="s">
        <v>293</v>
      </c>
    </row>
    <row r="90" spans="1:24" x14ac:dyDescent="0.2">
      <c r="B90" s="21" t="s">
        <v>157</v>
      </c>
      <c r="C90" s="21" t="s">
        <v>72</v>
      </c>
      <c r="D90" s="21" t="s">
        <v>94</v>
      </c>
      <c r="E90" s="1495" t="s">
        <v>74</v>
      </c>
      <c r="F90" s="21" t="s">
        <v>281</v>
      </c>
      <c r="G90" s="21" t="s">
        <v>301</v>
      </c>
      <c r="H90" s="21" t="s">
        <v>7</v>
      </c>
      <c r="I90" s="21" t="s">
        <v>96</v>
      </c>
      <c r="J90" s="1495" t="s">
        <v>464</v>
      </c>
      <c r="K90" s="21" t="s">
        <v>170</v>
      </c>
      <c r="L90" s="21" t="s">
        <v>269</v>
      </c>
      <c r="M90" s="1495" t="s">
        <v>322</v>
      </c>
      <c r="N90" s="21" t="s">
        <v>449</v>
      </c>
      <c r="O90" s="1495" t="s">
        <v>293</v>
      </c>
    </row>
    <row r="91" spans="1:24" x14ac:dyDescent="0.2">
      <c r="A91" s="7" t="s">
        <v>422</v>
      </c>
      <c r="B91" s="21" t="s">
        <v>177</v>
      </c>
      <c r="C91" s="4">
        <v>-45647500000</v>
      </c>
      <c r="D91" s="4">
        <v>-6157999567</v>
      </c>
      <c r="E91" s="4">
        <v>-5768100000</v>
      </c>
      <c r="F91" s="4">
        <v>-5328934884</v>
      </c>
      <c r="G91" s="4">
        <v>-5203210000</v>
      </c>
      <c r="H91" s="4">
        <v>-4453234581</v>
      </c>
      <c r="I91" s="4">
        <v>-3938120000</v>
      </c>
      <c r="J91" s="4">
        <v>-2812546406</v>
      </c>
      <c r="K91" s="4">
        <v>-2797700000</v>
      </c>
      <c r="L91" s="4">
        <v>-2535000000</v>
      </c>
      <c r="M91" s="4">
        <v>-1638380000</v>
      </c>
      <c r="N91" s="4">
        <v>-1009550000</v>
      </c>
      <c r="O91" s="4">
        <v>-58896079</v>
      </c>
    </row>
    <row r="92" spans="1:24" x14ac:dyDescent="0.2">
      <c r="B92" s="21" t="s">
        <v>162</v>
      </c>
      <c r="C92" s="1495" t="s">
        <v>13</v>
      </c>
      <c r="D92" s="1495" t="s">
        <v>166</v>
      </c>
      <c r="E92" s="1495" t="s">
        <v>163</v>
      </c>
      <c r="J92" s="1495" t="s">
        <v>448</v>
      </c>
      <c r="L92" s="1495" t="s">
        <v>93</v>
      </c>
      <c r="N92" s="1495" t="s">
        <v>450</v>
      </c>
      <c r="O92" s="1495" t="s">
        <v>464</v>
      </c>
      <c r="P92" s="1495" t="s">
        <v>465</v>
      </c>
    </row>
    <row r="93" spans="1:24" x14ac:dyDescent="0.2">
      <c r="B93" s="21" t="s">
        <v>161</v>
      </c>
      <c r="C93" s="1495" t="s">
        <v>13</v>
      </c>
      <c r="D93" s="1495" t="s">
        <v>166</v>
      </c>
      <c r="E93" s="1495" t="s">
        <v>163</v>
      </c>
      <c r="J93" s="1495" t="s">
        <v>448</v>
      </c>
      <c r="L93" s="1495" t="s">
        <v>93</v>
      </c>
      <c r="N93" s="1495" t="s">
        <v>450</v>
      </c>
      <c r="O93" s="1495" t="s">
        <v>464</v>
      </c>
      <c r="P93" s="1495" t="s">
        <v>465</v>
      </c>
    </row>
    <row r="94" spans="1:24" x14ac:dyDescent="0.2">
      <c r="B94" s="21" t="s">
        <v>160</v>
      </c>
      <c r="C94" s="1495" t="s">
        <v>13</v>
      </c>
      <c r="D94" s="1495" t="s">
        <v>166</v>
      </c>
      <c r="E94" s="1495" t="s">
        <v>163</v>
      </c>
      <c r="J94" s="1495" t="s">
        <v>448</v>
      </c>
      <c r="K94" s="1495" t="s">
        <v>167</v>
      </c>
      <c r="L94" s="1495" t="s">
        <v>93</v>
      </c>
      <c r="N94" s="1495" t="s">
        <v>450</v>
      </c>
      <c r="O94" s="1495" t="s">
        <v>464</v>
      </c>
      <c r="P94" s="1495" t="s">
        <v>465</v>
      </c>
    </row>
    <row r="95" spans="1:24" x14ac:dyDescent="0.2">
      <c r="B95" s="21" t="s">
        <v>157</v>
      </c>
      <c r="C95" s="1495" t="s">
        <v>13</v>
      </c>
      <c r="D95" s="1495" t="s">
        <v>166</v>
      </c>
      <c r="E95" s="1495" t="s">
        <v>163</v>
      </c>
      <c r="F95" s="21" t="s">
        <v>20</v>
      </c>
      <c r="G95" s="21" t="s">
        <v>186</v>
      </c>
      <c r="H95" s="21" t="s">
        <v>70</v>
      </c>
      <c r="I95" s="21" t="s">
        <v>179</v>
      </c>
      <c r="J95" s="1495" t="s">
        <v>448</v>
      </c>
      <c r="K95" s="1495" t="s">
        <v>167</v>
      </c>
      <c r="L95" s="1495" t="s">
        <v>93</v>
      </c>
      <c r="M95" s="21" t="s">
        <v>445</v>
      </c>
      <c r="N95" s="1495" t="s">
        <v>450</v>
      </c>
      <c r="O95" s="1495" t="s">
        <v>464</v>
      </c>
      <c r="P95" s="1495" t="s">
        <v>465</v>
      </c>
    </row>
    <row r="96" spans="1:24" x14ac:dyDescent="0.2">
      <c r="A96" s="7" t="s">
        <v>420</v>
      </c>
      <c r="B96" s="21" t="s">
        <v>177</v>
      </c>
      <c r="C96" s="4">
        <v>-310361230000</v>
      </c>
      <c r="D96" s="4">
        <v>-113088060000</v>
      </c>
      <c r="E96" s="4">
        <v>-82379670000</v>
      </c>
      <c r="F96" s="4">
        <v>-32295709120</v>
      </c>
      <c r="G96" s="4">
        <v>-24286600000</v>
      </c>
      <c r="H96" s="4">
        <v>-20918700000</v>
      </c>
      <c r="I96" s="4">
        <v>-4364200000</v>
      </c>
      <c r="J96" s="4">
        <v>-2964760059</v>
      </c>
      <c r="K96" s="4">
        <v>-2639160000</v>
      </c>
      <c r="L96" s="4">
        <v>-2550604417</v>
      </c>
      <c r="M96" s="4">
        <v>-1455926614</v>
      </c>
      <c r="N96" s="4">
        <v>-1089813154</v>
      </c>
      <c r="O96" s="4">
        <v>-999541741</v>
      </c>
      <c r="P96" s="4">
        <v>-45360000</v>
      </c>
    </row>
    <row r="97" spans="1:17" x14ac:dyDescent="0.2">
      <c r="B97" s="21" t="s">
        <v>162</v>
      </c>
      <c r="G97" s="1495" t="s">
        <v>31</v>
      </c>
      <c r="J97" s="1495" t="s">
        <v>455</v>
      </c>
      <c r="L97" s="1495" t="s">
        <v>454</v>
      </c>
      <c r="M97" s="1495" t="s">
        <v>463</v>
      </c>
    </row>
    <row r="98" spans="1:17" x14ac:dyDescent="0.2">
      <c r="B98" s="21" t="s">
        <v>161</v>
      </c>
      <c r="G98" s="1495" t="s">
        <v>31</v>
      </c>
      <c r="J98" s="1495" t="s">
        <v>455</v>
      </c>
      <c r="L98" s="1495" t="s">
        <v>454</v>
      </c>
      <c r="M98" s="1495" t="s">
        <v>463</v>
      </c>
    </row>
    <row r="99" spans="1:17" x14ac:dyDescent="0.2">
      <c r="B99" s="21" t="s">
        <v>160</v>
      </c>
      <c r="G99" s="1495" t="s">
        <v>31</v>
      </c>
      <c r="J99" s="1495" t="s">
        <v>455</v>
      </c>
      <c r="L99" s="1495" t="s">
        <v>454</v>
      </c>
      <c r="M99" s="1495" t="s">
        <v>463</v>
      </c>
    </row>
    <row r="100" spans="1:17" x14ac:dyDescent="0.2">
      <c r="B100" s="21" t="s">
        <v>157</v>
      </c>
      <c r="C100" s="21" t="s">
        <v>24</v>
      </c>
      <c r="D100" s="21" t="s">
        <v>186</v>
      </c>
      <c r="E100" s="21" t="s">
        <v>264</v>
      </c>
      <c r="F100" s="21" t="s">
        <v>94</v>
      </c>
      <c r="G100" s="1495" t="s">
        <v>31</v>
      </c>
      <c r="H100" s="21" t="s">
        <v>310</v>
      </c>
      <c r="I100" s="21" t="s">
        <v>440</v>
      </c>
      <c r="J100" s="1495" t="s">
        <v>455</v>
      </c>
      <c r="K100" s="21" t="s">
        <v>270</v>
      </c>
      <c r="L100" s="1495" t="s">
        <v>454</v>
      </c>
      <c r="M100" s="1495" t="s">
        <v>463</v>
      </c>
    </row>
    <row r="101" spans="1:17" x14ac:dyDescent="0.2">
      <c r="A101" s="7" t="s">
        <v>418</v>
      </c>
      <c r="B101" s="21" t="s">
        <v>177</v>
      </c>
      <c r="C101" s="4">
        <v>-304071060000</v>
      </c>
      <c r="D101" s="4">
        <v>-12364630000</v>
      </c>
      <c r="E101" s="4">
        <v>-8446950000</v>
      </c>
      <c r="F101" s="4">
        <v>-4582214408</v>
      </c>
      <c r="G101" s="4">
        <v>-2281650000</v>
      </c>
      <c r="H101" s="4">
        <v>-1798450000</v>
      </c>
      <c r="I101" s="4">
        <v>-1470440000</v>
      </c>
      <c r="J101" s="4">
        <v>-1388340000</v>
      </c>
      <c r="K101" s="4">
        <v>-690610000</v>
      </c>
      <c r="L101" s="4">
        <v>-284160000</v>
      </c>
      <c r="M101" s="4">
        <v>-207430000</v>
      </c>
    </row>
    <row r="102" spans="1:17" x14ac:dyDescent="0.2">
      <c r="B102" s="21" t="s">
        <v>162</v>
      </c>
      <c r="C102" s="1495" t="s">
        <v>69</v>
      </c>
      <c r="E102" s="1495" t="s">
        <v>58</v>
      </c>
      <c r="F102" s="1495" t="s">
        <v>415</v>
      </c>
      <c r="H102" s="1495" t="s">
        <v>283</v>
      </c>
      <c r="J102" s="1495" t="s">
        <v>453</v>
      </c>
      <c r="K102" s="1495" t="s">
        <v>455</v>
      </c>
      <c r="L102" s="1495" t="s">
        <v>459</v>
      </c>
      <c r="M102" s="1495" t="s">
        <v>335</v>
      </c>
    </row>
    <row r="103" spans="1:17" x14ac:dyDescent="0.2">
      <c r="B103" s="21" t="s">
        <v>161</v>
      </c>
      <c r="C103" s="1495" t="s">
        <v>69</v>
      </c>
      <c r="E103" s="1495" t="s">
        <v>58</v>
      </c>
      <c r="F103" s="1495" t="s">
        <v>415</v>
      </c>
      <c r="H103" s="1495" t="s">
        <v>283</v>
      </c>
      <c r="J103" s="1495" t="s">
        <v>453</v>
      </c>
      <c r="K103" s="1495" t="s">
        <v>455</v>
      </c>
      <c r="L103" s="1495" t="s">
        <v>459</v>
      </c>
      <c r="M103" s="1495" t="s">
        <v>335</v>
      </c>
    </row>
    <row r="104" spans="1:17" x14ac:dyDescent="0.2">
      <c r="B104" s="21" t="s">
        <v>160</v>
      </c>
      <c r="C104" s="1495" t="s">
        <v>69</v>
      </c>
      <c r="E104" s="1495" t="s">
        <v>58</v>
      </c>
      <c r="F104" s="1495" t="s">
        <v>415</v>
      </c>
      <c r="G104" s="1495" t="s">
        <v>295</v>
      </c>
      <c r="H104" s="1495" t="s">
        <v>283</v>
      </c>
      <c r="I104" s="1495" t="s">
        <v>287</v>
      </c>
      <c r="J104" s="1495" t="s">
        <v>453</v>
      </c>
      <c r="K104" s="1495" t="s">
        <v>455</v>
      </c>
      <c r="L104" s="1495" t="s">
        <v>459</v>
      </c>
      <c r="M104" s="1495" t="s">
        <v>335</v>
      </c>
    </row>
    <row r="105" spans="1:17" x14ac:dyDescent="0.2">
      <c r="B105" s="21" t="s">
        <v>157</v>
      </c>
      <c r="C105" s="1495" t="s">
        <v>69</v>
      </c>
      <c r="D105" s="21" t="s">
        <v>67</v>
      </c>
      <c r="E105" s="1495" t="s">
        <v>58</v>
      </c>
      <c r="F105" s="1495" t="s">
        <v>415</v>
      </c>
      <c r="G105" s="1495" t="s">
        <v>295</v>
      </c>
      <c r="H105" s="1495" t="s">
        <v>283</v>
      </c>
      <c r="I105" s="1495" t="s">
        <v>287</v>
      </c>
      <c r="J105" s="1495" t="s">
        <v>453</v>
      </c>
      <c r="K105" s="1495" t="s">
        <v>455</v>
      </c>
      <c r="L105" s="1495" t="s">
        <v>459</v>
      </c>
      <c r="M105" s="1495" t="s">
        <v>335</v>
      </c>
    </row>
    <row r="106" spans="1:17" x14ac:dyDescent="0.2">
      <c r="A106" s="7" t="s">
        <v>417</v>
      </c>
      <c r="B106" s="21" t="s">
        <v>177</v>
      </c>
      <c r="C106" s="4">
        <v>-74287520000</v>
      </c>
      <c r="D106" s="4">
        <v>-73441770000</v>
      </c>
      <c r="E106" s="4">
        <v>-64717280000</v>
      </c>
      <c r="F106" s="4">
        <v>-18189475527</v>
      </c>
      <c r="G106" s="4">
        <v>-16590833254</v>
      </c>
      <c r="H106" s="4">
        <v>-6835070000</v>
      </c>
      <c r="I106" s="4">
        <v>-6505770000</v>
      </c>
      <c r="J106" s="4">
        <v>-3362050000</v>
      </c>
      <c r="K106" s="4">
        <v>-1156710000</v>
      </c>
      <c r="L106" s="4">
        <v>-89540000</v>
      </c>
      <c r="M106" s="4">
        <v>-71940000</v>
      </c>
    </row>
    <row r="107" spans="1:17" x14ac:dyDescent="0.2">
      <c r="B107" s="21" t="s">
        <v>162</v>
      </c>
      <c r="D107" s="1495" t="s">
        <v>265</v>
      </c>
      <c r="H107" s="1495" t="s">
        <v>291</v>
      </c>
      <c r="I107" s="1495" t="s">
        <v>74</v>
      </c>
    </row>
    <row r="108" spans="1:17" x14ac:dyDescent="0.2">
      <c r="B108" s="21" t="s">
        <v>161</v>
      </c>
      <c r="D108" s="1495" t="s">
        <v>265</v>
      </c>
      <c r="H108" s="1495" t="s">
        <v>291</v>
      </c>
      <c r="I108" s="1495" t="s">
        <v>74</v>
      </c>
      <c r="K108" s="1495" t="s">
        <v>283</v>
      </c>
    </row>
    <row r="109" spans="1:17" x14ac:dyDescent="0.2">
      <c r="B109" s="21" t="s">
        <v>160</v>
      </c>
      <c r="D109" s="1495" t="s">
        <v>265</v>
      </c>
      <c r="H109" s="1495" t="s">
        <v>291</v>
      </c>
      <c r="I109" s="1495" t="s">
        <v>74</v>
      </c>
      <c r="K109" s="1495" t="s">
        <v>283</v>
      </c>
    </row>
    <row r="110" spans="1:17" x14ac:dyDescent="0.2">
      <c r="B110" s="21" t="s">
        <v>157</v>
      </c>
      <c r="C110" s="21" t="s">
        <v>12</v>
      </c>
      <c r="D110" s="1495" t="s">
        <v>265</v>
      </c>
      <c r="E110" s="21" t="s">
        <v>42</v>
      </c>
      <c r="F110" s="21" t="s">
        <v>71</v>
      </c>
      <c r="G110" s="21" t="s">
        <v>20</v>
      </c>
      <c r="H110" s="1495" t="s">
        <v>291</v>
      </c>
      <c r="I110" s="1495" t="s">
        <v>74</v>
      </c>
      <c r="J110" s="21" t="s">
        <v>7</v>
      </c>
      <c r="K110" s="1495" t="s">
        <v>283</v>
      </c>
      <c r="L110" s="21" t="s">
        <v>440</v>
      </c>
      <c r="M110" s="21" t="s">
        <v>303</v>
      </c>
    </row>
    <row r="111" spans="1:17" x14ac:dyDescent="0.2">
      <c r="A111" s="7" t="s">
        <v>416</v>
      </c>
      <c r="B111" s="21" t="s">
        <v>177</v>
      </c>
      <c r="C111" s="4">
        <v>-157119400000</v>
      </c>
      <c r="D111" s="4">
        <v>-81551650000</v>
      </c>
      <c r="E111" s="4">
        <v>-57152240000</v>
      </c>
      <c r="F111" s="4">
        <v>-45219390000</v>
      </c>
      <c r="G111" s="4">
        <v>-14594779581</v>
      </c>
      <c r="H111" s="4">
        <v>-9608160000</v>
      </c>
      <c r="I111" s="4">
        <v>-4666070000</v>
      </c>
      <c r="J111" s="4">
        <v>-4348331573</v>
      </c>
      <c r="K111" s="4">
        <v>-2535190000</v>
      </c>
      <c r="L111" s="4">
        <v>-717240000</v>
      </c>
      <c r="M111" s="4">
        <v>-153080000</v>
      </c>
    </row>
    <row r="112" spans="1:17" x14ac:dyDescent="0.2">
      <c r="B112" s="21" t="s">
        <v>162</v>
      </c>
      <c r="E112" s="1495" t="s">
        <v>415</v>
      </c>
      <c r="G112" s="1495" t="s">
        <v>173</v>
      </c>
      <c r="H112" s="1495" t="s">
        <v>266</v>
      </c>
      <c r="K112" s="1495" t="s">
        <v>457</v>
      </c>
      <c r="L112" s="1495" t="s">
        <v>453</v>
      </c>
      <c r="M112" s="1495" t="s">
        <v>298</v>
      </c>
      <c r="O112" s="1495" t="s">
        <v>456</v>
      </c>
      <c r="P112" s="1495" t="s">
        <v>455</v>
      </c>
      <c r="Q112" s="1495" t="s">
        <v>459</v>
      </c>
    </row>
    <row r="113" spans="1:30" x14ac:dyDescent="0.2">
      <c r="B113" s="21" t="s">
        <v>161</v>
      </c>
      <c r="E113" s="1495" t="s">
        <v>415</v>
      </c>
      <c r="G113" s="1495" t="s">
        <v>173</v>
      </c>
      <c r="H113" s="1495" t="s">
        <v>266</v>
      </c>
      <c r="K113" s="1495" t="s">
        <v>457</v>
      </c>
      <c r="L113" s="1495" t="s">
        <v>453</v>
      </c>
      <c r="M113" s="1495" t="s">
        <v>298</v>
      </c>
      <c r="O113" s="1495" t="s">
        <v>456</v>
      </c>
      <c r="P113" s="1495" t="s">
        <v>455</v>
      </c>
      <c r="Q113" s="1495" t="s">
        <v>459</v>
      </c>
    </row>
    <row r="114" spans="1:30" x14ac:dyDescent="0.2">
      <c r="B114" s="21" t="s">
        <v>160</v>
      </c>
      <c r="E114" s="1495" t="s">
        <v>415</v>
      </c>
      <c r="G114" s="1495" t="s">
        <v>173</v>
      </c>
      <c r="H114" s="1495" t="s">
        <v>266</v>
      </c>
      <c r="K114" s="1495" t="s">
        <v>457</v>
      </c>
      <c r="L114" s="1495" t="s">
        <v>453</v>
      </c>
      <c r="M114" s="1495" t="s">
        <v>298</v>
      </c>
      <c r="N114" s="1495" t="s">
        <v>283</v>
      </c>
      <c r="O114" s="1495" t="s">
        <v>456</v>
      </c>
      <c r="P114" s="1495" t="s">
        <v>455</v>
      </c>
      <c r="Q114" s="1495" t="s">
        <v>459</v>
      </c>
    </row>
    <row r="115" spans="1:30" x14ac:dyDescent="0.2">
      <c r="B115" s="21" t="s">
        <v>157</v>
      </c>
      <c r="C115" s="21" t="s">
        <v>28</v>
      </c>
      <c r="D115" s="21" t="s">
        <v>73</v>
      </c>
      <c r="E115" s="1495" t="s">
        <v>415</v>
      </c>
      <c r="F115" s="21" t="s">
        <v>264</v>
      </c>
      <c r="G115" s="1495" t="s">
        <v>173</v>
      </c>
      <c r="H115" s="1495" t="s">
        <v>266</v>
      </c>
      <c r="I115" s="21" t="s">
        <v>41</v>
      </c>
      <c r="J115" s="21" t="s">
        <v>198</v>
      </c>
      <c r="K115" s="1495" t="s">
        <v>457</v>
      </c>
      <c r="L115" s="1495" t="s">
        <v>453</v>
      </c>
      <c r="M115" s="1495" t="s">
        <v>298</v>
      </c>
      <c r="N115" s="1495" t="s">
        <v>283</v>
      </c>
      <c r="O115" s="1495" t="s">
        <v>456</v>
      </c>
      <c r="P115" s="1495" t="s">
        <v>455</v>
      </c>
      <c r="Q115" s="1495" t="s">
        <v>459</v>
      </c>
    </row>
    <row r="116" spans="1:30" x14ac:dyDescent="0.2">
      <c r="A116" s="7" t="s">
        <v>414</v>
      </c>
      <c r="B116" s="21" t="s">
        <v>177</v>
      </c>
      <c r="C116" s="4">
        <v>-37519700000</v>
      </c>
      <c r="D116" s="4">
        <v>-9659120000</v>
      </c>
      <c r="E116" s="4">
        <v>-9342144200</v>
      </c>
      <c r="F116" s="4">
        <v>-7418930000</v>
      </c>
      <c r="G116" s="4">
        <v>-6976100000</v>
      </c>
      <c r="H116" s="4">
        <v>-5301449903</v>
      </c>
      <c r="I116" s="4">
        <v>-5159710000</v>
      </c>
      <c r="J116" s="4">
        <v>-4093100000</v>
      </c>
      <c r="K116" s="4">
        <v>-2754320000</v>
      </c>
      <c r="L116" s="4">
        <v>-1619890000</v>
      </c>
      <c r="M116" s="4">
        <v>-1431510000</v>
      </c>
      <c r="N116" s="4">
        <v>-1337850000</v>
      </c>
      <c r="O116" s="4">
        <v>-662580000</v>
      </c>
      <c r="P116" s="4">
        <v>-481550000</v>
      </c>
      <c r="Q116" s="4">
        <v>-71030000</v>
      </c>
    </row>
    <row r="117" spans="1:30" x14ac:dyDescent="0.2">
      <c r="B117" s="21" t="s">
        <v>162</v>
      </c>
      <c r="C117" s="1495" t="s">
        <v>59</v>
      </c>
      <c r="E117" s="1495" t="s">
        <v>296</v>
      </c>
      <c r="H117" s="1495" t="s">
        <v>166</v>
      </c>
      <c r="I117" s="1495" t="s">
        <v>265</v>
      </c>
      <c r="J117" s="1495" t="s">
        <v>27</v>
      </c>
      <c r="L117" s="1495" t="s">
        <v>337</v>
      </c>
      <c r="O117" s="1495" t="s">
        <v>77</v>
      </c>
      <c r="S117" s="1495" t="s">
        <v>300</v>
      </c>
      <c r="U117" s="1495" t="s">
        <v>322</v>
      </c>
      <c r="V117" s="1495" t="s">
        <v>415</v>
      </c>
      <c r="X117" s="1495" t="s">
        <v>285</v>
      </c>
      <c r="Y117" s="1495" t="s">
        <v>456</v>
      </c>
      <c r="Z117" s="1495" t="s">
        <v>274</v>
      </c>
      <c r="AA117" s="1495" t="s">
        <v>453</v>
      </c>
      <c r="AB117" s="1495" t="s">
        <v>462</v>
      </c>
      <c r="AC117" s="1495" t="s">
        <v>454</v>
      </c>
      <c r="AD117" s="1495" t="s">
        <v>335</v>
      </c>
    </row>
    <row r="118" spans="1:30" x14ac:dyDescent="0.2">
      <c r="B118" s="21" t="s">
        <v>161</v>
      </c>
      <c r="C118" s="1495" t="s">
        <v>59</v>
      </c>
      <c r="E118" s="1495" t="s">
        <v>296</v>
      </c>
      <c r="H118" s="1495" t="s">
        <v>166</v>
      </c>
      <c r="I118" s="1495" t="s">
        <v>265</v>
      </c>
      <c r="J118" s="1495" t="s">
        <v>27</v>
      </c>
      <c r="L118" s="1495" t="s">
        <v>337</v>
      </c>
      <c r="O118" s="1495" t="s">
        <v>77</v>
      </c>
      <c r="S118" s="1495" t="s">
        <v>300</v>
      </c>
      <c r="U118" s="1495" t="s">
        <v>322</v>
      </c>
      <c r="V118" s="1495" t="s">
        <v>415</v>
      </c>
      <c r="X118" s="1495" t="s">
        <v>285</v>
      </c>
      <c r="Y118" s="1495" t="s">
        <v>456</v>
      </c>
      <c r="Z118" s="1495" t="s">
        <v>274</v>
      </c>
      <c r="AA118" s="1495" t="s">
        <v>453</v>
      </c>
      <c r="AB118" s="1495" t="s">
        <v>462</v>
      </c>
      <c r="AC118" s="1495" t="s">
        <v>454</v>
      </c>
      <c r="AD118" s="1495" t="s">
        <v>335</v>
      </c>
    </row>
    <row r="119" spans="1:30" x14ac:dyDescent="0.2">
      <c r="B119" s="21" t="s">
        <v>160</v>
      </c>
      <c r="C119" s="1495" t="s">
        <v>59</v>
      </c>
      <c r="E119" s="1495" t="s">
        <v>296</v>
      </c>
      <c r="F119" s="1495" t="s">
        <v>17</v>
      </c>
      <c r="H119" s="1495" t="s">
        <v>166</v>
      </c>
      <c r="I119" s="1495" t="s">
        <v>265</v>
      </c>
      <c r="J119" s="1495" t="s">
        <v>27</v>
      </c>
      <c r="L119" s="1495" t="s">
        <v>337</v>
      </c>
      <c r="O119" s="1495" t="s">
        <v>77</v>
      </c>
      <c r="S119" s="1495" t="s">
        <v>300</v>
      </c>
      <c r="U119" s="1495" t="s">
        <v>322</v>
      </c>
      <c r="V119" s="1495" t="s">
        <v>415</v>
      </c>
      <c r="X119" s="1495" t="s">
        <v>285</v>
      </c>
      <c r="Y119" s="1495" t="s">
        <v>456</v>
      </c>
      <c r="Z119" s="1495" t="s">
        <v>274</v>
      </c>
      <c r="AA119" s="1495" t="s">
        <v>453</v>
      </c>
      <c r="AB119" s="1495" t="s">
        <v>462</v>
      </c>
      <c r="AC119" s="1495" t="s">
        <v>454</v>
      </c>
      <c r="AD119" s="1495" t="s">
        <v>335</v>
      </c>
    </row>
    <row r="120" spans="1:30" x14ac:dyDescent="0.2">
      <c r="B120" s="21" t="s">
        <v>157</v>
      </c>
      <c r="C120" s="1495" t="s">
        <v>59</v>
      </c>
      <c r="D120" s="21" t="s">
        <v>13</v>
      </c>
      <c r="E120" s="1495" t="s">
        <v>296</v>
      </c>
      <c r="F120" s="1495" t="s">
        <v>17</v>
      </c>
      <c r="G120" s="21" t="s">
        <v>23</v>
      </c>
      <c r="H120" s="1495" t="s">
        <v>166</v>
      </c>
      <c r="I120" s="1495" t="s">
        <v>265</v>
      </c>
      <c r="J120" s="1495" t="s">
        <v>27</v>
      </c>
      <c r="K120" s="21" t="s">
        <v>279</v>
      </c>
      <c r="L120" s="1495" t="s">
        <v>337</v>
      </c>
      <c r="M120" s="21" t="s">
        <v>20</v>
      </c>
      <c r="N120" s="21" t="s">
        <v>168</v>
      </c>
      <c r="O120" s="1495" t="s">
        <v>77</v>
      </c>
      <c r="P120" s="21" t="s">
        <v>73</v>
      </c>
      <c r="Q120" s="21" t="s">
        <v>41</v>
      </c>
      <c r="R120" s="21" t="s">
        <v>314</v>
      </c>
      <c r="S120" s="1495" t="s">
        <v>300</v>
      </c>
      <c r="T120" s="21" t="s">
        <v>301</v>
      </c>
      <c r="U120" s="1495" t="s">
        <v>322</v>
      </c>
      <c r="V120" s="1495" t="s">
        <v>415</v>
      </c>
      <c r="W120" s="21" t="s">
        <v>283</v>
      </c>
      <c r="X120" s="1495" t="s">
        <v>285</v>
      </c>
      <c r="Y120" s="1495" t="s">
        <v>456</v>
      </c>
      <c r="Z120" s="1495" t="s">
        <v>274</v>
      </c>
      <c r="AA120" s="1495" t="s">
        <v>453</v>
      </c>
      <c r="AB120" s="1495" t="s">
        <v>462</v>
      </c>
      <c r="AC120" s="1495" t="s">
        <v>454</v>
      </c>
      <c r="AD120" s="1495" t="s">
        <v>335</v>
      </c>
    </row>
    <row r="121" spans="1:30" x14ac:dyDescent="0.2">
      <c r="A121" s="7" t="s">
        <v>413</v>
      </c>
      <c r="B121" s="21" t="s">
        <v>177</v>
      </c>
      <c r="C121" s="4">
        <v>-477279990000</v>
      </c>
      <c r="D121" s="4">
        <v>-230000430000</v>
      </c>
      <c r="E121" s="4">
        <v>-192226280000</v>
      </c>
      <c r="F121" s="4">
        <v>-184692530000</v>
      </c>
      <c r="G121" s="4">
        <v>-161077150000</v>
      </c>
      <c r="H121" s="4">
        <v>-112866020000</v>
      </c>
      <c r="I121" s="4">
        <v>-69999980000</v>
      </c>
      <c r="J121" s="4">
        <v>-51152160000</v>
      </c>
      <c r="K121" s="4">
        <v>-19818420000</v>
      </c>
      <c r="L121" s="4">
        <v>-15328590000</v>
      </c>
      <c r="M121" s="4">
        <v>-12757419945</v>
      </c>
      <c r="N121" s="4">
        <v>-9999030000</v>
      </c>
      <c r="O121" s="4">
        <v>-8885000000</v>
      </c>
      <c r="P121" s="4">
        <v>-6131410000</v>
      </c>
      <c r="Q121" s="4">
        <v>-4992510000</v>
      </c>
      <c r="R121" s="4">
        <v>-3869430000</v>
      </c>
      <c r="S121" s="4">
        <v>-2983280000</v>
      </c>
      <c r="T121" s="4">
        <v>-1633140000</v>
      </c>
      <c r="U121" s="4">
        <v>-1362300000</v>
      </c>
      <c r="V121" s="4">
        <v>-1282168342</v>
      </c>
      <c r="W121" s="4">
        <v>-1114940000</v>
      </c>
      <c r="X121" s="4">
        <v>-1085920000</v>
      </c>
      <c r="Y121" s="4">
        <v>-398410000</v>
      </c>
      <c r="Z121" s="4">
        <v>-200590000</v>
      </c>
      <c r="AA121" s="4">
        <v>-33550000</v>
      </c>
      <c r="AB121" s="4">
        <v>-12455429</v>
      </c>
      <c r="AC121" s="4">
        <v>-9690000</v>
      </c>
      <c r="AD121" s="4">
        <v>-400000</v>
      </c>
    </row>
    <row r="122" spans="1:30" x14ac:dyDescent="0.2">
      <c r="B122" s="21" t="s">
        <v>162</v>
      </c>
      <c r="C122" s="1495" t="s">
        <v>27</v>
      </c>
      <c r="H122" s="1495" t="s">
        <v>298</v>
      </c>
    </row>
    <row r="123" spans="1:30" x14ac:dyDescent="0.2">
      <c r="B123" s="21" t="s">
        <v>161</v>
      </c>
      <c r="C123" s="1495" t="s">
        <v>27</v>
      </c>
      <c r="D123" s="1495" t="s">
        <v>88</v>
      </c>
      <c r="H123" s="1495" t="s">
        <v>298</v>
      </c>
    </row>
    <row r="124" spans="1:30" x14ac:dyDescent="0.2">
      <c r="B124" s="21" t="s">
        <v>160</v>
      </c>
      <c r="C124" s="1495" t="s">
        <v>27</v>
      </c>
      <c r="D124" s="1495" t="s">
        <v>88</v>
      </c>
      <c r="E124" s="1495" t="s">
        <v>68</v>
      </c>
      <c r="F124" s="1495" t="s">
        <v>291</v>
      </c>
      <c r="H124" s="1495" t="s">
        <v>298</v>
      </c>
    </row>
    <row r="125" spans="1:30" x14ac:dyDescent="0.2">
      <c r="B125" s="21" t="s">
        <v>157</v>
      </c>
      <c r="C125" s="1495" t="s">
        <v>27</v>
      </c>
      <c r="D125" s="1495" t="s">
        <v>88</v>
      </c>
      <c r="E125" s="1495" t="s">
        <v>68</v>
      </c>
      <c r="F125" s="1495" t="s">
        <v>291</v>
      </c>
      <c r="G125" s="21" t="s">
        <v>266</v>
      </c>
      <c r="H125" s="1495" t="s">
        <v>298</v>
      </c>
    </row>
    <row r="126" spans="1:30" x14ac:dyDescent="0.2">
      <c r="A126" s="7" t="s">
        <v>367</v>
      </c>
      <c r="B126" s="21" t="s">
        <v>177</v>
      </c>
      <c r="C126" s="4">
        <v>-45204710000</v>
      </c>
      <c r="D126" s="4">
        <v>-42951950000</v>
      </c>
      <c r="E126" s="4">
        <v>-21737810000</v>
      </c>
      <c r="F126" s="4">
        <v>-5403200000</v>
      </c>
      <c r="G126" s="4">
        <v>-4322219292</v>
      </c>
      <c r="H126" s="4">
        <v>-227130000</v>
      </c>
    </row>
    <row r="127" spans="1:30" x14ac:dyDescent="0.2">
      <c r="B127" s="21" t="s">
        <v>162</v>
      </c>
      <c r="G127" s="1495" t="s">
        <v>337</v>
      </c>
    </row>
    <row r="128" spans="1:30" x14ac:dyDescent="0.2">
      <c r="B128" s="21" t="s">
        <v>161</v>
      </c>
      <c r="G128" s="1495" t="s">
        <v>337</v>
      </c>
    </row>
    <row r="129" spans="1:14" x14ac:dyDescent="0.2">
      <c r="B129" s="21" t="s">
        <v>160</v>
      </c>
      <c r="G129" s="1495" t="s">
        <v>337</v>
      </c>
    </row>
    <row r="130" spans="1:14" x14ac:dyDescent="0.2">
      <c r="B130" s="21" t="s">
        <v>157</v>
      </c>
      <c r="C130" s="21" t="s">
        <v>88</v>
      </c>
      <c r="D130" s="21" t="s">
        <v>279</v>
      </c>
      <c r="E130" s="21" t="s">
        <v>168</v>
      </c>
      <c r="F130" s="21" t="s">
        <v>94</v>
      </c>
      <c r="G130" s="1495" t="s">
        <v>337</v>
      </c>
      <c r="H130" s="21" t="s">
        <v>446</v>
      </c>
      <c r="I130" s="21" t="s">
        <v>430</v>
      </c>
    </row>
    <row r="131" spans="1:14" x14ac:dyDescent="0.2">
      <c r="A131" s="7" t="s">
        <v>365</v>
      </c>
      <c r="B131" s="21" t="s">
        <v>177</v>
      </c>
      <c r="C131" s="4">
        <v>-28298360000</v>
      </c>
      <c r="D131" s="4">
        <v>-13597120000</v>
      </c>
      <c r="E131" s="4">
        <v>-5918330000</v>
      </c>
      <c r="F131" s="4">
        <v>-3955496177</v>
      </c>
      <c r="G131" s="4">
        <v>-1683940000</v>
      </c>
      <c r="H131" s="4">
        <v>-738890000</v>
      </c>
      <c r="I131" s="4">
        <v>-325210000</v>
      </c>
    </row>
    <row r="132" spans="1:14" x14ac:dyDescent="0.2">
      <c r="B132" s="21" t="s">
        <v>162</v>
      </c>
      <c r="C132" s="1495" t="s">
        <v>22</v>
      </c>
      <c r="E132" s="1495" t="s">
        <v>436</v>
      </c>
    </row>
    <row r="133" spans="1:14" x14ac:dyDescent="0.2">
      <c r="B133" s="21" t="s">
        <v>161</v>
      </c>
      <c r="C133" s="1495" t="s">
        <v>22</v>
      </c>
      <c r="E133" s="1495" t="s">
        <v>436</v>
      </c>
    </row>
    <row r="134" spans="1:14" x14ac:dyDescent="0.2">
      <c r="B134" s="21" t="s">
        <v>160</v>
      </c>
      <c r="C134" s="1495" t="s">
        <v>22</v>
      </c>
      <c r="E134" s="1495" t="s">
        <v>436</v>
      </c>
      <c r="F134" s="1495" t="s">
        <v>291</v>
      </c>
    </row>
    <row r="135" spans="1:14" x14ac:dyDescent="0.2">
      <c r="B135" s="21" t="s">
        <v>157</v>
      </c>
      <c r="C135" s="1495" t="s">
        <v>22</v>
      </c>
      <c r="D135" s="21" t="s">
        <v>91</v>
      </c>
      <c r="E135" s="1495" t="s">
        <v>436</v>
      </c>
      <c r="F135" s="1495" t="s">
        <v>291</v>
      </c>
      <c r="G135" s="21" t="s">
        <v>7</v>
      </c>
    </row>
    <row r="136" spans="1:14" x14ac:dyDescent="0.2">
      <c r="A136" s="7" t="s">
        <v>364</v>
      </c>
      <c r="B136" s="21" t="s">
        <v>177</v>
      </c>
      <c r="C136" s="4">
        <v>-414543060000</v>
      </c>
      <c r="D136" s="4">
        <v>-12008640000</v>
      </c>
      <c r="E136" s="4">
        <v>-7290140045</v>
      </c>
      <c r="F136" s="4">
        <v>-4500100000</v>
      </c>
      <c r="G136" s="4">
        <v>-4315992118</v>
      </c>
    </row>
    <row r="137" spans="1:14" x14ac:dyDescent="0.2">
      <c r="B137" s="21" t="s">
        <v>162</v>
      </c>
      <c r="D137" s="1495" t="s">
        <v>194</v>
      </c>
      <c r="F137" s="1495" t="s">
        <v>158</v>
      </c>
      <c r="G137" s="1495" t="s">
        <v>277</v>
      </c>
      <c r="K137" s="1495" t="s">
        <v>448</v>
      </c>
      <c r="L137" s="1495" t="s">
        <v>93</v>
      </c>
    </row>
    <row r="138" spans="1:14" x14ac:dyDescent="0.2">
      <c r="B138" s="21" t="s">
        <v>161</v>
      </c>
      <c r="D138" s="1495" t="s">
        <v>194</v>
      </c>
      <c r="F138" s="1495" t="s">
        <v>158</v>
      </c>
      <c r="G138" s="1495" t="s">
        <v>277</v>
      </c>
      <c r="K138" s="1495" t="s">
        <v>448</v>
      </c>
      <c r="L138" s="1495" t="s">
        <v>93</v>
      </c>
    </row>
    <row r="139" spans="1:14" x14ac:dyDescent="0.2">
      <c r="B139" s="21" t="s">
        <v>160</v>
      </c>
      <c r="D139" s="1495" t="s">
        <v>194</v>
      </c>
      <c r="F139" s="1495" t="s">
        <v>158</v>
      </c>
      <c r="G139" s="1495" t="s">
        <v>277</v>
      </c>
      <c r="K139" s="1495" t="s">
        <v>448</v>
      </c>
      <c r="L139" s="1495" t="s">
        <v>93</v>
      </c>
      <c r="M139" s="1495" t="s">
        <v>176</v>
      </c>
    </row>
    <row r="140" spans="1:14" x14ac:dyDescent="0.2">
      <c r="B140" s="21" t="s">
        <v>157</v>
      </c>
      <c r="C140" s="21" t="s">
        <v>171</v>
      </c>
      <c r="D140" s="1495" t="s">
        <v>194</v>
      </c>
      <c r="E140" s="21" t="s">
        <v>168</v>
      </c>
      <c r="F140" s="1495" t="s">
        <v>158</v>
      </c>
      <c r="G140" s="1495" t="s">
        <v>277</v>
      </c>
      <c r="H140" s="21" t="s">
        <v>34</v>
      </c>
      <c r="I140" s="21" t="s">
        <v>342</v>
      </c>
      <c r="J140" s="21" t="s">
        <v>431</v>
      </c>
      <c r="K140" s="1495" t="s">
        <v>448</v>
      </c>
      <c r="L140" s="1495" t="s">
        <v>93</v>
      </c>
      <c r="M140" s="1495" t="s">
        <v>176</v>
      </c>
      <c r="N140" s="21" t="s">
        <v>32</v>
      </c>
    </row>
    <row r="141" spans="1:14" x14ac:dyDescent="0.2">
      <c r="A141" s="7" t="s">
        <v>363</v>
      </c>
      <c r="B141" s="21" t="s">
        <v>177</v>
      </c>
      <c r="C141" s="4">
        <v>-12690930000</v>
      </c>
      <c r="D141" s="4">
        <v>-7144240000</v>
      </c>
      <c r="E141" s="4">
        <v>-5852220000</v>
      </c>
      <c r="F141" s="4">
        <v>-4501121620</v>
      </c>
      <c r="G141" s="4">
        <v>-4367240000</v>
      </c>
      <c r="H141" s="4">
        <v>-3964050000</v>
      </c>
      <c r="I141" s="4">
        <v>-2427960000</v>
      </c>
      <c r="J141" s="4">
        <v>-1895120000</v>
      </c>
      <c r="K141" s="4">
        <v>-1623052401</v>
      </c>
      <c r="L141" s="4">
        <v>-1481047311</v>
      </c>
      <c r="M141" s="4">
        <v>-833730000</v>
      </c>
      <c r="N141" s="4">
        <v>-239500000</v>
      </c>
    </row>
    <row r="142" spans="1:14" x14ac:dyDescent="0.2">
      <c r="B142" s="21" t="s">
        <v>162</v>
      </c>
      <c r="C142" s="1495" t="s">
        <v>76</v>
      </c>
      <c r="D142" s="1495" t="s">
        <v>277</v>
      </c>
    </row>
    <row r="143" spans="1:14" x14ac:dyDescent="0.2">
      <c r="B143" s="21" t="s">
        <v>161</v>
      </c>
      <c r="C143" s="1495" t="s">
        <v>76</v>
      </c>
      <c r="D143" s="1495" t="s">
        <v>277</v>
      </c>
    </row>
    <row r="144" spans="1:14" x14ac:dyDescent="0.2">
      <c r="B144" s="21" t="s">
        <v>160</v>
      </c>
      <c r="C144" s="1495" t="s">
        <v>76</v>
      </c>
      <c r="D144" s="1495" t="s">
        <v>277</v>
      </c>
    </row>
    <row r="145" spans="1:6" x14ac:dyDescent="0.2">
      <c r="B145" s="21" t="s">
        <v>157</v>
      </c>
      <c r="C145" s="1495" t="s">
        <v>76</v>
      </c>
      <c r="D145" s="1495" t="s">
        <v>277</v>
      </c>
    </row>
    <row r="146" spans="1:6" x14ac:dyDescent="0.2">
      <c r="A146" s="7" t="s">
        <v>362</v>
      </c>
      <c r="B146" s="21" t="s">
        <v>177</v>
      </c>
      <c r="C146" s="4">
        <v>-14866130000</v>
      </c>
      <c r="D146" s="4">
        <v>-3776270000</v>
      </c>
    </row>
    <row r="147" spans="1:6" x14ac:dyDescent="0.2">
      <c r="B147" s="21" t="s">
        <v>160</v>
      </c>
      <c r="D147" s="1495" t="s">
        <v>10</v>
      </c>
    </row>
    <row r="148" spans="1:6" x14ac:dyDescent="0.2">
      <c r="B148" s="21" t="s">
        <v>157</v>
      </c>
      <c r="C148" s="21" t="s">
        <v>79</v>
      </c>
      <c r="D148" s="1495"/>
      <c r="E148" s="21" t="s">
        <v>11</v>
      </c>
      <c r="F148" s="21" t="s">
        <v>84</v>
      </c>
    </row>
    <row r="149" spans="1:6" x14ac:dyDescent="0.2">
      <c r="A149" s="7" t="s">
        <v>358</v>
      </c>
      <c r="B149" s="21" t="s">
        <v>177</v>
      </c>
      <c r="C149" s="4">
        <v>-178660470000</v>
      </c>
      <c r="D149" s="4">
        <v>-48083434017</v>
      </c>
      <c r="E149" s="4">
        <v>-26386010000</v>
      </c>
      <c r="F149" s="4">
        <v>-10642840000</v>
      </c>
    </row>
    <row r="150" spans="1:6" x14ac:dyDescent="0.2">
      <c r="B150" s="21" t="s">
        <v>162</v>
      </c>
      <c r="C150" s="1495" t="s">
        <v>289</v>
      </c>
    </row>
    <row r="151" spans="1:6" x14ac:dyDescent="0.2">
      <c r="B151" s="21" t="s">
        <v>161</v>
      </c>
      <c r="C151" s="1495" t="s">
        <v>289</v>
      </c>
    </row>
    <row r="152" spans="1:6" x14ac:dyDescent="0.2">
      <c r="B152" s="21" t="s">
        <v>160</v>
      </c>
      <c r="C152" s="1495" t="s">
        <v>289</v>
      </c>
    </row>
    <row r="153" spans="1:6" x14ac:dyDescent="0.2">
      <c r="B153" s="21" t="s">
        <v>157</v>
      </c>
      <c r="C153" s="1495" t="s">
        <v>289</v>
      </c>
      <c r="D153" s="21" t="s">
        <v>60</v>
      </c>
      <c r="E153" s="21" t="s">
        <v>287</v>
      </c>
      <c r="F153" s="21" t="s">
        <v>434</v>
      </c>
    </row>
    <row r="154" spans="1:6" x14ac:dyDescent="0.2">
      <c r="A154" s="7" t="s">
        <v>354</v>
      </c>
      <c r="B154" s="21" t="s">
        <v>177</v>
      </c>
      <c r="C154" s="4">
        <v>-12345740000</v>
      </c>
      <c r="D154" s="4">
        <v>-4710100000</v>
      </c>
      <c r="E154" s="4">
        <v>-2964620000</v>
      </c>
      <c r="F154" s="4">
        <v>-776710000</v>
      </c>
    </row>
    <row r="155" spans="1:6" x14ac:dyDescent="0.2">
      <c r="B155" s="21" t="s">
        <v>162</v>
      </c>
      <c r="C155" s="1495" t="s">
        <v>39</v>
      </c>
    </row>
    <row r="156" spans="1:6" x14ac:dyDescent="0.2">
      <c r="B156" s="21" t="s">
        <v>161</v>
      </c>
      <c r="C156" s="1495" t="s">
        <v>39</v>
      </c>
    </row>
    <row r="157" spans="1:6" x14ac:dyDescent="0.2">
      <c r="B157" s="21" t="s">
        <v>160</v>
      </c>
      <c r="C157" s="1495" t="s">
        <v>39</v>
      </c>
    </row>
    <row r="158" spans="1:6" x14ac:dyDescent="0.2">
      <c r="B158" s="21" t="s">
        <v>157</v>
      </c>
      <c r="C158" s="1495" t="s">
        <v>39</v>
      </c>
      <c r="D158" s="21" t="s">
        <v>37</v>
      </c>
    </row>
    <row r="159" spans="1:6" x14ac:dyDescent="0.2">
      <c r="A159" s="7" t="s">
        <v>353</v>
      </c>
      <c r="B159" s="21" t="s">
        <v>177</v>
      </c>
      <c r="C159" s="4">
        <v>-52320350000</v>
      </c>
      <c r="D159" s="4">
        <v>-26190010000</v>
      </c>
    </row>
    <row r="160" spans="1:6" x14ac:dyDescent="0.2">
      <c r="B160" s="21" t="s">
        <v>162</v>
      </c>
      <c r="F160" s="1495" t="s">
        <v>337</v>
      </c>
    </row>
    <row r="161" spans="1:16" x14ac:dyDescent="0.2">
      <c r="B161" s="21" t="s">
        <v>161</v>
      </c>
      <c r="E161" s="1495" t="s">
        <v>278</v>
      </c>
      <c r="F161" s="1495" t="s">
        <v>337</v>
      </c>
    </row>
    <row r="162" spans="1:16" x14ac:dyDescent="0.2">
      <c r="B162" s="21" t="s">
        <v>160</v>
      </c>
      <c r="D162" s="1495" t="s">
        <v>78</v>
      </c>
      <c r="E162" s="1495" t="s">
        <v>278</v>
      </c>
      <c r="F162" s="1495" t="s">
        <v>337</v>
      </c>
    </row>
    <row r="163" spans="1:16" x14ac:dyDescent="0.2">
      <c r="B163" s="21" t="s">
        <v>157</v>
      </c>
      <c r="C163" s="21" t="s">
        <v>30</v>
      </c>
      <c r="D163" s="1495" t="s">
        <v>78</v>
      </c>
      <c r="E163" s="1495" t="s">
        <v>278</v>
      </c>
      <c r="F163" s="1495" t="s">
        <v>337</v>
      </c>
    </row>
    <row r="164" spans="1:16" x14ac:dyDescent="0.2">
      <c r="A164" s="7" t="s">
        <v>352</v>
      </c>
      <c r="B164" s="21" t="s">
        <v>177</v>
      </c>
      <c r="C164" s="4">
        <v>-38800490000</v>
      </c>
      <c r="D164" s="4">
        <v>-10631290000</v>
      </c>
      <c r="E164" s="4">
        <v>-3311350000</v>
      </c>
      <c r="F164" s="4">
        <v>-1306780000</v>
      </c>
    </row>
    <row r="165" spans="1:16" x14ac:dyDescent="0.2">
      <c r="B165" s="21" t="s">
        <v>162</v>
      </c>
      <c r="C165" s="1495" t="s">
        <v>58</v>
      </c>
      <c r="D165" s="1495" t="s">
        <v>271</v>
      </c>
      <c r="F165" s="1495" t="s">
        <v>76</v>
      </c>
      <c r="H165" s="1495" t="s">
        <v>339</v>
      </c>
      <c r="L165" s="1495" t="s">
        <v>300</v>
      </c>
    </row>
    <row r="166" spans="1:16" x14ac:dyDescent="0.2">
      <c r="B166" s="21" t="s">
        <v>161</v>
      </c>
      <c r="C166" s="1495" t="s">
        <v>58</v>
      </c>
      <c r="D166" s="1495" t="s">
        <v>271</v>
      </c>
      <c r="F166" s="1495" t="s">
        <v>76</v>
      </c>
      <c r="H166" s="1495" t="s">
        <v>339</v>
      </c>
      <c r="L166" s="1495" t="s">
        <v>300</v>
      </c>
    </row>
    <row r="167" spans="1:16" x14ac:dyDescent="0.2">
      <c r="B167" s="21" t="s">
        <v>160</v>
      </c>
      <c r="C167" s="1495" t="s">
        <v>58</v>
      </c>
      <c r="D167" s="1495" t="s">
        <v>271</v>
      </c>
      <c r="F167" s="1495" t="s">
        <v>76</v>
      </c>
      <c r="H167" s="1495" t="s">
        <v>339</v>
      </c>
      <c r="L167" s="1495" t="s">
        <v>300</v>
      </c>
    </row>
    <row r="168" spans="1:16" x14ac:dyDescent="0.2">
      <c r="B168" s="21" t="s">
        <v>157</v>
      </c>
      <c r="C168" s="1495" t="s">
        <v>58</v>
      </c>
      <c r="D168" s="1495" t="s">
        <v>271</v>
      </c>
      <c r="E168" s="21" t="s">
        <v>69</v>
      </c>
      <c r="F168" s="1495" t="s">
        <v>76</v>
      </c>
      <c r="G168" s="21" t="s">
        <v>279</v>
      </c>
      <c r="H168" s="1495" t="s">
        <v>339</v>
      </c>
      <c r="I168" s="21" t="s">
        <v>436</v>
      </c>
      <c r="J168" s="21" t="s">
        <v>281</v>
      </c>
      <c r="K168" s="21" t="s">
        <v>75</v>
      </c>
      <c r="L168" s="1495" t="s">
        <v>300</v>
      </c>
      <c r="M168" s="21" t="s">
        <v>441</v>
      </c>
    </row>
    <row r="169" spans="1:16" x14ac:dyDescent="0.2">
      <c r="A169" s="7" t="s">
        <v>347</v>
      </c>
      <c r="B169" s="21" t="s">
        <v>177</v>
      </c>
      <c r="C169" s="4">
        <v>-64225380000</v>
      </c>
      <c r="D169" s="4">
        <v>-40481130000</v>
      </c>
      <c r="E169" s="4">
        <v>-29440700000</v>
      </c>
      <c r="F169" s="4">
        <v>-13487950000</v>
      </c>
      <c r="G169" s="4">
        <v>-13365150000</v>
      </c>
      <c r="H169" s="4">
        <v>-10020120000</v>
      </c>
      <c r="I169" s="4">
        <v>-5230115448</v>
      </c>
      <c r="J169" s="4">
        <v>-5010636298</v>
      </c>
      <c r="K169" s="4">
        <v>-4857330000</v>
      </c>
      <c r="L169" s="4">
        <v>-1727530000</v>
      </c>
      <c r="M169" s="4">
        <v>-1429930000</v>
      </c>
    </row>
    <row r="170" spans="1:16" x14ac:dyDescent="0.2">
      <c r="B170" s="21" t="s">
        <v>162</v>
      </c>
      <c r="G170" s="1495" t="s">
        <v>159</v>
      </c>
      <c r="L170" s="1495" t="s">
        <v>450</v>
      </c>
    </row>
    <row r="171" spans="1:16" x14ac:dyDescent="0.2">
      <c r="B171" s="21" t="s">
        <v>161</v>
      </c>
      <c r="G171" s="1495" t="s">
        <v>159</v>
      </c>
      <c r="L171" s="1495" t="s">
        <v>450</v>
      </c>
    </row>
    <row r="172" spans="1:16" x14ac:dyDescent="0.2">
      <c r="B172" s="21" t="s">
        <v>160</v>
      </c>
      <c r="G172" s="1495" t="s">
        <v>159</v>
      </c>
      <c r="H172" s="1495" t="s">
        <v>82</v>
      </c>
      <c r="L172" s="1495" t="s">
        <v>450</v>
      </c>
      <c r="P172" s="1495" t="s">
        <v>452</v>
      </c>
    </row>
    <row r="173" spans="1:16" x14ac:dyDescent="0.2">
      <c r="B173" s="21" t="s">
        <v>157</v>
      </c>
      <c r="C173" s="21" t="s">
        <v>66</v>
      </c>
      <c r="D173" s="21" t="s">
        <v>188</v>
      </c>
      <c r="E173" s="21" t="s">
        <v>57</v>
      </c>
      <c r="F173" s="21" t="s">
        <v>262</v>
      </c>
      <c r="G173" s="1495" t="s">
        <v>159</v>
      </c>
      <c r="H173" s="1495" t="s">
        <v>82</v>
      </c>
      <c r="I173" s="21" t="s">
        <v>165</v>
      </c>
      <c r="J173" s="21" t="s">
        <v>190</v>
      </c>
      <c r="K173" s="21" t="s">
        <v>445</v>
      </c>
      <c r="L173" s="1495" t="s">
        <v>450</v>
      </c>
      <c r="M173" s="21" t="s">
        <v>283</v>
      </c>
      <c r="N173" s="21" t="s">
        <v>438</v>
      </c>
      <c r="O173" s="21" t="s">
        <v>275</v>
      </c>
      <c r="P173" s="1495" t="s">
        <v>452</v>
      </c>
    </row>
    <row r="174" spans="1:16" x14ac:dyDescent="0.2">
      <c r="A174" s="7" t="s">
        <v>346</v>
      </c>
      <c r="B174" s="21" t="s">
        <v>177</v>
      </c>
      <c r="C174" s="4">
        <v>-28268760000</v>
      </c>
      <c r="D174" s="4">
        <v>-21169310000</v>
      </c>
      <c r="E174" s="4">
        <v>-16612682511</v>
      </c>
      <c r="F174" s="4">
        <v>-15592910000</v>
      </c>
      <c r="G174" s="4">
        <v>-13422270000</v>
      </c>
      <c r="H174" s="4">
        <v>-11689145277</v>
      </c>
      <c r="I174" s="4">
        <v>-9187790000</v>
      </c>
      <c r="J174" s="4">
        <v>-8986330000</v>
      </c>
      <c r="K174" s="4">
        <v>-1288909738</v>
      </c>
      <c r="L174" s="4">
        <v>-937143529</v>
      </c>
      <c r="M174" s="4">
        <v>-704420000</v>
      </c>
      <c r="N174" s="4">
        <v>-135740000</v>
      </c>
      <c r="O174" s="4">
        <v>-69527657</v>
      </c>
      <c r="P174" s="4">
        <v>-61870000</v>
      </c>
    </row>
    <row r="175" spans="1:16" x14ac:dyDescent="0.2">
      <c r="B175" s="21" t="s">
        <v>162</v>
      </c>
      <c r="C175" s="1495" t="s">
        <v>265</v>
      </c>
      <c r="M175" s="1495" t="s">
        <v>299</v>
      </c>
    </row>
    <row r="176" spans="1:16" x14ac:dyDescent="0.2">
      <c r="B176" s="21" t="s">
        <v>161</v>
      </c>
      <c r="C176" s="1495" t="s">
        <v>265</v>
      </c>
      <c r="M176" s="1495" t="s">
        <v>299</v>
      </c>
    </row>
    <row r="177" spans="1:13" x14ac:dyDescent="0.2">
      <c r="B177" s="21" t="s">
        <v>160</v>
      </c>
      <c r="C177" s="1495" t="s">
        <v>265</v>
      </c>
      <c r="M177" s="1495" t="s">
        <v>299</v>
      </c>
    </row>
    <row r="178" spans="1:13" x14ac:dyDescent="0.2">
      <c r="B178" s="21" t="s">
        <v>157</v>
      </c>
      <c r="C178" s="1495" t="s">
        <v>265</v>
      </c>
      <c r="D178" s="21" t="s">
        <v>42</v>
      </c>
      <c r="E178" s="21" t="s">
        <v>87</v>
      </c>
      <c r="F178" s="21" t="s">
        <v>29</v>
      </c>
      <c r="G178" s="21" t="s">
        <v>271</v>
      </c>
      <c r="H178" s="21" t="s">
        <v>192</v>
      </c>
      <c r="I178" s="21" t="s">
        <v>342</v>
      </c>
      <c r="J178" s="21" t="s">
        <v>431</v>
      </c>
      <c r="K178" s="21" t="s">
        <v>167</v>
      </c>
      <c r="L178" s="21" t="s">
        <v>435</v>
      </c>
      <c r="M178" s="1495" t="s">
        <v>299</v>
      </c>
    </row>
    <row r="179" spans="1:13" x14ac:dyDescent="0.2">
      <c r="A179" s="7" t="s">
        <v>345</v>
      </c>
      <c r="B179" s="21" t="s">
        <v>177</v>
      </c>
      <c r="C179" s="4">
        <v>-58522210000</v>
      </c>
      <c r="D179" s="4">
        <v>-47201210000</v>
      </c>
      <c r="E179" s="4">
        <v>-38585750000</v>
      </c>
      <c r="F179" s="4">
        <v>-33238853763</v>
      </c>
      <c r="G179" s="4">
        <v>-16673220000</v>
      </c>
      <c r="H179" s="4">
        <v>-14372600000</v>
      </c>
      <c r="I179" s="4">
        <v>-2346820000</v>
      </c>
      <c r="J179" s="4">
        <v>-1716830000</v>
      </c>
      <c r="K179" s="4">
        <v>-1276740000</v>
      </c>
      <c r="L179" s="4">
        <v>-245830000</v>
      </c>
      <c r="M179" s="4">
        <v>-3910237</v>
      </c>
    </row>
    <row r="180" spans="1:13" x14ac:dyDescent="0.2">
      <c r="B180" s="21" t="s">
        <v>162</v>
      </c>
      <c r="G180" s="1495" t="s">
        <v>265</v>
      </c>
      <c r="H180" s="1495" t="s">
        <v>184</v>
      </c>
    </row>
    <row r="181" spans="1:13" x14ac:dyDescent="0.2">
      <c r="B181" s="21" t="s">
        <v>161</v>
      </c>
      <c r="G181" s="1495" t="s">
        <v>265</v>
      </c>
      <c r="H181" s="1495" t="s">
        <v>184</v>
      </c>
    </row>
    <row r="182" spans="1:13" x14ac:dyDescent="0.2">
      <c r="B182" s="21" t="s">
        <v>160</v>
      </c>
      <c r="D182" s="1495" t="s">
        <v>15</v>
      </c>
      <c r="G182" s="1495" t="s">
        <v>265</v>
      </c>
      <c r="H182" s="1495" t="s">
        <v>184</v>
      </c>
      <c r="J182" s="1495" t="s">
        <v>326</v>
      </c>
    </row>
    <row r="183" spans="1:13" x14ac:dyDescent="0.2">
      <c r="B183" s="21" t="s">
        <v>157</v>
      </c>
      <c r="C183" s="21" t="s">
        <v>21</v>
      </c>
      <c r="D183" s="1495" t="s">
        <v>15</v>
      </c>
      <c r="E183" s="21" t="s">
        <v>86</v>
      </c>
      <c r="F183" s="21" t="s">
        <v>169</v>
      </c>
      <c r="G183" s="1495" t="s">
        <v>265</v>
      </c>
      <c r="H183" s="1495" t="s">
        <v>184</v>
      </c>
      <c r="I183" s="21" t="s">
        <v>278</v>
      </c>
      <c r="J183" s="1495" t="s">
        <v>326</v>
      </c>
      <c r="K183" s="21" t="s">
        <v>93</v>
      </c>
    </row>
    <row r="184" spans="1:13" x14ac:dyDescent="0.2">
      <c r="A184" s="7" t="s">
        <v>344</v>
      </c>
      <c r="B184" s="21" t="s">
        <v>177</v>
      </c>
      <c r="C184" s="4">
        <v>-170392200000</v>
      </c>
      <c r="D184" s="4">
        <v>-139770490000</v>
      </c>
      <c r="E184" s="4">
        <v>-60765400000</v>
      </c>
      <c r="F184" s="4">
        <v>-59409700000</v>
      </c>
      <c r="G184" s="4">
        <v>-18431540000</v>
      </c>
      <c r="H184" s="4">
        <v>-12145120000</v>
      </c>
      <c r="I184" s="4">
        <v>-2604340000</v>
      </c>
      <c r="J184" s="4">
        <v>-1420790000</v>
      </c>
      <c r="K184" s="4">
        <v>-71749113</v>
      </c>
    </row>
    <row r="185" spans="1:13" x14ac:dyDescent="0.2">
      <c r="B185" s="21" t="s">
        <v>162</v>
      </c>
      <c r="G185" s="1495" t="s">
        <v>451</v>
      </c>
    </row>
    <row r="186" spans="1:13" x14ac:dyDescent="0.2">
      <c r="B186" s="21" t="s">
        <v>161</v>
      </c>
      <c r="G186" s="1495" t="s">
        <v>451</v>
      </c>
    </row>
    <row r="187" spans="1:13" x14ac:dyDescent="0.2">
      <c r="B187" s="21" t="s">
        <v>160</v>
      </c>
      <c r="G187" s="1495" t="s">
        <v>451</v>
      </c>
    </row>
    <row r="188" spans="1:13" x14ac:dyDescent="0.2">
      <c r="B188" s="21" t="s">
        <v>157</v>
      </c>
      <c r="C188" s="21" t="s">
        <v>15</v>
      </c>
      <c r="D188" s="21" t="s">
        <v>25</v>
      </c>
      <c r="E188" s="21" t="s">
        <v>62</v>
      </c>
      <c r="F188" s="21" t="s">
        <v>16</v>
      </c>
      <c r="G188" s="1495" t="s">
        <v>451</v>
      </c>
    </row>
    <row r="189" spans="1:13" x14ac:dyDescent="0.2">
      <c r="A189" s="7" t="s">
        <v>343</v>
      </c>
      <c r="B189" s="21" t="s">
        <v>177</v>
      </c>
      <c r="C189" s="4">
        <v>-105590080000</v>
      </c>
      <c r="D189" s="4">
        <v>-82658530000</v>
      </c>
      <c r="E189" s="4">
        <v>-38575550000</v>
      </c>
      <c r="F189" s="4">
        <v>-23229310000</v>
      </c>
      <c r="G189" s="4">
        <v>-222443080</v>
      </c>
    </row>
    <row r="190" spans="1:13" x14ac:dyDescent="0.2">
      <c r="B190" s="21" t="s">
        <v>162</v>
      </c>
      <c r="E190" s="1495" t="s">
        <v>58</v>
      </c>
    </row>
    <row r="191" spans="1:13" x14ac:dyDescent="0.2">
      <c r="B191" s="21" t="s">
        <v>161</v>
      </c>
      <c r="E191" s="1495" t="s">
        <v>58</v>
      </c>
    </row>
    <row r="192" spans="1:13" x14ac:dyDescent="0.2">
      <c r="B192" s="21" t="s">
        <v>160</v>
      </c>
      <c r="D192" s="1495" t="s">
        <v>8</v>
      </c>
      <c r="E192" s="1495" t="s">
        <v>58</v>
      </c>
    </row>
    <row r="193" spans="1:14" x14ac:dyDescent="0.2">
      <c r="B193" s="21" t="s">
        <v>157</v>
      </c>
      <c r="C193" s="21" t="s">
        <v>23</v>
      </c>
      <c r="D193" s="1495" t="s">
        <v>8</v>
      </c>
      <c r="E193" s="1495" t="s">
        <v>58</v>
      </c>
      <c r="F193" s="21" t="s">
        <v>16</v>
      </c>
      <c r="G193" s="21" t="s">
        <v>313</v>
      </c>
    </row>
    <row r="194" spans="1:14" x14ac:dyDescent="0.2">
      <c r="A194" s="7" t="s">
        <v>341</v>
      </c>
      <c r="B194" s="21" t="s">
        <v>177</v>
      </c>
      <c r="C194" s="4">
        <v>-83893360000</v>
      </c>
      <c r="D194" s="4">
        <v>-80823800000</v>
      </c>
      <c r="E194" s="4">
        <v>-45546000000</v>
      </c>
      <c r="F194" s="4">
        <v>-22469240000</v>
      </c>
      <c r="G194" s="4">
        <v>-21764940000</v>
      </c>
    </row>
    <row r="195" spans="1:14" x14ac:dyDescent="0.2">
      <c r="B195" s="21" t="s">
        <v>162</v>
      </c>
      <c r="D195" s="1495" t="s">
        <v>207</v>
      </c>
      <c r="F195" s="1495" t="s">
        <v>337</v>
      </c>
    </row>
    <row r="196" spans="1:14" x14ac:dyDescent="0.2">
      <c r="B196" s="21" t="s">
        <v>161</v>
      </c>
      <c r="C196" s="1495" t="s">
        <v>26</v>
      </c>
      <c r="D196" s="1495" t="s">
        <v>207</v>
      </c>
      <c r="F196" s="1495" t="s">
        <v>337</v>
      </c>
    </row>
    <row r="197" spans="1:14" x14ac:dyDescent="0.2">
      <c r="B197" s="21" t="s">
        <v>160</v>
      </c>
      <c r="C197" s="1495" t="s">
        <v>26</v>
      </c>
      <c r="D197" s="1495" t="s">
        <v>207</v>
      </c>
      <c r="F197" s="1495" t="s">
        <v>337</v>
      </c>
    </row>
    <row r="198" spans="1:14" x14ac:dyDescent="0.2">
      <c r="B198" s="21" t="s">
        <v>157</v>
      </c>
      <c r="C198" s="1495" t="s">
        <v>26</v>
      </c>
      <c r="D198" s="1495" t="s">
        <v>207</v>
      </c>
      <c r="E198" s="21" t="s">
        <v>167</v>
      </c>
      <c r="F198" s="1495" t="s">
        <v>337</v>
      </c>
    </row>
    <row r="199" spans="1:14" x14ac:dyDescent="0.2">
      <c r="A199" s="7" t="s">
        <v>340</v>
      </c>
      <c r="B199" s="21" t="s">
        <v>177</v>
      </c>
      <c r="C199" s="4">
        <v>-53072350000</v>
      </c>
      <c r="D199" s="4">
        <v>-13004130000</v>
      </c>
      <c r="E199" s="4">
        <v>-630720000</v>
      </c>
      <c r="F199" s="4">
        <v>-127590000</v>
      </c>
    </row>
    <row r="200" spans="1:14" x14ac:dyDescent="0.2">
      <c r="B200" s="21" t="s">
        <v>162</v>
      </c>
      <c r="C200" s="1495" t="s">
        <v>33</v>
      </c>
      <c r="E200" s="1495" t="s">
        <v>296</v>
      </c>
      <c r="G200" s="1495" t="s">
        <v>339</v>
      </c>
      <c r="J200" s="1495" t="s">
        <v>173</v>
      </c>
      <c r="K200" s="1495" t="s">
        <v>429</v>
      </c>
      <c r="N200" s="1495" t="s">
        <v>191</v>
      </c>
    </row>
    <row r="201" spans="1:14" x14ac:dyDescent="0.2">
      <c r="B201" s="21" t="s">
        <v>161</v>
      </c>
      <c r="C201" s="1495" t="s">
        <v>33</v>
      </c>
      <c r="E201" s="1495" t="s">
        <v>296</v>
      </c>
      <c r="G201" s="1495" t="s">
        <v>339</v>
      </c>
      <c r="J201" s="1495" t="s">
        <v>173</v>
      </c>
      <c r="K201" s="1495" t="s">
        <v>429</v>
      </c>
      <c r="N201" s="1495" t="s">
        <v>191</v>
      </c>
    </row>
    <row r="202" spans="1:14" x14ac:dyDescent="0.2">
      <c r="B202" s="21" t="s">
        <v>160</v>
      </c>
      <c r="C202" s="1495" t="s">
        <v>33</v>
      </c>
      <c r="E202" s="1495" t="s">
        <v>296</v>
      </c>
      <c r="G202" s="1495" t="s">
        <v>339</v>
      </c>
      <c r="J202" s="1495" t="s">
        <v>173</v>
      </c>
      <c r="K202" s="1495" t="s">
        <v>429</v>
      </c>
      <c r="L202" s="1495" t="s">
        <v>442</v>
      </c>
      <c r="N202" s="1495" t="s">
        <v>191</v>
      </c>
    </row>
    <row r="203" spans="1:14" x14ac:dyDescent="0.2">
      <c r="B203" s="21" t="s">
        <v>157</v>
      </c>
      <c r="C203" s="1495" t="s">
        <v>33</v>
      </c>
      <c r="D203" s="21" t="s">
        <v>22</v>
      </c>
      <c r="E203" s="1495" t="s">
        <v>296</v>
      </c>
      <c r="F203" s="21" t="s">
        <v>192</v>
      </c>
      <c r="G203" s="1495" t="s">
        <v>339</v>
      </c>
      <c r="H203" s="21" t="s">
        <v>311</v>
      </c>
      <c r="I203" s="21" t="s">
        <v>78</v>
      </c>
      <c r="J203" s="1495" t="s">
        <v>173</v>
      </c>
      <c r="K203" s="1495" t="s">
        <v>429</v>
      </c>
      <c r="L203" s="1495" t="s">
        <v>442</v>
      </c>
      <c r="M203" s="21" t="s">
        <v>434</v>
      </c>
      <c r="N203" s="1495" t="s">
        <v>191</v>
      </c>
    </row>
    <row r="204" spans="1:14" x14ac:dyDescent="0.2">
      <c r="A204" s="7" t="s">
        <v>338</v>
      </c>
      <c r="B204" s="21" t="s">
        <v>177</v>
      </c>
      <c r="C204" s="4">
        <v>-721628480000</v>
      </c>
      <c r="D204" s="4">
        <v>-123244250000</v>
      </c>
      <c r="E204" s="4">
        <v>-25508290000</v>
      </c>
      <c r="F204" s="4">
        <v>-10329430000</v>
      </c>
      <c r="G204" s="4">
        <v>-7283900000</v>
      </c>
      <c r="H204" s="4">
        <v>-7233492666</v>
      </c>
      <c r="I204" s="4">
        <v>-6924630000</v>
      </c>
      <c r="J204" s="4">
        <v>-6670080000</v>
      </c>
      <c r="K204" s="4">
        <v>-4590200000</v>
      </c>
      <c r="L204" s="4">
        <v>-2878860000</v>
      </c>
      <c r="M204" s="4">
        <v>-673320000</v>
      </c>
      <c r="N204" s="4">
        <v>-32864925</v>
      </c>
    </row>
    <row r="205" spans="1:14" x14ac:dyDescent="0.2">
      <c r="B205" s="21" t="s">
        <v>162</v>
      </c>
      <c r="C205" s="1495" t="s">
        <v>33</v>
      </c>
      <c r="F205" s="1495" t="s">
        <v>296</v>
      </c>
      <c r="G205" s="1495" t="s">
        <v>339</v>
      </c>
      <c r="H205" s="1495" t="s">
        <v>292</v>
      </c>
      <c r="J205" s="1495" t="s">
        <v>449</v>
      </c>
    </row>
    <row r="206" spans="1:14" x14ac:dyDescent="0.2">
      <c r="B206" s="21" t="s">
        <v>161</v>
      </c>
      <c r="C206" s="1495" t="s">
        <v>33</v>
      </c>
      <c r="F206" s="1495" t="s">
        <v>296</v>
      </c>
      <c r="G206" s="1495" t="s">
        <v>339</v>
      </c>
      <c r="H206" s="1495" t="s">
        <v>292</v>
      </c>
      <c r="J206" s="1495" t="s">
        <v>449</v>
      </c>
    </row>
    <row r="207" spans="1:14" x14ac:dyDescent="0.2">
      <c r="B207" s="21" t="s">
        <v>160</v>
      </c>
      <c r="C207" s="1495" t="s">
        <v>33</v>
      </c>
      <c r="F207" s="1495" t="s">
        <v>296</v>
      </c>
      <c r="G207" s="1495" t="s">
        <v>339</v>
      </c>
      <c r="H207" s="1495" t="s">
        <v>292</v>
      </c>
      <c r="J207" s="1495" t="s">
        <v>449</v>
      </c>
    </row>
    <row r="208" spans="1:14" x14ac:dyDescent="0.2">
      <c r="B208" s="21" t="s">
        <v>157</v>
      </c>
      <c r="C208" s="1495" t="s">
        <v>33</v>
      </c>
      <c r="D208" s="21" t="s">
        <v>22</v>
      </c>
      <c r="E208" s="21" t="s">
        <v>69</v>
      </c>
      <c r="F208" s="1495" t="s">
        <v>296</v>
      </c>
      <c r="G208" s="1495" t="s">
        <v>339</v>
      </c>
      <c r="H208" s="1495" t="s">
        <v>292</v>
      </c>
      <c r="I208" s="21" t="s">
        <v>447</v>
      </c>
      <c r="J208" s="1495" t="s">
        <v>449</v>
      </c>
      <c r="K208" s="21" t="s">
        <v>435</v>
      </c>
    </row>
    <row r="209" spans="1:13" x14ac:dyDescent="0.2">
      <c r="A209" s="7" t="s">
        <v>334</v>
      </c>
      <c r="B209" s="21" t="s">
        <v>177</v>
      </c>
      <c r="C209" s="4">
        <v>-495294190000</v>
      </c>
      <c r="D209" s="4">
        <v>-102093230000</v>
      </c>
      <c r="E209" s="4">
        <v>-28396880000</v>
      </c>
      <c r="F209" s="4">
        <v>-6647720000</v>
      </c>
      <c r="G209" s="4">
        <v>-5034250000</v>
      </c>
      <c r="H209" s="4">
        <v>-4860119481</v>
      </c>
      <c r="I209" s="4">
        <v>-1215080000</v>
      </c>
      <c r="J209" s="4">
        <v>-1178080000</v>
      </c>
      <c r="K209" s="4">
        <v>-109950000</v>
      </c>
    </row>
    <row r="210" spans="1:13" x14ac:dyDescent="0.2">
      <c r="B210" s="21" t="s">
        <v>162</v>
      </c>
      <c r="F210" s="1495" t="s">
        <v>166</v>
      </c>
      <c r="H210" s="1495" t="s">
        <v>76</v>
      </c>
      <c r="I210" s="1495" t="s">
        <v>437</v>
      </c>
    </row>
    <row r="211" spans="1:13" x14ac:dyDescent="0.2">
      <c r="B211" s="21" t="s">
        <v>161</v>
      </c>
      <c r="F211" s="1495" t="s">
        <v>166</v>
      </c>
      <c r="H211" s="1495" t="s">
        <v>76</v>
      </c>
      <c r="I211" s="1495" t="s">
        <v>437</v>
      </c>
    </row>
    <row r="212" spans="1:13" x14ac:dyDescent="0.2">
      <c r="B212" s="21" t="s">
        <v>160</v>
      </c>
      <c r="F212" s="1495" t="s">
        <v>166</v>
      </c>
      <c r="H212" s="1495" t="s">
        <v>76</v>
      </c>
      <c r="I212" s="1495" t="s">
        <v>437</v>
      </c>
    </row>
    <row r="213" spans="1:13" x14ac:dyDescent="0.2">
      <c r="B213" s="21" t="s">
        <v>157</v>
      </c>
      <c r="C213" s="21" t="s">
        <v>79</v>
      </c>
      <c r="D213" s="21" t="s">
        <v>27</v>
      </c>
      <c r="E213" s="21" t="s">
        <v>66</v>
      </c>
      <c r="F213" s="1495" t="s">
        <v>166</v>
      </c>
      <c r="G213" s="21" t="s">
        <v>295</v>
      </c>
      <c r="H213" s="1495" t="s">
        <v>76</v>
      </c>
      <c r="I213" s="1495" t="s">
        <v>437</v>
      </c>
      <c r="J213" s="21" t="s">
        <v>438</v>
      </c>
    </row>
    <row r="214" spans="1:13" x14ac:dyDescent="0.2">
      <c r="A214" s="7" t="s">
        <v>332</v>
      </c>
      <c r="B214" s="21" t="s">
        <v>177</v>
      </c>
      <c r="C214" s="4">
        <v>-118842320000</v>
      </c>
      <c r="D214" s="4">
        <v>-36132160000</v>
      </c>
      <c r="E214" s="4">
        <v>-23033750000</v>
      </c>
      <c r="F214" s="4">
        <v>-21597180000</v>
      </c>
      <c r="G214" s="4">
        <v>-16143438680</v>
      </c>
      <c r="H214" s="4">
        <v>-10825280000</v>
      </c>
      <c r="I214" s="4">
        <v>-313045109</v>
      </c>
      <c r="J214" s="4">
        <v>-25290000</v>
      </c>
    </row>
    <row r="215" spans="1:13" x14ac:dyDescent="0.2">
      <c r="B215" s="21" t="s">
        <v>162</v>
      </c>
      <c r="C215" s="1495" t="s">
        <v>39</v>
      </c>
      <c r="H215" s="1495" t="s">
        <v>166</v>
      </c>
    </row>
    <row r="216" spans="1:13" x14ac:dyDescent="0.2">
      <c r="B216" s="21" t="s">
        <v>161</v>
      </c>
      <c r="C216" s="1495" t="s">
        <v>39</v>
      </c>
      <c r="H216" s="1495" t="s">
        <v>166</v>
      </c>
    </row>
    <row r="217" spans="1:13" x14ac:dyDescent="0.2">
      <c r="B217" s="21" t="s">
        <v>160</v>
      </c>
      <c r="C217" s="1495" t="s">
        <v>39</v>
      </c>
      <c r="H217" s="1495" t="s">
        <v>166</v>
      </c>
      <c r="L217" s="1495" t="s">
        <v>326</v>
      </c>
      <c r="M217" s="1495" t="s">
        <v>432</v>
      </c>
    </row>
    <row r="218" spans="1:13" x14ac:dyDescent="0.2">
      <c r="B218" s="21" t="s">
        <v>157</v>
      </c>
      <c r="C218" s="1495" t="s">
        <v>39</v>
      </c>
      <c r="D218" s="21" t="s">
        <v>10</v>
      </c>
      <c r="E218" s="21" t="s">
        <v>72</v>
      </c>
      <c r="F218" s="21" t="s">
        <v>269</v>
      </c>
      <c r="G218" s="21" t="s">
        <v>66</v>
      </c>
      <c r="H218" s="1495" t="s">
        <v>166</v>
      </c>
      <c r="I218" s="21" t="s">
        <v>91</v>
      </c>
      <c r="J218" s="21" t="s">
        <v>165</v>
      </c>
      <c r="K218" s="21" t="s">
        <v>82</v>
      </c>
      <c r="L218" s="1495" t="s">
        <v>326</v>
      </c>
      <c r="M218" s="1495" t="s">
        <v>432</v>
      </c>
    </row>
    <row r="219" spans="1:13" x14ac:dyDescent="0.2">
      <c r="A219" s="7" t="s">
        <v>331</v>
      </c>
      <c r="B219" s="21" t="s">
        <v>177</v>
      </c>
      <c r="C219" s="4">
        <v>-39860110000</v>
      </c>
      <c r="D219" s="4">
        <v>-23688909463</v>
      </c>
      <c r="E219" s="4">
        <v>-19188960000</v>
      </c>
      <c r="F219" s="4">
        <v>-17451470000</v>
      </c>
      <c r="G219" s="4">
        <v>-16958470000</v>
      </c>
      <c r="H219" s="4">
        <v>-9386410000</v>
      </c>
      <c r="I219" s="4">
        <v>-8583760000</v>
      </c>
      <c r="J219" s="4">
        <v>-8322060000</v>
      </c>
      <c r="K219" s="4">
        <v>-5796255166</v>
      </c>
      <c r="L219" s="4">
        <v>-634320000</v>
      </c>
      <c r="M219" s="4">
        <v>-348490000</v>
      </c>
    </row>
    <row r="220" spans="1:13" x14ac:dyDescent="0.2">
      <c r="B220" s="21" t="s">
        <v>162</v>
      </c>
      <c r="D220" s="1495" t="s">
        <v>36</v>
      </c>
      <c r="E220" s="1495" t="s">
        <v>302</v>
      </c>
      <c r="H220" s="1495" t="s">
        <v>450</v>
      </c>
    </row>
    <row r="221" spans="1:13" x14ac:dyDescent="0.2">
      <c r="B221" s="21" t="s">
        <v>161</v>
      </c>
      <c r="D221" s="1495" t="s">
        <v>36</v>
      </c>
      <c r="E221" s="1495" t="s">
        <v>302</v>
      </c>
      <c r="H221" s="1495" t="s">
        <v>450</v>
      </c>
    </row>
    <row r="222" spans="1:13" x14ac:dyDescent="0.2">
      <c r="B222" s="21" t="s">
        <v>160</v>
      </c>
      <c r="D222" s="1495" t="s">
        <v>36</v>
      </c>
      <c r="E222" s="1495" t="s">
        <v>302</v>
      </c>
      <c r="H222" s="1495" t="s">
        <v>450</v>
      </c>
      <c r="J222" s="1495" t="s">
        <v>432</v>
      </c>
    </row>
    <row r="223" spans="1:13" x14ac:dyDescent="0.2">
      <c r="B223" s="21" t="s">
        <v>157</v>
      </c>
      <c r="C223" s="21" t="s">
        <v>13</v>
      </c>
      <c r="D223" s="1495" t="s">
        <v>36</v>
      </c>
      <c r="E223" s="1495" t="s">
        <v>302</v>
      </c>
      <c r="F223" s="21" t="s">
        <v>311</v>
      </c>
      <c r="G223" s="21" t="s">
        <v>439</v>
      </c>
      <c r="H223" s="1495" t="s">
        <v>450</v>
      </c>
      <c r="I223" s="21" t="s">
        <v>176</v>
      </c>
      <c r="J223" s="1495"/>
    </row>
    <row r="224" spans="1:13" x14ac:dyDescent="0.2">
      <c r="A224" s="7" t="s">
        <v>327</v>
      </c>
      <c r="B224" s="21" t="s">
        <v>177</v>
      </c>
      <c r="C224" s="4">
        <v>-76863420000</v>
      </c>
      <c r="D224" s="4">
        <v>-64840560000</v>
      </c>
      <c r="E224" s="4">
        <v>-28859070000</v>
      </c>
      <c r="F224" s="4">
        <v>-6332136357</v>
      </c>
      <c r="G224" s="4">
        <v>-2143030000</v>
      </c>
      <c r="H224" s="4">
        <v>-912399231</v>
      </c>
      <c r="I224" s="4">
        <v>-620010000</v>
      </c>
      <c r="J224" s="4">
        <v>-281670000</v>
      </c>
    </row>
    <row r="225" spans="1:13" x14ac:dyDescent="0.2">
      <c r="B225" s="21" t="s">
        <v>162</v>
      </c>
      <c r="D225" s="1495" t="s">
        <v>265</v>
      </c>
      <c r="E225" s="1495" t="s">
        <v>92</v>
      </c>
      <c r="F225" s="1495" t="s">
        <v>166</v>
      </c>
      <c r="G225" s="1495" t="s">
        <v>450</v>
      </c>
    </row>
    <row r="226" spans="1:13" x14ac:dyDescent="0.2">
      <c r="B226" s="21" t="s">
        <v>161</v>
      </c>
      <c r="D226" s="1495" t="s">
        <v>265</v>
      </c>
      <c r="E226" s="1495" t="s">
        <v>92</v>
      </c>
      <c r="F226" s="1495" t="s">
        <v>166</v>
      </c>
      <c r="G226" s="1495" t="s">
        <v>450</v>
      </c>
    </row>
    <row r="227" spans="1:13" x14ac:dyDescent="0.2">
      <c r="B227" s="21" t="s">
        <v>160</v>
      </c>
      <c r="D227" s="1495" t="s">
        <v>265</v>
      </c>
      <c r="E227" s="1495" t="s">
        <v>92</v>
      </c>
      <c r="F227" s="1495" t="s">
        <v>166</v>
      </c>
      <c r="G227" s="1495" t="s">
        <v>450</v>
      </c>
    </row>
    <row r="228" spans="1:13" x14ac:dyDescent="0.2">
      <c r="B228" s="21" t="s">
        <v>157</v>
      </c>
      <c r="C228" s="21" t="s">
        <v>269</v>
      </c>
      <c r="D228" s="1495" t="s">
        <v>265</v>
      </c>
      <c r="E228" s="1495" t="s">
        <v>92</v>
      </c>
      <c r="F228" s="1495" t="s">
        <v>166</v>
      </c>
      <c r="G228" s="1495" t="s">
        <v>450</v>
      </c>
    </row>
    <row r="229" spans="1:13" x14ac:dyDescent="0.2">
      <c r="A229" s="7" t="s">
        <v>324</v>
      </c>
      <c r="B229" s="21" t="s">
        <v>177</v>
      </c>
      <c r="C229" s="4">
        <v>-15999710000</v>
      </c>
      <c r="D229" s="4">
        <v>-14087740000</v>
      </c>
      <c r="E229" s="4">
        <v>-3269142536</v>
      </c>
      <c r="F229" s="4">
        <v>-2919090000</v>
      </c>
      <c r="G229" s="4">
        <v>-129870000</v>
      </c>
    </row>
    <row r="230" spans="1:13" x14ac:dyDescent="0.2">
      <c r="B230" s="21" t="s">
        <v>162</v>
      </c>
      <c r="D230" s="1495" t="s">
        <v>67</v>
      </c>
      <c r="E230" s="1495" t="s">
        <v>58</v>
      </c>
    </row>
    <row r="231" spans="1:13" x14ac:dyDescent="0.2">
      <c r="B231" s="21" t="s">
        <v>161</v>
      </c>
      <c r="D231" s="1495" t="s">
        <v>67</v>
      </c>
      <c r="E231" s="1495" t="s">
        <v>58</v>
      </c>
    </row>
    <row r="232" spans="1:13" x14ac:dyDescent="0.2">
      <c r="B232" s="21" t="s">
        <v>160</v>
      </c>
      <c r="D232" s="1495" t="s">
        <v>67</v>
      </c>
      <c r="E232" s="1495" t="s">
        <v>58</v>
      </c>
    </row>
    <row r="233" spans="1:13" x14ac:dyDescent="0.2">
      <c r="B233" s="21" t="s">
        <v>157</v>
      </c>
      <c r="C233" s="21" t="s">
        <v>17</v>
      </c>
      <c r="D233" s="1495" t="s">
        <v>67</v>
      </c>
      <c r="E233" s="1495" t="s">
        <v>58</v>
      </c>
      <c r="F233" s="21" t="s">
        <v>312</v>
      </c>
      <c r="G233" s="21" t="s">
        <v>190</v>
      </c>
      <c r="H233" s="21" t="s">
        <v>192</v>
      </c>
      <c r="I233" s="21" t="s">
        <v>207</v>
      </c>
      <c r="J233" s="21" t="s">
        <v>280</v>
      </c>
      <c r="K233" s="21" t="s">
        <v>270</v>
      </c>
      <c r="L233" s="21" t="s">
        <v>439</v>
      </c>
      <c r="M233" s="21" t="s">
        <v>278</v>
      </c>
    </row>
    <row r="234" spans="1:13" x14ac:dyDescent="0.2">
      <c r="A234" s="7" t="s">
        <v>323</v>
      </c>
      <c r="B234" s="21" t="s">
        <v>177</v>
      </c>
      <c r="C234" s="4">
        <v>-137693770000</v>
      </c>
      <c r="D234" s="4">
        <v>-83357910000</v>
      </c>
      <c r="E234" s="4">
        <v>-37308670000</v>
      </c>
      <c r="F234" s="4">
        <v>-9099230000</v>
      </c>
      <c r="G234" s="4">
        <v>-8369150000</v>
      </c>
      <c r="H234" s="4">
        <v>-6343270000</v>
      </c>
      <c r="I234" s="4">
        <v>-5705630000</v>
      </c>
      <c r="J234" s="4">
        <v>-3739049897</v>
      </c>
      <c r="K234" s="4">
        <v>-1803730000</v>
      </c>
      <c r="L234" s="4">
        <v>-1596660000</v>
      </c>
      <c r="M234" s="4">
        <v>-1392510000</v>
      </c>
    </row>
    <row r="235" spans="1:13" x14ac:dyDescent="0.2">
      <c r="B235" s="21" t="s">
        <v>160</v>
      </c>
      <c r="C235" s="1495" t="s">
        <v>26</v>
      </c>
    </row>
    <row r="236" spans="1:13" x14ac:dyDescent="0.2">
      <c r="B236" s="21" t="s">
        <v>157</v>
      </c>
      <c r="C236" s="1495" t="s">
        <v>26</v>
      </c>
      <c r="D236" s="21" t="s">
        <v>312</v>
      </c>
      <c r="E236" s="21" t="s">
        <v>82</v>
      </c>
      <c r="F236" s="21" t="s">
        <v>446</v>
      </c>
    </row>
    <row r="237" spans="1:13" x14ac:dyDescent="0.2">
      <c r="A237" s="7" t="s">
        <v>321</v>
      </c>
      <c r="B237" s="21" t="s">
        <v>177</v>
      </c>
      <c r="C237" s="4">
        <v>-23483740000</v>
      </c>
      <c r="D237" s="4">
        <v>-8674510000</v>
      </c>
      <c r="E237" s="4">
        <v>-5255276312</v>
      </c>
      <c r="F237" s="4">
        <v>-500120000</v>
      </c>
    </row>
    <row r="238" spans="1:13" x14ac:dyDescent="0.2">
      <c r="B238" s="21" t="s">
        <v>162</v>
      </c>
      <c r="C238" s="1495" t="s">
        <v>40</v>
      </c>
      <c r="D238" s="1495" t="s">
        <v>58</v>
      </c>
    </row>
    <row r="239" spans="1:13" x14ac:dyDescent="0.2">
      <c r="B239" s="21" t="s">
        <v>161</v>
      </c>
      <c r="C239" s="1495" t="s">
        <v>40</v>
      </c>
      <c r="D239" s="1495" t="s">
        <v>58</v>
      </c>
    </row>
    <row r="240" spans="1:13" x14ac:dyDescent="0.2">
      <c r="B240" s="21" t="s">
        <v>160</v>
      </c>
      <c r="C240" s="1495" t="s">
        <v>40</v>
      </c>
      <c r="D240" s="1495" t="s">
        <v>58</v>
      </c>
    </row>
    <row r="241" spans="1:16" x14ac:dyDescent="0.2">
      <c r="B241" s="21" t="s">
        <v>157</v>
      </c>
      <c r="C241" s="1495" t="s">
        <v>40</v>
      </c>
      <c r="D241" s="1495" t="s">
        <v>58</v>
      </c>
      <c r="E241" s="21" t="s">
        <v>312</v>
      </c>
      <c r="F241" s="21" t="s">
        <v>170</v>
      </c>
      <c r="G241" s="21" t="s">
        <v>98</v>
      </c>
      <c r="H241" s="21" t="s">
        <v>443</v>
      </c>
      <c r="I241" s="21" t="s">
        <v>433</v>
      </c>
      <c r="J241" s="21" t="s">
        <v>429</v>
      </c>
    </row>
    <row r="242" spans="1:16" x14ac:dyDescent="0.2">
      <c r="A242" s="7" t="s">
        <v>317</v>
      </c>
      <c r="B242" s="21" t="s">
        <v>177</v>
      </c>
      <c r="C242" s="4">
        <v>-41845190000</v>
      </c>
      <c r="D242" s="4">
        <v>-33297420000</v>
      </c>
      <c r="E242" s="4">
        <v>-6887350000</v>
      </c>
      <c r="F242" s="4">
        <v>-5345840000</v>
      </c>
      <c r="G242" s="4">
        <v>-3202530000</v>
      </c>
      <c r="H242" s="4">
        <v>-2192000000</v>
      </c>
      <c r="I242" s="4">
        <v>-1927270000</v>
      </c>
      <c r="J242" s="4">
        <v>-662280000</v>
      </c>
    </row>
    <row r="243" spans="1:16" x14ac:dyDescent="0.2">
      <c r="B243" s="21" t="s">
        <v>162</v>
      </c>
      <c r="C243" s="1495" t="s">
        <v>12</v>
      </c>
      <c r="D243" s="1495" t="s">
        <v>263</v>
      </c>
      <c r="I243" s="1495" t="s">
        <v>277</v>
      </c>
    </row>
    <row r="244" spans="1:16" x14ac:dyDescent="0.2">
      <c r="B244" s="21" t="s">
        <v>161</v>
      </c>
      <c r="C244" s="1495" t="s">
        <v>12</v>
      </c>
      <c r="D244" s="1495" t="s">
        <v>263</v>
      </c>
      <c r="I244" s="1495" t="s">
        <v>277</v>
      </c>
    </row>
    <row r="245" spans="1:16" x14ac:dyDescent="0.2">
      <c r="B245" s="21" t="s">
        <v>160</v>
      </c>
      <c r="C245" s="1495" t="s">
        <v>12</v>
      </c>
      <c r="D245" s="1495" t="s">
        <v>263</v>
      </c>
      <c r="H245" s="1495" t="s">
        <v>440</v>
      </c>
      <c r="I245" s="1495" t="s">
        <v>277</v>
      </c>
      <c r="L245" s="1495" t="s">
        <v>449</v>
      </c>
    </row>
    <row r="246" spans="1:16" x14ac:dyDescent="0.2">
      <c r="B246" s="21" t="s">
        <v>157</v>
      </c>
      <c r="C246" s="1495" t="s">
        <v>12</v>
      </c>
      <c r="D246" s="1495" t="s">
        <v>263</v>
      </c>
      <c r="E246" s="21" t="s">
        <v>267</v>
      </c>
      <c r="F246" s="21" t="s">
        <v>182</v>
      </c>
      <c r="G246" s="21" t="s">
        <v>311</v>
      </c>
      <c r="H246" s="1495" t="s">
        <v>440</v>
      </c>
      <c r="I246" s="1495" t="s">
        <v>277</v>
      </c>
      <c r="J246" s="21" t="s">
        <v>170</v>
      </c>
      <c r="K246" s="21" t="s">
        <v>167</v>
      </c>
      <c r="L246" s="1495" t="s">
        <v>449</v>
      </c>
    </row>
    <row r="247" spans="1:16" x14ac:dyDescent="0.2">
      <c r="A247" s="7" t="s">
        <v>309</v>
      </c>
      <c r="B247" s="21" t="s">
        <v>177</v>
      </c>
      <c r="C247" s="4">
        <v>-256790900000</v>
      </c>
      <c r="D247" s="4">
        <v>-82791735776</v>
      </c>
      <c r="E247" s="4">
        <v>-17948690000</v>
      </c>
      <c r="F247" s="4">
        <v>-6954800000</v>
      </c>
      <c r="G247" s="4">
        <v>-4065440214</v>
      </c>
      <c r="H247" s="4">
        <v>-2767660000</v>
      </c>
      <c r="I247" s="4">
        <v>-2696060000</v>
      </c>
      <c r="J247" s="4">
        <v>-2266680000</v>
      </c>
      <c r="K247" s="4">
        <v>-615030000</v>
      </c>
      <c r="L247" s="4">
        <v>-60630000</v>
      </c>
    </row>
    <row r="248" spans="1:16" x14ac:dyDescent="0.2">
      <c r="B248" s="21" t="s">
        <v>162</v>
      </c>
      <c r="C248" s="1495" t="s">
        <v>35</v>
      </c>
      <c r="J248" s="1495" t="s">
        <v>76</v>
      </c>
      <c r="L248" s="1495" t="s">
        <v>174</v>
      </c>
    </row>
    <row r="249" spans="1:16" x14ac:dyDescent="0.2">
      <c r="B249" s="21" t="s">
        <v>161</v>
      </c>
      <c r="C249" s="1495" t="s">
        <v>35</v>
      </c>
      <c r="F249" s="1495" t="s">
        <v>36</v>
      </c>
      <c r="J249" s="1495" t="s">
        <v>76</v>
      </c>
      <c r="L249" s="1495" t="s">
        <v>174</v>
      </c>
    </row>
    <row r="250" spans="1:16" x14ac:dyDescent="0.2">
      <c r="B250" s="21" t="s">
        <v>160</v>
      </c>
      <c r="C250" s="1495" t="s">
        <v>35</v>
      </c>
      <c r="D250" s="1495" t="s">
        <v>12</v>
      </c>
      <c r="F250" s="1495" t="s">
        <v>36</v>
      </c>
      <c r="J250" s="1495" t="s">
        <v>76</v>
      </c>
      <c r="L250" s="1495" t="s">
        <v>174</v>
      </c>
    </row>
    <row r="251" spans="1:16" x14ac:dyDescent="0.2">
      <c r="B251" s="21" t="s">
        <v>157</v>
      </c>
      <c r="C251" s="1495" t="s">
        <v>35</v>
      </c>
      <c r="D251" s="1495" t="s">
        <v>12</v>
      </c>
      <c r="E251" s="21" t="s">
        <v>22</v>
      </c>
      <c r="F251" s="1495" t="s">
        <v>36</v>
      </c>
      <c r="G251" s="21" t="s">
        <v>97</v>
      </c>
      <c r="H251" s="21" t="s">
        <v>16</v>
      </c>
      <c r="I251" s="21" t="s">
        <v>171</v>
      </c>
      <c r="J251" s="1495" t="s">
        <v>76</v>
      </c>
      <c r="K251" s="21" t="s">
        <v>34</v>
      </c>
      <c r="L251" s="1495" t="s">
        <v>174</v>
      </c>
      <c r="M251" s="21" t="s">
        <v>91</v>
      </c>
      <c r="N251" s="21" t="s">
        <v>291</v>
      </c>
      <c r="O251" s="21" t="s">
        <v>280</v>
      </c>
      <c r="P251" s="21" t="s">
        <v>275</v>
      </c>
    </row>
    <row r="252" spans="1:16" x14ac:dyDescent="0.2">
      <c r="A252" s="7" t="s">
        <v>305</v>
      </c>
      <c r="B252" s="21" t="s">
        <v>177</v>
      </c>
      <c r="C252" s="4">
        <v>-218914600000</v>
      </c>
      <c r="D252" s="4">
        <v>-112905280000</v>
      </c>
      <c r="E252" s="4">
        <v>-100471270000</v>
      </c>
      <c r="F252" s="4">
        <v>-63288240000</v>
      </c>
      <c r="G252" s="4">
        <v>-30082700000</v>
      </c>
      <c r="H252" s="4">
        <v>-13440880000</v>
      </c>
      <c r="I252" s="4">
        <v>-11086140000</v>
      </c>
      <c r="J252" s="4">
        <v>-10582710000</v>
      </c>
      <c r="K252" s="4">
        <v>-10399000000</v>
      </c>
      <c r="L252" s="4">
        <v>-4951190000</v>
      </c>
      <c r="M252" s="4">
        <v>-4840390000</v>
      </c>
      <c r="N252" s="4">
        <v>-3705420000</v>
      </c>
      <c r="O252" s="4">
        <v>-2531670094</v>
      </c>
      <c r="P252" s="4">
        <v>-66159202</v>
      </c>
    </row>
    <row r="253" spans="1:16" x14ac:dyDescent="0.2">
      <c r="B253" s="21" t="s">
        <v>162</v>
      </c>
      <c r="E253" s="1495" t="s">
        <v>59</v>
      </c>
      <c r="K253" s="1495" t="s">
        <v>90</v>
      </c>
      <c r="M253" s="1495" t="s">
        <v>194</v>
      </c>
    </row>
    <row r="254" spans="1:16" x14ac:dyDescent="0.2">
      <c r="B254" s="21" t="s">
        <v>161</v>
      </c>
      <c r="E254" s="1495" t="s">
        <v>59</v>
      </c>
      <c r="K254" s="1495" t="s">
        <v>90</v>
      </c>
      <c r="M254" s="1495" t="s">
        <v>194</v>
      </c>
    </row>
    <row r="255" spans="1:16" x14ac:dyDescent="0.2">
      <c r="B255" s="21" t="s">
        <v>160</v>
      </c>
      <c r="C255" s="1495" t="s">
        <v>14</v>
      </c>
      <c r="E255" s="1495" t="s">
        <v>59</v>
      </c>
      <c r="K255" s="1495" t="s">
        <v>90</v>
      </c>
      <c r="M255" s="1495" t="s">
        <v>194</v>
      </c>
    </row>
    <row r="256" spans="1:16" x14ac:dyDescent="0.2">
      <c r="B256" s="21" t="s">
        <v>157</v>
      </c>
      <c r="C256" s="1495" t="s">
        <v>14</v>
      </c>
      <c r="D256" s="21" t="s">
        <v>6</v>
      </c>
      <c r="E256" s="1495" t="s">
        <v>59</v>
      </c>
      <c r="F256" s="21" t="s">
        <v>5</v>
      </c>
      <c r="G256" s="21" t="s">
        <v>22</v>
      </c>
      <c r="H256" s="21" t="s">
        <v>86</v>
      </c>
      <c r="I256" s="21" t="s">
        <v>71</v>
      </c>
      <c r="J256" s="21" t="s">
        <v>27</v>
      </c>
      <c r="K256" s="1495" t="s">
        <v>90</v>
      </c>
      <c r="L256" s="21" t="s">
        <v>159</v>
      </c>
      <c r="M256" s="1495" t="s">
        <v>194</v>
      </c>
      <c r="N256" s="21" t="s">
        <v>182</v>
      </c>
      <c r="O256" s="21" t="s">
        <v>167</v>
      </c>
    </row>
    <row r="257" spans="1:19" x14ac:dyDescent="0.2">
      <c r="A257" s="7" t="s">
        <v>260</v>
      </c>
      <c r="B257" s="21" t="s">
        <v>177</v>
      </c>
      <c r="C257" s="4">
        <v>-231061130000</v>
      </c>
      <c r="D257" s="4">
        <v>-188108080000</v>
      </c>
      <c r="E257" s="4">
        <v>-109278270000</v>
      </c>
      <c r="F257" s="4">
        <v>-104055990000</v>
      </c>
      <c r="G257" s="4">
        <v>-59450940000</v>
      </c>
      <c r="H257" s="4">
        <v>-44087900000</v>
      </c>
      <c r="I257" s="4">
        <v>-37693660000</v>
      </c>
      <c r="J257" s="4">
        <v>-33561240000</v>
      </c>
      <c r="K257" s="4">
        <v>-20809130000</v>
      </c>
      <c r="L257" s="4">
        <v>-6687050000</v>
      </c>
      <c r="M257" s="4">
        <v>-6022440000</v>
      </c>
      <c r="N257" s="4">
        <v>-3925790000</v>
      </c>
      <c r="O257" s="4">
        <v>-614000000</v>
      </c>
    </row>
    <row r="258" spans="1:19" x14ac:dyDescent="0.2">
      <c r="B258" s="21" t="s">
        <v>162</v>
      </c>
      <c r="C258" s="1495" t="s">
        <v>18</v>
      </c>
      <c r="F258" s="1495" t="s">
        <v>58</v>
      </c>
      <c r="H258" s="1495" t="s">
        <v>302</v>
      </c>
      <c r="J258" s="1495" t="s">
        <v>197</v>
      </c>
      <c r="L258" s="1495" t="s">
        <v>303</v>
      </c>
      <c r="N258" s="1495" t="s">
        <v>166</v>
      </c>
      <c r="Q258" s="1495" t="s">
        <v>450</v>
      </c>
    </row>
    <row r="259" spans="1:19" x14ac:dyDescent="0.2">
      <c r="B259" s="21" t="s">
        <v>161</v>
      </c>
      <c r="C259" s="1495" t="s">
        <v>18</v>
      </c>
      <c r="F259" s="1495" t="s">
        <v>58</v>
      </c>
      <c r="H259" s="1495" t="s">
        <v>302</v>
      </c>
      <c r="J259" s="1495" t="s">
        <v>197</v>
      </c>
      <c r="L259" s="1495" t="s">
        <v>303</v>
      </c>
      <c r="N259" s="1495" t="s">
        <v>166</v>
      </c>
      <c r="Q259" s="1495" t="s">
        <v>450</v>
      </c>
    </row>
    <row r="260" spans="1:19" x14ac:dyDescent="0.2">
      <c r="B260" s="21" t="s">
        <v>160</v>
      </c>
      <c r="C260" s="1495" t="s">
        <v>18</v>
      </c>
      <c r="E260" s="1495" t="s">
        <v>38</v>
      </c>
      <c r="F260" s="1495" t="s">
        <v>58</v>
      </c>
      <c r="H260" s="1495" t="s">
        <v>302</v>
      </c>
      <c r="J260" s="1495" t="s">
        <v>197</v>
      </c>
      <c r="L260" s="1495" t="s">
        <v>303</v>
      </c>
      <c r="N260" s="1495" t="s">
        <v>166</v>
      </c>
      <c r="Q260" s="1495" t="s">
        <v>450</v>
      </c>
    </row>
    <row r="261" spans="1:19" x14ac:dyDescent="0.2">
      <c r="B261" s="21" t="s">
        <v>157</v>
      </c>
      <c r="C261" s="1495" t="s">
        <v>18</v>
      </c>
      <c r="D261" s="21" t="s">
        <v>86</v>
      </c>
      <c r="E261" s="1495" t="s">
        <v>38</v>
      </c>
      <c r="F261" s="1495" t="s">
        <v>58</v>
      </c>
      <c r="G261" s="21" t="s">
        <v>20</v>
      </c>
      <c r="H261" s="1495" t="s">
        <v>302</v>
      </c>
      <c r="I261" s="21" t="s">
        <v>26</v>
      </c>
      <c r="J261" s="1495" t="s">
        <v>197</v>
      </c>
      <c r="K261" s="21" t="s">
        <v>91</v>
      </c>
      <c r="L261" s="1495" t="s">
        <v>303</v>
      </c>
      <c r="M261" s="21" t="s">
        <v>311</v>
      </c>
      <c r="N261" s="1495" t="s">
        <v>166</v>
      </c>
      <c r="O261" s="21" t="s">
        <v>167</v>
      </c>
      <c r="P261" s="21" t="s">
        <v>432</v>
      </c>
      <c r="Q261" s="1495" t="s">
        <v>450</v>
      </c>
    </row>
    <row r="262" spans="1:19" x14ac:dyDescent="0.2">
      <c r="A262" s="7" t="s">
        <v>259</v>
      </c>
      <c r="B262" s="21" t="s">
        <v>177</v>
      </c>
      <c r="C262" s="4">
        <v>-464735810000</v>
      </c>
      <c r="D262" s="4">
        <v>-43408490000</v>
      </c>
      <c r="E262" s="4">
        <v>-37237190000</v>
      </c>
      <c r="F262" s="4">
        <v>-28892480000</v>
      </c>
      <c r="G262" s="4">
        <v>-21065884178</v>
      </c>
      <c r="H262" s="4">
        <v>-18919980000</v>
      </c>
      <c r="I262" s="4">
        <v>-16768060000</v>
      </c>
      <c r="J262" s="4">
        <v>-15346269353</v>
      </c>
      <c r="K262" s="4">
        <v>-4719170000</v>
      </c>
      <c r="L262" s="4">
        <v>-3844520000</v>
      </c>
      <c r="M262" s="4">
        <v>-2373900708</v>
      </c>
      <c r="N262" s="4">
        <v>-1712770000</v>
      </c>
      <c r="O262" s="4">
        <v>-429430000</v>
      </c>
      <c r="P262" s="4">
        <v>-107240000</v>
      </c>
      <c r="Q262" s="4">
        <v>-47120144</v>
      </c>
    </row>
    <row r="263" spans="1:19" x14ac:dyDescent="0.2">
      <c r="B263" s="21" t="s">
        <v>162</v>
      </c>
      <c r="F263" s="1495" t="s">
        <v>166</v>
      </c>
    </row>
    <row r="264" spans="1:19" x14ac:dyDescent="0.2">
      <c r="B264" s="21" t="s">
        <v>161</v>
      </c>
      <c r="D264" s="1495" t="s">
        <v>61</v>
      </c>
      <c r="F264" s="1495" t="s">
        <v>166</v>
      </c>
    </row>
    <row r="265" spans="1:19" x14ac:dyDescent="0.2">
      <c r="B265" s="21" t="s">
        <v>160</v>
      </c>
      <c r="D265" s="1495" t="s">
        <v>61</v>
      </c>
      <c r="F265" s="1495" t="s">
        <v>166</v>
      </c>
    </row>
    <row r="266" spans="1:19" x14ac:dyDescent="0.2">
      <c r="B266" s="21" t="s">
        <v>157</v>
      </c>
      <c r="C266" s="21" t="s">
        <v>180</v>
      </c>
      <c r="D266" s="1495" t="s">
        <v>61</v>
      </c>
      <c r="E266" s="21" t="s">
        <v>82</v>
      </c>
      <c r="F266" s="1495" t="s">
        <v>166</v>
      </c>
    </row>
    <row r="267" spans="1:19" x14ac:dyDescent="0.2">
      <c r="A267" s="7" t="s">
        <v>258</v>
      </c>
      <c r="B267" s="21" t="s">
        <v>177</v>
      </c>
      <c r="C267" s="4">
        <v>-46972200000</v>
      </c>
      <c r="D267" s="4">
        <v>-35874770000</v>
      </c>
      <c r="E267" s="4">
        <v>-4797215286</v>
      </c>
      <c r="F267" s="4">
        <v>-1282540000</v>
      </c>
    </row>
    <row r="268" spans="1:19" x14ac:dyDescent="0.2">
      <c r="B268" s="21" t="s">
        <v>162</v>
      </c>
      <c r="C268" s="1495" t="s">
        <v>33</v>
      </c>
      <c r="E268" s="1495" t="s">
        <v>35</v>
      </c>
      <c r="M268" s="1495" t="s">
        <v>430</v>
      </c>
      <c r="P268" s="1495" t="s">
        <v>173</v>
      </c>
      <c r="Q268" s="1495" t="s">
        <v>300</v>
      </c>
      <c r="R268" s="1495" t="s">
        <v>277</v>
      </c>
    </row>
    <row r="269" spans="1:19" x14ac:dyDescent="0.2">
      <c r="B269" s="21" t="s">
        <v>161</v>
      </c>
      <c r="C269" s="1495" t="s">
        <v>33</v>
      </c>
      <c r="E269" s="1495" t="s">
        <v>35</v>
      </c>
      <c r="I269" s="1495" t="s">
        <v>67</v>
      </c>
      <c r="M269" s="1495" t="s">
        <v>430</v>
      </c>
      <c r="P269" s="1495" t="s">
        <v>173</v>
      </c>
      <c r="Q269" s="1495" t="s">
        <v>300</v>
      </c>
      <c r="R269" s="1495" t="s">
        <v>277</v>
      </c>
    </row>
    <row r="270" spans="1:19" x14ac:dyDescent="0.2">
      <c r="B270" s="21" t="s">
        <v>160</v>
      </c>
      <c r="C270" s="1495" t="s">
        <v>33</v>
      </c>
      <c r="E270" s="1495" t="s">
        <v>35</v>
      </c>
      <c r="F270" s="1495" t="s">
        <v>65</v>
      </c>
      <c r="I270" s="1495"/>
      <c r="J270" s="1495" t="s">
        <v>19</v>
      </c>
      <c r="M270" s="1495" t="s">
        <v>430</v>
      </c>
      <c r="P270" s="1495" t="s">
        <v>173</v>
      </c>
      <c r="Q270" s="1495" t="s">
        <v>300</v>
      </c>
      <c r="R270" s="1495" t="s">
        <v>277</v>
      </c>
    </row>
    <row r="271" spans="1:19" x14ac:dyDescent="0.2">
      <c r="B271" s="21" t="s">
        <v>157</v>
      </c>
      <c r="C271" s="1495" t="s">
        <v>33</v>
      </c>
      <c r="D271" s="21" t="s">
        <v>17</v>
      </c>
      <c r="E271" s="1495" t="s">
        <v>35</v>
      </c>
      <c r="F271" s="1495" t="s">
        <v>65</v>
      </c>
      <c r="G271" s="21" t="s">
        <v>11</v>
      </c>
      <c r="H271" s="21" t="s">
        <v>22</v>
      </c>
      <c r="I271" s="1495"/>
      <c r="J271" s="1495" t="s">
        <v>19</v>
      </c>
      <c r="K271" s="21" t="s">
        <v>295</v>
      </c>
      <c r="L271" s="21" t="s">
        <v>16</v>
      </c>
      <c r="M271" s="1495" t="s">
        <v>430</v>
      </c>
      <c r="N271" s="21" t="s">
        <v>264</v>
      </c>
      <c r="O271" s="21" t="s">
        <v>301</v>
      </c>
      <c r="P271" s="1495" t="s">
        <v>173</v>
      </c>
      <c r="Q271" s="1495" t="s">
        <v>300</v>
      </c>
      <c r="R271" s="1495" t="s">
        <v>277</v>
      </c>
      <c r="S271" s="21" t="s">
        <v>176</v>
      </c>
    </row>
    <row r="272" spans="1:19" x14ac:dyDescent="0.2">
      <c r="A272" s="7" t="s">
        <v>257</v>
      </c>
      <c r="B272" s="21" t="s">
        <v>177</v>
      </c>
      <c r="C272" s="4">
        <v>-355307980000</v>
      </c>
      <c r="D272" s="4">
        <v>-131876110000</v>
      </c>
      <c r="E272" s="4">
        <v>-112955840000</v>
      </c>
      <c r="F272" s="4">
        <v>-91521650000</v>
      </c>
      <c r="G272" s="4">
        <v>-71990410000</v>
      </c>
      <c r="H272" s="4">
        <v>-57838840000</v>
      </c>
      <c r="I272" s="4">
        <v>-43732760000</v>
      </c>
      <c r="J272" s="4">
        <v>-33870480000</v>
      </c>
      <c r="K272" s="4">
        <v>-13486518982</v>
      </c>
      <c r="L272" s="4">
        <v>-12055990000</v>
      </c>
      <c r="M272" s="4">
        <v>-10717860000</v>
      </c>
      <c r="N272" s="4">
        <v>-9546570000</v>
      </c>
      <c r="O272" s="4">
        <v>-6672800000</v>
      </c>
      <c r="P272" s="4">
        <v>-5695720000</v>
      </c>
      <c r="Q272" s="4">
        <v>-1609430000</v>
      </c>
      <c r="R272" s="4">
        <v>-1033950000</v>
      </c>
      <c r="S272" s="4">
        <v>-293290000</v>
      </c>
    </row>
    <row r="273" spans="1:17" x14ac:dyDescent="0.2">
      <c r="B273" s="21" t="s">
        <v>162</v>
      </c>
      <c r="C273" s="1495" t="s">
        <v>33</v>
      </c>
      <c r="O273" s="1495" t="s">
        <v>448</v>
      </c>
    </row>
    <row r="274" spans="1:17" x14ac:dyDescent="0.2">
      <c r="B274" s="21" t="s">
        <v>161</v>
      </c>
      <c r="C274" s="1495" t="s">
        <v>33</v>
      </c>
      <c r="O274" s="1495" t="s">
        <v>448</v>
      </c>
    </row>
    <row r="275" spans="1:17" x14ac:dyDescent="0.2">
      <c r="B275" s="21" t="s">
        <v>160</v>
      </c>
      <c r="C275" s="1495" t="s">
        <v>33</v>
      </c>
      <c r="E275" s="1495" t="s">
        <v>19</v>
      </c>
      <c r="O275" s="1495" t="s">
        <v>448</v>
      </c>
    </row>
    <row r="276" spans="1:17" x14ac:dyDescent="0.2">
      <c r="B276" s="21" t="s">
        <v>157</v>
      </c>
      <c r="C276" s="1495" t="s">
        <v>33</v>
      </c>
      <c r="D276" s="21" t="s">
        <v>6</v>
      </c>
      <c r="E276" s="1495"/>
      <c r="F276" s="21" t="s">
        <v>95</v>
      </c>
      <c r="G276" s="21" t="s">
        <v>264</v>
      </c>
      <c r="H276" s="21" t="s">
        <v>82</v>
      </c>
      <c r="I276" s="21" t="s">
        <v>440</v>
      </c>
      <c r="J276" s="21" t="s">
        <v>443</v>
      </c>
      <c r="K276" s="21" t="s">
        <v>98</v>
      </c>
      <c r="L276" s="21" t="s">
        <v>270</v>
      </c>
      <c r="M276" s="21" t="s">
        <v>300</v>
      </c>
      <c r="N276" s="21" t="s">
        <v>303</v>
      </c>
      <c r="O276" s="1495" t="s">
        <v>448</v>
      </c>
    </row>
    <row r="277" spans="1:17" x14ac:dyDescent="0.2">
      <c r="A277" s="7" t="s">
        <v>256</v>
      </c>
      <c r="B277" s="21" t="s">
        <v>177</v>
      </c>
      <c r="C277" s="4">
        <v>-187151180000</v>
      </c>
      <c r="D277" s="4">
        <v>-67586100000</v>
      </c>
      <c r="E277" s="4">
        <v>-17941670000</v>
      </c>
      <c r="F277" s="4">
        <v>-12684990000</v>
      </c>
      <c r="G277" s="4">
        <v>-8829130000</v>
      </c>
      <c r="H277" s="4">
        <v>-4661808811</v>
      </c>
      <c r="I277" s="4">
        <v>-1882720000</v>
      </c>
      <c r="J277" s="4">
        <v>-1874440000</v>
      </c>
      <c r="K277" s="4">
        <v>-1829160000</v>
      </c>
      <c r="L277" s="4">
        <v>-1403940000</v>
      </c>
      <c r="M277" s="4">
        <v>-1151960000</v>
      </c>
      <c r="N277" s="4">
        <v>-855320000</v>
      </c>
      <c r="O277" s="4">
        <v>-854831412</v>
      </c>
    </row>
    <row r="278" spans="1:17" x14ac:dyDescent="0.2">
      <c r="B278" s="21" t="s">
        <v>162</v>
      </c>
      <c r="E278" s="1495" t="s">
        <v>85</v>
      </c>
      <c r="N278" s="1495" t="s">
        <v>292</v>
      </c>
    </row>
    <row r="279" spans="1:17" x14ac:dyDescent="0.2">
      <c r="B279" s="21" t="s">
        <v>161</v>
      </c>
      <c r="D279" s="1495" t="s">
        <v>33</v>
      </c>
      <c r="E279" s="1495" t="s">
        <v>85</v>
      </c>
      <c r="N279" s="1495" t="s">
        <v>292</v>
      </c>
    </row>
    <row r="280" spans="1:17" x14ac:dyDescent="0.2">
      <c r="B280" s="21" t="s">
        <v>160</v>
      </c>
      <c r="D280" s="1495" t="s">
        <v>33</v>
      </c>
      <c r="E280" s="1495" t="s">
        <v>85</v>
      </c>
      <c r="I280" s="1495" t="s">
        <v>68</v>
      </c>
      <c r="K280" s="1495" t="s">
        <v>436</v>
      </c>
      <c r="N280" s="1495" t="s">
        <v>292</v>
      </c>
    </row>
    <row r="281" spans="1:17" x14ac:dyDescent="0.2">
      <c r="B281" s="21" t="s">
        <v>157</v>
      </c>
      <c r="C281" s="21" t="s">
        <v>64</v>
      </c>
      <c r="D281" s="1495" t="s">
        <v>33</v>
      </c>
      <c r="E281" s="1495" t="s">
        <v>85</v>
      </c>
      <c r="F281" s="21" t="s">
        <v>28</v>
      </c>
      <c r="G281" s="21" t="s">
        <v>69</v>
      </c>
      <c r="H281" s="21" t="s">
        <v>183</v>
      </c>
      <c r="I281" s="1495" t="s">
        <v>68</v>
      </c>
      <c r="J281" s="21" t="s">
        <v>271</v>
      </c>
      <c r="K281" s="1495" t="s">
        <v>436</v>
      </c>
      <c r="L281" s="21" t="s">
        <v>76</v>
      </c>
      <c r="M281" s="21" t="s">
        <v>289</v>
      </c>
      <c r="N281" s="1495" t="s">
        <v>292</v>
      </c>
      <c r="O281" s="21" t="s">
        <v>170</v>
      </c>
    </row>
    <row r="282" spans="1:17" x14ac:dyDescent="0.2">
      <c r="A282" s="7" t="s">
        <v>255</v>
      </c>
      <c r="B282" s="21" t="s">
        <v>177</v>
      </c>
      <c r="C282" s="4">
        <v>-114711950000</v>
      </c>
      <c r="D282" s="4">
        <v>-75925710000</v>
      </c>
      <c r="E282" s="4">
        <v>-55611390000</v>
      </c>
      <c r="F282" s="4">
        <v>-31420760000</v>
      </c>
      <c r="G282" s="4">
        <v>-25141360000</v>
      </c>
      <c r="H282" s="4">
        <v>-19010770000</v>
      </c>
      <c r="I282" s="4">
        <v>-17797170000</v>
      </c>
      <c r="J282" s="4">
        <v>-16589990000</v>
      </c>
      <c r="K282" s="4">
        <v>-5468172924</v>
      </c>
      <c r="L282" s="4">
        <v>-4824690000</v>
      </c>
      <c r="M282" s="4">
        <v>-4657490000</v>
      </c>
      <c r="N282" s="4">
        <v>-3524292727</v>
      </c>
      <c r="O282" s="4">
        <v>-1828020000</v>
      </c>
    </row>
    <row r="283" spans="1:17" x14ac:dyDescent="0.2">
      <c r="B283" s="21" t="s">
        <v>162</v>
      </c>
      <c r="C283" s="1495" t="s">
        <v>63</v>
      </c>
      <c r="D283" s="1495" t="s">
        <v>99</v>
      </c>
      <c r="G283" s="1495" t="s">
        <v>202</v>
      </c>
      <c r="J283" s="1495" t="s">
        <v>430</v>
      </c>
    </row>
    <row r="284" spans="1:17" x14ac:dyDescent="0.2">
      <c r="B284" s="21" t="s">
        <v>161</v>
      </c>
      <c r="C284" s="1495" t="s">
        <v>63</v>
      </c>
      <c r="D284" s="1495" t="s">
        <v>99</v>
      </c>
      <c r="G284" s="1495" t="s">
        <v>202</v>
      </c>
      <c r="J284" s="1495" t="s">
        <v>430</v>
      </c>
    </row>
    <row r="285" spans="1:17" x14ac:dyDescent="0.2">
      <c r="B285" s="21" t="s">
        <v>160</v>
      </c>
      <c r="C285" s="1495" t="s">
        <v>63</v>
      </c>
      <c r="D285" s="1495" t="s">
        <v>99</v>
      </c>
      <c r="G285" s="1495" t="s">
        <v>202</v>
      </c>
      <c r="H285" s="1495" t="s">
        <v>19</v>
      </c>
      <c r="J285" s="1495" t="s">
        <v>430</v>
      </c>
    </row>
    <row r="286" spans="1:17" x14ac:dyDescent="0.2">
      <c r="B286" s="21" t="s">
        <v>157</v>
      </c>
      <c r="C286" s="1495" t="s">
        <v>63</v>
      </c>
      <c r="D286" s="1495" t="s">
        <v>99</v>
      </c>
      <c r="E286" s="21" t="s">
        <v>12</v>
      </c>
      <c r="F286" s="21" t="s">
        <v>6</v>
      </c>
      <c r="G286" s="1495" t="s">
        <v>202</v>
      </c>
      <c r="H286" s="1495" t="s">
        <v>19</v>
      </c>
      <c r="I286" s="21" t="s">
        <v>184</v>
      </c>
      <c r="J286" s="1495" t="s">
        <v>430</v>
      </c>
      <c r="K286" s="21" t="s">
        <v>287</v>
      </c>
      <c r="L286" s="21" t="s">
        <v>441</v>
      </c>
      <c r="M286" s="21" t="s">
        <v>38</v>
      </c>
      <c r="N286" s="21" t="s">
        <v>288</v>
      </c>
      <c r="O286" s="21" t="s">
        <v>270</v>
      </c>
      <c r="P286" s="21" t="s">
        <v>433</v>
      </c>
      <c r="Q286" s="21" t="s">
        <v>443</v>
      </c>
    </row>
    <row r="287" spans="1:17" x14ac:dyDescent="0.2">
      <c r="A287" s="7" t="s">
        <v>254</v>
      </c>
      <c r="B287" s="21" t="s">
        <v>177</v>
      </c>
      <c r="C287" s="4">
        <v>-371213929700</v>
      </c>
      <c r="D287" s="4">
        <v>-192735790000</v>
      </c>
      <c r="E287" s="4">
        <v>-81316570000</v>
      </c>
      <c r="F287" s="4">
        <v>-45584250000</v>
      </c>
      <c r="G287" s="4">
        <v>-18072676175</v>
      </c>
      <c r="H287" s="4">
        <v>-12996660000</v>
      </c>
      <c r="I287" s="4">
        <v>-9326300000</v>
      </c>
      <c r="J287" s="4">
        <v>-6109290000</v>
      </c>
      <c r="K287" s="4">
        <v>-5803490000</v>
      </c>
      <c r="L287" s="4">
        <v>-5060010000</v>
      </c>
      <c r="M287" s="4">
        <v>-4771780000</v>
      </c>
      <c r="N287" s="4">
        <v>-2117315068</v>
      </c>
      <c r="O287" s="4">
        <v>-1299330000</v>
      </c>
      <c r="P287" s="4">
        <v>-948510000</v>
      </c>
      <c r="Q287" s="4">
        <v>-754050000</v>
      </c>
    </row>
    <row r="288" spans="1:17" x14ac:dyDescent="0.2">
      <c r="B288" s="21" t="s">
        <v>162</v>
      </c>
      <c r="E288" s="1495" t="s">
        <v>63</v>
      </c>
      <c r="F288" s="1495" t="s">
        <v>40</v>
      </c>
      <c r="H288" s="1495" t="s">
        <v>73</v>
      </c>
      <c r="K288" s="1495" t="s">
        <v>430</v>
      </c>
      <c r="N288" s="1495" t="s">
        <v>437</v>
      </c>
      <c r="P288" s="1495" t="s">
        <v>290</v>
      </c>
    </row>
    <row r="289" spans="1:16" x14ac:dyDescent="0.2">
      <c r="B289" s="21" t="s">
        <v>161</v>
      </c>
      <c r="E289" s="1495" t="s">
        <v>63</v>
      </c>
      <c r="F289" s="1495" t="s">
        <v>40</v>
      </c>
      <c r="H289" s="1495" t="s">
        <v>73</v>
      </c>
      <c r="K289" s="1495" t="s">
        <v>430</v>
      </c>
      <c r="N289" s="1495" t="s">
        <v>437</v>
      </c>
      <c r="P289" s="1495" t="s">
        <v>290</v>
      </c>
    </row>
    <row r="290" spans="1:16" x14ac:dyDescent="0.2">
      <c r="B290" s="21" t="s">
        <v>160</v>
      </c>
      <c r="E290" s="1495" t="s">
        <v>63</v>
      </c>
      <c r="F290" s="1495" t="s">
        <v>40</v>
      </c>
      <c r="H290" s="1495" t="s">
        <v>73</v>
      </c>
      <c r="K290" s="1495" t="s">
        <v>430</v>
      </c>
      <c r="N290" s="1495" t="s">
        <v>437</v>
      </c>
      <c r="O290" s="1495" t="s">
        <v>449</v>
      </c>
      <c r="P290" s="1495" t="s">
        <v>290</v>
      </c>
    </row>
    <row r="291" spans="1:16" x14ac:dyDescent="0.2">
      <c r="B291" s="21" t="s">
        <v>157</v>
      </c>
      <c r="C291" s="21" t="s">
        <v>21</v>
      </c>
      <c r="D291" s="21" t="s">
        <v>17</v>
      </c>
      <c r="E291" s="1495" t="s">
        <v>63</v>
      </c>
      <c r="F291" s="1495" t="s">
        <v>40</v>
      </c>
      <c r="G291" s="21" t="s">
        <v>10</v>
      </c>
      <c r="H291" s="1495" t="s">
        <v>73</v>
      </c>
      <c r="I291" s="21" t="s">
        <v>83</v>
      </c>
      <c r="J291" s="21" t="s">
        <v>310</v>
      </c>
      <c r="K291" s="1495" t="s">
        <v>430</v>
      </c>
      <c r="L291" s="21" t="s">
        <v>312</v>
      </c>
      <c r="M291" s="21" t="s">
        <v>442</v>
      </c>
      <c r="N291" s="1495" t="s">
        <v>437</v>
      </c>
      <c r="O291" s="1495" t="s">
        <v>449</v>
      </c>
      <c r="P291" s="1495" t="s">
        <v>290</v>
      </c>
    </row>
    <row r="292" spans="1:16" x14ac:dyDescent="0.2">
      <c r="A292" s="7" t="s">
        <v>253</v>
      </c>
      <c r="B292" s="21" t="s">
        <v>177</v>
      </c>
      <c r="C292" s="4">
        <v>-152774080000</v>
      </c>
      <c r="D292" s="4">
        <v>-105607400000</v>
      </c>
      <c r="E292" s="4">
        <v>-98238534878</v>
      </c>
      <c r="F292" s="4">
        <v>-29878580000</v>
      </c>
      <c r="G292" s="4">
        <v>-21900177850</v>
      </c>
      <c r="H292" s="4">
        <v>-21786220000</v>
      </c>
      <c r="I292" s="4">
        <v>-16612372199</v>
      </c>
      <c r="J292" s="4">
        <v>-11518660000</v>
      </c>
      <c r="K292" s="4">
        <v>-5494650000</v>
      </c>
      <c r="L292" s="4">
        <v>-3445600000</v>
      </c>
      <c r="M292" s="4">
        <v>-1073100000</v>
      </c>
      <c r="N292" s="4">
        <v>-196801818</v>
      </c>
      <c r="O292" s="4">
        <v>-27600000</v>
      </c>
      <c r="P292" s="4">
        <v>-4008629</v>
      </c>
    </row>
    <row r="293" spans="1:16" x14ac:dyDescent="0.2">
      <c r="B293" s="21" t="s">
        <v>162</v>
      </c>
      <c r="E293" s="1495" t="s">
        <v>39</v>
      </c>
      <c r="F293" s="1495" t="s">
        <v>281</v>
      </c>
      <c r="G293" s="1495" t="s">
        <v>73</v>
      </c>
    </row>
    <row r="294" spans="1:16" x14ac:dyDescent="0.2">
      <c r="B294" s="21" t="s">
        <v>161</v>
      </c>
      <c r="C294" s="1495" t="s">
        <v>33</v>
      </c>
      <c r="D294" s="1495" t="s">
        <v>61</v>
      </c>
      <c r="E294" s="1495" t="s">
        <v>39</v>
      </c>
      <c r="F294" s="1495" t="s">
        <v>281</v>
      </c>
      <c r="G294" s="1495" t="s">
        <v>73</v>
      </c>
    </row>
    <row r="295" spans="1:16" x14ac:dyDescent="0.2">
      <c r="B295" s="21" t="s">
        <v>160</v>
      </c>
      <c r="C295" s="1495" t="s">
        <v>33</v>
      </c>
      <c r="D295" s="1495" t="s">
        <v>61</v>
      </c>
      <c r="E295" s="1495" t="s">
        <v>39</v>
      </c>
      <c r="F295" s="1495" t="s">
        <v>281</v>
      </c>
      <c r="G295" s="1495" t="s">
        <v>73</v>
      </c>
    </row>
    <row r="296" spans="1:16" x14ac:dyDescent="0.2">
      <c r="B296" s="21" t="s">
        <v>157</v>
      </c>
      <c r="C296" s="1495" t="s">
        <v>33</v>
      </c>
      <c r="D296" s="1495" t="s">
        <v>61</v>
      </c>
      <c r="E296" s="1495" t="s">
        <v>39</v>
      </c>
      <c r="F296" s="1495" t="s">
        <v>281</v>
      </c>
      <c r="G296" s="1495" t="s">
        <v>73</v>
      </c>
      <c r="H296" s="21" t="s">
        <v>170</v>
      </c>
    </row>
    <row r="297" spans="1:16" x14ac:dyDescent="0.2">
      <c r="A297" s="7" t="s">
        <v>252</v>
      </c>
      <c r="B297" s="21" t="s">
        <v>177</v>
      </c>
      <c r="C297" s="4">
        <v>-66013810000</v>
      </c>
      <c r="D297" s="4">
        <v>-30353680000</v>
      </c>
      <c r="E297" s="4">
        <v>-14161310000</v>
      </c>
      <c r="F297" s="4">
        <v>-7844804319</v>
      </c>
      <c r="G297" s="4">
        <v>-6939210000</v>
      </c>
      <c r="H297" s="4">
        <v>-1482680000</v>
      </c>
    </row>
    <row r="298" spans="1:16" x14ac:dyDescent="0.2">
      <c r="B298" s="21" t="s">
        <v>162</v>
      </c>
      <c r="D298" s="1495" t="s">
        <v>35</v>
      </c>
      <c r="F298" s="1495" t="s">
        <v>263</v>
      </c>
      <c r="J298" s="1495" t="s">
        <v>430</v>
      </c>
    </row>
    <row r="299" spans="1:16" x14ac:dyDescent="0.2">
      <c r="B299" s="21" t="s">
        <v>161</v>
      </c>
      <c r="D299" s="1495" t="s">
        <v>35</v>
      </c>
      <c r="F299" s="1495" t="s">
        <v>263</v>
      </c>
      <c r="J299" s="1495" t="s">
        <v>430</v>
      </c>
    </row>
    <row r="300" spans="1:16" x14ac:dyDescent="0.2">
      <c r="B300" s="21" t="s">
        <v>160</v>
      </c>
      <c r="D300" s="1495" t="s">
        <v>35</v>
      </c>
      <c r="F300" s="1495" t="s">
        <v>263</v>
      </c>
      <c r="J300" s="1495" t="s">
        <v>430</v>
      </c>
      <c r="K300" s="1495" t="s">
        <v>283</v>
      </c>
    </row>
    <row r="301" spans="1:16" x14ac:dyDescent="0.2">
      <c r="B301" s="21" t="s">
        <v>157</v>
      </c>
      <c r="C301" s="21" t="s">
        <v>70</v>
      </c>
      <c r="D301" s="1495" t="s">
        <v>35</v>
      </c>
      <c r="E301" s="21" t="s">
        <v>37</v>
      </c>
      <c r="F301" s="1495" t="s">
        <v>263</v>
      </c>
      <c r="G301" s="21" t="s">
        <v>84</v>
      </c>
      <c r="H301" s="21" t="s">
        <v>26</v>
      </c>
      <c r="I301" s="21" t="s">
        <v>325</v>
      </c>
      <c r="J301" s="1495" t="s">
        <v>430</v>
      </c>
      <c r="K301" s="1495" t="s">
        <v>283</v>
      </c>
    </row>
    <row r="302" spans="1:16" x14ac:dyDescent="0.2">
      <c r="A302" s="7" t="s">
        <v>251</v>
      </c>
      <c r="B302" s="21" t="s">
        <v>177</v>
      </c>
      <c r="C302" s="4">
        <v>-104634645225</v>
      </c>
      <c r="D302" s="4">
        <v>-88220525348</v>
      </c>
      <c r="E302" s="4">
        <v>-47434720000</v>
      </c>
      <c r="F302" s="4">
        <v>-36898528796</v>
      </c>
      <c r="G302" s="4">
        <v>-14376303323</v>
      </c>
      <c r="H302" s="4">
        <v>-14119412689</v>
      </c>
      <c r="I302" s="4">
        <v>-13753910000</v>
      </c>
      <c r="J302" s="4">
        <v>-4031021591</v>
      </c>
      <c r="K302" s="4">
        <v>-1205407755</v>
      </c>
    </row>
    <row r="303" spans="1:16" x14ac:dyDescent="0.2">
      <c r="B303" s="21" t="s">
        <v>162</v>
      </c>
      <c r="F303" s="1495" t="s">
        <v>194</v>
      </c>
      <c r="I303" s="1495" t="s">
        <v>266</v>
      </c>
    </row>
    <row r="304" spans="1:16" x14ac:dyDescent="0.2">
      <c r="B304" s="21" t="s">
        <v>161</v>
      </c>
      <c r="F304" s="1495" t="s">
        <v>194</v>
      </c>
      <c r="I304" s="1495" t="s">
        <v>266</v>
      </c>
    </row>
    <row r="305" spans="1:16" x14ac:dyDescent="0.2">
      <c r="B305" s="21" t="s">
        <v>160</v>
      </c>
      <c r="F305" s="1495" t="s">
        <v>194</v>
      </c>
      <c r="G305" s="1495" t="s">
        <v>436</v>
      </c>
      <c r="I305" s="1495" t="s">
        <v>266</v>
      </c>
      <c r="J305" s="1495" t="s">
        <v>431</v>
      </c>
    </row>
    <row r="306" spans="1:16" x14ac:dyDescent="0.2">
      <c r="B306" s="21" t="s">
        <v>157</v>
      </c>
      <c r="C306" s="21" t="s">
        <v>183</v>
      </c>
      <c r="D306" s="21" t="s">
        <v>325</v>
      </c>
      <c r="E306" s="21" t="s">
        <v>73</v>
      </c>
      <c r="F306" s="1495" t="s">
        <v>194</v>
      </c>
      <c r="G306" s="1495" t="s">
        <v>436</v>
      </c>
      <c r="H306" s="21" t="s">
        <v>184</v>
      </c>
      <c r="I306" s="1495" t="s">
        <v>266</v>
      </c>
      <c r="J306" s="1495" t="s">
        <v>431</v>
      </c>
      <c r="K306" s="21" t="s">
        <v>38</v>
      </c>
      <c r="L306" s="21" t="s">
        <v>429</v>
      </c>
    </row>
    <row r="307" spans="1:16" x14ac:dyDescent="0.2">
      <c r="A307" s="7" t="s">
        <v>250</v>
      </c>
      <c r="B307" s="21" t="s">
        <v>177</v>
      </c>
      <c r="C307" s="4">
        <v>-13304210000</v>
      </c>
      <c r="D307" s="4">
        <v>-8198270000</v>
      </c>
      <c r="E307" s="4">
        <v>-6860160000</v>
      </c>
      <c r="F307" s="4">
        <v>-5695470000</v>
      </c>
      <c r="G307" s="4">
        <v>-5393938962</v>
      </c>
      <c r="H307" s="4">
        <v>-4803810000</v>
      </c>
      <c r="I307" s="4">
        <v>-4739440904</v>
      </c>
      <c r="J307" s="4">
        <v>-3582290000</v>
      </c>
      <c r="K307" s="4">
        <v>-3255390000</v>
      </c>
      <c r="L307" s="4">
        <v>-641520000</v>
      </c>
    </row>
    <row r="308" spans="1:16" x14ac:dyDescent="0.2">
      <c r="B308" s="21" t="s">
        <v>162</v>
      </c>
      <c r="G308" s="1495" t="s">
        <v>35</v>
      </c>
      <c r="K308" s="1495" t="s">
        <v>290</v>
      </c>
    </row>
    <row r="309" spans="1:16" x14ac:dyDescent="0.2">
      <c r="B309" s="21" t="s">
        <v>161</v>
      </c>
      <c r="G309" s="1495" t="s">
        <v>35</v>
      </c>
      <c r="K309" s="1495" t="s">
        <v>290</v>
      </c>
    </row>
    <row r="310" spans="1:16" x14ac:dyDescent="0.2">
      <c r="B310" s="21" t="s">
        <v>160</v>
      </c>
      <c r="G310" s="1495" t="s">
        <v>35</v>
      </c>
      <c r="K310" s="1495" t="s">
        <v>290</v>
      </c>
    </row>
    <row r="311" spans="1:16" x14ac:dyDescent="0.2">
      <c r="B311" s="21" t="s">
        <v>157</v>
      </c>
      <c r="C311" s="21" t="s">
        <v>15</v>
      </c>
      <c r="D311" s="21" t="s">
        <v>14</v>
      </c>
      <c r="E311" s="21" t="s">
        <v>99</v>
      </c>
      <c r="F311" s="21" t="s">
        <v>163</v>
      </c>
      <c r="G311" s="1495" t="s">
        <v>35</v>
      </c>
      <c r="H311" s="21" t="s">
        <v>436</v>
      </c>
      <c r="I311" s="21" t="s">
        <v>275</v>
      </c>
      <c r="J311" s="21" t="s">
        <v>438</v>
      </c>
      <c r="K311" s="1495" t="s">
        <v>290</v>
      </c>
    </row>
    <row r="312" spans="1:16" x14ac:dyDescent="0.2">
      <c r="A312" s="7" t="s">
        <v>249</v>
      </c>
      <c r="B312" s="21" t="s">
        <v>177</v>
      </c>
      <c r="C312" s="4">
        <v>-100405140000</v>
      </c>
      <c r="D312" s="4">
        <v>-93988350000</v>
      </c>
      <c r="E312" s="4">
        <v>-60445660000</v>
      </c>
      <c r="F312" s="4">
        <v>-56256930000</v>
      </c>
      <c r="G312" s="4">
        <v>-42054970000</v>
      </c>
      <c r="H312" s="4">
        <v>-3157932238</v>
      </c>
      <c r="I312" s="4">
        <v>-38999873</v>
      </c>
      <c r="J312" s="4">
        <v>-22770000</v>
      </c>
      <c r="K312" s="4">
        <v>-787983</v>
      </c>
    </row>
    <row r="313" spans="1:16" x14ac:dyDescent="0.2">
      <c r="B313" s="21" t="s">
        <v>162</v>
      </c>
      <c r="F313" s="1495" t="s">
        <v>63</v>
      </c>
      <c r="P313" s="1495" t="s">
        <v>434</v>
      </c>
    </row>
    <row r="314" spans="1:16" x14ac:dyDescent="0.2">
      <c r="B314" s="21" t="s">
        <v>161</v>
      </c>
      <c r="F314" s="1495" t="s">
        <v>63</v>
      </c>
      <c r="P314" s="1495" t="s">
        <v>434</v>
      </c>
    </row>
    <row r="315" spans="1:16" x14ac:dyDescent="0.2">
      <c r="B315" s="21" t="s">
        <v>160</v>
      </c>
      <c r="F315" s="1495" t="s">
        <v>63</v>
      </c>
      <c r="P315" s="1495" t="s">
        <v>434</v>
      </c>
    </row>
    <row r="316" spans="1:16" x14ac:dyDescent="0.2">
      <c r="B316" s="21" t="s">
        <v>157</v>
      </c>
      <c r="C316" s="21" t="s">
        <v>15</v>
      </c>
      <c r="D316" s="21" t="s">
        <v>29</v>
      </c>
      <c r="E316" s="21" t="s">
        <v>13</v>
      </c>
      <c r="F316" s="1495" t="s">
        <v>63</v>
      </c>
      <c r="G316" s="21" t="s">
        <v>37</v>
      </c>
      <c r="H316" s="21" t="s">
        <v>163</v>
      </c>
      <c r="I316" s="21" t="s">
        <v>28</v>
      </c>
      <c r="J316" s="21" t="s">
        <v>313</v>
      </c>
      <c r="K316" s="21" t="s">
        <v>342</v>
      </c>
      <c r="L316" s="21" t="s">
        <v>325</v>
      </c>
      <c r="M316" s="21" t="s">
        <v>34</v>
      </c>
      <c r="N316" s="21" t="s">
        <v>73</v>
      </c>
      <c r="O316" s="21" t="s">
        <v>291</v>
      </c>
      <c r="P316" s="1495" t="s">
        <v>434</v>
      </c>
    </row>
    <row r="317" spans="1:16" x14ac:dyDescent="0.2">
      <c r="A317" s="7" t="s">
        <v>248</v>
      </c>
      <c r="B317" s="21" t="s">
        <v>177</v>
      </c>
      <c r="C317" s="4">
        <v>-74108541394</v>
      </c>
      <c r="D317" s="4">
        <v>-59925864716</v>
      </c>
      <c r="E317" s="4">
        <v>-55803783239</v>
      </c>
      <c r="F317" s="4">
        <v>-53587079357</v>
      </c>
      <c r="G317" s="4">
        <v>-41845951351</v>
      </c>
      <c r="H317" s="4">
        <v>-39655740000</v>
      </c>
      <c r="I317" s="4">
        <v>-31208659206</v>
      </c>
      <c r="J317" s="4">
        <v>-28162423430</v>
      </c>
      <c r="K317" s="4">
        <v>-7568400000</v>
      </c>
      <c r="L317" s="4">
        <v>-7364740000</v>
      </c>
      <c r="M317" s="4">
        <v>-7334210000</v>
      </c>
      <c r="N317" s="4">
        <v>-5087429771</v>
      </c>
      <c r="O317" s="4">
        <v>-2094542093</v>
      </c>
      <c r="P317" s="4">
        <v>-1900345730</v>
      </c>
    </row>
    <row r="318" spans="1:16" x14ac:dyDescent="0.2">
      <c r="B318" s="21" t="s">
        <v>162</v>
      </c>
      <c r="F318" s="1495" t="s">
        <v>273</v>
      </c>
      <c r="H318" s="1495" t="s">
        <v>32</v>
      </c>
    </row>
    <row r="319" spans="1:16" x14ac:dyDescent="0.2">
      <c r="B319" s="21" t="s">
        <v>161</v>
      </c>
      <c r="D319" s="1495" t="s">
        <v>33</v>
      </c>
      <c r="F319" s="1495" t="s">
        <v>273</v>
      </c>
      <c r="H319" s="1495" t="s">
        <v>32</v>
      </c>
    </row>
    <row r="320" spans="1:16" x14ac:dyDescent="0.2">
      <c r="B320" s="21" t="s">
        <v>160</v>
      </c>
      <c r="D320" s="1495"/>
      <c r="F320" s="1495" t="s">
        <v>273</v>
      </c>
      <c r="H320" s="1495" t="s">
        <v>32</v>
      </c>
    </row>
    <row r="321" spans="1:16" x14ac:dyDescent="0.2">
      <c r="B321" s="21" t="s">
        <v>157</v>
      </c>
      <c r="C321" s="21" t="s">
        <v>15</v>
      </c>
      <c r="D321" s="1495"/>
      <c r="E321" s="21" t="s">
        <v>313</v>
      </c>
      <c r="F321" s="1495" t="s">
        <v>273</v>
      </c>
      <c r="G321" s="21" t="s">
        <v>26</v>
      </c>
      <c r="H321" s="1495" t="s">
        <v>32</v>
      </c>
      <c r="I321" s="21" t="s">
        <v>433</v>
      </c>
    </row>
    <row r="322" spans="1:16" x14ac:dyDescent="0.2">
      <c r="A322" s="7" t="s">
        <v>247</v>
      </c>
      <c r="B322" s="21" t="s">
        <v>177</v>
      </c>
      <c r="C322" s="4">
        <v>-55175230000</v>
      </c>
      <c r="D322" s="4">
        <v>-49772520000</v>
      </c>
      <c r="E322" s="4">
        <v>-18910640000</v>
      </c>
      <c r="F322" s="4">
        <v>-6125290747</v>
      </c>
      <c r="G322" s="4">
        <v>-5540990000</v>
      </c>
      <c r="H322" s="4">
        <v>-1541680000</v>
      </c>
      <c r="I322" s="4">
        <v>-706260000</v>
      </c>
    </row>
    <row r="323" spans="1:16" x14ac:dyDescent="0.2">
      <c r="B323" s="21" t="s">
        <v>162</v>
      </c>
      <c r="C323" s="21" t="s">
        <v>24</v>
      </c>
      <c r="E323" s="1495" t="s">
        <v>169</v>
      </c>
      <c r="M323" s="1495" t="s">
        <v>194</v>
      </c>
      <c r="O323" s="1495" t="s">
        <v>92</v>
      </c>
    </row>
    <row r="324" spans="1:16" x14ac:dyDescent="0.2">
      <c r="B324" s="21" t="s">
        <v>161</v>
      </c>
      <c r="C324" s="1495" t="s">
        <v>24</v>
      </c>
      <c r="E324" s="1495" t="s">
        <v>169</v>
      </c>
      <c r="F324" s="1495" t="s">
        <v>186</v>
      </c>
      <c r="M324" s="1495" t="s">
        <v>194</v>
      </c>
      <c r="O324" s="1495" t="s">
        <v>92</v>
      </c>
    </row>
    <row r="325" spans="1:16" x14ac:dyDescent="0.2">
      <c r="B325" s="21" t="s">
        <v>160</v>
      </c>
      <c r="C325" s="1495" t="s">
        <v>24</v>
      </c>
      <c r="E325" s="1495" t="s">
        <v>169</v>
      </c>
      <c r="F325" s="1495" t="s">
        <v>186</v>
      </c>
      <c r="I325" s="1495" t="s">
        <v>179</v>
      </c>
      <c r="M325" s="1495" t="s">
        <v>194</v>
      </c>
      <c r="O325" s="1495" t="s">
        <v>92</v>
      </c>
    </row>
    <row r="326" spans="1:16" x14ac:dyDescent="0.2">
      <c r="B326" s="21" t="s">
        <v>157</v>
      </c>
      <c r="C326" s="1495" t="s">
        <v>24</v>
      </c>
      <c r="D326" s="21" t="s">
        <v>25</v>
      </c>
      <c r="E326" s="1495" t="s">
        <v>169</v>
      </c>
      <c r="F326" s="1495" t="s">
        <v>186</v>
      </c>
      <c r="G326" s="21" t="s">
        <v>163</v>
      </c>
      <c r="H326" s="21" t="s">
        <v>269</v>
      </c>
      <c r="I326" s="1495" t="s">
        <v>179</v>
      </c>
      <c r="J326" s="21" t="s">
        <v>202</v>
      </c>
      <c r="K326" s="21" t="s">
        <v>34</v>
      </c>
      <c r="L326" s="21" t="s">
        <v>168</v>
      </c>
      <c r="M326" s="1495" t="s">
        <v>194</v>
      </c>
      <c r="N326" s="21" t="s">
        <v>281</v>
      </c>
      <c r="O326" s="1495" t="s">
        <v>92</v>
      </c>
      <c r="P326" s="21" t="s">
        <v>440</v>
      </c>
    </row>
    <row r="327" spans="1:16" x14ac:dyDescent="0.2">
      <c r="A327" s="7" t="s">
        <v>243</v>
      </c>
      <c r="B327" s="21" t="s">
        <v>177</v>
      </c>
      <c r="C327" s="1495">
        <v>-1250918830000</v>
      </c>
      <c r="D327" s="4">
        <v>-136838790000</v>
      </c>
      <c r="E327" s="4">
        <v>-101054980000</v>
      </c>
      <c r="F327" s="4">
        <v>-27616610000</v>
      </c>
      <c r="G327" s="4">
        <v>-22655920000</v>
      </c>
      <c r="H327" s="4">
        <v>-9985400000</v>
      </c>
      <c r="I327" s="4">
        <v>-9867360000</v>
      </c>
      <c r="J327" s="4">
        <v>-7455658867</v>
      </c>
      <c r="K327" s="4">
        <v>-6241550000</v>
      </c>
      <c r="L327" s="4">
        <v>-5854380000</v>
      </c>
      <c r="M327" s="4">
        <v>-3919650000</v>
      </c>
      <c r="N327" s="4">
        <v>-3732285320</v>
      </c>
      <c r="O327" s="4">
        <v>-2714852793</v>
      </c>
      <c r="P327" s="4">
        <v>-1715960000</v>
      </c>
    </row>
    <row r="328" spans="1:16" x14ac:dyDescent="0.2">
      <c r="B328" s="21" t="s">
        <v>162</v>
      </c>
      <c r="C328" s="1495" t="s">
        <v>24</v>
      </c>
      <c r="D328" s="1495" t="s">
        <v>79</v>
      </c>
      <c r="G328" s="1495" t="s">
        <v>261</v>
      </c>
      <c r="I328" s="1495" t="s">
        <v>197</v>
      </c>
    </row>
    <row r="329" spans="1:16" x14ac:dyDescent="0.2">
      <c r="B329" s="21" t="s">
        <v>161</v>
      </c>
      <c r="C329" s="1495" t="s">
        <v>24</v>
      </c>
      <c r="D329" s="1495" t="s">
        <v>79</v>
      </c>
      <c r="G329" s="1495" t="s">
        <v>261</v>
      </c>
      <c r="I329" s="1495" t="s">
        <v>197</v>
      </c>
    </row>
    <row r="330" spans="1:16" x14ac:dyDescent="0.2">
      <c r="B330" s="21" t="s">
        <v>160</v>
      </c>
      <c r="C330" s="1495" t="s">
        <v>24</v>
      </c>
      <c r="D330" s="1495" t="s">
        <v>79</v>
      </c>
      <c r="E330" s="1495" t="s">
        <v>36</v>
      </c>
      <c r="G330" s="1495" t="s">
        <v>261</v>
      </c>
      <c r="I330" s="1495" t="s">
        <v>197</v>
      </c>
    </row>
    <row r="331" spans="1:16" x14ac:dyDescent="0.2">
      <c r="B331" s="21" t="s">
        <v>157</v>
      </c>
      <c r="C331" s="1495" t="s">
        <v>24</v>
      </c>
      <c r="D331" s="1495" t="s">
        <v>79</v>
      </c>
      <c r="E331" s="1495" t="s">
        <v>36</v>
      </c>
      <c r="F331" s="21" t="s">
        <v>163</v>
      </c>
      <c r="G331" s="1495" t="s">
        <v>261</v>
      </c>
      <c r="H331" s="21" t="s">
        <v>198</v>
      </c>
      <c r="I331" s="1495" t="s">
        <v>197</v>
      </c>
      <c r="J331" s="21" t="s">
        <v>202</v>
      </c>
      <c r="K331" s="21" t="s">
        <v>436</v>
      </c>
      <c r="L331" s="21" t="s">
        <v>442</v>
      </c>
      <c r="M331" s="21" t="s">
        <v>266</v>
      </c>
    </row>
    <row r="332" spans="1:16" x14ac:dyDescent="0.2">
      <c r="A332" s="7" t="s">
        <v>242</v>
      </c>
      <c r="B332" s="21" t="s">
        <v>177</v>
      </c>
      <c r="C332" s="4">
        <v>-926748340000</v>
      </c>
      <c r="D332" s="4">
        <v>-219331790000</v>
      </c>
      <c r="E332" s="4">
        <v>-43637050000</v>
      </c>
      <c r="F332" s="4">
        <v>-21784280000</v>
      </c>
      <c r="G332" s="4">
        <v>-13103270000</v>
      </c>
      <c r="H332" s="4">
        <v>-8173520000</v>
      </c>
      <c r="I332" s="4">
        <v>-7632038099</v>
      </c>
      <c r="J332" s="4">
        <v>-4944762313</v>
      </c>
      <c r="K332" s="4">
        <v>-2738626439</v>
      </c>
      <c r="L332" s="4">
        <v>-988040000</v>
      </c>
      <c r="M332" s="4">
        <v>-7258740</v>
      </c>
    </row>
    <row r="333" spans="1:16" x14ac:dyDescent="0.2">
      <c r="B333" s="21" t="s">
        <v>162</v>
      </c>
      <c r="D333" s="1495" t="s">
        <v>35</v>
      </c>
    </row>
    <row r="334" spans="1:16" x14ac:dyDescent="0.2">
      <c r="B334" s="21" t="s">
        <v>161</v>
      </c>
      <c r="D334" s="1495" t="s">
        <v>35</v>
      </c>
    </row>
    <row r="335" spans="1:16" x14ac:dyDescent="0.2">
      <c r="B335" s="21" t="s">
        <v>160</v>
      </c>
      <c r="D335" s="1495" t="s">
        <v>35</v>
      </c>
      <c r="J335" s="1495" t="s">
        <v>434</v>
      </c>
    </row>
    <row r="336" spans="1:16" x14ac:dyDescent="0.2">
      <c r="B336" s="21" t="s">
        <v>157</v>
      </c>
      <c r="C336" s="21" t="s">
        <v>79</v>
      </c>
      <c r="D336" s="1495" t="s">
        <v>35</v>
      </c>
      <c r="E336" s="21" t="s">
        <v>295</v>
      </c>
      <c r="F336" s="21" t="s">
        <v>179</v>
      </c>
      <c r="G336" s="21" t="s">
        <v>271</v>
      </c>
      <c r="H336" s="21" t="s">
        <v>194</v>
      </c>
      <c r="I336" s="21" t="s">
        <v>270</v>
      </c>
      <c r="J336" s="1495" t="s">
        <v>434</v>
      </c>
      <c r="K336" s="21" t="s">
        <v>283</v>
      </c>
    </row>
    <row r="337" spans="1:11" x14ac:dyDescent="0.2">
      <c r="A337" s="7" t="s">
        <v>241</v>
      </c>
      <c r="B337" s="21" t="s">
        <v>177</v>
      </c>
      <c r="C337" s="4">
        <v>-100559040000</v>
      </c>
      <c r="D337" s="4">
        <v>-26277870000</v>
      </c>
      <c r="E337" s="4">
        <v>-10029373852</v>
      </c>
      <c r="F337" s="4">
        <v>-9141620000</v>
      </c>
      <c r="G337" s="4">
        <v>-7123180000</v>
      </c>
      <c r="H337" s="4">
        <v>-3439260000</v>
      </c>
      <c r="I337" s="4">
        <v>-1169750000</v>
      </c>
      <c r="J337" s="4">
        <v>-1135430000</v>
      </c>
      <c r="K337" s="4">
        <v>-529090000</v>
      </c>
    </row>
    <row r="338" spans="1:11" x14ac:dyDescent="0.2">
      <c r="B338" s="21" t="s">
        <v>162</v>
      </c>
      <c r="C338" s="1495" t="s">
        <v>59</v>
      </c>
    </row>
    <row r="339" spans="1:11" x14ac:dyDescent="0.2">
      <c r="B339" s="21" t="s">
        <v>161</v>
      </c>
      <c r="C339" s="1495" t="s">
        <v>59</v>
      </c>
    </row>
    <row r="340" spans="1:11" x14ac:dyDescent="0.2">
      <c r="B340" s="21" t="s">
        <v>160</v>
      </c>
      <c r="C340" s="1495" t="s">
        <v>59</v>
      </c>
      <c r="E340" s="1495" t="s">
        <v>36</v>
      </c>
    </row>
    <row r="341" spans="1:11" x14ac:dyDescent="0.2">
      <c r="B341" s="21" t="s">
        <v>157</v>
      </c>
      <c r="C341" s="1495" t="s">
        <v>59</v>
      </c>
      <c r="D341" s="21" t="s">
        <v>79</v>
      </c>
      <c r="E341" s="1495" t="s">
        <v>36</v>
      </c>
    </row>
    <row r="342" spans="1:11" x14ac:dyDescent="0.2">
      <c r="A342" s="7" t="s">
        <v>240</v>
      </c>
      <c r="B342" s="21" t="s">
        <v>177</v>
      </c>
      <c r="C342" s="4">
        <v>-101802730000</v>
      </c>
      <c r="D342" s="4">
        <v>-53564780000</v>
      </c>
      <c r="E342" s="4">
        <v>-40865640000</v>
      </c>
    </row>
    <row r="343" spans="1:11" x14ac:dyDescent="0.2">
      <c r="B343" s="21" t="s">
        <v>162</v>
      </c>
      <c r="C343" s="1495" t="s">
        <v>57</v>
      </c>
      <c r="D343" s="1495" t="s">
        <v>263</v>
      </c>
    </row>
    <row r="344" spans="1:11" x14ac:dyDescent="0.2">
      <c r="B344" s="21" t="s">
        <v>161</v>
      </c>
      <c r="C344" s="1495" t="s">
        <v>57</v>
      </c>
      <c r="D344" s="1495" t="s">
        <v>263</v>
      </c>
      <c r="E344" s="1495" t="s">
        <v>186</v>
      </c>
    </row>
    <row r="345" spans="1:11" x14ac:dyDescent="0.2">
      <c r="B345" s="21" t="s">
        <v>160</v>
      </c>
      <c r="C345" s="1495" t="s">
        <v>57</v>
      </c>
      <c r="D345" s="1495" t="s">
        <v>263</v>
      </c>
      <c r="E345" s="1495"/>
    </row>
    <row r="346" spans="1:11" x14ac:dyDescent="0.2">
      <c r="B346" s="21" t="s">
        <v>157</v>
      </c>
      <c r="C346" s="1495" t="s">
        <v>57</v>
      </c>
      <c r="D346" s="1495" t="s">
        <v>263</v>
      </c>
      <c r="E346" s="1495"/>
    </row>
    <row r="347" spans="1:11" x14ac:dyDescent="0.2">
      <c r="A347" s="7" t="s">
        <v>239</v>
      </c>
      <c r="B347" s="21" t="s">
        <v>177</v>
      </c>
      <c r="C347" s="4">
        <v>-34920256491</v>
      </c>
      <c r="D347" s="4">
        <v>-25152658199</v>
      </c>
      <c r="E347" s="4">
        <v>-24531500000</v>
      </c>
    </row>
    <row r="348" spans="1:11" x14ac:dyDescent="0.2">
      <c r="B348" s="21" t="s">
        <v>162</v>
      </c>
      <c r="C348" s="1495" t="s">
        <v>41</v>
      </c>
      <c r="F348" s="1495" t="s">
        <v>263</v>
      </c>
    </row>
    <row r="349" spans="1:11" x14ac:dyDescent="0.2">
      <c r="B349" s="21" t="s">
        <v>161</v>
      </c>
      <c r="C349" s="1495" t="s">
        <v>41</v>
      </c>
      <c r="F349" s="1495" t="s">
        <v>263</v>
      </c>
    </row>
    <row r="350" spans="1:11" x14ac:dyDescent="0.2">
      <c r="B350" s="21" t="s">
        <v>160</v>
      </c>
      <c r="C350" s="1495" t="s">
        <v>41</v>
      </c>
      <c r="F350" s="1495" t="s">
        <v>263</v>
      </c>
    </row>
    <row r="351" spans="1:11" x14ac:dyDescent="0.2">
      <c r="B351" s="21" t="s">
        <v>157</v>
      </c>
      <c r="C351" s="1495" t="s">
        <v>41</v>
      </c>
      <c r="D351" s="21" t="s">
        <v>89</v>
      </c>
      <c r="E351" s="21" t="s">
        <v>36</v>
      </c>
      <c r="F351" s="1495" t="s">
        <v>263</v>
      </c>
      <c r="G351" s="21" t="s">
        <v>83</v>
      </c>
      <c r="H351" s="21" t="s">
        <v>264</v>
      </c>
      <c r="I351" s="21" t="s">
        <v>34</v>
      </c>
    </row>
    <row r="352" spans="1:11" x14ac:dyDescent="0.2">
      <c r="A352" s="7" t="s">
        <v>238</v>
      </c>
      <c r="B352" s="21" t="s">
        <v>177</v>
      </c>
      <c r="C352" s="4">
        <v>-469863100000</v>
      </c>
      <c r="D352" s="4">
        <v>-61020160000</v>
      </c>
      <c r="E352" s="4">
        <v>-21522880000</v>
      </c>
      <c r="F352" s="4">
        <v>-16016901182</v>
      </c>
      <c r="G352" s="4">
        <v>-9275880167</v>
      </c>
      <c r="H352" s="4">
        <v>-7053040000</v>
      </c>
      <c r="I352" s="4">
        <v>-579760000</v>
      </c>
    </row>
    <row r="353" spans="1:11" x14ac:dyDescent="0.2">
      <c r="B353" s="21" t="s">
        <v>161</v>
      </c>
      <c r="E353" s="1495" t="s">
        <v>60</v>
      </c>
    </row>
    <row r="354" spans="1:11" x14ac:dyDescent="0.2">
      <c r="B354" s="21" t="s">
        <v>160</v>
      </c>
      <c r="E354" s="1495" t="s">
        <v>60</v>
      </c>
    </row>
    <row r="355" spans="1:11" x14ac:dyDescent="0.2">
      <c r="B355" s="21" t="s">
        <v>157</v>
      </c>
      <c r="C355" s="21" t="s">
        <v>89</v>
      </c>
      <c r="D355" s="21" t="s">
        <v>188</v>
      </c>
      <c r="E355" s="1495" t="s">
        <v>60</v>
      </c>
    </row>
    <row r="356" spans="1:11" x14ac:dyDescent="0.2">
      <c r="A356" s="7" t="s">
        <v>237</v>
      </c>
      <c r="B356" s="21" t="s">
        <v>177</v>
      </c>
      <c r="C356" s="4">
        <v>-59779360000</v>
      </c>
      <c r="D356" s="4">
        <v>-30199230000</v>
      </c>
      <c r="E356" s="4">
        <v>-10695330000</v>
      </c>
    </row>
    <row r="357" spans="1:11" x14ac:dyDescent="0.2">
      <c r="B357" s="21" t="s">
        <v>162</v>
      </c>
      <c r="C357" s="1495" t="s">
        <v>30</v>
      </c>
      <c r="D357" s="1495" t="s">
        <v>96</v>
      </c>
    </row>
    <row r="358" spans="1:11" x14ac:dyDescent="0.2">
      <c r="B358" s="21" t="s">
        <v>161</v>
      </c>
      <c r="C358" s="1495" t="s">
        <v>30</v>
      </c>
      <c r="D358" s="1495" t="s">
        <v>96</v>
      </c>
    </row>
    <row r="359" spans="1:11" x14ac:dyDescent="0.2">
      <c r="B359" s="21" t="s">
        <v>160</v>
      </c>
      <c r="C359" s="1495" t="s">
        <v>30</v>
      </c>
      <c r="D359" s="1495" t="s">
        <v>96</v>
      </c>
    </row>
    <row r="360" spans="1:11" x14ac:dyDescent="0.2">
      <c r="B360" s="21" t="s">
        <v>157</v>
      </c>
      <c r="C360" s="1495" t="s">
        <v>30</v>
      </c>
      <c r="D360" s="1495" t="s">
        <v>96</v>
      </c>
      <c r="E360" s="21" t="s">
        <v>97</v>
      </c>
    </row>
    <row r="361" spans="1:11" x14ac:dyDescent="0.2">
      <c r="A361" s="7" t="s">
        <v>236</v>
      </c>
      <c r="B361" s="21" t="s">
        <v>177</v>
      </c>
      <c r="C361" s="4">
        <v>-40154010000</v>
      </c>
      <c r="D361" s="4">
        <v>-24140250000</v>
      </c>
      <c r="E361" s="4">
        <v>-21935770000</v>
      </c>
    </row>
    <row r="362" spans="1:11" x14ac:dyDescent="0.2">
      <c r="B362" s="21" t="s">
        <v>162</v>
      </c>
      <c r="J362" s="1495" t="s">
        <v>292</v>
      </c>
      <c r="K362" s="1495" t="s">
        <v>430</v>
      </c>
    </row>
    <row r="363" spans="1:11" x14ac:dyDescent="0.2">
      <c r="B363" s="21" t="s">
        <v>161</v>
      </c>
      <c r="D363" s="1495" t="s">
        <v>61</v>
      </c>
      <c r="J363" s="1495" t="s">
        <v>292</v>
      </c>
      <c r="K363" s="1495" t="s">
        <v>430</v>
      </c>
    </row>
    <row r="364" spans="1:11" x14ac:dyDescent="0.2">
      <c r="B364" s="21" t="s">
        <v>160</v>
      </c>
      <c r="C364" s="1495" t="s">
        <v>30</v>
      </c>
      <c r="D364" s="1495" t="s">
        <v>61</v>
      </c>
      <c r="E364" s="1495" t="s">
        <v>19</v>
      </c>
      <c r="J364" s="1495" t="s">
        <v>292</v>
      </c>
      <c r="K364" s="1495" t="s">
        <v>430</v>
      </c>
    </row>
    <row r="365" spans="1:11" x14ac:dyDescent="0.2">
      <c r="B365" s="21" t="s">
        <v>157</v>
      </c>
      <c r="C365" s="1495" t="s">
        <v>30</v>
      </c>
      <c r="D365" s="1495" t="s">
        <v>61</v>
      </c>
      <c r="E365" s="1495" t="s">
        <v>19</v>
      </c>
      <c r="F365" s="21" t="s">
        <v>261</v>
      </c>
      <c r="G365" s="21" t="s">
        <v>295</v>
      </c>
      <c r="H365" s="21" t="s">
        <v>263</v>
      </c>
      <c r="I365" s="21" t="s">
        <v>445</v>
      </c>
      <c r="J365" s="1495" t="s">
        <v>292</v>
      </c>
      <c r="K365" s="1495" t="s">
        <v>430</v>
      </c>
    </row>
    <row r="366" spans="1:11" x14ac:dyDescent="0.2">
      <c r="A366" s="7" t="s">
        <v>235</v>
      </c>
      <c r="B366" s="21" t="s">
        <v>177</v>
      </c>
      <c r="C366" s="4">
        <v>-37123900000</v>
      </c>
      <c r="D366" s="4">
        <v>-13634250000</v>
      </c>
      <c r="E366" s="4">
        <v>-11518500000</v>
      </c>
      <c r="F366" s="4">
        <v>-9302090000</v>
      </c>
      <c r="G366" s="4">
        <v>-8908416153</v>
      </c>
      <c r="H366" s="4">
        <v>-4285720000</v>
      </c>
      <c r="I366" s="4">
        <v>-1671635437</v>
      </c>
      <c r="J366" s="4">
        <v>-1617937415</v>
      </c>
      <c r="K366" s="4">
        <v>-749720000</v>
      </c>
    </row>
    <row r="367" spans="1:11" x14ac:dyDescent="0.2">
      <c r="B367" s="21" t="s">
        <v>162</v>
      </c>
      <c r="D367" s="1495" t="s">
        <v>58</v>
      </c>
    </row>
    <row r="368" spans="1:11" x14ac:dyDescent="0.2">
      <c r="B368" s="21" t="s">
        <v>161</v>
      </c>
      <c r="D368" s="1495" t="s">
        <v>58</v>
      </c>
    </row>
    <row r="369" spans="1:12" x14ac:dyDescent="0.2">
      <c r="B369" s="21" t="s">
        <v>160</v>
      </c>
      <c r="D369" s="1495" t="s">
        <v>58</v>
      </c>
    </row>
    <row r="370" spans="1:12" x14ac:dyDescent="0.2">
      <c r="B370" s="21" t="s">
        <v>157</v>
      </c>
      <c r="C370" s="21" t="s">
        <v>88</v>
      </c>
      <c r="D370" s="1495" t="s">
        <v>58</v>
      </c>
      <c r="E370" s="21" t="s">
        <v>78</v>
      </c>
      <c r="F370" s="21" t="s">
        <v>179</v>
      </c>
    </row>
    <row r="371" spans="1:12" x14ac:dyDescent="0.2">
      <c r="A371" s="7" t="s">
        <v>234</v>
      </c>
      <c r="B371" s="21" t="s">
        <v>177</v>
      </c>
      <c r="C371" s="4">
        <v>-29120330000</v>
      </c>
      <c r="D371" s="4">
        <v>-25744970000</v>
      </c>
      <c r="E371" s="4">
        <v>-10356970000</v>
      </c>
      <c r="F371" s="4">
        <v>-4359960000</v>
      </c>
    </row>
    <row r="372" spans="1:12" x14ac:dyDescent="0.2">
      <c r="B372" s="21" t="s">
        <v>160</v>
      </c>
      <c r="E372" s="1495" t="s">
        <v>278</v>
      </c>
    </row>
    <row r="373" spans="1:12" x14ac:dyDescent="0.2">
      <c r="B373" s="21" t="s">
        <v>157</v>
      </c>
      <c r="C373" s="21" t="s">
        <v>30</v>
      </c>
      <c r="D373" s="21" t="s">
        <v>63</v>
      </c>
      <c r="E373" s="1495" t="s">
        <v>278</v>
      </c>
      <c r="F373" s="21" t="s">
        <v>33</v>
      </c>
      <c r="G373" s="21" t="s">
        <v>35</v>
      </c>
      <c r="H373" s="21" t="s">
        <v>432</v>
      </c>
    </row>
    <row r="374" spans="1:12" x14ac:dyDescent="0.2">
      <c r="A374" s="7" t="s">
        <v>233</v>
      </c>
      <c r="B374" s="21" t="s">
        <v>177</v>
      </c>
      <c r="C374" s="4">
        <v>-25087790000</v>
      </c>
      <c r="D374" s="4">
        <v>-17753944985</v>
      </c>
      <c r="E374" s="4">
        <v>-3012310000</v>
      </c>
      <c r="F374" s="4">
        <v>-2418720000</v>
      </c>
      <c r="G374" s="4">
        <v>-422910000</v>
      </c>
      <c r="H374" s="4">
        <v>-139850000</v>
      </c>
    </row>
    <row r="375" spans="1:12" x14ac:dyDescent="0.2">
      <c r="B375" s="21" t="s">
        <v>162</v>
      </c>
      <c r="C375" s="1495" t="s">
        <v>59</v>
      </c>
      <c r="D375" s="1495" t="s">
        <v>20</v>
      </c>
      <c r="F375" s="1495" t="s">
        <v>94</v>
      </c>
    </row>
    <row r="376" spans="1:12" x14ac:dyDescent="0.2">
      <c r="B376" s="21" t="s">
        <v>161</v>
      </c>
      <c r="C376" s="1495" t="s">
        <v>59</v>
      </c>
      <c r="D376" s="1495" t="s">
        <v>20</v>
      </c>
      <c r="F376" s="1495" t="s">
        <v>94</v>
      </c>
    </row>
    <row r="377" spans="1:12" x14ac:dyDescent="0.2">
      <c r="B377" s="21" t="s">
        <v>160</v>
      </c>
      <c r="C377" s="1495" t="s">
        <v>59</v>
      </c>
      <c r="D377" s="1495" t="s">
        <v>20</v>
      </c>
      <c r="F377" s="1495" t="s">
        <v>94</v>
      </c>
      <c r="I377" s="1495" t="s">
        <v>158</v>
      </c>
    </row>
    <row r="378" spans="1:12" x14ac:dyDescent="0.2">
      <c r="B378" s="21" t="s">
        <v>157</v>
      </c>
      <c r="C378" s="1495" t="s">
        <v>59</v>
      </c>
      <c r="D378" s="1495" t="s">
        <v>20</v>
      </c>
      <c r="E378" s="21" t="s">
        <v>27</v>
      </c>
      <c r="F378" s="1495" t="s">
        <v>94</v>
      </c>
      <c r="G378" s="21" t="s">
        <v>263</v>
      </c>
      <c r="H378" s="21" t="s">
        <v>92</v>
      </c>
      <c r="I378" s="1495" t="s">
        <v>158</v>
      </c>
      <c r="J378" s="21" t="s">
        <v>35</v>
      </c>
    </row>
    <row r="379" spans="1:12" x14ac:dyDescent="0.2">
      <c r="A379" s="7" t="s">
        <v>232</v>
      </c>
      <c r="B379" s="21" t="s">
        <v>177</v>
      </c>
      <c r="C379" s="4">
        <v>-58583190000</v>
      </c>
      <c r="D379" s="4">
        <v>-41488526844</v>
      </c>
      <c r="E379" s="4">
        <v>-38763660000</v>
      </c>
      <c r="F379" s="4">
        <v>-6162477232</v>
      </c>
      <c r="G379" s="4">
        <v>-3685465531</v>
      </c>
      <c r="H379" s="4">
        <v>-1803415905</v>
      </c>
      <c r="I379" s="4">
        <v>-1514305344</v>
      </c>
      <c r="J379" s="4">
        <v>-270280000</v>
      </c>
    </row>
    <row r="380" spans="1:12" x14ac:dyDescent="0.2">
      <c r="B380" s="21" t="s">
        <v>162</v>
      </c>
      <c r="C380" s="1495" t="s">
        <v>62</v>
      </c>
      <c r="D380" s="1495" t="s">
        <v>294</v>
      </c>
      <c r="F380" s="1495" t="s">
        <v>314</v>
      </c>
      <c r="H380" s="1495" t="s">
        <v>190</v>
      </c>
      <c r="I380" s="1495" t="s">
        <v>280</v>
      </c>
      <c r="K380" s="1495" t="s">
        <v>273</v>
      </c>
    </row>
    <row r="381" spans="1:12" x14ac:dyDescent="0.2">
      <c r="B381" s="21" t="s">
        <v>161</v>
      </c>
      <c r="C381" s="1495" t="s">
        <v>62</v>
      </c>
      <c r="D381" s="1495" t="s">
        <v>294</v>
      </c>
      <c r="E381" s="1495" t="s">
        <v>40</v>
      </c>
      <c r="F381" s="1495" t="s">
        <v>314</v>
      </c>
      <c r="H381" s="1495" t="s">
        <v>190</v>
      </c>
      <c r="I381" s="1495" t="s">
        <v>280</v>
      </c>
      <c r="K381" s="1495" t="s">
        <v>273</v>
      </c>
    </row>
    <row r="382" spans="1:12" x14ac:dyDescent="0.2">
      <c r="B382" s="21" t="s">
        <v>160</v>
      </c>
      <c r="C382" s="1495" t="s">
        <v>62</v>
      </c>
      <c r="D382" s="1495" t="s">
        <v>294</v>
      </c>
      <c r="E382" s="1495" t="s">
        <v>40</v>
      </c>
      <c r="F382" s="1495" t="s">
        <v>314</v>
      </c>
      <c r="H382" s="1495" t="s">
        <v>190</v>
      </c>
      <c r="I382" s="1495" t="s">
        <v>280</v>
      </c>
      <c r="K382" s="1495" t="s">
        <v>273</v>
      </c>
    </row>
    <row r="383" spans="1:12" x14ac:dyDescent="0.2">
      <c r="B383" s="21" t="s">
        <v>157</v>
      </c>
      <c r="C383" s="1495" t="s">
        <v>62</v>
      </c>
      <c r="D383" s="1495" t="s">
        <v>294</v>
      </c>
      <c r="E383" s="1495" t="s">
        <v>40</v>
      </c>
      <c r="F383" s="1495" t="s">
        <v>314</v>
      </c>
      <c r="G383" s="21" t="s">
        <v>333</v>
      </c>
      <c r="H383" s="1495" t="s">
        <v>190</v>
      </c>
      <c r="I383" s="1495" t="s">
        <v>280</v>
      </c>
      <c r="J383" s="21" t="s">
        <v>41</v>
      </c>
      <c r="K383" s="1495" t="s">
        <v>273</v>
      </c>
      <c r="L383" s="21" t="s">
        <v>448</v>
      </c>
    </row>
    <row r="384" spans="1:12" x14ac:dyDescent="0.2">
      <c r="A384" s="7" t="s">
        <v>231</v>
      </c>
      <c r="B384" s="21" t="s">
        <v>177</v>
      </c>
      <c r="C384" s="4">
        <v>-42590070000</v>
      </c>
      <c r="D384" s="4">
        <v>-16378030000</v>
      </c>
      <c r="E384" s="4">
        <v>-15723430000</v>
      </c>
      <c r="F384" s="4">
        <v>-11391210000</v>
      </c>
      <c r="G384" s="4">
        <v>-11082440000</v>
      </c>
      <c r="H384" s="4">
        <v>-10769680000</v>
      </c>
      <c r="I384" s="4">
        <v>-10052808930</v>
      </c>
      <c r="J384" s="4">
        <v>-7401190000</v>
      </c>
      <c r="K384" s="4">
        <v>-3587034321</v>
      </c>
      <c r="L384" s="4">
        <v>-374608788</v>
      </c>
    </row>
    <row r="385" spans="1:11" x14ac:dyDescent="0.2">
      <c r="B385" s="21" t="s">
        <v>162</v>
      </c>
      <c r="C385" s="1495" t="s">
        <v>87</v>
      </c>
      <c r="D385" s="1495" t="s">
        <v>62</v>
      </c>
      <c r="G385" s="1495" t="s">
        <v>444</v>
      </c>
      <c r="H385" s="1495" t="s">
        <v>300</v>
      </c>
    </row>
    <row r="386" spans="1:11" x14ac:dyDescent="0.2">
      <c r="B386" s="21" t="s">
        <v>161</v>
      </c>
      <c r="C386" s="1495" t="s">
        <v>87</v>
      </c>
      <c r="D386" s="1495" t="s">
        <v>62</v>
      </c>
      <c r="G386" s="1495" t="s">
        <v>444</v>
      </c>
      <c r="H386" s="1495" t="s">
        <v>300</v>
      </c>
      <c r="I386" s="1495" t="s">
        <v>174</v>
      </c>
    </row>
    <row r="387" spans="1:11" x14ac:dyDescent="0.2">
      <c r="B387" s="21" t="s">
        <v>160</v>
      </c>
      <c r="C387" s="1495" t="s">
        <v>87</v>
      </c>
      <c r="D387" s="1495" t="s">
        <v>62</v>
      </c>
      <c r="G387" s="1495" t="s">
        <v>444</v>
      </c>
      <c r="H387" s="1495" t="s">
        <v>300</v>
      </c>
      <c r="I387" s="1495" t="s">
        <v>174</v>
      </c>
    </row>
    <row r="388" spans="1:11" x14ac:dyDescent="0.2">
      <c r="B388" s="21" t="s">
        <v>157</v>
      </c>
      <c r="C388" s="1495" t="s">
        <v>87</v>
      </c>
      <c r="D388" s="1495" t="s">
        <v>62</v>
      </c>
      <c r="E388" s="21" t="s">
        <v>261</v>
      </c>
      <c r="F388" s="21" t="s">
        <v>159</v>
      </c>
      <c r="G388" s="1495" t="s">
        <v>444</v>
      </c>
      <c r="H388" s="1495" t="s">
        <v>300</v>
      </c>
      <c r="I388" s="1495" t="s">
        <v>174</v>
      </c>
      <c r="J388" s="21" t="s">
        <v>35</v>
      </c>
    </row>
    <row r="389" spans="1:11" x14ac:dyDescent="0.2">
      <c r="A389" s="7" t="s">
        <v>230</v>
      </c>
      <c r="B389" s="21" t="s">
        <v>177</v>
      </c>
      <c r="C389" s="4">
        <v>-40927580000</v>
      </c>
      <c r="D389" s="4">
        <v>-35911970000</v>
      </c>
      <c r="E389" s="4">
        <v>-8490470000</v>
      </c>
      <c r="F389" s="4">
        <v>-8075360000</v>
      </c>
      <c r="G389" s="4">
        <v>-2085670000</v>
      </c>
      <c r="H389" s="4">
        <v>-1385490000</v>
      </c>
      <c r="I389" s="4">
        <v>-650450000</v>
      </c>
      <c r="J389" s="4">
        <v>-48720000</v>
      </c>
    </row>
    <row r="390" spans="1:11" x14ac:dyDescent="0.2">
      <c r="B390" s="21" t="s">
        <v>162</v>
      </c>
      <c r="C390" s="1495" t="s">
        <v>18</v>
      </c>
      <c r="F390" s="1495" t="s">
        <v>62</v>
      </c>
    </row>
    <row r="391" spans="1:11" x14ac:dyDescent="0.2">
      <c r="B391" s="21" t="s">
        <v>161</v>
      </c>
      <c r="C391" s="1495" t="s">
        <v>18</v>
      </c>
      <c r="F391" s="1495" t="s">
        <v>62</v>
      </c>
    </row>
    <row r="392" spans="1:11" x14ac:dyDescent="0.2">
      <c r="B392" s="21" t="s">
        <v>160</v>
      </c>
      <c r="C392" s="1495" t="s">
        <v>18</v>
      </c>
      <c r="F392" s="1495" t="s">
        <v>62</v>
      </c>
      <c r="J392" s="1495" t="s">
        <v>278</v>
      </c>
    </row>
    <row r="393" spans="1:11" x14ac:dyDescent="0.2">
      <c r="B393" s="21" t="s">
        <v>157</v>
      </c>
      <c r="C393" s="1495" t="s">
        <v>18</v>
      </c>
      <c r="D393" s="21" t="s">
        <v>65</v>
      </c>
      <c r="E393" s="21" t="s">
        <v>59</v>
      </c>
      <c r="F393" s="1495" t="s">
        <v>62</v>
      </c>
      <c r="G393" s="21" t="s">
        <v>29</v>
      </c>
      <c r="H393" s="21" t="s">
        <v>264</v>
      </c>
      <c r="I393" s="21" t="s">
        <v>446</v>
      </c>
      <c r="J393" s="1495" t="s">
        <v>278</v>
      </c>
      <c r="K393" s="21" t="s">
        <v>434</v>
      </c>
    </row>
    <row r="394" spans="1:11" x14ac:dyDescent="0.2">
      <c r="A394" s="7" t="s">
        <v>229</v>
      </c>
      <c r="B394" s="21" t="s">
        <v>177</v>
      </c>
      <c r="C394" s="4">
        <v>-210510170000</v>
      </c>
      <c r="D394" s="4">
        <v>-57784280000</v>
      </c>
      <c r="E394" s="4">
        <v>-37255910000</v>
      </c>
      <c r="F394" s="4">
        <v>-34309330000</v>
      </c>
      <c r="G394" s="4">
        <v>-26715938218</v>
      </c>
      <c r="H394" s="4">
        <v>-3518350000</v>
      </c>
      <c r="I394" s="4">
        <v>-2186210000</v>
      </c>
      <c r="J394" s="4">
        <v>-2053730000</v>
      </c>
      <c r="K394" s="4">
        <v>-595890000</v>
      </c>
    </row>
    <row r="395" spans="1:11" x14ac:dyDescent="0.2">
      <c r="B395" s="21" t="s">
        <v>162</v>
      </c>
      <c r="C395" s="1495" t="s">
        <v>42</v>
      </c>
    </row>
    <row r="396" spans="1:11" x14ac:dyDescent="0.2">
      <c r="B396" s="21" t="s">
        <v>161</v>
      </c>
      <c r="C396" s="1495" t="s">
        <v>42</v>
      </c>
    </row>
    <row r="397" spans="1:11" x14ac:dyDescent="0.2">
      <c r="B397" s="21" t="s">
        <v>160</v>
      </c>
      <c r="C397" s="1495" t="s">
        <v>42</v>
      </c>
    </row>
    <row r="398" spans="1:11" x14ac:dyDescent="0.2">
      <c r="B398" s="21" t="s">
        <v>157</v>
      </c>
      <c r="C398" s="1495" t="s">
        <v>42</v>
      </c>
      <c r="D398" s="21" t="s">
        <v>180</v>
      </c>
      <c r="E398" s="21" t="s">
        <v>263</v>
      </c>
      <c r="F398" s="21" t="s">
        <v>434</v>
      </c>
    </row>
    <row r="399" spans="1:11" x14ac:dyDescent="0.2">
      <c r="A399" s="7" t="s">
        <v>228</v>
      </c>
      <c r="B399" s="21" t="s">
        <v>177</v>
      </c>
      <c r="C399" s="4">
        <v>-61433790000</v>
      </c>
      <c r="D399" s="4">
        <v>-60827160000</v>
      </c>
      <c r="E399" s="4">
        <v>-2695537513</v>
      </c>
      <c r="F399" s="4">
        <v>-149710000</v>
      </c>
    </row>
    <row r="400" spans="1:11" x14ac:dyDescent="0.2">
      <c r="B400" s="21" t="s">
        <v>162</v>
      </c>
      <c r="C400" s="1495" t="s">
        <v>39</v>
      </c>
      <c r="F400" s="1495" t="s">
        <v>93</v>
      </c>
    </row>
    <row r="401" spans="1:6" x14ac:dyDescent="0.2">
      <c r="B401" s="21" t="s">
        <v>161</v>
      </c>
      <c r="C401" s="1495" t="s">
        <v>39</v>
      </c>
      <c r="F401" s="1495" t="s">
        <v>93</v>
      </c>
    </row>
    <row r="402" spans="1:6" x14ac:dyDescent="0.2">
      <c r="B402" s="21" t="s">
        <v>160</v>
      </c>
      <c r="C402" s="1495" t="s">
        <v>39</v>
      </c>
      <c r="F402" s="1495" t="s">
        <v>93</v>
      </c>
    </row>
    <row r="403" spans="1:6" x14ac:dyDescent="0.2">
      <c r="B403" s="21" t="s">
        <v>157</v>
      </c>
      <c r="C403" s="1495" t="s">
        <v>39</v>
      </c>
      <c r="D403" s="21" t="s">
        <v>61</v>
      </c>
      <c r="E403" s="21" t="s">
        <v>446</v>
      </c>
      <c r="F403" s="1495" t="s">
        <v>93</v>
      </c>
    </row>
    <row r="404" spans="1:6" x14ac:dyDescent="0.2">
      <c r="A404" s="7" t="s">
        <v>227</v>
      </c>
      <c r="B404" s="21" t="s">
        <v>177</v>
      </c>
      <c r="C404" s="4">
        <v>-11386370000</v>
      </c>
      <c r="D404" s="4">
        <v>-6778730000</v>
      </c>
      <c r="E404" s="4">
        <v>-1258820000</v>
      </c>
      <c r="F404" s="4">
        <v>-601912945</v>
      </c>
    </row>
    <row r="405" spans="1:6" x14ac:dyDescent="0.2">
      <c r="B405" s="21" t="s">
        <v>162</v>
      </c>
      <c r="C405" s="1495" t="s">
        <v>72</v>
      </c>
      <c r="F405" s="1495" t="s">
        <v>75</v>
      </c>
    </row>
    <row r="406" spans="1:6" x14ac:dyDescent="0.2">
      <c r="B406" s="21" t="s">
        <v>161</v>
      </c>
      <c r="C406" s="1495" t="s">
        <v>72</v>
      </c>
      <c r="F406" s="1495" t="s">
        <v>75</v>
      </c>
    </row>
    <row r="407" spans="1:6" x14ac:dyDescent="0.2">
      <c r="B407" s="21" t="s">
        <v>160</v>
      </c>
      <c r="C407" s="1495" t="s">
        <v>72</v>
      </c>
      <c r="F407" s="1495" t="s">
        <v>75</v>
      </c>
    </row>
    <row r="408" spans="1:6" x14ac:dyDescent="0.2">
      <c r="B408" s="21" t="s">
        <v>157</v>
      </c>
      <c r="C408" s="1495" t="s">
        <v>72</v>
      </c>
      <c r="D408" s="21" t="s">
        <v>180</v>
      </c>
      <c r="E408" s="21" t="s">
        <v>27</v>
      </c>
      <c r="F408" s="1495" t="s">
        <v>75</v>
      </c>
    </row>
    <row r="409" spans="1:6" x14ac:dyDescent="0.2">
      <c r="A409" s="7" t="s">
        <v>226</v>
      </c>
      <c r="B409" s="21" t="s">
        <v>177</v>
      </c>
      <c r="C409" s="4">
        <v>-168386670000</v>
      </c>
      <c r="D409" s="4">
        <v>-58847170000</v>
      </c>
      <c r="E409" s="4">
        <v>-22791185164</v>
      </c>
      <c r="F409" s="4">
        <v>-13235400000</v>
      </c>
    </row>
    <row r="410" spans="1:6" x14ac:dyDescent="0.2">
      <c r="B410" s="21" t="s">
        <v>162</v>
      </c>
      <c r="C410" s="1495" t="s">
        <v>262</v>
      </c>
    </row>
    <row r="411" spans="1:6" x14ac:dyDescent="0.2">
      <c r="B411" s="21" t="s">
        <v>161</v>
      </c>
      <c r="C411" s="1495" t="s">
        <v>262</v>
      </c>
    </row>
    <row r="412" spans="1:6" x14ac:dyDescent="0.2">
      <c r="B412" s="21" t="s">
        <v>160</v>
      </c>
      <c r="C412" s="1495" t="s">
        <v>262</v>
      </c>
    </row>
    <row r="413" spans="1:6" x14ac:dyDescent="0.2">
      <c r="B413" s="21" t="s">
        <v>157</v>
      </c>
      <c r="C413" s="1495" t="s">
        <v>262</v>
      </c>
      <c r="D413" s="21" t="s">
        <v>33</v>
      </c>
      <c r="E413" s="21" t="s">
        <v>93</v>
      </c>
    </row>
    <row r="414" spans="1:6" x14ac:dyDescent="0.2">
      <c r="A414" s="7" t="s">
        <v>225</v>
      </c>
      <c r="B414" s="21" t="s">
        <v>177</v>
      </c>
      <c r="C414" s="4">
        <v>-22960620000</v>
      </c>
      <c r="D414" s="4">
        <v>-1482640000</v>
      </c>
      <c r="E414" s="4">
        <v>-1447354</v>
      </c>
    </row>
    <row r="415" spans="1:6" x14ac:dyDescent="0.2">
      <c r="B415" s="21" t="s">
        <v>162</v>
      </c>
      <c r="C415" s="1495" t="s">
        <v>286</v>
      </c>
    </row>
    <row r="416" spans="1:6" x14ac:dyDescent="0.2">
      <c r="B416" s="21" t="s">
        <v>161</v>
      </c>
      <c r="C416" s="1495" t="s">
        <v>286</v>
      </c>
    </row>
    <row r="417" spans="1:9" x14ac:dyDescent="0.2">
      <c r="B417" s="21" t="s">
        <v>160</v>
      </c>
      <c r="C417" s="1495" t="s">
        <v>286</v>
      </c>
      <c r="D417" s="1495" t="s">
        <v>431</v>
      </c>
      <c r="G417" s="1495" t="s">
        <v>174</v>
      </c>
    </row>
    <row r="418" spans="1:9" x14ac:dyDescent="0.2">
      <c r="B418" s="21" t="s">
        <v>157</v>
      </c>
      <c r="C418" s="1495" t="s">
        <v>286</v>
      </c>
      <c r="D418" s="1495" t="s">
        <v>431</v>
      </c>
      <c r="E418" s="21" t="s">
        <v>167</v>
      </c>
      <c r="F418" s="21" t="s">
        <v>446</v>
      </c>
      <c r="G418" s="1495" t="s">
        <v>174</v>
      </c>
    </row>
    <row r="419" spans="1:9" x14ac:dyDescent="0.2">
      <c r="A419" s="7" t="s">
        <v>224</v>
      </c>
      <c r="B419" s="21" t="s">
        <v>177</v>
      </c>
      <c r="C419" s="4">
        <v>-27096630000</v>
      </c>
      <c r="D419" s="4">
        <v>-1887550000</v>
      </c>
      <c r="E419" s="4">
        <v>-1531700000</v>
      </c>
      <c r="F419" s="4">
        <v>-1021200000</v>
      </c>
      <c r="G419" s="4">
        <v>-443810000</v>
      </c>
    </row>
    <row r="420" spans="1:9" x14ac:dyDescent="0.2">
      <c r="B420" s="21" t="s">
        <v>162</v>
      </c>
      <c r="C420" s="1495" t="s">
        <v>70</v>
      </c>
      <c r="E420" s="1495" t="s">
        <v>429</v>
      </c>
    </row>
    <row r="421" spans="1:9" x14ac:dyDescent="0.2">
      <c r="B421" s="21" t="s">
        <v>161</v>
      </c>
      <c r="C421" s="1495" t="s">
        <v>70</v>
      </c>
      <c r="E421" s="1495" t="s">
        <v>429</v>
      </c>
    </row>
    <row r="422" spans="1:9" x14ac:dyDescent="0.2">
      <c r="B422" s="21" t="s">
        <v>160</v>
      </c>
      <c r="C422" s="1495" t="s">
        <v>70</v>
      </c>
      <c r="E422" s="1495" t="s">
        <v>429</v>
      </c>
      <c r="F422" s="1495" t="s">
        <v>174</v>
      </c>
    </row>
    <row r="423" spans="1:9" x14ac:dyDescent="0.2">
      <c r="B423" s="21" t="s">
        <v>157</v>
      </c>
      <c r="C423" s="1495" t="s">
        <v>70</v>
      </c>
      <c r="D423" s="21" t="s">
        <v>186</v>
      </c>
      <c r="E423" s="1495" t="s">
        <v>429</v>
      </c>
      <c r="F423" s="1495" t="s">
        <v>174</v>
      </c>
      <c r="G423" s="21" t="s">
        <v>432</v>
      </c>
    </row>
    <row r="424" spans="1:9" x14ac:dyDescent="0.2">
      <c r="A424" s="7" t="s">
        <v>223</v>
      </c>
      <c r="B424" s="21" t="s">
        <v>177</v>
      </c>
      <c r="C424" s="4">
        <v>-111443390000</v>
      </c>
      <c r="D424" s="4">
        <v>-20500510000</v>
      </c>
      <c r="E424" s="4">
        <v>-2336320000</v>
      </c>
      <c r="F424" s="4">
        <v>-415430000</v>
      </c>
      <c r="G424" s="4">
        <v>-25230000</v>
      </c>
    </row>
    <row r="425" spans="1:9" x14ac:dyDescent="0.2">
      <c r="B425" s="21" t="s">
        <v>162</v>
      </c>
      <c r="C425" s="1495" t="s">
        <v>173</v>
      </c>
      <c r="D425" s="1495" t="s">
        <v>303</v>
      </c>
    </row>
    <row r="426" spans="1:9" x14ac:dyDescent="0.2">
      <c r="B426" s="21" t="s">
        <v>161</v>
      </c>
      <c r="C426" s="1495" t="s">
        <v>173</v>
      </c>
      <c r="D426" s="1495" t="s">
        <v>303</v>
      </c>
    </row>
    <row r="427" spans="1:9" x14ac:dyDescent="0.2">
      <c r="B427" s="21" t="s">
        <v>160</v>
      </c>
      <c r="C427" s="1495" t="s">
        <v>173</v>
      </c>
      <c r="D427" s="1495" t="s">
        <v>303</v>
      </c>
    </row>
    <row r="428" spans="1:9" x14ac:dyDescent="0.2">
      <c r="B428" s="21" t="s">
        <v>157</v>
      </c>
      <c r="C428" s="1495" t="s">
        <v>173</v>
      </c>
      <c r="D428" s="1495" t="s">
        <v>303</v>
      </c>
    </row>
    <row r="429" spans="1:9" x14ac:dyDescent="0.2">
      <c r="A429" s="7" t="s">
        <v>222</v>
      </c>
      <c r="B429" s="21" t="s">
        <v>177</v>
      </c>
      <c r="C429" s="4">
        <v>-4953130000</v>
      </c>
      <c r="D429" s="4">
        <v>-3033840000</v>
      </c>
    </row>
    <row r="430" spans="1:9" x14ac:dyDescent="0.2">
      <c r="B430" s="21" t="s">
        <v>162</v>
      </c>
      <c r="D430" s="1495" t="s">
        <v>192</v>
      </c>
      <c r="F430" s="1495" t="s">
        <v>96</v>
      </c>
      <c r="H430" s="1495" t="s">
        <v>262</v>
      </c>
      <c r="I430" s="1495" t="s">
        <v>197</v>
      </c>
    </row>
    <row r="431" spans="1:9" x14ac:dyDescent="0.2">
      <c r="B431" s="21" t="s">
        <v>161</v>
      </c>
      <c r="C431" s="1495" t="s">
        <v>99</v>
      </c>
      <c r="D431" s="1495" t="s">
        <v>192</v>
      </c>
      <c r="F431" s="1495" t="s">
        <v>96</v>
      </c>
      <c r="H431" s="1495" t="s">
        <v>262</v>
      </c>
      <c r="I431" s="1495" t="s">
        <v>197</v>
      </c>
    </row>
    <row r="432" spans="1:9" x14ac:dyDescent="0.2">
      <c r="B432" s="21" t="s">
        <v>160</v>
      </c>
      <c r="C432" s="1495" t="s">
        <v>99</v>
      </c>
      <c r="D432" s="1495" t="s">
        <v>192</v>
      </c>
      <c r="F432" s="1495" t="s">
        <v>96</v>
      </c>
      <c r="G432" s="1495" t="s">
        <v>20</v>
      </c>
      <c r="H432" s="1495" t="s">
        <v>262</v>
      </c>
      <c r="I432" s="1495" t="s">
        <v>197</v>
      </c>
    </row>
    <row r="433" spans="1:12" x14ac:dyDescent="0.2">
      <c r="B433" s="21" t="s">
        <v>157</v>
      </c>
      <c r="C433" s="1495" t="s">
        <v>99</v>
      </c>
      <c r="D433" s="1495" t="s">
        <v>192</v>
      </c>
      <c r="E433" s="21" t="s">
        <v>267</v>
      </c>
      <c r="F433" s="1495" t="s">
        <v>96</v>
      </c>
      <c r="G433" s="1495" t="s">
        <v>20</v>
      </c>
      <c r="H433" s="1495" t="s">
        <v>262</v>
      </c>
      <c r="I433" s="1495" t="s">
        <v>197</v>
      </c>
      <c r="J433" s="21" t="s">
        <v>273</v>
      </c>
      <c r="K433" s="21" t="s">
        <v>435</v>
      </c>
      <c r="L433" s="21" t="s">
        <v>158</v>
      </c>
    </row>
    <row r="434" spans="1:12" x14ac:dyDescent="0.2">
      <c r="A434" s="7" t="s">
        <v>221</v>
      </c>
      <c r="B434" s="21" t="s">
        <v>177</v>
      </c>
      <c r="C434" s="4">
        <v>-84796250000</v>
      </c>
      <c r="D434" s="4">
        <v>-26979360000</v>
      </c>
      <c r="E434" s="4">
        <v>-22012200000</v>
      </c>
      <c r="F434" s="4">
        <v>-20879670000</v>
      </c>
      <c r="G434" s="4">
        <v>-17356568672</v>
      </c>
      <c r="H434" s="4">
        <v>-8469220000</v>
      </c>
      <c r="I434" s="4">
        <v>-5295771459</v>
      </c>
      <c r="J434" s="4">
        <v>-1176932360</v>
      </c>
      <c r="K434" s="4">
        <v>-527600000</v>
      </c>
      <c r="L434" s="4">
        <v>-4752872</v>
      </c>
    </row>
    <row r="435" spans="1:12" x14ac:dyDescent="0.2">
      <c r="B435" s="21" t="s">
        <v>162</v>
      </c>
      <c r="D435" s="1495" t="s">
        <v>9</v>
      </c>
      <c r="E435" s="1495" t="s">
        <v>95</v>
      </c>
      <c r="G435" s="1495" t="s">
        <v>443</v>
      </c>
      <c r="H435" s="1495" t="s">
        <v>280</v>
      </c>
    </row>
    <row r="436" spans="1:12" x14ac:dyDescent="0.2">
      <c r="B436" s="21" t="s">
        <v>161</v>
      </c>
      <c r="D436" s="1495" t="s">
        <v>9</v>
      </c>
      <c r="E436" s="1495" t="s">
        <v>95</v>
      </c>
      <c r="F436" s="1495" t="s">
        <v>60</v>
      </c>
      <c r="G436" s="1495" t="s">
        <v>443</v>
      </c>
      <c r="H436" s="1495" t="s">
        <v>280</v>
      </c>
    </row>
    <row r="437" spans="1:12" x14ac:dyDescent="0.2">
      <c r="B437" s="21" t="s">
        <v>160</v>
      </c>
      <c r="C437" s="1495" t="s">
        <v>5</v>
      </c>
      <c r="D437" s="1495" t="s">
        <v>9</v>
      </c>
      <c r="E437" s="1495" t="s">
        <v>95</v>
      </c>
      <c r="F437" s="1495" t="s">
        <v>60</v>
      </c>
      <c r="G437" s="1495" t="s">
        <v>443</v>
      </c>
      <c r="H437" s="1495" t="s">
        <v>280</v>
      </c>
      <c r="I437" s="1495" t="s">
        <v>174</v>
      </c>
    </row>
    <row r="438" spans="1:12" x14ac:dyDescent="0.2">
      <c r="B438" s="21" t="s">
        <v>157</v>
      </c>
      <c r="C438" s="1495" t="s">
        <v>5</v>
      </c>
      <c r="D438" s="1495" t="s">
        <v>9</v>
      </c>
      <c r="E438" s="1495" t="s">
        <v>95</v>
      </c>
      <c r="F438" s="1495" t="s">
        <v>60</v>
      </c>
      <c r="G438" s="1495" t="s">
        <v>443</v>
      </c>
      <c r="H438" s="1495" t="s">
        <v>280</v>
      </c>
      <c r="I438" s="1495" t="s">
        <v>174</v>
      </c>
      <c r="J438" s="21" t="s">
        <v>326</v>
      </c>
    </row>
    <row r="439" spans="1:12" x14ac:dyDescent="0.2">
      <c r="A439" s="7" t="s">
        <v>219</v>
      </c>
      <c r="B439" s="21" t="s">
        <v>177</v>
      </c>
      <c r="C439" s="4">
        <v>-170110110000</v>
      </c>
      <c r="D439" s="4">
        <v>-98182980000</v>
      </c>
      <c r="E439" s="4">
        <v>-13247750000</v>
      </c>
      <c r="F439" s="4">
        <v>-9808270000</v>
      </c>
      <c r="G439" s="4">
        <v>-8157310000</v>
      </c>
      <c r="H439" s="4">
        <v>-4603771732</v>
      </c>
      <c r="I439" s="4">
        <v>-303160000</v>
      </c>
      <c r="J439" s="4">
        <v>-236170000</v>
      </c>
    </row>
    <row r="440" spans="1:12" x14ac:dyDescent="0.2">
      <c r="B440" s="21" t="s">
        <v>162</v>
      </c>
      <c r="D440" s="1495" t="s">
        <v>279</v>
      </c>
      <c r="F440" s="1495" t="s">
        <v>182</v>
      </c>
      <c r="G440" s="1495" t="s">
        <v>288</v>
      </c>
    </row>
    <row r="441" spans="1:12" x14ac:dyDescent="0.2">
      <c r="B441" s="21" t="s">
        <v>161</v>
      </c>
      <c r="D441" s="1495" t="s">
        <v>279</v>
      </c>
      <c r="F441" s="1495" t="s">
        <v>182</v>
      </c>
      <c r="G441" s="1495" t="s">
        <v>288</v>
      </c>
    </row>
    <row r="442" spans="1:12" x14ac:dyDescent="0.2">
      <c r="B442" s="21" t="s">
        <v>160</v>
      </c>
      <c r="D442" s="1495" t="s">
        <v>279</v>
      </c>
      <c r="E442" s="1495" t="s">
        <v>82</v>
      </c>
      <c r="F442" s="1495" t="s">
        <v>182</v>
      </c>
      <c r="G442" s="1495" t="s">
        <v>288</v>
      </c>
    </row>
    <row r="443" spans="1:12" x14ac:dyDescent="0.2">
      <c r="B443" s="21" t="s">
        <v>157</v>
      </c>
      <c r="C443" s="21" t="s">
        <v>13</v>
      </c>
      <c r="D443" s="1495" t="s">
        <v>279</v>
      </c>
      <c r="E443" s="1495" t="s">
        <v>82</v>
      </c>
      <c r="F443" s="1495" t="s">
        <v>182</v>
      </c>
      <c r="G443" s="1495" t="s">
        <v>288</v>
      </c>
      <c r="H443" s="21" t="s">
        <v>179</v>
      </c>
      <c r="I443" s="21" t="s">
        <v>303</v>
      </c>
      <c r="J443" s="21" t="s">
        <v>176</v>
      </c>
      <c r="K443" s="21" t="s">
        <v>444</v>
      </c>
    </row>
    <row r="444" spans="1:12" x14ac:dyDescent="0.2">
      <c r="A444" s="7" t="s">
        <v>218</v>
      </c>
      <c r="B444" s="21" t="s">
        <v>177</v>
      </c>
      <c r="C444" s="4">
        <v>-145273450000</v>
      </c>
      <c r="D444" s="4">
        <v>-37852420000</v>
      </c>
      <c r="E444" s="4">
        <v>-9306573204</v>
      </c>
      <c r="F444" s="4">
        <v>-7805150000</v>
      </c>
      <c r="G444" s="4">
        <v>-4005830189</v>
      </c>
      <c r="H444" s="4">
        <v>-3021720000</v>
      </c>
      <c r="I444" s="4">
        <v>-1172720000</v>
      </c>
      <c r="J444" s="4">
        <v>-641800000</v>
      </c>
      <c r="K444" s="4">
        <v>-76300000</v>
      </c>
    </row>
    <row r="445" spans="1:12" x14ac:dyDescent="0.2">
      <c r="B445" s="21" t="s">
        <v>162</v>
      </c>
      <c r="D445" s="1495" t="s">
        <v>22</v>
      </c>
      <c r="E445" s="1495" t="s">
        <v>79</v>
      </c>
      <c r="F445" s="1495" t="s">
        <v>72</v>
      </c>
    </row>
    <row r="446" spans="1:12" x14ac:dyDescent="0.2">
      <c r="B446" s="21" t="s">
        <v>161</v>
      </c>
      <c r="D446" s="1495" t="s">
        <v>22</v>
      </c>
      <c r="E446" s="1495" t="s">
        <v>79</v>
      </c>
      <c r="F446" s="1495" t="s">
        <v>72</v>
      </c>
    </row>
    <row r="447" spans="1:12" x14ac:dyDescent="0.2">
      <c r="B447" s="21" t="s">
        <v>160</v>
      </c>
      <c r="C447" s="1495" t="s">
        <v>24</v>
      </c>
      <c r="D447" s="1495" t="s">
        <v>22</v>
      </c>
      <c r="E447" s="1495" t="s">
        <v>79</v>
      </c>
      <c r="F447" s="1495" t="s">
        <v>72</v>
      </c>
    </row>
    <row r="448" spans="1:12" x14ac:dyDescent="0.2">
      <c r="B448" s="21" t="s">
        <v>157</v>
      </c>
      <c r="C448" s="1495" t="s">
        <v>24</v>
      </c>
      <c r="D448" s="1495" t="s">
        <v>22</v>
      </c>
      <c r="E448" s="1495" t="s">
        <v>79</v>
      </c>
      <c r="F448" s="1495" t="s">
        <v>72</v>
      </c>
      <c r="G448" s="21" t="s">
        <v>73</v>
      </c>
      <c r="H448" s="21" t="s">
        <v>273</v>
      </c>
      <c r="I448" s="21" t="s">
        <v>176</v>
      </c>
      <c r="J448" s="21" t="s">
        <v>32</v>
      </c>
    </row>
    <row r="449" spans="1:10" x14ac:dyDescent="0.2">
      <c r="A449" s="7" t="s">
        <v>217</v>
      </c>
      <c r="B449" s="21" t="s">
        <v>177</v>
      </c>
      <c r="C449" s="4">
        <v>-323204470000</v>
      </c>
      <c r="D449" s="4">
        <v>-255703040000</v>
      </c>
      <c r="E449" s="4">
        <v>-192301632553</v>
      </c>
      <c r="F449" s="4">
        <v>-158446285450</v>
      </c>
      <c r="G449" s="4">
        <v>-4261513675</v>
      </c>
      <c r="H449" s="4">
        <v>-882443971</v>
      </c>
      <c r="I449" s="4">
        <v>-210870000</v>
      </c>
      <c r="J449" s="4">
        <v>-2553776</v>
      </c>
    </row>
    <row r="450" spans="1:10" x14ac:dyDescent="0.2">
      <c r="B450" s="21" t="s">
        <v>162</v>
      </c>
      <c r="C450" s="1495" t="s">
        <v>23</v>
      </c>
      <c r="D450" s="1495" t="s">
        <v>11</v>
      </c>
      <c r="E450" s="1495" t="s">
        <v>86</v>
      </c>
      <c r="F450" s="1495" t="s">
        <v>313</v>
      </c>
      <c r="G450" s="1495" t="s">
        <v>288</v>
      </c>
    </row>
    <row r="451" spans="1:10" x14ac:dyDescent="0.2">
      <c r="B451" s="21" t="s">
        <v>161</v>
      </c>
      <c r="C451" s="1495" t="s">
        <v>23</v>
      </c>
      <c r="D451" s="1495" t="s">
        <v>11</v>
      </c>
      <c r="E451" s="1495" t="s">
        <v>86</v>
      </c>
      <c r="F451" s="1495" t="s">
        <v>313</v>
      </c>
      <c r="G451" s="1495" t="s">
        <v>288</v>
      </c>
    </row>
    <row r="452" spans="1:10" x14ac:dyDescent="0.2">
      <c r="B452" s="21" t="s">
        <v>160</v>
      </c>
      <c r="C452" s="1495" t="s">
        <v>23</v>
      </c>
      <c r="D452" s="1495" t="s">
        <v>11</v>
      </c>
      <c r="E452" s="1495" t="s">
        <v>86</v>
      </c>
      <c r="F452" s="1495" t="s">
        <v>313</v>
      </c>
      <c r="G452" s="1495" t="s">
        <v>288</v>
      </c>
      <c r="I452" s="1495" t="s">
        <v>174</v>
      </c>
    </row>
    <row r="453" spans="1:10" x14ac:dyDescent="0.2">
      <c r="B453" s="21" t="s">
        <v>157</v>
      </c>
      <c r="C453" s="1495" t="s">
        <v>23</v>
      </c>
      <c r="D453" s="1495" t="s">
        <v>11</v>
      </c>
      <c r="E453" s="1495" t="s">
        <v>86</v>
      </c>
      <c r="F453" s="1495" t="s">
        <v>313</v>
      </c>
      <c r="G453" s="1495" t="s">
        <v>288</v>
      </c>
      <c r="H453" s="21" t="s">
        <v>273</v>
      </c>
      <c r="I453" s="1495" t="s">
        <v>174</v>
      </c>
    </row>
    <row r="454" spans="1:10" x14ac:dyDescent="0.2">
      <c r="A454" s="7" t="s">
        <v>216</v>
      </c>
      <c r="B454" s="21" t="s">
        <v>177</v>
      </c>
      <c r="C454" s="4">
        <v>-1008216290000</v>
      </c>
      <c r="D454" s="4">
        <v>-164721490000</v>
      </c>
      <c r="E454" s="4">
        <v>-118811110000</v>
      </c>
      <c r="F454" s="4">
        <v>-38079950000</v>
      </c>
      <c r="G454" s="4">
        <v>-2021258065</v>
      </c>
      <c r="H454" s="4">
        <v>-882307560</v>
      </c>
      <c r="I454" s="4">
        <v>-242740000</v>
      </c>
    </row>
    <row r="455" spans="1:10" x14ac:dyDescent="0.2">
      <c r="B455" s="21" t="s">
        <v>162</v>
      </c>
      <c r="C455" s="1495" t="s">
        <v>6</v>
      </c>
      <c r="D455" s="1495" t="s">
        <v>313</v>
      </c>
      <c r="F455" s="1495" t="s">
        <v>39</v>
      </c>
      <c r="H455" s="1495" t="s">
        <v>447</v>
      </c>
    </row>
    <row r="456" spans="1:10" x14ac:dyDescent="0.2">
      <c r="B456" s="21" t="s">
        <v>161</v>
      </c>
      <c r="C456" s="1495" t="s">
        <v>6</v>
      </c>
      <c r="D456" s="1495" t="s">
        <v>313</v>
      </c>
      <c r="F456" s="1495" t="s">
        <v>39</v>
      </c>
      <c r="H456" s="1495" t="s">
        <v>447</v>
      </c>
    </row>
    <row r="457" spans="1:10" x14ac:dyDescent="0.2">
      <c r="B457" s="21" t="s">
        <v>160</v>
      </c>
      <c r="C457" s="1495" t="s">
        <v>6</v>
      </c>
      <c r="D457" s="1495" t="s">
        <v>313</v>
      </c>
      <c r="F457" s="1495" t="s">
        <v>39</v>
      </c>
      <c r="G457" s="1495" t="s">
        <v>40</v>
      </c>
      <c r="H457" s="1495" t="s">
        <v>447</v>
      </c>
    </row>
    <row r="458" spans="1:10" x14ac:dyDescent="0.2">
      <c r="B458" s="21" t="s">
        <v>157</v>
      </c>
      <c r="C458" s="1495" t="s">
        <v>6</v>
      </c>
      <c r="D458" s="1495" t="s">
        <v>313</v>
      </c>
      <c r="E458" s="21" t="s">
        <v>82</v>
      </c>
      <c r="F458" s="1495" t="s">
        <v>39</v>
      </c>
      <c r="G458" s="1495" t="s">
        <v>40</v>
      </c>
      <c r="H458" s="1495" t="s">
        <v>447</v>
      </c>
    </row>
    <row r="459" spans="1:10" x14ac:dyDescent="0.2">
      <c r="A459" s="7" t="s">
        <v>215</v>
      </c>
      <c r="B459" s="21" t="s">
        <v>177</v>
      </c>
      <c r="C459" s="4">
        <v>-395381380000</v>
      </c>
      <c r="D459" s="4">
        <v>-35962370000</v>
      </c>
      <c r="E459" s="4">
        <v>-7217047855</v>
      </c>
      <c r="F459" s="4">
        <v>-6020660000</v>
      </c>
      <c r="G459" s="4">
        <v>-1968220000</v>
      </c>
      <c r="H459" s="4">
        <v>-1448340000</v>
      </c>
    </row>
    <row r="460" spans="1:10" x14ac:dyDescent="0.2">
      <c r="B460" s="21" t="s">
        <v>162</v>
      </c>
      <c r="C460" s="1495" t="s">
        <v>194</v>
      </c>
    </row>
    <row r="461" spans="1:10" x14ac:dyDescent="0.2">
      <c r="B461" s="21" t="s">
        <v>161</v>
      </c>
      <c r="C461" s="1495" t="s">
        <v>194</v>
      </c>
    </row>
    <row r="462" spans="1:10" x14ac:dyDescent="0.2">
      <c r="B462" s="21" t="s">
        <v>160</v>
      </c>
      <c r="C462" s="1495" t="s">
        <v>194</v>
      </c>
    </row>
    <row r="463" spans="1:10" x14ac:dyDescent="0.2">
      <c r="B463" s="21" t="s">
        <v>157</v>
      </c>
      <c r="C463" s="1495" t="s">
        <v>194</v>
      </c>
      <c r="D463" s="21" t="s">
        <v>431</v>
      </c>
    </row>
    <row r="464" spans="1:10" x14ac:dyDescent="0.2">
      <c r="A464" s="7" t="s">
        <v>214</v>
      </c>
      <c r="B464" s="21" t="s">
        <v>177</v>
      </c>
      <c r="C464" s="4">
        <v>-3574590000</v>
      </c>
      <c r="D464" s="4">
        <v>-399490000</v>
      </c>
    </row>
    <row r="465" spans="1:17" x14ac:dyDescent="0.2">
      <c r="B465" s="21" t="s">
        <v>162</v>
      </c>
      <c r="C465" s="1495" t="s">
        <v>87</v>
      </c>
      <c r="D465" s="1495" t="s">
        <v>269</v>
      </c>
      <c r="E465" s="1495" t="s">
        <v>207</v>
      </c>
      <c r="F465" s="1495" t="s">
        <v>98</v>
      </c>
      <c r="G465" s="1495" t="s">
        <v>289</v>
      </c>
    </row>
    <row r="466" spans="1:17" x14ac:dyDescent="0.2">
      <c r="B466" s="21" t="s">
        <v>161</v>
      </c>
      <c r="C466" s="1495" t="s">
        <v>87</v>
      </c>
      <c r="D466" s="1495" t="s">
        <v>269</v>
      </c>
      <c r="E466" s="1495" t="s">
        <v>207</v>
      </c>
      <c r="F466" s="1495" t="s">
        <v>98</v>
      </c>
      <c r="G466" s="1495" t="s">
        <v>289</v>
      </c>
    </row>
    <row r="467" spans="1:17" x14ac:dyDescent="0.2">
      <c r="B467" s="21" t="s">
        <v>160</v>
      </c>
      <c r="C467" s="1495" t="s">
        <v>87</v>
      </c>
      <c r="D467" s="1495" t="s">
        <v>269</v>
      </c>
      <c r="E467" s="1495" t="s">
        <v>207</v>
      </c>
      <c r="F467" s="1495" t="s">
        <v>98</v>
      </c>
      <c r="G467" s="1495" t="s">
        <v>289</v>
      </c>
      <c r="H467" s="1495" t="s">
        <v>79</v>
      </c>
    </row>
    <row r="468" spans="1:17" x14ac:dyDescent="0.2">
      <c r="B468" s="21" t="s">
        <v>157</v>
      </c>
      <c r="C468" s="1495" t="s">
        <v>87</v>
      </c>
      <c r="D468" s="1495" t="s">
        <v>269</v>
      </c>
      <c r="E468" s="1495" t="s">
        <v>207</v>
      </c>
      <c r="F468" s="1495" t="s">
        <v>98</v>
      </c>
      <c r="G468" s="1495" t="s">
        <v>289</v>
      </c>
      <c r="H468" s="1495" t="s">
        <v>79</v>
      </c>
    </row>
    <row r="469" spans="1:17" x14ac:dyDescent="0.2">
      <c r="A469" s="7" t="s">
        <v>213</v>
      </c>
      <c r="B469" s="21" t="s">
        <v>177</v>
      </c>
      <c r="C469" s="4">
        <v>-37877050000</v>
      </c>
      <c r="D469" s="4">
        <v>-25306190000</v>
      </c>
      <c r="E469" s="4">
        <v>-10024830000</v>
      </c>
      <c r="F469" s="4">
        <v>-6667870000</v>
      </c>
      <c r="G469" s="4">
        <v>-5387360000</v>
      </c>
      <c r="H469" s="4">
        <v>-2245000000</v>
      </c>
    </row>
    <row r="470" spans="1:17" x14ac:dyDescent="0.2">
      <c r="B470" s="21" t="s">
        <v>162</v>
      </c>
      <c r="C470" s="1495" t="s">
        <v>23</v>
      </c>
      <c r="D470" s="1495" t="s">
        <v>89</v>
      </c>
      <c r="E470" s="1495" t="s">
        <v>37</v>
      </c>
      <c r="F470" s="1495" t="s">
        <v>163</v>
      </c>
      <c r="G470" s="1495" t="s">
        <v>183</v>
      </c>
      <c r="H470" s="1495" t="s">
        <v>58</v>
      </c>
      <c r="I470" s="1495" t="s">
        <v>312</v>
      </c>
      <c r="J470" s="1495" t="s">
        <v>310</v>
      </c>
      <c r="K470" s="1495" t="s">
        <v>207</v>
      </c>
      <c r="L470" s="1495" t="s">
        <v>441</v>
      </c>
      <c r="N470" s="1495" t="s">
        <v>98</v>
      </c>
      <c r="O470" s="1495" t="s">
        <v>288</v>
      </c>
      <c r="P470" s="1495" t="s">
        <v>429</v>
      </c>
    </row>
    <row r="471" spans="1:17" x14ac:dyDescent="0.2">
      <c r="B471" s="21" t="s">
        <v>161</v>
      </c>
      <c r="C471" s="1495" t="s">
        <v>23</v>
      </c>
      <c r="D471" s="1495" t="s">
        <v>89</v>
      </c>
      <c r="E471" s="1495" t="s">
        <v>37</v>
      </c>
      <c r="F471" s="1495" t="s">
        <v>163</v>
      </c>
      <c r="G471" s="1495" t="s">
        <v>183</v>
      </c>
      <c r="H471" s="1495" t="s">
        <v>58</v>
      </c>
      <c r="I471" s="1495" t="s">
        <v>312</v>
      </c>
      <c r="J471" s="1495" t="s">
        <v>310</v>
      </c>
      <c r="K471" s="1495" t="s">
        <v>207</v>
      </c>
      <c r="L471" s="1495" t="s">
        <v>441</v>
      </c>
      <c r="N471" s="1495" t="s">
        <v>98</v>
      </c>
      <c r="O471" s="1495" t="s">
        <v>288</v>
      </c>
      <c r="P471" s="1495" t="s">
        <v>429</v>
      </c>
    </row>
    <row r="472" spans="1:17" x14ac:dyDescent="0.2">
      <c r="B472" s="21" t="s">
        <v>160</v>
      </c>
      <c r="C472" s="1495" t="s">
        <v>23</v>
      </c>
      <c r="D472" s="1495" t="s">
        <v>89</v>
      </c>
      <c r="E472" s="1495" t="s">
        <v>37</v>
      </c>
      <c r="F472" s="1495" t="s">
        <v>163</v>
      </c>
      <c r="G472" s="1495" t="s">
        <v>183</v>
      </c>
      <c r="H472" s="1495" t="s">
        <v>58</v>
      </c>
      <c r="I472" s="1495" t="s">
        <v>312</v>
      </c>
      <c r="J472" s="1495" t="s">
        <v>310</v>
      </c>
      <c r="K472" s="1495" t="s">
        <v>207</v>
      </c>
      <c r="L472" s="1495" t="s">
        <v>441</v>
      </c>
      <c r="M472" s="1495" t="s">
        <v>60</v>
      </c>
      <c r="N472" s="1495" t="s">
        <v>98</v>
      </c>
      <c r="O472" s="1495" t="s">
        <v>288</v>
      </c>
      <c r="P472" s="1495" t="s">
        <v>429</v>
      </c>
    </row>
    <row r="473" spans="1:17" x14ac:dyDescent="0.2">
      <c r="B473" s="21" t="s">
        <v>157</v>
      </c>
      <c r="C473" s="1495" t="s">
        <v>23</v>
      </c>
      <c r="D473" s="1495" t="s">
        <v>89</v>
      </c>
      <c r="E473" s="1495" t="s">
        <v>37</v>
      </c>
      <c r="F473" s="1495" t="s">
        <v>163</v>
      </c>
      <c r="G473" s="1495" t="s">
        <v>183</v>
      </c>
      <c r="H473" s="1495" t="s">
        <v>58</v>
      </c>
      <c r="I473" s="1495" t="s">
        <v>312</v>
      </c>
      <c r="J473" s="1495" t="s">
        <v>310</v>
      </c>
      <c r="K473" s="1495" t="s">
        <v>207</v>
      </c>
      <c r="L473" s="1495" t="s">
        <v>441</v>
      </c>
      <c r="M473" s="1495" t="s">
        <v>60</v>
      </c>
      <c r="N473" s="1495" t="s">
        <v>98</v>
      </c>
      <c r="O473" s="1495" t="s">
        <v>288</v>
      </c>
      <c r="P473" s="1495" t="s">
        <v>429</v>
      </c>
      <c r="Q473" s="21" t="s">
        <v>445</v>
      </c>
    </row>
    <row r="474" spans="1:17" x14ac:dyDescent="0.2">
      <c r="A474" s="7" t="s">
        <v>211</v>
      </c>
      <c r="B474" s="21" t="s">
        <v>177</v>
      </c>
      <c r="C474" s="4">
        <v>-173552550000</v>
      </c>
      <c r="D474" s="4">
        <v>-146880910000</v>
      </c>
      <c r="E474" s="4">
        <v>-63725040000</v>
      </c>
      <c r="F474" s="4">
        <v>-57436870000</v>
      </c>
      <c r="G474" s="4">
        <v>-43627160000</v>
      </c>
      <c r="H474" s="4">
        <v>-23612230000</v>
      </c>
      <c r="I474" s="4">
        <v>-17397690000</v>
      </c>
      <c r="J474" s="4">
        <v>-11917790000</v>
      </c>
      <c r="K474" s="4">
        <v>-6245940000</v>
      </c>
      <c r="L474" s="4">
        <v>-6067530000</v>
      </c>
      <c r="M474" s="4">
        <v>-6014320000</v>
      </c>
      <c r="N474" s="4">
        <v>-4261980000</v>
      </c>
      <c r="O474" s="4">
        <v>-1999266026</v>
      </c>
      <c r="P474" s="4">
        <v>-1613490000</v>
      </c>
      <c r="Q474" s="4">
        <v>-1464279134</v>
      </c>
    </row>
    <row r="475" spans="1:17" x14ac:dyDescent="0.2">
      <c r="B475" s="21" t="s">
        <v>162</v>
      </c>
      <c r="D475" s="1495" t="s">
        <v>163</v>
      </c>
      <c r="G475" s="1495" t="s">
        <v>302</v>
      </c>
    </row>
    <row r="476" spans="1:17" x14ac:dyDescent="0.2">
      <c r="B476" s="21" t="s">
        <v>161</v>
      </c>
      <c r="C476" s="1495" t="s">
        <v>64</v>
      </c>
      <c r="D476" s="1495" t="s">
        <v>163</v>
      </c>
      <c r="G476" s="1495" t="s">
        <v>302</v>
      </c>
    </row>
    <row r="477" spans="1:17" x14ac:dyDescent="0.2">
      <c r="B477" s="21" t="s">
        <v>160</v>
      </c>
      <c r="C477" s="1495" t="s">
        <v>64</v>
      </c>
      <c r="D477" s="1495" t="s">
        <v>163</v>
      </c>
      <c r="G477" s="1495" t="s">
        <v>302</v>
      </c>
    </row>
    <row r="478" spans="1:17" x14ac:dyDescent="0.2">
      <c r="B478" s="21" t="s">
        <v>157</v>
      </c>
      <c r="C478" s="1495" t="s">
        <v>64</v>
      </c>
      <c r="D478" s="1495" t="s">
        <v>163</v>
      </c>
      <c r="E478" s="21" t="s">
        <v>67</v>
      </c>
      <c r="F478" s="21" t="s">
        <v>34</v>
      </c>
      <c r="G478" s="1495" t="s">
        <v>302</v>
      </c>
      <c r="H478" s="21" t="s">
        <v>432</v>
      </c>
    </row>
    <row r="479" spans="1:17" x14ac:dyDescent="0.2">
      <c r="A479" s="7" t="s">
        <v>210</v>
      </c>
      <c r="B479" s="21" t="s">
        <v>177</v>
      </c>
      <c r="C479" s="4">
        <v>-176740530000</v>
      </c>
      <c r="D479" s="4">
        <v>-50440200000</v>
      </c>
      <c r="E479" s="4">
        <v>-31858400000</v>
      </c>
      <c r="F479" s="4">
        <v>-10717840000</v>
      </c>
      <c r="G479" s="4">
        <v>-9951600000</v>
      </c>
      <c r="H479" s="4">
        <v>-16340000</v>
      </c>
    </row>
    <row r="480" spans="1:17" x14ac:dyDescent="0.2">
      <c r="B480" s="21" t="s">
        <v>162</v>
      </c>
      <c r="G480" s="1495" t="s">
        <v>94</v>
      </c>
    </row>
    <row r="481" spans="1:22" x14ac:dyDescent="0.2">
      <c r="B481" s="21" t="s">
        <v>161</v>
      </c>
      <c r="G481" s="1495" t="s">
        <v>94</v>
      </c>
    </row>
    <row r="482" spans="1:22" x14ac:dyDescent="0.2">
      <c r="B482" s="21" t="s">
        <v>160</v>
      </c>
      <c r="G482" s="1495" t="s">
        <v>94</v>
      </c>
    </row>
    <row r="483" spans="1:22" x14ac:dyDescent="0.2">
      <c r="B483" s="21" t="s">
        <v>157</v>
      </c>
      <c r="C483" s="21" t="s">
        <v>5</v>
      </c>
      <c r="D483" s="21" t="s">
        <v>18</v>
      </c>
      <c r="E483" s="21" t="s">
        <v>325</v>
      </c>
      <c r="F483" s="21" t="s">
        <v>19</v>
      </c>
      <c r="G483" s="1495" t="s">
        <v>94</v>
      </c>
    </row>
    <row r="484" spans="1:22" x14ac:dyDescent="0.2">
      <c r="A484" s="7" t="s">
        <v>209</v>
      </c>
      <c r="B484" s="21" t="s">
        <v>177</v>
      </c>
      <c r="C484" s="4">
        <v>-159195630000</v>
      </c>
      <c r="D484" s="4">
        <v>-72344940000</v>
      </c>
      <c r="E484" s="4">
        <v>-28431600000</v>
      </c>
      <c r="F484" s="4">
        <v>-10258410000</v>
      </c>
      <c r="G484" s="4">
        <v>-4004527925</v>
      </c>
    </row>
    <row r="485" spans="1:22" x14ac:dyDescent="0.2">
      <c r="B485" s="21" t="s">
        <v>162</v>
      </c>
      <c r="C485" s="1495" t="s">
        <v>25</v>
      </c>
      <c r="F485" s="1495" t="s">
        <v>184</v>
      </c>
      <c r="G485" s="1495" t="s">
        <v>310</v>
      </c>
      <c r="I485" s="1495" t="s">
        <v>173</v>
      </c>
      <c r="J485" s="1495" t="s">
        <v>94</v>
      </c>
      <c r="K485" s="1495" t="s">
        <v>439</v>
      </c>
      <c r="L485" s="1495" t="s">
        <v>92</v>
      </c>
      <c r="O485" s="1495" t="s">
        <v>292</v>
      </c>
      <c r="P485" s="1495" t="s">
        <v>275</v>
      </c>
    </row>
    <row r="486" spans="1:22" x14ac:dyDescent="0.2">
      <c r="B486" s="21" t="s">
        <v>161</v>
      </c>
      <c r="C486" s="1495" t="s">
        <v>25</v>
      </c>
      <c r="F486" s="1495" t="s">
        <v>184</v>
      </c>
      <c r="G486" s="1495" t="s">
        <v>310</v>
      </c>
      <c r="I486" s="1495" t="s">
        <v>173</v>
      </c>
      <c r="J486" s="1495" t="s">
        <v>94</v>
      </c>
      <c r="K486" s="1495" t="s">
        <v>439</v>
      </c>
      <c r="L486" s="1495" t="s">
        <v>92</v>
      </c>
      <c r="O486" s="1495" t="s">
        <v>292</v>
      </c>
      <c r="P486" s="1495" t="s">
        <v>275</v>
      </c>
    </row>
    <row r="487" spans="1:22" x14ac:dyDescent="0.2">
      <c r="B487" s="21" t="s">
        <v>160</v>
      </c>
      <c r="C487" s="1495" t="s">
        <v>25</v>
      </c>
      <c r="D487" s="1495" t="s">
        <v>69</v>
      </c>
      <c r="F487" s="1495" t="s">
        <v>184</v>
      </c>
      <c r="G487" s="1495" t="s">
        <v>310</v>
      </c>
      <c r="H487" s="1495" t="s">
        <v>311</v>
      </c>
      <c r="I487" s="1495" t="s">
        <v>173</v>
      </c>
      <c r="J487" s="1495" t="s">
        <v>94</v>
      </c>
      <c r="K487" s="1495" t="s">
        <v>439</v>
      </c>
      <c r="L487" s="1495" t="s">
        <v>92</v>
      </c>
      <c r="O487" s="1495" t="s">
        <v>292</v>
      </c>
      <c r="P487" s="1495" t="s">
        <v>275</v>
      </c>
    </row>
    <row r="488" spans="1:22" x14ac:dyDescent="0.2">
      <c r="B488" s="21" t="s">
        <v>157</v>
      </c>
      <c r="C488" s="1495" t="s">
        <v>25</v>
      </c>
      <c r="D488" s="1495" t="s">
        <v>69</v>
      </c>
      <c r="E488" s="21" t="s">
        <v>66</v>
      </c>
      <c r="F488" s="1495" t="s">
        <v>184</v>
      </c>
      <c r="G488" s="1495" t="s">
        <v>310</v>
      </c>
      <c r="H488" s="1495" t="s">
        <v>311</v>
      </c>
      <c r="I488" s="1495" t="s">
        <v>173</v>
      </c>
      <c r="J488" s="1495" t="s">
        <v>94</v>
      </c>
      <c r="K488" s="1495" t="s">
        <v>439</v>
      </c>
      <c r="L488" s="1495" t="s">
        <v>92</v>
      </c>
      <c r="M488" s="21" t="s">
        <v>440</v>
      </c>
      <c r="N488" s="21" t="s">
        <v>278</v>
      </c>
      <c r="O488" s="1495" t="s">
        <v>292</v>
      </c>
      <c r="P488" s="1495" t="s">
        <v>275</v>
      </c>
    </row>
    <row r="489" spans="1:22" x14ac:dyDescent="0.2">
      <c r="A489" s="7" t="s">
        <v>208</v>
      </c>
      <c r="B489" s="21" t="s">
        <v>177</v>
      </c>
      <c r="C489" s="4">
        <v>-143286560000</v>
      </c>
      <c r="D489" s="4">
        <v>-53824320000</v>
      </c>
      <c r="E489" s="4">
        <v>-32555830000</v>
      </c>
      <c r="F489" s="4">
        <v>-11582770000</v>
      </c>
      <c r="G489" s="4">
        <v>-9417070000</v>
      </c>
      <c r="H489" s="4">
        <v>-8081058570</v>
      </c>
      <c r="I489" s="4">
        <v>-3782120000</v>
      </c>
      <c r="J489" s="4">
        <v>-3561737627</v>
      </c>
      <c r="K489" s="4">
        <v>-3137440000</v>
      </c>
      <c r="L489" s="4">
        <v>-2585621879</v>
      </c>
      <c r="M489" s="4">
        <v>-1981440000</v>
      </c>
      <c r="N489" s="4">
        <v>-1537850000</v>
      </c>
      <c r="O489" s="4">
        <v>-783320513</v>
      </c>
      <c r="P489" s="4">
        <v>-167512305</v>
      </c>
    </row>
    <row r="490" spans="1:22" x14ac:dyDescent="0.2">
      <c r="B490" s="21" t="s">
        <v>162</v>
      </c>
      <c r="F490" s="1495" t="s">
        <v>165</v>
      </c>
      <c r="H490" s="1495" t="s">
        <v>271</v>
      </c>
      <c r="M490" s="1495" t="s">
        <v>342</v>
      </c>
      <c r="O490" s="1495" t="s">
        <v>75</v>
      </c>
      <c r="P490" s="1495" t="s">
        <v>190</v>
      </c>
      <c r="T490" s="1495" t="s">
        <v>184</v>
      </c>
    </row>
    <row r="491" spans="1:22" x14ac:dyDescent="0.2">
      <c r="B491" s="21" t="s">
        <v>161</v>
      </c>
      <c r="F491" s="1495" t="s">
        <v>165</v>
      </c>
      <c r="H491" s="1495" t="s">
        <v>271</v>
      </c>
      <c r="M491" s="1495" t="s">
        <v>342</v>
      </c>
      <c r="O491" s="1495" t="s">
        <v>75</v>
      </c>
      <c r="P491" s="1495" t="s">
        <v>190</v>
      </c>
      <c r="T491" s="1495" t="s">
        <v>184</v>
      </c>
    </row>
    <row r="492" spans="1:22" x14ac:dyDescent="0.2">
      <c r="B492" s="21" t="s">
        <v>160</v>
      </c>
      <c r="D492" s="1495" t="s">
        <v>64</v>
      </c>
      <c r="F492" s="1495" t="s">
        <v>165</v>
      </c>
      <c r="H492" s="1495" t="s">
        <v>271</v>
      </c>
      <c r="J492" s="1495" t="s">
        <v>63</v>
      </c>
      <c r="K492" s="1495" t="s">
        <v>58</v>
      </c>
      <c r="M492" s="1495" t="s">
        <v>342</v>
      </c>
      <c r="O492" s="1495" t="s">
        <v>75</v>
      </c>
      <c r="P492" s="1495" t="s">
        <v>190</v>
      </c>
      <c r="Q492" s="1495" t="s">
        <v>436</v>
      </c>
      <c r="S492" s="1495" t="s">
        <v>194</v>
      </c>
      <c r="T492" s="1495" t="s">
        <v>184</v>
      </c>
    </row>
    <row r="493" spans="1:22" x14ac:dyDescent="0.2">
      <c r="B493" s="21" t="s">
        <v>157</v>
      </c>
      <c r="C493" s="21" t="s">
        <v>14</v>
      </c>
      <c r="D493" s="1495" t="s">
        <v>64</v>
      </c>
      <c r="E493" s="21" t="s">
        <v>12</v>
      </c>
      <c r="F493" s="1495" t="s">
        <v>165</v>
      </c>
      <c r="G493" s="21" t="s">
        <v>25</v>
      </c>
      <c r="H493" s="1495" t="s">
        <v>271</v>
      </c>
      <c r="I493" s="21" t="s">
        <v>171</v>
      </c>
      <c r="J493" s="1495" t="s">
        <v>63</v>
      </c>
      <c r="K493" s="1495" t="s">
        <v>58</v>
      </c>
      <c r="L493" s="21" t="s">
        <v>68</v>
      </c>
      <c r="M493" s="1495" t="s">
        <v>342</v>
      </c>
      <c r="N493" s="21" t="s">
        <v>287</v>
      </c>
      <c r="O493" s="1495" t="s">
        <v>75</v>
      </c>
      <c r="P493" s="1495" t="s">
        <v>190</v>
      </c>
      <c r="Q493" s="1495" t="s">
        <v>436</v>
      </c>
      <c r="R493" s="21" t="s">
        <v>179</v>
      </c>
      <c r="S493" s="1495" t="s">
        <v>194</v>
      </c>
      <c r="T493" s="1495" t="s">
        <v>184</v>
      </c>
      <c r="U493" s="21" t="s">
        <v>173</v>
      </c>
      <c r="V493" s="21" t="s">
        <v>266</v>
      </c>
    </row>
    <row r="494" spans="1:22" x14ac:dyDescent="0.2">
      <c r="A494" s="7" t="s">
        <v>206</v>
      </c>
      <c r="B494" s="21" t="s">
        <v>177</v>
      </c>
      <c r="C494" s="4">
        <v>-198375910000</v>
      </c>
      <c r="D494" s="4">
        <v>-93668870000</v>
      </c>
      <c r="E494" s="4">
        <v>-92895410000</v>
      </c>
      <c r="F494" s="4">
        <v>-89909400000</v>
      </c>
      <c r="G494" s="4">
        <v>-79878320000</v>
      </c>
      <c r="H494" s="4">
        <v>-34759780000</v>
      </c>
      <c r="I494" s="4">
        <v>-31914680000</v>
      </c>
      <c r="J494" s="4">
        <v>-31554320656</v>
      </c>
      <c r="K494" s="4">
        <v>-19010250000</v>
      </c>
      <c r="L494" s="4">
        <v>-12700770000</v>
      </c>
      <c r="M494" s="4">
        <v>-10662670000</v>
      </c>
      <c r="N494" s="4">
        <v>-7147750000</v>
      </c>
      <c r="O494" s="4">
        <v>-5790370000</v>
      </c>
      <c r="P494" s="4">
        <v>-5044410000</v>
      </c>
      <c r="Q494" s="4">
        <v>-4067538544</v>
      </c>
      <c r="R494" s="4">
        <v>-2960270000</v>
      </c>
      <c r="S494" s="4">
        <v>-2064680000</v>
      </c>
      <c r="T494" s="4">
        <v>-1522350000</v>
      </c>
      <c r="U494" s="4">
        <v>-1282230000</v>
      </c>
      <c r="V494" s="4">
        <v>-12627929</v>
      </c>
    </row>
    <row r="495" spans="1:22" x14ac:dyDescent="0.2">
      <c r="B495" s="21" t="s">
        <v>162</v>
      </c>
      <c r="C495" s="1495" t="s">
        <v>28</v>
      </c>
      <c r="D495" s="1495" t="s">
        <v>165</v>
      </c>
      <c r="E495" s="1495" t="s">
        <v>42</v>
      </c>
      <c r="F495" s="1495" t="s">
        <v>279</v>
      </c>
      <c r="G495" s="1495" t="s">
        <v>188</v>
      </c>
      <c r="H495" s="1495" t="s">
        <v>163</v>
      </c>
      <c r="J495" s="1495" t="s">
        <v>170</v>
      </c>
      <c r="K495" s="1495" t="s">
        <v>90</v>
      </c>
      <c r="M495" s="1495" t="s">
        <v>294</v>
      </c>
      <c r="P495" s="1495" t="s">
        <v>92</v>
      </c>
      <c r="Q495" s="1495" t="s">
        <v>289</v>
      </c>
      <c r="R495" s="1495" t="s">
        <v>184</v>
      </c>
    </row>
    <row r="496" spans="1:22" x14ac:dyDescent="0.2">
      <c r="B496" s="21" t="s">
        <v>161</v>
      </c>
      <c r="C496" s="1495" t="s">
        <v>28</v>
      </c>
      <c r="D496" s="1495" t="s">
        <v>165</v>
      </c>
      <c r="E496" s="1495" t="s">
        <v>42</v>
      </c>
      <c r="F496" s="1495" t="s">
        <v>279</v>
      </c>
      <c r="G496" s="1495" t="s">
        <v>188</v>
      </c>
      <c r="H496" s="1495" t="s">
        <v>163</v>
      </c>
      <c r="J496" s="1495" t="s">
        <v>170</v>
      </c>
      <c r="K496" s="1495" t="s">
        <v>90</v>
      </c>
      <c r="M496" s="1495" t="s">
        <v>294</v>
      </c>
      <c r="P496" s="1495" t="s">
        <v>92</v>
      </c>
      <c r="Q496" s="1495" t="s">
        <v>289</v>
      </c>
      <c r="R496" s="1495" t="s">
        <v>184</v>
      </c>
    </row>
    <row r="497" spans="1:18" x14ac:dyDescent="0.2">
      <c r="B497" s="21" t="s">
        <v>160</v>
      </c>
      <c r="C497" s="1495" t="s">
        <v>28</v>
      </c>
      <c r="D497" s="1495" t="s">
        <v>165</v>
      </c>
      <c r="E497" s="1495" t="s">
        <v>42</v>
      </c>
      <c r="F497" s="1495" t="s">
        <v>279</v>
      </c>
      <c r="G497" s="1495" t="s">
        <v>188</v>
      </c>
      <c r="H497" s="1495" t="s">
        <v>163</v>
      </c>
      <c r="I497" s="1495" t="s">
        <v>57</v>
      </c>
      <c r="J497" s="1495" t="s">
        <v>170</v>
      </c>
      <c r="K497" s="1495" t="s">
        <v>90</v>
      </c>
      <c r="M497" s="1495" t="s">
        <v>294</v>
      </c>
      <c r="P497" s="1495" t="s">
        <v>92</v>
      </c>
      <c r="Q497" s="1495" t="s">
        <v>289</v>
      </c>
      <c r="R497" s="1495" t="s">
        <v>184</v>
      </c>
    </row>
    <row r="498" spans="1:18" x14ac:dyDescent="0.2">
      <c r="B498" s="21" t="s">
        <v>157</v>
      </c>
      <c r="C498" s="1495" t="s">
        <v>28</v>
      </c>
      <c r="D498" s="1495" t="s">
        <v>165</v>
      </c>
      <c r="E498" s="1495" t="s">
        <v>42</v>
      </c>
      <c r="F498" s="1495" t="s">
        <v>279</v>
      </c>
      <c r="G498" s="1495" t="s">
        <v>188</v>
      </c>
      <c r="H498" s="1495" t="s">
        <v>163</v>
      </c>
      <c r="I498" s="1495" t="s">
        <v>57</v>
      </c>
      <c r="J498" s="1495" t="s">
        <v>170</v>
      </c>
      <c r="K498" s="1495" t="s">
        <v>90</v>
      </c>
      <c r="L498" s="21" t="s">
        <v>66</v>
      </c>
      <c r="M498" s="1495" t="s">
        <v>294</v>
      </c>
      <c r="N498" s="21" t="s">
        <v>198</v>
      </c>
      <c r="O498" s="21" t="s">
        <v>179</v>
      </c>
      <c r="P498" s="1495" t="s">
        <v>92</v>
      </c>
      <c r="Q498" s="1495" t="s">
        <v>289</v>
      </c>
      <c r="R498" s="1495" t="s">
        <v>184</v>
      </c>
    </row>
    <row r="499" spans="1:18" x14ac:dyDescent="0.2">
      <c r="A499" s="7" t="s">
        <v>205</v>
      </c>
      <c r="B499" s="21" t="s">
        <v>177</v>
      </c>
      <c r="C499" s="4">
        <v>-104343370000</v>
      </c>
      <c r="D499" s="4">
        <v>-80165790000</v>
      </c>
      <c r="E499" s="4">
        <v>-52787040000</v>
      </c>
      <c r="F499" s="4">
        <v>-36684610000</v>
      </c>
      <c r="G499" s="4">
        <v>-34233820000</v>
      </c>
      <c r="H499" s="4">
        <v>-33745580000</v>
      </c>
      <c r="I499" s="4">
        <v>-28102758467</v>
      </c>
      <c r="J499" s="4">
        <v>-17381190000</v>
      </c>
      <c r="K499" s="4">
        <v>-16585850000</v>
      </c>
      <c r="L499" s="4">
        <v>-14950310000</v>
      </c>
      <c r="M499" s="4">
        <v>-14220610000</v>
      </c>
      <c r="N499" s="4">
        <v>-11391310000</v>
      </c>
      <c r="O499" s="4">
        <v>-2893620000</v>
      </c>
      <c r="P499" s="4">
        <v>-2183516331</v>
      </c>
      <c r="Q499" s="4">
        <v>-1796950000</v>
      </c>
      <c r="R499" s="4">
        <v>-527060000</v>
      </c>
    </row>
    <row r="500" spans="1:18" x14ac:dyDescent="0.2">
      <c r="B500" s="21" t="s">
        <v>162</v>
      </c>
      <c r="C500" s="1495" t="s">
        <v>21</v>
      </c>
      <c r="D500" s="1495" t="s">
        <v>91</v>
      </c>
      <c r="H500" s="1495" t="s">
        <v>437</v>
      </c>
    </row>
    <row r="501" spans="1:18" x14ac:dyDescent="0.2">
      <c r="B501" s="21" t="s">
        <v>161</v>
      </c>
      <c r="C501" s="1495" t="s">
        <v>21</v>
      </c>
      <c r="D501" s="1495" t="s">
        <v>91</v>
      </c>
      <c r="H501" s="1495" t="s">
        <v>437</v>
      </c>
    </row>
    <row r="502" spans="1:18" x14ac:dyDescent="0.2">
      <c r="B502" s="21" t="s">
        <v>160</v>
      </c>
      <c r="C502" s="1495" t="s">
        <v>21</v>
      </c>
      <c r="D502" s="1495" t="s">
        <v>91</v>
      </c>
      <c r="F502" s="1495" t="s">
        <v>20</v>
      </c>
      <c r="H502" s="1495" t="s">
        <v>437</v>
      </c>
    </row>
    <row r="503" spans="1:18" x14ac:dyDescent="0.2">
      <c r="B503" s="21" t="s">
        <v>157</v>
      </c>
      <c r="C503" s="1495" t="s">
        <v>21</v>
      </c>
      <c r="D503" s="1495" t="s">
        <v>91</v>
      </c>
      <c r="E503" s="21" t="s">
        <v>36</v>
      </c>
      <c r="F503" s="1495"/>
      <c r="G503" s="21" t="s">
        <v>19</v>
      </c>
      <c r="H503" s="1495" t="s">
        <v>437</v>
      </c>
    </row>
    <row r="504" spans="1:18" x14ac:dyDescent="0.2">
      <c r="A504" s="7" t="s">
        <v>204</v>
      </c>
      <c r="B504" s="21" t="s">
        <v>177</v>
      </c>
      <c r="C504" s="4">
        <v>-242689890000</v>
      </c>
      <c r="D504" s="4">
        <v>-25673290000</v>
      </c>
      <c r="E504" s="4">
        <v>-24781660000</v>
      </c>
      <c r="F504" s="4">
        <v>-10717037444</v>
      </c>
      <c r="G504" s="4">
        <v>-6454760000</v>
      </c>
      <c r="H504" s="4">
        <v>-114536680</v>
      </c>
    </row>
    <row r="505" spans="1:18" x14ac:dyDescent="0.2">
      <c r="B505" s="21" t="s">
        <v>162</v>
      </c>
      <c r="D505" s="1495" t="s">
        <v>11</v>
      </c>
      <c r="E505" s="1495" t="s">
        <v>42</v>
      </c>
      <c r="F505" s="1495" t="s">
        <v>165</v>
      </c>
      <c r="H505" s="1495" t="s">
        <v>314</v>
      </c>
      <c r="I505" s="1495" t="s">
        <v>289</v>
      </c>
      <c r="J505" s="1495" t="s">
        <v>437</v>
      </c>
    </row>
    <row r="506" spans="1:18" x14ac:dyDescent="0.2">
      <c r="B506" s="21" t="s">
        <v>161</v>
      </c>
      <c r="D506" s="1495" t="s">
        <v>11</v>
      </c>
      <c r="E506" s="1495" t="s">
        <v>42</v>
      </c>
      <c r="F506" s="1495" t="s">
        <v>165</v>
      </c>
      <c r="H506" s="1495" t="s">
        <v>314</v>
      </c>
      <c r="I506" s="1495" t="s">
        <v>289</v>
      </c>
      <c r="J506" s="1495" t="s">
        <v>437</v>
      </c>
    </row>
    <row r="507" spans="1:18" x14ac:dyDescent="0.2">
      <c r="B507" s="21" t="s">
        <v>160</v>
      </c>
      <c r="C507" s="1495" t="s">
        <v>17</v>
      </c>
      <c r="D507" s="1495" t="s">
        <v>11</v>
      </c>
      <c r="E507" s="1495" t="s">
        <v>42</v>
      </c>
      <c r="F507" s="1495" t="s">
        <v>165</v>
      </c>
      <c r="H507" s="1495" t="s">
        <v>314</v>
      </c>
      <c r="I507" s="1495" t="s">
        <v>289</v>
      </c>
      <c r="J507" s="1495" t="s">
        <v>437</v>
      </c>
    </row>
    <row r="508" spans="1:18" x14ac:dyDescent="0.2">
      <c r="B508" s="21" t="s">
        <v>157</v>
      </c>
      <c r="C508" s="1495" t="s">
        <v>17</v>
      </c>
      <c r="D508" s="1495" t="s">
        <v>11</v>
      </c>
      <c r="E508" s="1495" t="s">
        <v>42</v>
      </c>
      <c r="F508" s="1495" t="s">
        <v>165</v>
      </c>
      <c r="G508" s="21" t="s">
        <v>66</v>
      </c>
      <c r="H508" s="1495" t="s">
        <v>314</v>
      </c>
      <c r="I508" s="1495" t="s">
        <v>289</v>
      </c>
      <c r="J508" s="1495" t="s">
        <v>437</v>
      </c>
    </row>
    <row r="509" spans="1:18" x14ac:dyDescent="0.2">
      <c r="A509" s="7" t="s">
        <v>203</v>
      </c>
      <c r="B509" s="21" t="s">
        <v>177</v>
      </c>
      <c r="C509" s="4">
        <v>-262716650000</v>
      </c>
      <c r="D509" s="4">
        <v>-145258060000</v>
      </c>
      <c r="E509" s="4">
        <v>-40167230000</v>
      </c>
      <c r="F509" s="4">
        <v>-35969370000</v>
      </c>
      <c r="G509" s="4">
        <v>-14775780000</v>
      </c>
      <c r="H509" s="4">
        <v>-9432300000</v>
      </c>
      <c r="I509" s="4">
        <v>-1550120000</v>
      </c>
      <c r="J509" s="4">
        <v>-57748113</v>
      </c>
    </row>
    <row r="510" spans="1:18" x14ac:dyDescent="0.2">
      <c r="B510" s="21" t="s">
        <v>162</v>
      </c>
      <c r="C510" s="1495" t="s">
        <v>29</v>
      </c>
      <c r="E510" s="1495" t="s">
        <v>313</v>
      </c>
      <c r="G510" s="1495" t="s">
        <v>295</v>
      </c>
      <c r="H510" s="1495" t="s">
        <v>279</v>
      </c>
      <c r="I510" s="1495" t="s">
        <v>202</v>
      </c>
      <c r="L510" s="1495" t="s">
        <v>437</v>
      </c>
    </row>
    <row r="511" spans="1:18" x14ac:dyDescent="0.2">
      <c r="B511" s="21" t="s">
        <v>161</v>
      </c>
      <c r="C511" s="1495" t="s">
        <v>29</v>
      </c>
      <c r="E511" s="1495" t="s">
        <v>313</v>
      </c>
      <c r="G511" s="1495" t="s">
        <v>295</v>
      </c>
      <c r="H511" s="1495" t="s">
        <v>279</v>
      </c>
      <c r="I511" s="1495" t="s">
        <v>202</v>
      </c>
      <c r="L511" s="1495" t="s">
        <v>437</v>
      </c>
    </row>
    <row r="512" spans="1:18" x14ac:dyDescent="0.2">
      <c r="B512" s="21" t="s">
        <v>160</v>
      </c>
      <c r="C512" s="1495" t="s">
        <v>29</v>
      </c>
      <c r="E512" s="1495" t="s">
        <v>313</v>
      </c>
      <c r="G512" s="1495" t="s">
        <v>295</v>
      </c>
      <c r="H512" s="1495" t="s">
        <v>279</v>
      </c>
      <c r="I512" s="1495" t="s">
        <v>202</v>
      </c>
      <c r="J512" s="1495" t="s">
        <v>63</v>
      </c>
      <c r="L512" s="1495" t="s">
        <v>437</v>
      </c>
    </row>
    <row r="513" spans="1:12" x14ac:dyDescent="0.2">
      <c r="B513" s="21" t="s">
        <v>157</v>
      </c>
      <c r="C513" s="1495" t="s">
        <v>29</v>
      </c>
      <c r="D513" s="21" t="s">
        <v>88</v>
      </c>
      <c r="E513" s="1495" t="s">
        <v>313</v>
      </c>
      <c r="F513" s="21" t="s">
        <v>83</v>
      </c>
      <c r="G513" s="1495" t="s">
        <v>295</v>
      </c>
      <c r="H513" s="1495" t="s">
        <v>279</v>
      </c>
      <c r="I513" s="1495" t="s">
        <v>202</v>
      </c>
      <c r="J513" s="1495" t="s">
        <v>63</v>
      </c>
      <c r="K513" s="21" t="s">
        <v>436</v>
      </c>
      <c r="L513" s="1495" t="s">
        <v>437</v>
      </c>
    </row>
    <row r="514" spans="1:12" x14ac:dyDescent="0.2">
      <c r="A514" s="7" t="s">
        <v>201</v>
      </c>
      <c r="B514" s="21" t="s">
        <v>177</v>
      </c>
      <c r="C514" s="4">
        <v>-98016386649</v>
      </c>
      <c r="D514" s="4">
        <v>-37820000000</v>
      </c>
      <c r="E514" s="4">
        <v>-34289660000</v>
      </c>
      <c r="F514" s="4">
        <v>-24516887821</v>
      </c>
      <c r="G514" s="4">
        <v>-20013036922</v>
      </c>
      <c r="H514" s="4">
        <v>-16912200000</v>
      </c>
      <c r="I514" s="4">
        <v>-15186082118</v>
      </c>
      <c r="J514" s="4">
        <v>-11809504232</v>
      </c>
      <c r="K514" s="4">
        <v>-1336077702</v>
      </c>
      <c r="L514" s="4">
        <v>-25177955</v>
      </c>
    </row>
    <row r="515" spans="1:12" x14ac:dyDescent="0.2">
      <c r="B515" s="21" t="s">
        <v>162</v>
      </c>
      <c r="E515" s="1495" t="s">
        <v>172</v>
      </c>
      <c r="F515" s="1495" t="s">
        <v>188</v>
      </c>
      <c r="G515" s="1495" t="s">
        <v>263</v>
      </c>
    </row>
    <row r="516" spans="1:12" x14ac:dyDescent="0.2">
      <c r="B516" s="21" t="s">
        <v>161</v>
      </c>
      <c r="E516" s="1495" t="s">
        <v>172</v>
      </c>
      <c r="F516" s="1495" t="s">
        <v>188</v>
      </c>
      <c r="G516" s="1495" t="s">
        <v>263</v>
      </c>
    </row>
    <row r="517" spans="1:12" x14ac:dyDescent="0.2">
      <c r="B517" s="21" t="s">
        <v>160</v>
      </c>
      <c r="C517" s="1495" t="s">
        <v>99</v>
      </c>
      <c r="E517" s="1495" t="s">
        <v>172</v>
      </c>
      <c r="F517" s="1495" t="s">
        <v>188</v>
      </c>
      <c r="G517" s="1495" t="s">
        <v>263</v>
      </c>
    </row>
    <row r="518" spans="1:12" x14ac:dyDescent="0.2">
      <c r="B518" s="21" t="s">
        <v>157</v>
      </c>
      <c r="C518" s="1495" t="s">
        <v>99</v>
      </c>
      <c r="D518" s="21" t="s">
        <v>88</v>
      </c>
      <c r="E518" s="1495" t="s">
        <v>172</v>
      </c>
      <c r="F518" s="1495" t="s">
        <v>188</v>
      </c>
      <c r="G518" s="1495" t="s">
        <v>263</v>
      </c>
      <c r="H518" s="21" t="s">
        <v>58</v>
      </c>
      <c r="I518" s="21" t="s">
        <v>283</v>
      </c>
      <c r="J518" s="21" t="s">
        <v>435</v>
      </c>
    </row>
    <row r="519" spans="1:12" x14ac:dyDescent="0.2">
      <c r="A519" s="7" t="s">
        <v>200</v>
      </c>
      <c r="B519" s="21" t="s">
        <v>177</v>
      </c>
      <c r="C519" s="4">
        <v>-80455250000</v>
      </c>
      <c r="D519" s="4">
        <v>-28149660000</v>
      </c>
      <c r="E519" s="4">
        <v>-14664330000</v>
      </c>
      <c r="F519" s="4">
        <v>-14415900000</v>
      </c>
      <c r="G519" s="4">
        <v>-10755440260</v>
      </c>
      <c r="H519" s="4">
        <v>-8453780000</v>
      </c>
      <c r="I519" s="4">
        <v>-982660000</v>
      </c>
      <c r="J519" s="4">
        <v>-31620000</v>
      </c>
    </row>
    <row r="520" spans="1:12" x14ac:dyDescent="0.2">
      <c r="B520" s="21" t="s">
        <v>162</v>
      </c>
      <c r="C520" s="1495" t="s">
        <v>21</v>
      </c>
      <c r="D520" s="1495" t="s">
        <v>89</v>
      </c>
      <c r="G520" s="1495" t="s">
        <v>291</v>
      </c>
      <c r="I520" s="1495" t="s">
        <v>76</v>
      </c>
      <c r="J520" s="1495" t="s">
        <v>190</v>
      </c>
    </row>
    <row r="521" spans="1:12" x14ac:dyDescent="0.2">
      <c r="B521" s="21" t="s">
        <v>161</v>
      </c>
      <c r="C521" s="1495" t="s">
        <v>21</v>
      </c>
      <c r="D521" s="1495" t="s">
        <v>89</v>
      </c>
      <c r="G521" s="1495" t="s">
        <v>291</v>
      </c>
      <c r="I521" s="1495" t="s">
        <v>76</v>
      </c>
      <c r="J521" s="1495" t="s">
        <v>190</v>
      </c>
    </row>
    <row r="522" spans="1:12" x14ac:dyDescent="0.2">
      <c r="B522" s="21" t="s">
        <v>160</v>
      </c>
      <c r="C522" s="1495" t="s">
        <v>21</v>
      </c>
      <c r="D522" s="1495" t="s">
        <v>89</v>
      </c>
      <c r="G522" s="1495" t="s">
        <v>291</v>
      </c>
      <c r="I522" s="1495" t="s">
        <v>76</v>
      </c>
      <c r="J522" s="1495" t="s">
        <v>190</v>
      </c>
    </row>
    <row r="523" spans="1:12" x14ac:dyDescent="0.2">
      <c r="B523" s="21" t="s">
        <v>157</v>
      </c>
      <c r="C523" s="1495" t="s">
        <v>21</v>
      </c>
      <c r="D523" s="1495" t="s">
        <v>89</v>
      </c>
      <c r="E523" s="21" t="s">
        <v>325</v>
      </c>
      <c r="F523" s="21" t="s">
        <v>95</v>
      </c>
      <c r="G523" s="1495" t="s">
        <v>291</v>
      </c>
      <c r="H523" s="21" t="s">
        <v>310</v>
      </c>
      <c r="I523" s="1495" t="s">
        <v>76</v>
      </c>
      <c r="J523" s="1495" t="s">
        <v>190</v>
      </c>
      <c r="K523" s="21" t="s">
        <v>40</v>
      </c>
    </row>
    <row r="524" spans="1:12" x14ac:dyDescent="0.2">
      <c r="A524" s="7" t="s">
        <v>199</v>
      </c>
      <c r="B524" s="21" t="s">
        <v>177</v>
      </c>
      <c r="C524" s="4">
        <v>-153327650000</v>
      </c>
      <c r="D524" s="4">
        <v>-74696900000</v>
      </c>
      <c r="E524" s="4">
        <v>-20167830000</v>
      </c>
      <c r="F524" s="4">
        <v>-8478460000</v>
      </c>
      <c r="G524" s="4">
        <v>-6378960000</v>
      </c>
      <c r="H524" s="4">
        <v>-5652840000</v>
      </c>
      <c r="I524" s="4">
        <v>-5187450000</v>
      </c>
      <c r="J524" s="4">
        <v>-3213940000</v>
      </c>
      <c r="K524" s="4">
        <v>-1404780000</v>
      </c>
    </row>
    <row r="525" spans="1:12" x14ac:dyDescent="0.2">
      <c r="B525" s="21" t="s">
        <v>162</v>
      </c>
      <c r="E525" s="1495" t="s">
        <v>336</v>
      </c>
      <c r="G525" s="1495" t="s">
        <v>197</v>
      </c>
    </row>
    <row r="526" spans="1:12" x14ac:dyDescent="0.2">
      <c r="B526" s="21" t="s">
        <v>161</v>
      </c>
      <c r="E526" s="1495" t="s">
        <v>336</v>
      </c>
      <c r="G526" s="1495" t="s">
        <v>197</v>
      </c>
    </row>
    <row r="527" spans="1:12" x14ac:dyDescent="0.2">
      <c r="B527" s="21" t="s">
        <v>160</v>
      </c>
      <c r="D527" s="1495" t="s">
        <v>9</v>
      </c>
      <c r="E527" s="1495" t="s">
        <v>336</v>
      </c>
      <c r="G527" s="1495" t="s">
        <v>197</v>
      </c>
    </row>
    <row r="528" spans="1:12" x14ac:dyDescent="0.2">
      <c r="B528" s="21" t="s">
        <v>157</v>
      </c>
      <c r="C528" s="21" t="s">
        <v>24</v>
      </c>
      <c r="D528" s="1495" t="s">
        <v>9</v>
      </c>
      <c r="E528" s="1495" t="s">
        <v>336</v>
      </c>
      <c r="F528" s="21" t="s">
        <v>313</v>
      </c>
      <c r="G528" s="1495" t="s">
        <v>197</v>
      </c>
      <c r="H528" s="21" t="s">
        <v>40</v>
      </c>
    </row>
    <row r="529" spans="1:17" x14ac:dyDescent="0.2">
      <c r="A529" s="7" t="s">
        <v>196</v>
      </c>
      <c r="B529" s="21" t="s">
        <v>177</v>
      </c>
      <c r="C529" s="4">
        <v>-215915230000</v>
      </c>
      <c r="D529" s="4">
        <v>-55145180000</v>
      </c>
      <c r="E529" s="4">
        <v>-28235990000</v>
      </c>
      <c r="F529" s="4">
        <v>-12648380000</v>
      </c>
      <c r="G529" s="4">
        <v>-4885182781</v>
      </c>
      <c r="H529" s="4">
        <v>-1098380000</v>
      </c>
    </row>
    <row r="530" spans="1:17" x14ac:dyDescent="0.2">
      <c r="B530" s="21" t="s">
        <v>162</v>
      </c>
      <c r="D530" s="1495" t="s">
        <v>84</v>
      </c>
      <c r="F530" s="1495" t="s">
        <v>94</v>
      </c>
    </row>
    <row r="531" spans="1:17" x14ac:dyDescent="0.2">
      <c r="B531" s="21" t="s">
        <v>161</v>
      </c>
      <c r="D531" s="1495" t="s">
        <v>84</v>
      </c>
      <c r="F531" s="1495" t="s">
        <v>94</v>
      </c>
    </row>
    <row r="532" spans="1:17" x14ac:dyDescent="0.2">
      <c r="B532" s="21" t="s">
        <v>160</v>
      </c>
      <c r="D532" s="1495" t="s">
        <v>84</v>
      </c>
      <c r="F532" s="1495" t="s">
        <v>94</v>
      </c>
    </row>
    <row r="533" spans="1:17" x14ac:dyDescent="0.2">
      <c r="B533" s="21" t="s">
        <v>157</v>
      </c>
      <c r="C533" s="21" t="s">
        <v>5</v>
      </c>
      <c r="D533" s="1495" t="s">
        <v>84</v>
      </c>
      <c r="E533" s="21" t="s">
        <v>279</v>
      </c>
      <c r="F533" s="1495" t="s">
        <v>94</v>
      </c>
      <c r="G533" s="21" t="s">
        <v>292</v>
      </c>
    </row>
    <row r="534" spans="1:17" x14ac:dyDescent="0.2">
      <c r="A534" s="7" t="s">
        <v>195</v>
      </c>
      <c r="B534" s="21" t="s">
        <v>177</v>
      </c>
      <c r="C534" s="4">
        <v>-136097160000</v>
      </c>
      <c r="D534" s="4">
        <v>-17579700000</v>
      </c>
      <c r="E534" s="4">
        <v>-8695450000</v>
      </c>
      <c r="F534" s="4">
        <v>-2125295705</v>
      </c>
      <c r="G534" s="4">
        <v>-466372634</v>
      </c>
    </row>
    <row r="535" spans="1:17" x14ac:dyDescent="0.2">
      <c r="B535" s="21" t="s">
        <v>162</v>
      </c>
      <c r="C535" s="1495" t="s">
        <v>70</v>
      </c>
      <c r="F535" s="1495" t="s">
        <v>163</v>
      </c>
      <c r="G535" s="1495" t="s">
        <v>312</v>
      </c>
      <c r="H535" s="1495" t="s">
        <v>41</v>
      </c>
      <c r="I535" s="1495" t="s">
        <v>188</v>
      </c>
      <c r="J535" s="1495" t="s">
        <v>342</v>
      </c>
      <c r="K535" s="1495" t="s">
        <v>433</v>
      </c>
      <c r="L535" s="1495" t="s">
        <v>94</v>
      </c>
      <c r="M535" s="1495" t="s">
        <v>92</v>
      </c>
      <c r="O535" s="1495" t="s">
        <v>289</v>
      </c>
    </row>
    <row r="536" spans="1:17" x14ac:dyDescent="0.2">
      <c r="B536" s="21" t="s">
        <v>161</v>
      </c>
      <c r="C536" s="1495" t="s">
        <v>70</v>
      </c>
      <c r="F536" s="1495" t="s">
        <v>163</v>
      </c>
      <c r="G536" s="1495" t="s">
        <v>312</v>
      </c>
      <c r="H536" s="1495" t="s">
        <v>41</v>
      </c>
      <c r="I536" s="1495" t="s">
        <v>188</v>
      </c>
      <c r="J536" s="1495" t="s">
        <v>342</v>
      </c>
      <c r="K536" s="1495" t="s">
        <v>433</v>
      </c>
      <c r="L536" s="1495" t="s">
        <v>94</v>
      </c>
      <c r="M536" s="1495" t="s">
        <v>92</v>
      </c>
      <c r="O536" s="1495" t="s">
        <v>289</v>
      </c>
    </row>
    <row r="537" spans="1:17" x14ac:dyDescent="0.2">
      <c r="B537" s="21" t="s">
        <v>160</v>
      </c>
      <c r="C537" s="1495" t="s">
        <v>70</v>
      </c>
      <c r="D537" s="1495" t="s">
        <v>69</v>
      </c>
      <c r="E537" s="1495" t="s">
        <v>169</v>
      </c>
      <c r="F537" s="1495" t="s">
        <v>163</v>
      </c>
      <c r="G537" s="1495" t="s">
        <v>312</v>
      </c>
      <c r="H537" s="1495" t="s">
        <v>41</v>
      </c>
      <c r="I537" s="1495" t="s">
        <v>188</v>
      </c>
      <c r="J537" s="1495" t="s">
        <v>342</v>
      </c>
      <c r="K537" s="1495" t="s">
        <v>433</v>
      </c>
      <c r="L537" s="1495" t="s">
        <v>94</v>
      </c>
      <c r="M537" s="1495" t="s">
        <v>92</v>
      </c>
      <c r="O537" s="1495" t="s">
        <v>289</v>
      </c>
    </row>
    <row r="538" spans="1:17" x14ac:dyDescent="0.2">
      <c r="B538" s="21" t="s">
        <v>157</v>
      </c>
      <c r="C538" s="1495" t="s">
        <v>70</v>
      </c>
      <c r="D538" s="1495"/>
      <c r="E538" s="1495" t="s">
        <v>169</v>
      </c>
      <c r="F538" s="1495" t="s">
        <v>163</v>
      </c>
      <c r="G538" s="1495" t="s">
        <v>312</v>
      </c>
      <c r="H538" s="1495" t="s">
        <v>41</v>
      </c>
      <c r="I538" s="1495" t="s">
        <v>188</v>
      </c>
      <c r="J538" s="1495" t="s">
        <v>342</v>
      </c>
      <c r="K538" s="1495" t="s">
        <v>433</v>
      </c>
      <c r="L538" s="1495" t="s">
        <v>94</v>
      </c>
      <c r="M538" s="1495" t="s">
        <v>92</v>
      </c>
      <c r="N538" s="21" t="s">
        <v>278</v>
      </c>
      <c r="O538" s="1495" t="s">
        <v>289</v>
      </c>
      <c r="P538" s="21" t="s">
        <v>434</v>
      </c>
      <c r="Q538" s="21" t="s">
        <v>173</v>
      </c>
    </row>
    <row r="539" spans="1:17" x14ac:dyDescent="0.2">
      <c r="A539" s="7" t="s">
        <v>193</v>
      </c>
      <c r="B539" s="21" t="s">
        <v>177</v>
      </c>
      <c r="C539" s="4">
        <v>-88574230000</v>
      </c>
      <c r="D539" s="4">
        <v>-47999440000</v>
      </c>
      <c r="E539" s="4">
        <v>-39558190000</v>
      </c>
      <c r="F539" s="4">
        <v>-32323020000</v>
      </c>
      <c r="G539" s="4">
        <v>-13033240000</v>
      </c>
      <c r="H539" s="4">
        <v>-10497320000</v>
      </c>
      <c r="I539" s="4">
        <v>-10289320000</v>
      </c>
      <c r="J539" s="4">
        <v>-4560730000</v>
      </c>
      <c r="K539" s="4">
        <v>-3281270000</v>
      </c>
      <c r="L539" s="4">
        <v>-2060316448</v>
      </c>
      <c r="M539" s="4">
        <v>-1941055900</v>
      </c>
      <c r="N539" s="4">
        <v>-1492380000</v>
      </c>
      <c r="O539" s="4">
        <v>-1070140000</v>
      </c>
      <c r="P539" s="4">
        <v>-455040000</v>
      </c>
      <c r="Q539" s="4">
        <v>-440840000</v>
      </c>
    </row>
    <row r="540" spans="1:17" x14ac:dyDescent="0.2">
      <c r="B540" s="21" t="s">
        <v>162</v>
      </c>
      <c r="C540" s="1495" t="s">
        <v>21</v>
      </c>
      <c r="D540" s="1495" t="s">
        <v>28</v>
      </c>
      <c r="F540" s="1495" t="s">
        <v>267</v>
      </c>
      <c r="G540" s="1495" t="s">
        <v>312</v>
      </c>
      <c r="H540" s="1495" t="s">
        <v>188</v>
      </c>
      <c r="J540" s="1495" t="s">
        <v>262</v>
      </c>
      <c r="K540" s="1495" t="s">
        <v>41</v>
      </c>
      <c r="N540" s="1495" t="s">
        <v>430</v>
      </c>
    </row>
    <row r="541" spans="1:17" x14ac:dyDescent="0.2">
      <c r="B541" s="21" t="s">
        <v>161</v>
      </c>
      <c r="C541" s="1495" t="s">
        <v>21</v>
      </c>
      <c r="D541" s="1495" t="s">
        <v>28</v>
      </c>
      <c r="F541" s="1495" t="s">
        <v>267</v>
      </c>
      <c r="G541" s="1495" t="s">
        <v>312</v>
      </c>
      <c r="H541" s="1495" t="s">
        <v>188</v>
      </c>
      <c r="J541" s="1495" t="s">
        <v>262</v>
      </c>
      <c r="K541" s="1495" t="s">
        <v>41</v>
      </c>
      <c r="N541" s="1495" t="s">
        <v>430</v>
      </c>
    </row>
    <row r="542" spans="1:17" x14ac:dyDescent="0.2">
      <c r="B542" s="21" t="s">
        <v>160</v>
      </c>
      <c r="C542" s="1495" t="s">
        <v>21</v>
      </c>
      <c r="D542" s="1495" t="s">
        <v>28</v>
      </c>
      <c r="F542" s="1495" t="s">
        <v>267</v>
      </c>
      <c r="G542" s="1495" t="s">
        <v>312</v>
      </c>
      <c r="H542" s="1495" t="s">
        <v>188</v>
      </c>
      <c r="J542" s="1495" t="s">
        <v>262</v>
      </c>
      <c r="K542" s="1495" t="s">
        <v>41</v>
      </c>
      <c r="N542" s="1495" t="s">
        <v>430</v>
      </c>
    </row>
    <row r="543" spans="1:17" x14ac:dyDescent="0.2">
      <c r="B543" s="21" t="s">
        <v>157</v>
      </c>
      <c r="C543" s="1495" t="s">
        <v>21</v>
      </c>
      <c r="D543" s="1495" t="s">
        <v>28</v>
      </c>
      <c r="E543" s="21" t="s">
        <v>67</v>
      </c>
      <c r="F543" s="1495" t="s">
        <v>267</v>
      </c>
      <c r="G543" s="1495" t="s">
        <v>312</v>
      </c>
      <c r="H543" s="1495" t="s">
        <v>188</v>
      </c>
      <c r="I543" s="21" t="s">
        <v>20</v>
      </c>
      <c r="J543" s="1495" t="s">
        <v>262</v>
      </c>
      <c r="K543" s="1495" t="s">
        <v>41</v>
      </c>
      <c r="L543" s="21" t="s">
        <v>279</v>
      </c>
      <c r="M543" s="21" t="s">
        <v>60</v>
      </c>
      <c r="N543" s="1495" t="s">
        <v>430</v>
      </c>
    </row>
    <row r="544" spans="1:17" x14ac:dyDescent="0.2">
      <c r="A544" s="7" t="s">
        <v>189</v>
      </c>
      <c r="B544" s="21" t="s">
        <v>177</v>
      </c>
      <c r="C544" s="4">
        <v>-135007920000</v>
      </c>
      <c r="D544" s="4">
        <v>-40993530000</v>
      </c>
      <c r="E544" s="4">
        <v>-27958580000</v>
      </c>
      <c r="F544" s="4">
        <v>-24342220000</v>
      </c>
      <c r="G544" s="4">
        <v>-12877760000</v>
      </c>
      <c r="H544" s="4">
        <v>-10269580000</v>
      </c>
      <c r="I544" s="4">
        <v>-7422463777</v>
      </c>
      <c r="J544" s="4">
        <v>-7323510000</v>
      </c>
      <c r="K544" s="4">
        <v>-5517430000</v>
      </c>
      <c r="L544" s="4">
        <v>-4737220000</v>
      </c>
      <c r="M544" s="4">
        <v>-4713170000</v>
      </c>
      <c r="N544" s="4">
        <v>-677470000</v>
      </c>
    </row>
    <row r="548" spans="1:1" x14ac:dyDescent="0.2">
      <c r="A548" t="s">
        <v>368</v>
      </c>
    </row>
  </sheetData>
  <mergeCells count="481">
    <mergeCell ref="D12:D15"/>
    <mergeCell ref="C12:C15"/>
    <mergeCell ref="K17:K20"/>
    <mergeCell ref="C17:C20"/>
    <mergeCell ref="H19:H20"/>
    <mergeCell ref="K22:K25"/>
    <mergeCell ref="L22:L25"/>
    <mergeCell ref="C22:C25"/>
    <mergeCell ref="E27:E30"/>
    <mergeCell ref="F27:F30"/>
    <mergeCell ref="H27:H30"/>
    <mergeCell ref="J27:J30"/>
    <mergeCell ref="M27:M30"/>
    <mergeCell ref="K29:K30"/>
    <mergeCell ref="H32:H35"/>
    <mergeCell ref="H37:H40"/>
    <mergeCell ref="E42:E45"/>
    <mergeCell ref="I42:I45"/>
    <mergeCell ref="G44:G45"/>
    <mergeCell ref="F47:F50"/>
    <mergeCell ref="E49:E50"/>
    <mergeCell ref="E32:E35"/>
    <mergeCell ref="V82:V85"/>
    <mergeCell ref="W82:W85"/>
    <mergeCell ref="H69:H70"/>
    <mergeCell ref="O82:O85"/>
    <mergeCell ref="P82:P85"/>
    <mergeCell ref="L92:L95"/>
    <mergeCell ref="N92:N95"/>
    <mergeCell ref="O92:O95"/>
    <mergeCell ref="C72:C75"/>
    <mergeCell ref="C77:C80"/>
    <mergeCell ref="D77:D80"/>
    <mergeCell ref="K94:K95"/>
    <mergeCell ref="E72:E75"/>
    <mergeCell ref="H72:H75"/>
    <mergeCell ref="P92:P95"/>
    <mergeCell ref="E92:E95"/>
    <mergeCell ref="K82:K85"/>
    <mergeCell ref="N82:N85"/>
    <mergeCell ref="J84:J85"/>
    <mergeCell ref="E87:E90"/>
    <mergeCell ref="E82:E85"/>
    <mergeCell ref="F82:F85"/>
    <mergeCell ref="L67:L70"/>
    <mergeCell ref="M67:M70"/>
    <mergeCell ref="AC117:AC120"/>
    <mergeCell ref="AD117:AD120"/>
    <mergeCell ref="I117:I120"/>
    <mergeCell ref="J117:J120"/>
    <mergeCell ref="L117:L120"/>
    <mergeCell ref="H117:H120"/>
    <mergeCell ref="V117:V120"/>
    <mergeCell ref="X117:X120"/>
    <mergeCell ref="Y117:Y120"/>
    <mergeCell ref="Z117:Z120"/>
    <mergeCell ref="AA117:AA120"/>
    <mergeCell ref="AB117:AB120"/>
    <mergeCell ref="O117:O120"/>
    <mergeCell ref="S117:S120"/>
    <mergeCell ref="U117:U120"/>
    <mergeCell ref="X84:X85"/>
    <mergeCell ref="D73:D75"/>
    <mergeCell ref="Q258:Q261"/>
    <mergeCell ref="M268:M271"/>
    <mergeCell ref="P268:P271"/>
    <mergeCell ref="Q268:Q271"/>
    <mergeCell ref="I243:I246"/>
    <mergeCell ref="J248:J251"/>
    <mergeCell ref="L248:L251"/>
    <mergeCell ref="E253:E256"/>
    <mergeCell ref="F258:F261"/>
    <mergeCell ref="H258:H261"/>
    <mergeCell ref="J258:J261"/>
    <mergeCell ref="K253:K256"/>
    <mergeCell ref="D243:D246"/>
    <mergeCell ref="F263:F266"/>
    <mergeCell ref="E268:E271"/>
    <mergeCell ref="D92:D95"/>
    <mergeCell ref="O87:O90"/>
    <mergeCell ref="M87:M90"/>
    <mergeCell ref="J87:J90"/>
    <mergeCell ref="J92:J95"/>
    <mergeCell ref="L258:L261"/>
    <mergeCell ref="E230:E233"/>
    <mergeCell ref="P313:P316"/>
    <mergeCell ref="O323:O326"/>
    <mergeCell ref="M323:M326"/>
    <mergeCell ref="I325:I326"/>
    <mergeCell ref="F324:F326"/>
    <mergeCell ref="L245:L246"/>
    <mergeCell ref="F249:F251"/>
    <mergeCell ref="O273:O276"/>
    <mergeCell ref="N278:N281"/>
    <mergeCell ref="J270:J271"/>
    <mergeCell ref="N258:N261"/>
    <mergeCell ref="P288:P291"/>
    <mergeCell ref="J283:J286"/>
    <mergeCell ref="G283:G286"/>
    <mergeCell ref="K308:K311"/>
    <mergeCell ref="J305:J306"/>
    <mergeCell ref="K280:K281"/>
    <mergeCell ref="I269:I271"/>
    <mergeCell ref="M253:M256"/>
    <mergeCell ref="H245:H246"/>
    <mergeCell ref="F318:F321"/>
    <mergeCell ref="H318:H321"/>
    <mergeCell ref="J335:J336"/>
    <mergeCell ref="D319:D321"/>
    <mergeCell ref="R268:R271"/>
    <mergeCell ref="F298:F301"/>
    <mergeCell ref="J298:J301"/>
    <mergeCell ref="I303:I306"/>
    <mergeCell ref="F303:F306"/>
    <mergeCell ref="D298:D301"/>
    <mergeCell ref="G308:G311"/>
    <mergeCell ref="K288:K291"/>
    <mergeCell ref="N288:N291"/>
    <mergeCell ref="G293:G296"/>
    <mergeCell ref="F293:F296"/>
    <mergeCell ref="E293:E296"/>
    <mergeCell ref="K300:K301"/>
    <mergeCell ref="G305:G306"/>
    <mergeCell ref="H285:H286"/>
    <mergeCell ref="I280:I281"/>
    <mergeCell ref="O290:O291"/>
    <mergeCell ref="D283:D286"/>
    <mergeCell ref="E288:E291"/>
    <mergeCell ref="F288:F291"/>
    <mergeCell ref="H288:H291"/>
    <mergeCell ref="G328:G331"/>
    <mergeCell ref="C395:C398"/>
    <mergeCell ref="D375:D378"/>
    <mergeCell ref="D367:D370"/>
    <mergeCell ref="D380:D383"/>
    <mergeCell ref="C375:C378"/>
    <mergeCell ref="C380:C383"/>
    <mergeCell ref="C385:C388"/>
    <mergeCell ref="D385:D388"/>
    <mergeCell ref="E381:E383"/>
    <mergeCell ref="C420:C423"/>
    <mergeCell ref="E420:E423"/>
    <mergeCell ref="D425:D428"/>
    <mergeCell ref="D430:D433"/>
    <mergeCell ref="F430:F433"/>
    <mergeCell ref="H430:H433"/>
    <mergeCell ref="C400:C403"/>
    <mergeCell ref="C405:C408"/>
    <mergeCell ref="F400:F403"/>
    <mergeCell ref="F405:F408"/>
    <mergeCell ref="C410:C413"/>
    <mergeCell ref="C415:C418"/>
    <mergeCell ref="G417:G418"/>
    <mergeCell ref="D417:D418"/>
    <mergeCell ref="C425:C428"/>
    <mergeCell ref="C460:C463"/>
    <mergeCell ref="G457:G458"/>
    <mergeCell ref="D450:D453"/>
    <mergeCell ref="C450:C453"/>
    <mergeCell ref="E450:E453"/>
    <mergeCell ref="F450:F453"/>
    <mergeCell ref="C447:C448"/>
    <mergeCell ref="I430:I433"/>
    <mergeCell ref="O485:O488"/>
    <mergeCell ref="D440:D443"/>
    <mergeCell ref="D435:D438"/>
    <mergeCell ref="E435:E438"/>
    <mergeCell ref="G435:G438"/>
    <mergeCell ref="F440:F443"/>
    <mergeCell ref="G440:G443"/>
    <mergeCell ref="H435:H438"/>
    <mergeCell ref="E442:E443"/>
    <mergeCell ref="C455:C458"/>
    <mergeCell ref="P485:P488"/>
    <mergeCell ref="P490:P493"/>
    <mergeCell ref="O490:O493"/>
    <mergeCell ref="M490:M493"/>
    <mergeCell ref="P470:P473"/>
    <mergeCell ref="G475:G478"/>
    <mergeCell ref="D475:D478"/>
    <mergeCell ref="C485:C488"/>
    <mergeCell ref="G480:G483"/>
    <mergeCell ref="G485:G488"/>
    <mergeCell ref="F485:F488"/>
    <mergeCell ref="I485:I488"/>
    <mergeCell ref="I470:I473"/>
    <mergeCell ref="J470:J473"/>
    <mergeCell ref="K470:K473"/>
    <mergeCell ref="L470:L473"/>
    <mergeCell ref="O470:O473"/>
    <mergeCell ref="N470:N473"/>
    <mergeCell ref="G470:G473"/>
    <mergeCell ref="F470:F473"/>
    <mergeCell ref="E470:E473"/>
    <mergeCell ref="D470:D473"/>
    <mergeCell ref="C470:C473"/>
    <mergeCell ref="P495:P498"/>
    <mergeCell ref="Q495:Q498"/>
    <mergeCell ref="R495:R498"/>
    <mergeCell ref="F495:F498"/>
    <mergeCell ref="G495:G498"/>
    <mergeCell ref="T490:T493"/>
    <mergeCell ref="H500:H503"/>
    <mergeCell ref="I497:I498"/>
    <mergeCell ref="K492:K493"/>
    <mergeCell ref="Q492:Q493"/>
    <mergeCell ref="S492:S493"/>
    <mergeCell ref="M495:M498"/>
    <mergeCell ref="K495:K498"/>
    <mergeCell ref="H490:H493"/>
    <mergeCell ref="H495:H498"/>
    <mergeCell ref="J505:J508"/>
    <mergeCell ref="E515:E518"/>
    <mergeCell ref="D520:D523"/>
    <mergeCell ref="C520:C523"/>
    <mergeCell ref="C495:C498"/>
    <mergeCell ref="C500:C503"/>
    <mergeCell ref="D500:D503"/>
    <mergeCell ref="E505:E508"/>
    <mergeCell ref="F505:F508"/>
    <mergeCell ref="E495:E498"/>
    <mergeCell ref="D505:D508"/>
    <mergeCell ref="C510:C513"/>
    <mergeCell ref="E510:E513"/>
    <mergeCell ref="G510:G513"/>
    <mergeCell ref="H510:H513"/>
    <mergeCell ref="I510:I513"/>
    <mergeCell ref="C507:C508"/>
    <mergeCell ref="I505:I508"/>
    <mergeCell ref="H505:H508"/>
    <mergeCell ref="F530:F533"/>
    <mergeCell ref="C517:C518"/>
    <mergeCell ref="D527:D528"/>
    <mergeCell ref="L535:L538"/>
    <mergeCell ref="M535:M538"/>
    <mergeCell ref="O535:O538"/>
    <mergeCell ref="L510:L513"/>
    <mergeCell ref="J520:J523"/>
    <mergeCell ref="I520:I523"/>
    <mergeCell ref="G520:G523"/>
    <mergeCell ref="G515:G518"/>
    <mergeCell ref="F515:F518"/>
    <mergeCell ref="J512:J513"/>
    <mergeCell ref="N540:N543"/>
    <mergeCell ref="K540:K543"/>
    <mergeCell ref="J540:J543"/>
    <mergeCell ref="F535:F538"/>
    <mergeCell ref="G535:G538"/>
    <mergeCell ref="H535:H538"/>
    <mergeCell ref="I535:I538"/>
    <mergeCell ref="H540:H543"/>
    <mergeCell ref="G540:G543"/>
    <mergeCell ref="F540:F543"/>
    <mergeCell ref="D540:D543"/>
    <mergeCell ref="C540:C543"/>
    <mergeCell ref="D537:D538"/>
    <mergeCell ref="E537:E538"/>
    <mergeCell ref="J535:J538"/>
    <mergeCell ref="K535:K538"/>
    <mergeCell ref="C535:C538"/>
    <mergeCell ref="G432:G433"/>
    <mergeCell ref="F422:F423"/>
    <mergeCell ref="F502:F503"/>
    <mergeCell ref="H487:H488"/>
    <mergeCell ref="H467:H468"/>
    <mergeCell ref="E445:E448"/>
    <mergeCell ref="F445:F448"/>
    <mergeCell ref="D445:D448"/>
    <mergeCell ref="F436:F438"/>
    <mergeCell ref="C476:C478"/>
    <mergeCell ref="C431:C433"/>
    <mergeCell ref="I437:I438"/>
    <mergeCell ref="I452:I453"/>
    <mergeCell ref="C437:C438"/>
    <mergeCell ref="E525:E528"/>
    <mergeCell ref="G525:G528"/>
    <mergeCell ref="D530:D533"/>
    <mergeCell ref="F348:F351"/>
    <mergeCell ref="C348:C351"/>
    <mergeCell ref="C343:C346"/>
    <mergeCell ref="C338:C341"/>
    <mergeCell ref="M472:M473"/>
    <mergeCell ref="D487:D488"/>
    <mergeCell ref="J492:J493"/>
    <mergeCell ref="D492:D493"/>
    <mergeCell ref="J495:J498"/>
    <mergeCell ref="D495:D498"/>
    <mergeCell ref="F490:F493"/>
    <mergeCell ref="J485:J488"/>
    <mergeCell ref="K485:K488"/>
    <mergeCell ref="L485:L488"/>
    <mergeCell ref="H470:H473"/>
    <mergeCell ref="C465:C468"/>
    <mergeCell ref="D465:D468"/>
    <mergeCell ref="E465:E468"/>
    <mergeCell ref="F465:F468"/>
    <mergeCell ref="G465:G468"/>
    <mergeCell ref="G450:G453"/>
    <mergeCell ref="F455:F458"/>
    <mergeCell ref="H455:H458"/>
    <mergeCell ref="D455:D458"/>
    <mergeCell ref="C283:C286"/>
    <mergeCell ref="D264:D266"/>
    <mergeCell ref="C248:C251"/>
    <mergeCell ref="C258:C261"/>
    <mergeCell ref="C243:C246"/>
    <mergeCell ref="C268:C271"/>
    <mergeCell ref="D279:D281"/>
    <mergeCell ref="D294:D296"/>
    <mergeCell ref="E278:E281"/>
    <mergeCell ref="K362:K365"/>
    <mergeCell ref="I380:I383"/>
    <mergeCell ref="K380:K383"/>
    <mergeCell ref="H380:H383"/>
    <mergeCell ref="F390:F393"/>
    <mergeCell ref="C390:C393"/>
    <mergeCell ref="F380:F383"/>
    <mergeCell ref="J392:J393"/>
    <mergeCell ref="I377:I378"/>
    <mergeCell ref="G385:G388"/>
    <mergeCell ref="H385:H388"/>
    <mergeCell ref="E372:E373"/>
    <mergeCell ref="C364:C365"/>
    <mergeCell ref="E364:E365"/>
    <mergeCell ref="D363:D365"/>
    <mergeCell ref="F375:F378"/>
    <mergeCell ref="C238:C241"/>
    <mergeCell ref="H220:H223"/>
    <mergeCell ref="E220:E223"/>
    <mergeCell ref="D220:D223"/>
    <mergeCell ref="D230:D233"/>
    <mergeCell ref="I386:I388"/>
    <mergeCell ref="J362:J365"/>
    <mergeCell ref="E330:E331"/>
    <mergeCell ref="E323:E326"/>
    <mergeCell ref="E340:E341"/>
    <mergeCell ref="D343:D346"/>
    <mergeCell ref="E344:E346"/>
    <mergeCell ref="E353:E355"/>
    <mergeCell ref="I328:I331"/>
    <mergeCell ref="C255:C256"/>
    <mergeCell ref="D250:D251"/>
    <mergeCell ref="C235:C236"/>
    <mergeCell ref="C357:C360"/>
    <mergeCell ref="D357:D360"/>
    <mergeCell ref="C324:C327"/>
    <mergeCell ref="C328:C331"/>
    <mergeCell ref="D328:D331"/>
    <mergeCell ref="D333:D336"/>
    <mergeCell ref="F313:F316"/>
    <mergeCell ref="C215:C218"/>
    <mergeCell ref="H215:H218"/>
    <mergeCell ref="D195:D198"/>
    <mergeCell ref="C200:C203"/>
    <mergeCell ref="E200:E203"/>
    <mergeCell ref="C196:C198"/>
    <mergeCell ref="H180:H183"/>
    <mergeCell ref="G185:G188"/>
    <mergeCell ref="E190:E193"/>
    <mergeCell ref="C205:C208"/>
    <mergeCell ref="H210:H213"/>
    <mergeCell ref="O112:O115"/>
    <mergeCell ref="C142:C145"/>
    <mergeCell ref="E117:E120"/>
    <mergeCell ref="E132:E135"/>
    <mergeCell ref="I210:I213"/>
    <mergeCell ref="F210:F213"/>
    <mergeCell ref="C175:C178"/>
    <mergeCell ref="G180:G183"/>
    <mergeCell ref="F165:F168"/>
    <mergeCell ref="C150:C153"/>
    <mergeCell ref="D162:D163"/>
    <mergeCell ref="D142:D145"/>
    <mergeCell ref="D182:D183"/>
    <mergeCell ref="D192:D193"/>
    <mergeCell ref="D123:D125"/>
    <mergeCell ref="M139:M140"/>
    <mergeCell ref="N200:N203"/>
    <mergeCell ref="J205:J208"/>
    <mergeCell ref="H205:H208"/>
    <mergeCell ref="G205:G208"/>
    <mergeCell ref="F205:F208"/>
    <mergeCell ref="F195:F198"/>
    <mergeCell ref="G200:G203"/>
    <mergeCell ref="J200:J203"/>
    <mergeCell ref="H172:H173"/>
    <mergeCell ref="L137:L140"/>
    <mergeCell ref="K137:K140"/>
    <mergeCell ref="F137:F140"/>
    <mergeCell ref="L170:L173"/>
    <mergeCell ref="H165:H168"/>
    <mergeCell ref="L165:L168"/>
    <mergeCell ref="K200:K203"/>
    <mergeCell ref="M175:M178"/>
    <mergeCell ref="F124:F125"/>
    <mergeCell ref="E124:E125"/>
    <mergeCell ref="F119:F120"/>
    <mergeCell ref="J182:J183"/>
    <mergeCell ref="E225:E228"/>
    <mergeCell ref="D107:D110"/>
    <mergeCell ref="H107:H110"/>
    <mergeCell ref="I107:I110"/>
    <mergeCell ref="Q112:Q115"/>
    <mergeCell ref="H112:H115"/>
    <mergeCell ref="G112:G115"/>
    <mergeCell ref="K112:K115"/>
    <mergeCell ref="L112:L115"/>
    <mergeCell ref="M112:M115"/>
    <mergeCell ref="K108:K110"/>
    <mergeCell ref="F225:F228"/>
    <mergeCell ref="G225:G228"/>
    <mergeCell ref="P112:P115"/>
    <mergeCell ref="N114:N115"/>
    <mergeCell ref="M217:M218"/>
    <mergeCell ref="L202:L203"/>
    <mergeCell ref="L217:L218"/>
    <mergeCell ref="P172:P173"/>
    <mergeCell ref="F134:F135"/>
    <mergeCell ref="L102:L105"/>
    <mergeCell ref="M102:M105"/>
    <mergeCell ref="H102:H105"/>
    <mergeCell ref="J102:J105"/>
    <mergeCell ref="K102:K105"/>
    <mergeCell ref="C92:C95"/>
    <mergeCell ref="C84:C85"/>
    <mergeCell ref="F102:F105"/>
    <mergeCell ref="J97:J100"/>
    <mergeCell ref="I104:I105"/>
    <mergeCell ref="G104:G105"/>
    <mergeCell ref="E102:E105"/>
    <mergeCell ref="L97:L100"/>
    <mergeCell ref="M97:M100"/>
    <mergeCell ref="G97:G100"/>
    <mergeCell ref="J62:J65"/>
    <mergeCell ref="C294:C296"/>
    <mergeCell ref="E275:E276"/>
    <mergeCell ref="F270:F271"/>
    <mergeCell ref="E112:E115"/>
    <mergeCell ref="G137:G140"/>
    <mergeCell ref="E260:E261"/>
    <mergeCell ref="C273:C276"/>
    <mergeCell ref="D165:D168"/>
    <mergeCell ref="C165:C168"/>
    <mergeCell ref="G170:G173"/>
    <mergeCell ref="C155:C158"/>
    <mergeCell ref="F160:F163"/>
    <mergeCell ref="D137:D140"/>
    <mergeCell ref="C132:C135"/>
    <mergeCell ref="C122:C125"/>
    <mergeCell ref="C117:C120"/>
    <mergeCell ref="D238:D241"/>
    <mergeCell ref="D147:D148"/>
    <mergeCell ref="D225:D228"/>
    <mergeCell ref="H122:H125"/>
    <mergeCell ref="G127:G130"/>
    <mergeCell ref="J222:J223"/>
    <mergeCell ref="E161:E163"/>
    <mergeCell ref="C54:C55"/>
    <mergeCell ref="D59:D60"/>
    <mergeCell ref="G67:G70"/>
    <mergeCell ref="E67:E70"/>
    <mergeCell ref="I52:I55"/>
    <mergeCell ref="J52:J55"/>
    <mergeCell ref="F62:F65"/>
    <mergeCell ref="D4:D5"/>
    <mergeCell ref="C102:C105"/>
    <mergeCell ref="G62:G65"/>
    <mergeCell ref="I62:I65"/>
    <mergeCell ref="E57:E60"/>
    <mergeCell ref="G57:G60"/>
    <mergeCell ref="H57:H60"/>
    <mergeCell ref="I57:I60"/>
    <mergeCell ref="F17:F20"/>
    <mergeCell ref="E7:E10"/>
    <mergeCell ref="I7:I10"/>
    <mergeCell ref="C32:C35"/>
    <mergeCell ref="J12:J15"/>
    <mergeCell ref="I12:I15"/>
    <mergeCell ref="H12:H15"/>
    <mergeCell ref="F12:F15"/>
    <mergeCell ref="E12:E1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B5C5-26A6-CD4B-B9EB-D2F539F49F73}">
  <sheetPr codeName="Sheet4">
    <tabColor theme="9" tint="0.59999389629810485"/>
  </sheetPr>
  <dimension ref="A1:V495"/>
  <sheetViews>
    <sheetView workbookViewId="0">
      <selection activeCell="E2" sqref="E2:E5"/>
    </sheetView>
  </sheetViews>
  <sheetFormatPr baseColWidth="10" defaultRowHeight="16" x14ac:dyDescent="0.2"/>
  <cols>
    <col min="3" max="3" width="18.83203125" customWidth="1"/>
    <col min="4" max="4" width="16.33203125" customWidth="1"/>
    <col min="5" max="5" width="16" customWidth="1"/>
    <col min="6" max="6" width="17.83203125" customWidth="1"/>
    <col min="7" max="7" width="16.83203125" customWidth="1"/>
    <col min="8" max="8" width="18" customWidth="1"/>
    <col min="9" max="9" width="15.83203125" customWidth="1"/>
    <col min="10" max="10" width="17" customWidth="1"/>
    <col min="11" max="11" width="15.6640625" customWidth="1"/>
    <col min="12" max="12" width="16" customWidth="1"/>
    <col min="13" max="13" width="14.83203125" customWidth="1"/>
    <col min="14" max="14" width="17.1640625" customWidth="1"/>
    <col min="15" max="15" width="15" customWidth="1"/>
    <col min="16" max="16" width="13.5" customWidth="1"/>
    <col min="17" max="17" width="15" customWidth="1"/>
    <col min="18" max="18" width="14" customWidth="1"/>
    <col min="19" max="19" width="14.83203125" customWidth="1"/>
    <col min="20" max="20" width="15" customWidth="1"/>
    <col min="22" max="22" width="18.5" customWidth="1"/>
    <col min="29" max="29" width="15.1640625" customWidth="1"/>
    <col min="37" max="37" width="18.1640625" customWidth="1"/>
    <col min="38" max="38" width="17.1640625" customWidth="1"/>
    <col min="39" max="39" width="15.1640625" customWidth="1"/>
  </cols>
  <sheetData>
    <row r="1" spans="1:6" x14ac:dyDescent="0.2">
      <c r="A1" s="10" t="s">
        <v>105</v>
      </c>
      <c r="B1" s="9" t="s">
        <v>164</v>
      </c>
    </row>
    <row r="2" spans="1:6" x14ac:dyDescent="0.2">
      <c r="B2" s="21" t="s">
        <v>162</v>
      </c>
      <c r="C2" s="1495" t="s">
        <v>202</v>
      </c>
      <c r="D2" s="1495" t="s">
        <v>289</v>
      </c>
      <c r="E2" s="1495" t="s">
        <v>449</v>
      </c>
    </row>
    <row r="3" spans="1:6" x14ac:dyDescent="0.2">
      <c r="B3" s="21" t="s">
        <v>161</v>
      </c>
      <c r="C3" s="1495" t="s">
        <v>202</v>
      </c>
      <c r="D3" s="1495" t="s">
        <v>289</v>
      </c>
      <c r="E3" s="1495" t="s">
        <v>449</v>
      </c>
    </row>
    <row r="4" spans="1:6" x14ac:dyDescent="0.2">
      <c r="B4" s="21" t="s">
        <v>160</v>
      </c>
      <c r="C4" s="1495" t="s">
        <v>202</v>
      </c>
      <c r="D4" s="1495" t="s">
        <v>289</v>
      </c>
      <c r="E4" s="1495" t="s">
        <v>449</v>
      </c>
    </row>
    <row r="5" spans="1:6" x14ac:dyDescent="0.2">
      <c r="B5" s="21" t="s">
        <v>157</v>
      </c>
      <c r="C5" s="1495" t="s">
        <v>202</v>
      </c>
      <c r="D5" s="1495" t="s">
        <v>289</v>
      </c>
      <c r="E5" s="1495" t="s">
        <v>449</v>
      </c>
    </row>
    <row r="6" spans="1:6" x14ac:dyDescent="0.2">
      <c r="A6" s="7" t="s">
        <v>508</v>
      </c>
      <c r="B6" s="21" t="s">
        <v>177</v>
      </c>
      <c r="C6" s="4">
        <v>11487280000</v>
      </c>
      <c r="D6" s="4">
        <v>872145000</v>
      </c>
      <c r="E6" s="4">
        <v>573600000</v>
      </c>
    </row>
    <row r="7" spans="1:6" x14ac:dyDescent="0.2">
      <c r="B7" s="21" t="s">
        <v>162</v>
      </c>
      <c r="C7" s="1495" t="s">
        <v>273</v>
      </c>
    </row>
    <row r="8" spans="1:6" x14ac:dyDescent="0.2">
      <c r="B8" s="21" t="s">
        <v>161</v>
      </c>
      <c r="C8" s="1495" t="s">
        <v>273</v>
      </c>
    </row>
    <row r="9" spans="1:6" x14ac:dyDescent="0.2">
      <c r="B9" s="21" t="s">
        <v>160</v>
      </c>
      <c r="C9" s="1495" t="s">
        <v>273</v>
      </c>
    </row>
    <row r="10" spans="1:6" x14ac:dyDescent="0.2">
      <c r="B10" s="21" t="s">
        <v>157</v>
      </c>
      <c r="C10" s="1495" t="s">
        <v>273</v>
      </c>
    </row>
    <row r="11" spans="1:6" x14ac:dyDescent="0.2">
      <c r="A11" s="7" t="s">
        <v>505</v>
      </c>
      <c r="B11" s="21" t="s">
        <v>177</v>
      </c>
      <c r="C11" s="4">
        <v>2915260000</v>
      </c>
    </row>
    <row r="12" spans="1:6" x14ac:dyDescent="0.2">
      <c r="B12" s="21" t="s">
        <v>162</v>
      </c>
      <c r="D12" s="1495" t="s">
        <v>504</v>
      </c>
      <c r="F12" s="1495" t="s">
        <v>298</v>
      </c>
    </row>
    <row r="13" spans="1:6" x14ac:dyDescent="0.2">
      <c r="B13" s="21" t="s">
        <v>161</v>
      </c>
      <c r="D13" s="1495" t="s">
        <v>504</v>
      </c>
      <c r="F13" s="1495" t="s">
        <v>298</v>
      </c>
    </row>
    <row r="14" spans="1:6" x14ac:dyDescent="0.2">
      <c r="B14" s="21" t="s">
        <v>160</v>
      </c>
      <c r="D14" s="1495" t="s">
        <v>504</v>
      </c>
      <c r="E14" s="1495" t="s">
        <v>357</v>
      </c>
      <c r="F14" s="1495" t="s">
        <v>298</v>
      </c>
    </row>
    <row r="15" spans="1:6" x14ac:dyDescent="0.2">
      <c r="B15" s="21" t="s">
        <v>157</v>
      </c>
      <c r="C15" s="21" t="s">
        <v>163</v>
      </c>
      <c r="D15" s="1495" t="s">
        <v>504</v>
      </c>
      <c r="E15" s="1495" t="s">
        <v>357</v>
      </c>
      <c r="F15" s="1495" t="s">
        <v>298</v>
      </c>
    </row>
    <row r="16" spans="1:6" x14ac:dyDescent="0.2">
      <c r="A16" s="7" t="s">
        <v>503</v>
      </c>
      <c r="B16" s="21" t="s">
        <v>177</v>
      </c>
      <c r="C16" s="4">
        <v>19323810000</v>
      </c>
      <c r="D16" s="4">
        <v>832400000</v>
      </c>
      <c r="E16" s="4">
        <v>789060000</v>
      </c>
      <c r="F16" s="4">
        <v>71200000</v>
      </c>
    </row>
    <row r="17" spans="1:22" x14ac:dyDescent="0.2">
      <c r="B17" s="21" t="s">
        <v>162</v>
      </c>
      <c r="G17" s="1495" t="s">
        <v>339</v>
      </c>
      <c r="H17" s="1495" t="s">
        <v>273</v>
      </c>
    </row>
    <row r="18" spans="1:22" x14ac:dyDescent="0.2">
      <c r="B18" s="21" t="s">
        <v>161</v>
      </c>
      <c r="G18" s="1495" t="s">
        <v>339</v>
      </c>
      <c r="H18" s="1495" t="s">
        <v>273</v>
      </c>
    </row>
    <row r="19" spans="1:22" x14ac:dyDescent="0.2">
      <c r="B19" s="21" t="s">
        <v>160</v>
      </c>
      <c r="C19" s="1495" t="s">
        <v>22</v>
      </c>
      <c r="F19" s="1495" t="s">
        <v>180</v>
      </c>
      <c r="G19" s="1495" t="s">
        <v>339</v>
      </c>
      <c r="H19" s="1495" t="s">
        <v>273</v>
      </c>
    </row>
    <row r="20" spans="1:22" x14ac:dyDescent="0.2">
      <c r="B20" s="21" t="s">
        <v>157</v>
      </c>
      <c r="C20" s="1495" t="s">
        <v>22</v>
      </c>
      <c r="D20" s="21" t="s">
        <v>37</v>
      </c>
      <c r="E20" s="21" t="s">
        <v>202</v>
      </c>
      <c r="F20" s="1495" t="s">
        <v>180</v>
      </c>
      <c r="G20" s="1495" t="s">
        <v>339</v>
      </c>
      <c r="H20" s="1495" t="s">
        <v>273</v>
      </c>
      <c r="I20" s="21" t="s">
        <v>267</v>
      </c>
    </row>
    <row r="21" spans="1:22" x14ac:dyDescent="0.2">
      <c r="A21" s="7" t="s">
        <v>500</v>
      </c>
      <c r="B21" s="21" t="s">
        <v>177</v>
      </c>
      <c r="C21" s="4">
        <v>12512030000</v>
      </c>
      <c r="D21" s="4">
        <v>6546895000</v>
      </c>
      <c r="E21" s="4">
        <v>5328500000</v>
      </c>
      <c r="F21" s="4">
        <v>5040540000</v>
      </c>
      <c r="G21" s="4">
        <v>3391640000</v>
      </c>
      <c r="H21" s="4">
        <v>2401850000</v>
      </c>
      <c r="I21" s="4">
        <v>2337930000</v>
      </c>
    </row>
    <row r="22" spans="1:22" x14ac:dyDescent="0.2">
      <c r="B22" s="21" t="s">
        <v>162</v>
      </c>
      <c r="C22" s="1495" t="s">
        <v>5</v>
      </c>
      <c r="D22" s="1495" t="s">
        <v>42</v>
      </c>
      <c r="E22" s="1495" t="s">
        <v>8</v>
      </c>
      <c r="F22" s="1495" t="s">
        <v>20</v>
      </c>
      <c r="G22" s="1495" t="s">
        <v>9</v>
      </c>
      <c r="H22" s="1495" t="s">
        <v>87</v>
      </c>
      <c r="I22" s="1495" t="s">
        <v>28</v>
      </c>
      <c r="M22" s="1495" t="s">
        <v>284</v>
      </c>
      <c r="P22" s="1495" t="s">
        <v>182</v>
      </c>
      <c r="S22" s="1495" t="s">
        <v>273</v>
      </c>
      <c r="U22" s="1495" t="s">
        <v>499</v>
      </c>
    </row>
    <row r="23" spans="1:22" x14ac:dyDescent="0.2">
      <c r="B23" s="21" t="s">
        <v>161</v>
      </c>
      <c r="C23" s="1495" t="s">
        <v>5</v>
      </c>
      <c r="D23" s="1495"/>
      <c r="E23" s="1495" t="s">
        <v>8</v>
      </c>
      <c r="F23" s="1495" t="s">
        <v>20</v>
      </c>
      <c r="G23" s="1495" t="s">
        <v>9</v>
      </c>
      <c r="H23" s="1495" t="s">
        <v>87</v>
      </c>
      <c r="I23" s="1495" t="s">
        <v>28</v>
      </c>
      <c r="M23" s="1495" t="s">
        <v>284</v>
      </c>
      <c r="P23" s="1495" t="s">
        <v>182</v>
      </c>
      <c r="S23" s="1495" t="s">
        <v>273</v>
      </c>
      <c r="U23" s="1495" t="s">
        <v>499</v>
      </c>
    </row>
    <row r="24" spans="1:22" x14ac:dyDescent="0.2">
      <c r="B24" s="21" t="s">
        <v>160</v>
      </c>
      <c r="C24" s="1495" t="s">
        <v>5</v>
      </c>
      <c r="D24" s="1495"/>
      <c r="E24" s="1495" t="s">
        <v>8</v>
      </c>
      <c r="F24" s="1495" t="s">
        <v>20</v>
      </c>
      <c r="G24" s="1495" t="s">
        <v>9</v>
      </c>
      <c r="H24" s="1495" t="s">
        <v>87</v>
      </c>
      <c r="I24" s="1495" t="s">
        <v>28</v>
      </c>
      <c r="J24" s="1495" t="s">
        <v>29</v>
      </c>
      <c r="M24" s="1495" t="s">
        <v>284</v>
      </c>
      <c r="O24" s="1495" t="s">
        <v>313</v>
      </c>
      <c r="P24" s="1495" t="s">
        <v>182</v>
      </c>
      <c r="R24" s="1495" t="s">
        <v>10</v>
      </c>
      <c r="S24" s="1495" t="s">
        <v>273</v>
      </c>
      <c r="U24" s="1495" t="s">
        <v>499</v>
      </c>
    </row>
    <row r="25" spans="1:22" x14ac:dyDescent="0.2">
      <c r="B25" s="21" t="s">
        <v>157</v>
      </c>
      <c r="C25" s="1495" t="s">
        <v>5</v>
      </c>
      <c r="D25" s="1495" t="s">
        <v>42</v>
      </c>
      <c r="E25" s="1495" t="s">
        <v>8</v>
      </c>
      <c r="F25" s="1495" t="s">
        <v>20</v>
      </c>
      <c r="G25" s="1495" t="s">
        <v>9</v>
      </c>
      <c r="H25" s="1495" t="s">
        <v>87</v>
      </c>
      <c r="I25" s="1495" t="s">
        <v>28</v>
      </c>
      <c r="J25" s="1495" t="s">
        <v>29</v>
      </c>
      <c r="K25" s="21" t="s">
        <v>163</v>
      </c>
      <c r="L25" s="21" t="s">
        <v>183</v>
      </c>
      <c r="M25" s="1495" t="s">
        <v>284</v>
      </c>
      <c r="N25" s="21" t="s">
        <v>68</v>
      </c>
      <c r="O25" s="1495" t="s">
        <v>313</v>
      </c>
      <c r="P25" s="1495" t="s">
        <v>182</v>
      </c>
      <c r="Q25" s="21" t="s">
        <v>190</v>
      </c>
      <c r="R25" s="1495" t="s">
        <v>10</v>
      </c>
      <c r="S25" s="1495" t="s">
        <v>273</v>
      </c>
      <c r="T25" s="21" t="s">
        <v>301</v>
      </c>
      <c r="U25" s="1495" t="s">
        <v>499</v>
      </c>
      <c r="V25" s="21" t="s">
        <v>169</v>
      </c>
    </row>
    <row r="26" spans="1:22" x14ac:dyDescent="0.2">
      <c r="A26" s="7" t="s">
        <v>497</v>
      </c>
      <c r="B26" s="21" t="s">
        <v>177</v>
      </c>
      <c r="C26" s="4">
        <v>116101726000</v>
      </c>
      <c r="D26" s="4">
        <v>57188100000</v>
      </c>
      <c r="E26" s="4">
        <v>45801210000</v>
      </c>
      <c r="F26" s="4">
        <v>45241534400</v>
      </c>
      <c r="G26" s="4">
        <v>44829140000</v>
      </c>
      <c r="H26" s="4">
        <v>41575580000</v>
      </c>
      <c r="I26" s="4">
        <v>36375730000</v>
      </c>
      <c r="J26" s="4">
        <v>22925000000</v>
      </c>
      <c r="K26" s="4">
        <v>19184990000</v>
      </c>
      <c r="L26" s="4">
        <v>13490420000</v>
      </c>
      <c r="M26" s="4">
        <v>11316895000</v>
      </c>
      <c r="N26" s="4">
        <v>9085000000</v>
      </c>
      <c r="O26" s="4">
        <v>8139260000</v>
      </c>
      <c r="P26" s="4">
        <v>4029000000</v>
      </c>
      <c r="Q26" s="4">
        <v>3700150000</v>
      </c>
      <c r="R26" s="4">
        <v>2870000000</v>
      </c>
      <c r="S26" s="4">
        <v>2379990000</v>
      </c>
      <c r="T26" s="4">
        <v>943900000</v>
      </c>
      <c r="U26" s="4">
        <v>876000000</v>
      </c>
      <c r="V26" s="4">
        <v>585350000</v>
      </c>
    </row>
    <row r="27" spans="1:22" x14ac:dyDescent="0.2">
      <c r="B27" s="21" t="s">
        <v>162</v>
      </c>
      <c r="C27" s="1495" t="s">
        <v>40</v>
      </c>
      <c r="G27" s="1495" t="s">
        <v>348</v>
      </c>
      <c r="M27" s="1495" t="s">
        <v>187</v>
      </c>
      <c r="N27" s="1495" t="s">
        <v>281</v>
      </c>
      <c r="O27" s="1495" t="s">
        <v>273</v>
      </c>
      <c r="P27" s="1495" t="s">
        <v>287</v>
      </c>
      <c r="R27" s="1495" t="s">
        <v>448</v>
      </c>
    </row>
    <row r="28" spans="1:22" x14ac:dyDescent="0.2">
      <c r="B28" s="21" t="s">
        <v>161</v>
      </c>
      <c r="C28" s="1495" t="s">
        <v>40</v>
      </c>
      <c r="G28" s="1495" t="s">
        <v>348</v>
      </c>
      <c r="M28" s="1495" t="s">
        <v>187</v>
      </c>
      <c r="N28" s="1495" t="s">
        <v>281</v>
      </c>
      <c r="O28" s="1495" t="s">
        <v>273</v>
      </c>
      <c r="P28" s="1495" t="s">
        <v>287</v>
      </c>
      <c r="R28" s="1495" t="s">
        <v>448</v>
      </c>
    </row>
    <row r="29" spans="1:22" x14ac:dyDescent="0.2">
      <c r="B29" s="21" t="s">
        <v>160</v>
      </c>
      <c r="C29" s="1495" t="s">
        <v>40</v>
      </c>
      <c r="G29" s="1495" t="s">
        <v>348</v>
      </c>
      <c r="I29" s="1495" t="s">
        <v>29</v>
      </c>
      <c r="J29" s="1495" t="s">
        <v>62</v>
      </c>
      <c r="L29" s="1495" t="s">
        <v>72</v>
      </c>
      <c r="M29" s="1495" t="s">
        <v>187</v>
      </c>
      <c r="N29" s="1495" t="s">
        <v>281</v>
      </c>
      <c r="O29" s="1495" t="s">
        <v>273</v>
      </c>
      <c r="P29" s="1495" t="s">
        <v>287</v>
      </c>
      <c r="R29" s="1495" t="s">
        <v>448</v>
      </c>
    </row>
    <row r="30" spans="1:22" x14ac:dyDescent="0.2">
      <c r="B30" s="21" t="s">
        <v>157</v>
      </c>
      <c r="C30" s="1495" t="s">
        <v>40</v>
      </c>
      <c r="D30" s="21" t="s">
        <v>176</v>
      </c>
      <c r="E30" s="21" t="s">
        <v>36</v>
      </c>
      <c r="F30" s="21" t="s">
        <v>27</v>
      </c>
      <c r="G30" s="1495" t="s">
        <v>348</v>
      </c>
      <c r="H30" s="21" t="s">
        <v>74</v>
      </c>
      <c r="I30" s="1495" t="s">
        <v>29</v>
      </c>
      <c r="J30" s="1495" t="s">
        <v>62</v>
      </c>
      <c r="K30" s="21" t="s">
        <v>86</v>
      </c>
      <c r="L30" s="1495" t="s">
        <v>72</v>
      </c>
      <c r="M30" s="1495" t="s">
        <v>187</v>
      </c>
      <c r="N30" s="1495" t="s">
        <v>281</v>
      </c>
      <c r="O30" s="1495" t="s">
        <v>273</v>
      </c>
      <c r="P30" s="1495" t="s">
        <v>287</v>
      </c>
      <c r="Q30" s="21" t="s">
        <v>31</v>
      </c>
      <c r="R30" s="1495" t="s">
        <v>448</v>
      </c>
      <c r="S30" s="21" t="s">
        <v>179</v>
      </c>
      <c r="T30" s="21" t="s">
        <v>85</v>
      </c>
    </row>
    <row r="31" spans="1:22" x14ac:dyDescent="0.2">
      <c r="A31" s="7" t="s">
        <v>494</v>
      </c>
      <c r="B31" s="21" t="s">
        <v>177</v>
      </c>
      <c r="C31" s="4">
        <v>134144480000</v>
      </c>
      <c r="D31" s="4">
        <v>52605380000</v>
      </c>
      <c r="E31" s="4">
        <v>37073420000</v>
      </c>
      <c r="F31" s="4">
        <v>19263000000</v>
      </c>
      <c r="G31" s="4">
        <v>18820225000</v>
      </c>
      <c r="H31" s="4">
        <v>15586027000</v>
      </c>
      <c r="I31" s="4">
        <v>14014910000</v>
      </c>
      <c r="J31" s="4">
        <v>11865955000</v>
      </c>
      <c r="K31" s="4">
        <v>11776795000</v>
      </c>
      <c r="L31" s="4">
        <v>11094035000</v>
      </c>
      <c r="M31" s="4">
        <v>8938915000</v>
      </c>
      <c r="N31" s="4">
        <v>3893720000</v>
      </c>
      <c r="O31" s="4">
        <v>2114600000</v>
      </c>
      <c r="P31" s="4">
        <v>2034120000</v>
      </c>
      <c r="Q31" s="4">
        <v>1664170000</v>
      </c>
      <c r="R31" s="4">
        <v>745000000</v>
      </c>
      <c r="S31" s="4">
        <v>654270000</v>
      </c>
      <c r="T31" s="4">
        <v>254100000</v>
      </c>
    </row>
    <row r="32" spans="1:22" x14ac:dyDescent="0.2">
      <c r="B32" s="21" t="s">
        <v>162</v>
      </c>
      <c r="E32" s="1495" t="s">
        <v>165</v>
      </c>
      <c r="G32" s="1495" t="s">
        <v>64</v>
      </c>
      <c r="I32" s="1495" t="s">
        <v>265</v>
      </c>
      <c r="M32" s="1495" t="s">
        <v>325</v>
      </c>
    </row>
    <row r="33" spans="1:19" x14ac:dyDescent="0.2">
      <c r="B33" s="21" t="s">
        <v>161</v>
      </c>
      <c r="E33" s="1495" t="s">
        <v>165</v>
      </c>
      <c r="G33" s="1495" t="s">
        <v>64</v>
      </c>
      <c r="I33" s="1495" t="s">
        <v>265</v>
      </c>
      <c r="M33" s="1495" t="s">
        <v>325</v>
      </c>
    </row>
    <row r="34" spans="1:19" x14ac:dyDescent="0.2">
      <c r="B34" s="21" t="s">
        <v>160</v>
      </c>
      <c r="E34" s="1495" t="s">
        <v>165</v>
      </c>
      <c r="F34" s="1495" t="s">
        <v>35</v>
      </c>
      <c r="G34" s="1495" t="s">
        <v>64</v>
      </c>
      <c r="I34" s="1495" t="s">
        <v>265</v>
      </c>
      <c r="M34" s="1495" t="s">
        <v>325</v>
      </c>
      <c r="Q34" s="1495" t="s">
        <v>62</v>
      </c>
    </row>
    <row r="35" spans="1:19" x14ac:dyDescent="0.2">
      <c r="B35" s="21" t="s">
        <v>157</v>
      </c>
      <c r="C35" s="21" t="s">
        <v>79</v>
      </c>
      <c r="D35" s="21" t="s">
        <v>21</v>
      </c>
      <c r="E35" s="1495" t="s">
        <v>165</v>
      </c>
      <c r="F35" s="1495" t="s">
        <v>35</v>
      </c>
      <c r="G35" s="1495" t="s">
        <v>64</v>
      </c>
      <c r="H35" s="21" t="s">
        <v>40</v>
      </c>
      <c r="I35" s="1495" t="s">
        <v>265</v>
      </c>
      <c r="J35" s="21" t="s">
        <v>58</v>
      </c>
      <c r="K35" s="21" t="s">
        <v>36</v>
      </c>
      <c r="L35" s="21" t="s">
        <v>26</v>
      </c>
      <c r="M35" s="1495" t="s">
        <v>325</v>
      </c>
      <c r="N35" s="21" t="s">
        <v>65</v>
      </c>
      <c r="O35" s="21" t="s">
        <v>29</v>
      </c>
      <c r="P35" s="21" t="s">
        <v>194</v>
      </c>
      <c r="Q35" s="1495" t="s">
        <v>62</v>
      </c>
      <c r="R35" s="21" t="s">
        <v>261</v>
      </c>
      <c r="S35" s="21" t="s">
        <v>37</v>
      </c>
    </row>
    <row r="36" spans="1:19" x14ac:dyDescent="0.2">
      <c r="A36" s="7" t="s">
        <v>492</v>
      </c>
      <c r="B36" s="21" t="s">
        <v>177</v>
      </c>
      <c r="C36" s="4">
        <v>109418575000</v>
      </c>
      <c r="D36" s="4">
        <v>74738040000</v>
      </c>
      <c r="E36" s="4">
        <v>71352585000</v>
      </c>
      <c r="F36" s="4">
        <v>56971250000</v>
      </c>
      <c r="G36" s="4">
        <v>51935870000</v>
      </c>
      <c r="H36" s="4">
        <v>51205450000</v>
      </c>
      <c r="I36" s="4">
        <v>49147855000</v>
      </c>
      <c r="J36" s="4">
        <v>21769275000</v>
      </c>
      <c r="K36" s="4">
        <v>17382780000</v>
      </c>
      <c r="L36" s="4">
        <v>15786875000</v>
      </c>
      <c r="M36" s="4">
        <v>11135890000</v>
      </c>
      <c r="N36" s="4">
        <v>10194484000</v>
      </c>
      <c r="O36" s="4">
        <v>9899910000</v>
      </c>
      <c r="P36" s="4">
        <v>9623580000</v>
      </c>
      <c r="Q36" s="4">
        <v>7411715000</v>
      </c>
      <c r="R36" s="4">
        <v>6094140000</v>
      </c>
      <c r="S36" s="4">
        <v>4122375000</v>
      </c>
    </row>
    <row r="37" spans="1:19" x14ac:dyDescent="0.2">
      <c r="B37" s="21" t="s">
        <v>162</v>
      </c>
      <c r="F37" s="1495" t="s">
        <v>273</v>
      </c>
    </row>
    <row r="38" spans="1:19" x14ac:dyDescent="0.2">
      <c r="B38" s="21" t="s">
        <v>161</v>
      </c>
      <c r="F38" s="1495" t="s">
        <v>273</v>
      </c>
    </row>
    <row r="39" spans="1:19" x14ac:dyDescent="0.2">
      <c r="B39" s="21" t="s">
        <v>160</v>
      </c>
      <c r="F39" s="1495" t="s">
        <v>273</v>
      </c>
    </row>
    <row r="40" spans="1:19" x14ac:dyDescent="0.2">
      <c r="B40" s="21" t="s">
        <v>157</v>
      </c>
      <c r="C40" s="21" t="s">
        <v>8</v>
      </c>
      <c r="D40" s="21" t="s">
        <v>84</v>
      </c>
      <c r="E40" s="21" t="s">
        <v>7</v>
      </c>
      <c r="F40" s="1495" t="s">
        <v>273</v>
      </c>
      <c r="G40" s="21" t="s">
        <v>312</v>
      </c>
    </row>
    <row r="41" spans="1:19" x14ac:dyDescent="0.2">
      <c r="A41" s="7" t="s">
        <v>491</v>
      </c>
      <c r="B41" s="21" t="s">
        <v>177</v>
      </c>
      <c r="C41" s="4">
        <v>9079800000</v>
      </c>
      <c r="D41" s="4">
        <v>4908515000</v>
      </c>
      <c r="E41" s="4">
        <v>3040000000</v>
      </c>
      <c r="F41" s="4">
        <v>2086790000</v>
      </c>
      <c r="G41" s="4">
        <v>749935000</v>
      </c>
    </row>
    <row r="42" spans="1:19" x14ac:dyDescent="0.2">
      <c r="B42" s="21" t="s">
        <v>157</v>
      </c>
      <c r="C42" s="21" t="s">
        <v>42</v>
      </c>
    </row>
    <row r="43" spans="1:19" x14ac:dyDescent="0.2">
      <c r="A43" s="7" t="s">
        <v>485</v>
      </c>
      <c r="B43" s="21" t="s">
        <v>177</v>
      </c>
      <c r="C43" s="4">
        <v>11866485000</v>
      </c>
    </row>
    <row r="44" spans="1:19" x14ac:dyDescent="0.2">
      <c r="B44" s="21" t="s">
        <v>157</v>
      </c>
      <c r="C44" s="21" t="s">
        <v>71</v>
      </c>
    </row>
    <row r="45" spans="1:19" x14ac:dyDescent="0.2">
      <c r="A45" s="7" t="s">
        <v>477</v>
      </c>
      <c r="B45" s="21" t="s">
        <v>177</v>
      </c>
      <c r="C45" s="4">
        <v>24247570000</v>
      </c>
    </row>
    <row r="46" spans="1:19" x14ac:dyDescent="0.2">
      <c r="B46" s="21" t="s">
        <v>162</v>
      </c>
      <c r="C46" s="1495" t="s">
        <v>468</v>
      </c>
      <c r="E46" s="1495" t="s">
        <v>297</v>
      </c>
    </row>
    <row r="47" spans="1:19" x14ac:dyDescent="0.2">
      <c r="B47" s="21" t="s">
        <v>161</v>
      </c>
      <c r="C47" s="1495" t="s">
        <v>468</v>
      </c>
      <c r="E47" s="1495" t="s">
        <v>297</v>
      </c>
    </row>
    <row r="48" spans="1:19" x14ac:dyDescent="0.2">
      <c r="B48" s="21" t="s">
        <v>160</v>
      </c>
      <c r="C48" s="1495" t="s">
        <v>468</v>
      </c>
      <c r="E48" s="1495" t="s">
        <v>297</v>
      </c>
    </row>
    <row r="49" spans="1:17" x14ac:dyDescent="0.2">
      <c r="B49" s="21" t="s">
        <v>157</v>
      </c>
      <c r="C49" s="1495" t="s">
        <v>468</v>
      </c>
      <c r="D49" s="21" t="s">
        <v>9</v>
      </c>
      <c r="E49" s="1495" t="s">
        <v>297</v>
      </c>
    </row>
    <row r="50" spans="1:17" x14ac:dyDescent="0.2">
      <c r="A50" s="7" t="s">
        <v>473</v>
      </c>
      <c r="B50" s="21" t="s">
        <v>177</v>
      </c>
      <c r="C50" s="4">
        <v>41635880000</v>
      </c>
      <c r="D50" s="4">
        <v>4707540000</v>
      </c>
      <c r="E50" s="4">
        <v>1607090000</v>
      </c>
    </row>
    <row r="51" spans="1:17" x14ac:dyDescent="0.2">
      <c r="B51" s="21" t="s">
        <v>162</v>
      </c>
      <c r="C51" s="1495" t="s">
        <v>17</v>
      </c>
      <c r="I51" s="1495" t="s">
        <v>279</v>
      </c>
    </row>
    <row r="52" spans="1:17" x14ac:dyDescent="0.2">
      <c r="B52" s="21" t="s">
        <v>161</v>
      </c>
      <c r="C52" s="1495" t="s">
        <v>17</v>
      </c>
      <c r="I52" s="1495" t="s">
        <v>279</v>
      </c>
    </row>
    <row r="53" spans="1:17" x14ac:dyDescent="0.2">
      <c r="B53" s="21" t="s">
        <v>160</v>
      </c>
      <c r="C53" s="1495" t="s">
        <v>17</v>
      </c>
      <c r="I53" s="1495" t="s">
        <v>279</v>
      </c>
    </row>
    <row r="54" spans="1:17" x14ac:dyDescent="0.2">
      <c r="B54" s="21" t="s">
        <v>157</v>
      </c>
      <c r="C54" s="1495" t="s">
        <v>17</v>
      </c>
      <c r="D54" s="21" t="s">
        <v>33</v>
      </c>
      <c r="E54" s="21" t="s">
        <v>15</v>
      </c>
      <c r="F54" s="21" t="s">
        <v>12</v>
      </c>
      <c r="G54" s="21" t="s">
        <v>24</v>
      </c>
      <c r="H54" s="21" t="s">
        <v>64</v>
      </c>
      <c r="I54" s="1495" t="s">
        <v>279</v>
      </c>
      <c r="J54" s="21" t="s">
        <v>18</v>
      </c>
      <c r="K54" s="21" t="s">
        <v>28</v>
      </c>
      <c r="L54" s="21" t="s">
        <v>212</v>
      </c>
      <c r="M54" s="21" t="s">
        <v>20</v>
      </c>
      <c r="N54" s="21" t="s">
        <v>22</v>
      </c>
      <c r="O54" s="21" t="s">
        <v>65</v>
      </c>
      <c r="P54" s="21" t="s">
        <v>163</v>
      </c>
      <c r="Q54" s="21" t="s">
        <v>190</v>
      </c>
    </row>
    <row r="55" spans="1:17" x14ac:dyDescent="0.2">
      <c r="A55" s="7" t="s">
        <v>472</v>
      </c>
      <c r="B55" s="21" t="s">
        <v>177</v>
      </c>
      <c r="C55" s="4">
        <v>132468550000</v>
      </c>
      <c r="D55" s="4">
        <v>93883560000</v>
      </c>
      <c r="E55" s="4">
        <v>81518866000</v>
      </c>
      <c r="F55" s="4">
        <v>32410500000</v>
      </c>
      <c r="G55" s="4">
        <v>23722665000</v>
      </c>
      <c r="H55" s="4">
        <v>22676420000</v>
      </c>
      <c r="I55" s="4">
        <v>20432380000</v>
      </c>
      <c r="J55" s="4">
        <v>19047045000</v>
      </c>
      <c r="K55" s="4">
        <v>15064670000</v>
      </c>
      <c r="L55" s="4">
        <v>14677420000</v>
      </c>
      <c r="M55" s="4">
        <v>14551390000</v>
      </c>
      <c r="N55" s="4">
        <v>10931160000</v>
      </c>
      <c r="O55" s="4">
        <v>8865472000</v>
      </c>
      <c r="P55" s="4">
        <v>4222765000</v>
      </c>
      <c r="Q55" s="4">
        <v>1482325000</v>
      </c>
    </row>
    <row r="56" spans="1:17" x14ac:dyDescent="0.2">
      <c r="B56" s="21" t="s">
        <v>162</v>
      </c>
      <c r="F56" s="1495" t="s">
        <v>57</v>
      </c>
      <c r="H56" s="1495" t="s">
        <v>348</v>
      </c>
      <c r="K56" s="1495" t="s">
        <v>184</v>
      </c>
    </row>
    <row r="57" spans="1:17" x14ac:dyDescent="0.2">
      <c r="B57" s="21" t="s">
        <v>161</v>
      </c>
      <c r="F57" s="1495"/>
      <c r="H57" s="1495" t="s">
        <v>348</v>
      </c>
      <c r="K57" s="1495" t="s">
        <v>184</v>
      </c>
    </row>
    <row r="58" spans="1:17" x14ac:dyDescent="0.2">
      <c r="B58" s="21" t="s">
        <v>160</v>
      </c>
      <c r="F58" s="1495"/>
      <c r="H58" s="1495" t="s">
        <v>348</v>
      </c>
      <c r="K58" s="1495" t="s">
        <v>184</v>
      </c>
    </row>
    <row r="59" spans="1:17" x14ac:dyDescent="0.2">
      <c r="B59" s="21" t="s">
        <v>157</v>
      </c>
      <c r="C59" s="21" t="s">
        <v>32</v>
      </c>
      <c r="D59" s="21" t="s">
        <v>12</v>
      </c>
      <c r="E59" s="21" t="s">
        <v>5</v>
      </c>
      <c r="F59" s="1495"/>
      <c r="G59" s="21" t="s">
        <v>18</v>
      </c>
      <c r="H59" s="1495" t="s">
        <v>348</v>
      </c>
      <c r="I59" s="21" t="s">
        <v>20</v>
      </c>
      <c r="J59" s="21" t="s">
        <v>95</v>
      </c>
      <c r="K59" s="1495" t="s">
        <v>184</v>
      </c>
    </row>
    <row r="60" spans="1:17" x14ac:dyDescent="0.2">
      <c r="A60" s="7" t="s">
        <v>428</v>
      </c>
      <c r="B60" s="21" t="s">
        <v>177</v>
      </c>
      <c r="C60" s="4">
        <v>42318095000</v>
      </c>
      <c r="D60" s="4">
        <v>26828920000</v>
      </c>
      <c r="E60" s="4">
        <v>19505240000</v>
      </c>
      <c r="F60" s="4">
        <v>18948320000</v>
      </c>
      <c r="G60" s="4">
        <v>17620380000</v>
      </c>
      <c r="H60" s="4">
        <v>9054295000</v>
      </c>
      <c r="I60" s="4">
        <v>6981880000</v>
      </c>
      <c r="J60" s="4">
        <v>6759100000</v>
      </c>
      <c r="K60" s="4">
        <v>1362000000</v>
      </c>
    </row>
    <row r="61" spans="1:17" x14ac:dyDescent="0.2">
      <c r="B61" s="21" t="s">
        <v>162</v>
      </c>
      <c r="F61" s="1495" t="s">
        <v>25</v>
      </c>
    </row>
    <row r="62" spans="1:17" x14ac:dyDescent="0.2">
      <c r="B62" s="21" t="s">
        <v>161</v>
      </c>
      <c r="F62" s="1495" t="s">
        <v>25</v>
      </c>
    </row>
    <row r="63" spans="1:17" x14ac:dyDescent="0.2">
      <c r="B63" s="21" t="s">
        <v>160</v>
      </c>
      <c r="F63" s="1495" t="s">
        <v>25</v>
      </c>
      <c r="I63" s="1495" t="s">
        <v>62</v>
      </c>
    </row>
    <row r="64" spans="1:17" x14ac:dyDescent="0.2">
      <c r="B64" s="21" t="s">
        <v>157</v>
      </c>
      <c r="C64" s="21" t="s">
        <v>15</v>
      </c>
      <c r="D64" s="21" t="s">
        <v>99</v>
      </c>
      <c r="E64" s="21" t="s">
        <v>12</v>
      </c>
      <c r="F64" s="1495" t="s">
        <v>25</v>
      </c>
      <c r="G64" s="21" t="s">
        <v>65</v>
      </c>
      <c r="H64" s="21" t="s">
        <v>279</v>
      </c>
      <c r="I64" s="1495"/>
      <c r="J64" s="21" t="s">
        <v>74</v>
      </c>
      <c r="K64" s="21" t="s">
        <v>72</v>
      </c>
      <c r="L64" s="21" t="s">
        <v>190</v>
      </c>
      <c r="M64" s="21" t="s">
        <v>41</v>
      </c>
      <c r="N64" s="21" t="s">
        <v>267</v>
      </c>
    </row>
    <row r="65" spans="1:14" x14ac:dyDescent="0.2">
      <c r="A65" s="7" t="s">
        <v>427</v>
      </c>
      <c r="B65" s="21" t="s">
        <v>177</v>
      </c>
      <c r="C65" s="4">
        <v>80065545000</v>
      </c>
      <c r="D65" s="4">
        <v>28272505000</v>
      </c>
      <c r="E65" s="4">
        <v>26782060000</v>
      </c>
      <c r="F65" s="4">
        <v>22622360000</v>
      </c>
      <c r="G65" s="4">
        <v>8570843000</v>
      </c>
      <c r="H65" s="4">
        <v>7918990000</v>
      </c>
      <c r="I65" s="4">
        <v>6890755000</v>
      </c>
      <c r="J65" s="4">
        <v>5259650000</v>
      </c>
      <c r="K65" s="4">
        <v>4465000000</v>
      </c>
      <c r="L65" s="4">
        <v>772970000</v>
      </c>
      <c r="M65" s="4">
        <v>485380000</v>
      </c>
      <c r="N65" s="4">
        <v>132010000</v>
      </c>
    </row>
    <row r="66" spans="1:14" x14ac:dyDescent="0.2">
      <c r="B66" s="21" t="s">
        <v>160</v>
      </c>
      <c r="D66" s="1495" t="s">
        <v>87</v>
      </c>
    </row>
    <row r="67" spans="1:14" x14ac:dyDescent="0.2">
      <c r="B67" s="21" t="s">
        <v>157</v>
      </c>
      <c r="C67" s="21" t="s">
        <v>14</v>
      </c>
      <c r="D67" s="1495" t="s">
        <v>87</v>
      </c>
    </row>
    <row r="68" spans="1:14" x14ac:dyDescent="0.2">
      <c r="A68" s="7" t="s">
        <v>425</v>
      </c>
      <c r="B68" s="21" t="s">
        <v>177</v>
      </c>
      <c r="C68" s="4">
        <v>85592232000</v>
      </c>
      <c r="D68" s="4">
        <v>3604920000</v>
      </c>
    </row>
    <row r="69" spans="1:14" x14ac:dyDescent="0.2">
      <c r="B69" s="21" t="s">
        <v>162</v>
      </c>
      <c r="C69" s="1495" t="s">
        <v>415</v>
      </c>
      <c r="D69" s="1495" t="s">
        <v>171</v>
      </c>
      <c r="E69" s="1495" t="s">
        <v>165</v>
      </c>
      <c r="F69" s="1495" t="s">
        <v>187</v>
      </c>
      <c r="G69" s="1495" t="s">
        <v>348</v>
      </c>
    </row>
    <row r="70" spans="1:14" x14ac:dyDescent="0.2">
      <c r="B70" s="21" t="s">
        <v>161</v>
      </c>
      <c r="C70" s="1495" t="s">
        <v>415</v>
      </c>
      <c r="D70" s="1495" t="s">
        <v>171</v>
      </c>
      <c r="E70" s="1495" t="s">
        <v>165</v>
      </c>
      <c r="F70" s="1495" t="s">
        <v>187</v>
      </c>
      <c r="G70" s="1495" t="s">
        <v>348</v>
      </c>
    </row>
    <row r="71" spans="1:14" x14ac:dyDescent="0.2">
      <c r="B71" s="21" t="s">
        <v>160</v>
      </c>
      <c r="C71" s="1495" t="s">
        <v>415</v>
      </c>
      <c r="D71" s="1495" t="s">
        <v>171</v>
      </c>
      <c r="E71" s="1495" t="s">
        <v>165</v>
      </c>
      <c r="F71" s="1495" t="s">
        <v>187</v>
      </c>
      <c r="G71" s="1495" t="s">
        <v>348</v>
      </c>
      <c r="J71" s="1495" t="s">
        <v>357</v>
      </c>
    </row>
    <row r="72" spans="1:14" x14ac:dyDescent="0.2">
      <c r="B72" s="21" t="s">
        <v>157</v>
      </c>
      <c r="C72" s="1495" t="s">
        <v>415</v>
      </c>
      <c r="D72" s="1495" t="s">
        <v>171</v>
      </c>
      <c r="E72" s="1495" t="s">
        <v>165</v>
      </c>
      <c r="F72" s="1495" t="s">
        <v>187</v>
      </c>
      <c r="G72" s="1495" t="s">
        <v>348</v>
      </c>
      <c r="H72" s="21" t="s">
        <v>68</v>
      </c>
      <c r="I72" s="21" t="s">
        <v>263</v>
      </c>
      <c r="J72" s="1495" t="s">
        <v>357</v>
      </c>
    </row>
    <row r="73" spans="1:14" x14ac:dyDescent="0.2">
      <c r="A73" s="7" t="s">
        <v>424</v>
      </c>
      <c r="B73" s="21" t="s">
        <v>177</v>
      </c>
      <c r="C73" s="4">
        <v>55650000000</v>
      </c>
      <c r="D73" s="4">
        <v>24956200000</v>
      </c>
      <c r="E73" s="4">
        <v>12245080000</v>
      </c>
      <c r="F73" s="4">
        <v>8636120000</v>
      </c>
      <c r="G73" s="4">
        <v>5065295000</v>
      </c>
      <c r="H73" s="4">
        <v>4725000000</v>
      </c>
      <c r="I73" s="4">
        <v>584700000</v>
      </c>
      <c r="J73" s="4">
        <v>243990000</v>
      </c>
    </row>
    <row r="74" spans="1:14" x14ac:dyDescent="0.2">
      <c r="B74" s="21" t="s">
        <v>162</v>
      </c>
      <c r="C74" s="1495" t="s">
        <v>77</v>
      </c>
    </row>
    <row r="75" spans="1:14" x14ac:dyDescent="0.2">
      <c r="B75" s="21" t="s">
        <v>161</v>
      </c>
      <c r="C75" s="1495" t="s">
        <v>77</v>
      </c>
    </row>
    <row r="76" spans="1:14" x14ac:dyDescent="0.2">
      <c r="B76" s="21" t="s">
        <v>160</v>
      </c>
      <c r="C76" s="1495" t="s">
        <v>77</v>
      </c>
      <c r="H76" s="1495" t="s">
        <v>76</v>
      </c>
    </row>
    <row r="77" spans="1:14" x14ac:dyDescent="0.2">
      <c r="B77" s="21" t="s">
        <v>157</v>
      </c>
      <c r="C77" s="1495" t="s">
        <v>77</v>
      </c>
      <c r="D77" s="21" t="s">
        <v>40</v>
      </c>
      <c r="E77" s="21" t="s">
        <v>171</v>
      </c>
      <c r="F77" s="21" t="s">
        <v>68</v>
      </c>
      <c r="G77" s="21" t="s">
        <v>72</v>
      </c>
      <c r="H77" s="1495" t="s">
        <v>76</v>
      </c>
    </row>
    <row r="78" spans="1:14" x14ac:dyDescent="0.2">
      <c r="A78" s="7" t="s">
        <v>423</v>
      </c>
      <c r="B78" s="21" t="s">
        <v>177</v>
      </c>
      <c r="C78" s="4">
        <v>86439410000</v>
      </c>
      <c r="D78" s="4">
        <v>19124800000</v>
      </c>
      <c r="E78" s="4">
        <v>6995930000</v>
      </c>
      <c r="F78" s="4">
        <v>4025000000</v>
      </c>
      <c r="G78" s="4">
        <v>3669950000</v>
      </c>
      <c r="H78" s="4">
        <v>2796200000</v>
      </c>
    </row>
    <row r="79" spans="1:14" x14ac:dyDescent="0.2">
      <c r="B79" s="21" t="s">
        <v>162</v>
      </c>
      <c r="C79" s="1495" t="s">
        <v>77</v>
      </c>
      <c r="F79" s="1495" t="s">
        <v>168</v>
      </c>
      <c r="G79" s="1495" t="s">
        <v>274</v>
      </c>
      <c r="K79" s="1495" t="s">
        <v>60</v>
      </c>
    </row>
    <row r="80" spans="1:14" x14ac:dyDescent="0.2">
      <c r="B80" s="21" t="s">
        <v>161</v>
      </c>
      <c r="C80" s="1495" t="s">
        <v>77</v>
      </c>
      <c r="F80" s="1495" t="s">
        <v>168</v>
      </c>
      <c r="G80" s="1495" t="s">
        <v>274</v>
      </c>
      <c r="K80" s="1495" t="s">
        <v>60</v>
      </c>
    </row>
    <row r="81" spans="1:14" x14ac:dyDescent="0.2">
      <c r="B81" s="21" t="s">
        <v>160</v>
      </c>
      <c r="C81" s="1495" t="s">
        <v>77</v>
      </c>
      <c r="F81" s="1495" t="s">
        <v>168</v>
      </c>
      <c r="G81" s="1495" t="s">
        <v>274</v>
      </c>
      <c r="K81" s="1495" t="s">
        <v>60</v>
      </c>
    </row>
    <row r="82" spans="1:14" x14ac:dyDescent="0.2">
      <c r="B82" s="21" t="s">
        <v>157</v>
      </c>
      <c r="C82" s="1495" t="s">
        <v>77</v>
      </c>
      <c r="D82" s="21" t="s">
        <v>279</v>
      </c>
      <c r="E82" s="21" t="s">
        <v>269</v>
      </c>
      <c r="F82" s="1495" t="s">
        <v>168</v>
      </c>
      <c r="G82" s="1495" t="s">
        <v>274</v>
      </c>
      <c r="H82" s="21" t="s">
        <v>78</v>
      </c>
      <c r="I82" s="21" t="s">
        <v>39</v>
      </c>
      <c r="J82" s="21" t="s">
        <v>75</v>
      </c>
      <c r="K82" s="1495" t="s">
        <v>60</v>
      </c>
      <c r="L82" s="21" t="s">
        <v>267</v>
      </c>
      <c r="M82" s="21" t="s">
        <v>285</v>
      </c>
      <c r="N82" s="21" t="s">
        <v>271</v>
      </c>
    </row>
    <row r="83" spans="1:14" x14ac:dyDescent="0.2">
      <c r="A83" s="7" t="s">
        <v>422</v>
      </c>
      <c r="B83" s="21" t="s">
        <v>177</v>
      </c>
      <c r="C83" s="4">
        <v>19222392000</v>
      </c>
      <c r="D83" s="4">
        <v>388190000</v>
      </c>
      <c r="E83" s="4">
        <v>206052000</v>
      </c>
      <c r="F83" s="4">
        <v>202470000</v>
      </c>
      <c r="G83" s="4">
        <v>191670000</v>
      </c>
      <c r="H83" s="4">
        <v>143610000</v>
      </c>
      <c r="I83" s="4">
        <v>133720000</v>
      </c>
      <c r="J83" s="4">
        <v>112180000</v>
      </c>
      <c r="K83" s="4">
        <v>109205000</v>
      </c>
      <c r="L83" s="4">
        <v>108880000</v>
      </c>
      <c r="M83" s="4">
        <v>66790000</v>
      </c>
      <c r="N83" s="4">
        <v>13846000</v>
      </c>
    </row>
    <row r="84" spans="1:14" x14ac:dyDescent="0.2">
      <c r="B84" s="21" t="s">
        <v>162</v>
      </c>
      <c r="D84" s="1495" t="s">
        <v>296</v>
      </c>
      <c r="E84" s="1495" t="s">
        <v>166</v>
      </c>
      <c r="G84" s="1495" t="s">
        <v>165</v>
      </c>
    </row>
    <row r="85" spans="1:14" x14ac:dyDescent="0.2">
      <c r="B85" s="21" t="s">
        <v>161</v>
      </c>
      <c r="C85" s="1495" t="s">
        <v>59</v>
      </c>
      <c r="D85" s="1495" t="s">
        <v>296</v>
      </c>
      <c r="E85" s="1495" t="s">
        <v>166</v>
      </c>
      <c r="G85" s="1495" t="s">
        <v>165</v>
      </c>
    </row>
    <row r="86" spans="1:14" x14ac:dyDescent="0.2">
      <c r="B86" s="21" t="s">
        <v>160</v>
      </c>
      <c r="C86" s="1495"/>
      <c r="D86" s="1495" t="s">
        <v>296</v>
      </c>
      <c r="E86" s="1495" t="s">
        <v>166</v>
      </c>
      <c r="G86" s="1495" t="s">
        <v>165</v>
      </c>
    </row>
    <row r="87" spans="1:14" x14ac:dyDescent="0.2">
      <c r="B87" s="21" t="s">
        <v>157</v>
      </c>
      <c r="C87" s="1495"/>
      <c r="D87" s="1495" t="s">
        <v>296</v>
      </c>
      <c r="E87" s="1495" t="s">
        <v>166</v>
      </c>
      <c r="F87" s="21" t="s">
        <v>67</v>
      </c>
      <c r="G87" s="1495" t="s">
        <v>165</v>
      </c>
      <c r="H87" s="21" t="s">
        <v>20</v>
      </c>
      <c r="I87" s="21" t="s">
        <v>267</v>
      </c>
    </row>
    <row r="88" spans="1:14" x14ac:dyDescent="0.2">
      <c r="A88" s="7" t="s">
        <v>420</v>
      </c>
      <c r="B88" s="21" t="s">
        <v>177</v>
      </c>
      <c r="C88" s="4">
        <v>437650524000</v>
      </c>
      <c r="D88" s="4">
        <v>166018424000</v>
      </c>
      <c r="E88" s="4">
        <v>109893645000</v>
      </c>
      <c r="F88" s="4">
        <v>12393713000</v>
      </c>
      <c r="G88" s="4">
        <v>11644615000</v>
      </c>
      <c r="H88" s="4">
        <v>5453500000</v>
      </c>
      <c r="I88" s="4">
        <v>4000000</v>
      </c>
    </row>
    <row r="89" spans="1:14" x14ac:dyDescent="0.2">
      <c r="B89" s="21" t="s">
        <v>162</v>
      </c>
      <c r="C89" s="1495" t="s">
        <v>165</v>
      </c>
    </row>
    <row r="90" spans="1:14" x14ac:dyDescent="0.2">
      <c r="B90" s="21" t="s">
        <v>161</v>
      </c>
      <c r="C90" s="1495" t="s">
        <v>165</v>
      </c>
    </row>
    <row r="91" spans="1:14" x14ac:dyDescent="0.2">
      <c r="B91" s="21" t="s">
        <v>160</v>
      </c>
      <c r="C91" s="1495" t="s">
        <v>165</v>
      </c>
    </row>
    <row r="92" spans="1:14" x14ac:dyDescent="0.2">
      <c r="B92" s="21" t="s">
        <v>157</v>
      </c>
      <c r="C92" s="1495" t="s">
        <v>165</v>
      </c>
      <c r="D92" s="21" t="s">
        <v>40</v>
      </c>
      <c r="E92" s="21" t="s">
        <v>26</v>
      </c>
      <c r="F92" s="21" t="s">
        <v>74</v>
      </c>
    </row>
    <row r="93" spans="1:14" x14ac:dyDescent="0.2">
      <c r="A93" s="7" t="s">
        <v>418</v>
      </c>
      <c r="B93" s="21" t="s">
        <v>177</v>
      </c>
      <c r="C93" s="4">
        <v>10983590000</v>
      </c>
      <c r="D93" s="4">
        <v>9803690000</v>
      </c>
      <c r="E93" s="4">
        <v>5568000000</v>
      </c>
      <c r="F93" s="4">
        <v>3475810000</v>
      </c>
    </row>
    <row r="94" spans="1:14" x14ac:dyDescent="0.2">
      <c r="B94" s="21" t="s">
        <v>162</v>
      </c>
      <c r="F94" s="1495" t="s">
        <v>77</v>
      </c>
      <c r="G94" s="1495" t="s">
        <v>165</v>
      </c>
      <c r="H94" s="1495" t="s">
        <v>348</v>
      </c>
    </row>
    <row r="95" spans="1:14" x14ac:dyDescent="0.2">
      <c r="B95" s="21" t="s">
        <v>161</v>
      </c>
      <c r="F95" s="1495" t="s">
        <v>77</v>
      </c>
      <c r="G95" s="1495" t="s">
        <v>165</v>
      </c>
      <c r="H95" s="1495" t="s">
        <v>348</v>
      </c>
    </row>
    <row r="96" spans="1:14" x14ac:dyDescent="0.2">
      <c r="B96" s="21" t="s">
        <v>160</v>
      </c>
      <c r="F96" s="1495" t="s">
        <v>77</v>
      </c>
      <c r="G96" s="1495" t="s">
        <v>165</v>
      </c>
      <c r="H96" s="1495" t="s">
        <v>348</v>
      </c>
      <c r="I96" s="1495" t="s">
        <v>174</v>
      </c>
    </row>
    <row r="97" spans="1:11" x14ac:dyDescent="0.2">
      <c r="B97" s="21" t="s">
        <v>157</v>
      </c>
      <c r="C97" s="21" t="s">
        <v>17</v>
      </c>
      <c r="D97" s="21" t="s">
        <v>64</v>
      </c>
      <c r="E97" s="21" t="s">
        <v>176</v>
      </c>
      <c r="F97" s="1495" t="s">
        <v>77</v>
      </c>
      <c r="G97" s="1495" t="s">
        <v>165</v>
      </c>
      <c r="H97" s="1495" t="s">
        <v>348</v>
      </c>
      <c r="I97" s="1495" t="s">
        <v>174</v>
      </c>
    </row>
    <row r="98" spans="1:11" x14ac:dyDescent="0.2">
      <c r="A98" s="7" t="s">
        <v>417</v>
      </c>
      <c r="B98" s="21" t="s">
        <v>177</v>
      </c>
      <c r="C98" s="4">
        <v>72761789000</v>
      </c>
      <c r="D98" s="4">
        <v>21169210000</v>
      </c>
      <c r="E98" s="4">
        <v>17257180000</v>
      </c>
      <c r="F98" s="4">
        <v>16441690000</v>
      </c>
      <c r="G98" s="4">
        <v>6887470000</v>
      </c>
      <c r="H98" s="4">
        <v>4369980000</v>
      </c>
      <c r="I98" s="4">
        <v>4113205000</v>
      </c>
    </row>
    <row r="99" spans="1:11" x14ac:dyDescent="0.2">
      <c r="B99" s="21" t="s">
        <v>157</v>
      </c>
      <c r="C99" s="21" t="s">
        <v>69</v>
      </c>
      <c r="D99" s="21" t="s">
        <v>66</v>
      </c>
      <c r="E99" s="21" t="s">
        <v>62</v>
      </c>
      <c r="F99" s="21" t="s">
        <v>84</v>
      </c>
      <c r="G99" s="21" t="s">
        <v>74</v>
      </c>
      <c r="H99" s="21" t="s">
        <v>11</v>
      </c>
    </row>
    <row r="100" spans="1:11" x14ac:dyDescent="0.2">
      <c r="A100" s="7" t="s">
        <v>416</v>
      </c>
      <c r="B100" s="21" t="s">
        <v>177</v>
      </c>
      <c r="C100" s="4">
        <v>27246260000</v>
      </c>
      <c r="D100" s="4">
        <v>18960101000</v>
      </c>
      <c r="E100" s="4">
        <v>3576330000</v>
      </c>
      <c r="F100" s="4">
        <v>3471020000</v>
      </c>
      <c r="G100" s="4">
        <v>2111990000</v>
      </c>
      <c r="H100" s="4">
        <v>1945740000</v>
      </c>
    </row>
    <row r="101" spans="1:11" x14ac:dyDescent="0.2">
      <c r="B101" s="21" t="s">
        <v>162</v>
      </c>
      <c r="E101" s="1495" t="s">
        <v>187</v>
      </c>
      <c r="I101" s="1495" t="s">
        <v>294</v>
      </c>
      <c r="K101" s="1495" t="s">
        <v>469</v>
      </c>
    </row>
    <row r="102" spans="1:11" x14ac:dyDescent="0.2">
      <c r="B102" s="21" t="s">
        <v>161</v>
      </c>
      <c r="E102" s="1495" t="s">
        <v>187</v>
      </c>
      <c r="I102" s="1495" t="s">
        <v>294</v>
      </c>
      <c r="K102" s="1495" t="s">
        <v>469</v>
      </c>
    </row>
    <row r="103" spans="1:11" x14ac:dyDescent="0.2">
      <c r="B103" s="21" t="s">
        <v>160</v>
      </c>
      <c r="E103" s="1495" t="s">
        <v>187</v>
      </c>
      <c r="F103" s="1495" t="s">
        <v>302</v>
      </c>
      <c r="I103" s="1495" t="s">
        <v>294</v>
      </c>
      <c r="K103" s="1495" t="s">
        <v>469</v>
      </c>
    </row>
    <row r="104" spans="1:11" x14ac:dyDescent="0.2">
      <c r="B104" s="21" t="s">
        <v>157</v>
      </c>
      <c r="C104" s="21" t="s">
        <v>36</v>
      </c>
      <c r="D104" s="21" t="s">
        <v>22</v>
      </c>
      <c r="E104" s="1495" t="s">
        <v>187</v>
      </c>
      <c r="F104" s="1495" t="s">
        <v>302</v>
      </c>
      <c r="G104" s="21" t="s">
        <v>11</v>
      </c>
      <c r="H104" s="21" t="s">
        <v>180</v>
      </c>
      <c r="I104" s="1495" t="s">
        <v>294</v>
      </c>
      <c r="J104" s="21" t="s">
        <v>261</v>
      </c>
      <c r="K104" s="1495" t="s">
        <v>469</v>
      </c>
    </row>
    <row r="105" spans="1:11" x14ac:dyDescent="0.2">
      <c r="A105" s="7" t="s">
        <v>414</v>
      </c>
      <c r="B105" s="21" t="s">
        <v>177</v>
      </c>
      <c r="C105" s="4">
        <v>13018020000</v>
      </c>
      <c r="D105" s="4">
        <v>10763000000</v>
      </c>
      <c r="E105" s="4">
        <v>7556015000</v>
      </c>
      <c r="F105" s="4">
        <v>3420995000</v>
      </c>
      <c r="G105" s="4">
        <v>1328145000</v>
      </c>
      <c r="H105" s="4">
        <v>1094960000</v>
      </c>
      <c r="I105" s="4">
        <v>1058400000</v>
      </c>
      <c r="J105" s="4">
        <v>275440000</v>
      </c>
      <c r="K105" s="4">
        <v>229250000</v>
      </c>
    </row>
    <row r="106" spans="1:11" x14ac:dyDescent="0.2">
      <c r="B106" s="21" t="s">
        <v>162</v>
      </c>
      <c r="D106" s="1495" t="s">
        <v>13</v>
      </c>
      <c r="E106" s="1495" t="s">
        <v>282</v>
      </c>
      <c r="F106" s="1495" t="s">
        <v>166</v>
      </c>
    </row>
    <row r="107" spans="1:11" x14ac:dyDescent="0.2">
      <c r="B107" s="21" t="s">
        <v>161</v>
      </c>
      <c r="C107" s="1495" t="s">
        <v>59</v>
      </c>
      <c r="D107" s="1495" t="s">
        <v>13</v>
      </c>
      <c r="E107" s="1495" t="s">
        <v>282</v>
      </c>
      <c r="F107" s="1495" t="s">
        <v>166</v>
      </c>
    </row>
    <row r="108" spans="1:11" x14ac:dyDescent="0.2">
      <c r="B108" s="21" t="s">
        <v>160</v>
      </c>
      <c r="C108" s="1495" t="s">
        <v>59</v>
      </c>
      <c r="D108" s="1495" t="s">
        <v>13</v>
      </c>
      <c r="E108" s="1495" t="s">
        <v>282</v>
      </c>
      <c r="F108" s="1495" t="s">
        <v>166</v>
      </c>
    </row>
    <row r="109" spans="1:11" x14ac:dyDescent="0.2">
      <c r="B109" s="21" t="s">
        <v>157</v>
      </c>
      <c r="C109" s="1495" t="s">
        <v>59</v>
      </c>
      <c r="D109" s="1495" t="s">
        <v>13</v>
      </c>
      <c r="E109" s="1495" t="s">
        <v>282</v>
      </c>
      <c r="F109" s="1495" t="s">
        <v>166</v>
      </c>
    </row>
    <row r="110" spans="1:11" x14ac:dyDescent="0.2">
      <c r="A110" s="7" t="s">
        <v>413</v>
      </c>
      <c r="B110" s="21" t="s">
        <v>177</v>
      </c>
      <c r="C110" s="4">
        <v>434848706000</v>
      </c>
      <c r="D110" s="4">
        <v>348596355000</v>
      </c>
      <c r="E110" s="4">
        <v>208009320000</v>
      </c>
      <c r="F110" s="4">
        <v>108913390000</v>
      </c>
    </row>
    <row r="111" spans="1:11" x14ac:dyDescent="0.2">
      <c r="B111" s="21" t="s">
        <v>162</v>
      </c>
      <c r="C111" s="1495" t="s">
        <v>295</v>
      </c>
    </row>
    <row r="112" spans="1:11" x14ac:dyDescent="0.2">
      <c r="B112" s="21" t="s">
        <v>161</v>
      </c>
      <c r="C112" s="1495" t="s">
        <v>295</v>
      </c>
    </row>
    <row r="113" spans="1:15" x14ac:dyDescent="0.2">
      <c r="B113" s="21" t="s">
        <v>160</v>
      </c>
      <c r="C113" s="1495" t="s">
        <v>295</v>
      </c>
    </row>
    <row r="114" spans="1:15" x14ac:dyDescent="0.2">
      <c r="B114" s="21" t="s">
        <v>157</v>
      </c>
      <c r="C114" s="1495" t="s">
        <v>295</v>
      </c>
      <c r="D114" s="21" t="s">
        <v>89</v>
      </c>
    </row>
    <row r="115" spans="1:15" x14ac:dyDescent="0.2">
      <c r="A115" s="7" t="s">
        <v>367</v>
      </c>
      <c r="B115" s="21" t="s">
        <v>177</v>
      </c>
      <c r="C115" s="4">
        <v>50000000000</v>
      </c>
      <c r="D115" s="4">
        <v>3768050000</v>
      </c>
    </row>
    <row r="116" spans="1:15" x14ac:dyDescent="0.2">
      <c r="B116" s="21" t="s">
        <v>162</v>
      </c>
      <c r="C116" s="1495" t="s">
        <v>186</v>
      </c>
      <c r="F116" s="1495" t="s">
        <v>339</v>
      </c>
    </row>
    <row r="117" spans="1:15" x14ac:dyDescent="0.2">
      <c r="B117" s="21" t="s">
        <v>161</v>
      </c>
      <c r="C117" s="1495" t="s">
        <v>186</v>
      </c>
      <c r="F117" s="1495" t="s">
        <v>339</v>
      </c>
    </row>
    <row r="118" spans="1:15" x14ac:dyDescent="0.2">
      <c r="B118" s="21" t="s">
        <v>160</v>
      </c>
      <c r="C118" s="1495" t="s">
        <v>186</v>
      </c>
      <c r="F118" s="1495" t="s">
        <v>339</v>
      </c>
    </row>
    <row r="119" spans="1:15" x14ac:dyDescent="0.2">
      <c r="B119" s="21" t="s">
        <v>157</v>
      </c>
      <c r="C119" s="1495" t="s">
        <v>186</v>
      </c>
      <c r="D119" s="21" t="s">
        <v>91</v>
      </c>
      <c r="E119" s="21" t="s">
        <v>6</v>
      </c>
      <c r="F119" s="1495" t="s">
        <v>339</v>
      </c>
    </row>
    <row r="120" spans="1:15" x14ac:dyDescent="0.2">
      <c r="A120" s="7" t="s">
        <v>365</v>
      </c>
      <c r="B120" s="21" t="s">
        <v>177</v>
      </c>
      <c r="C120" s="4">
        <v>38595560000</v>
      </c>
      <c r="D120" s="4">
        <v>3540785000</v>
      </c>
      <c r="E120" s="4">
        <v>3035880000</v>
      </c>
      <c r="F120" s="4">
        <v>2213980000</v>
      </c>
    </row>
    <row r="121" spans="1:15" x14ac:dyDescent="0.2">
      <c r="B121" s="21" t="s">
        <v>162</v>
      </c>
      <c r="C121" s="1495" t="s">
        <v>183</v>
      </c>
      <c r="D121" s="1495" t="s">
        <v>77</v>
      </c>
      <c r="F121" s="1495" t="s">
        <v>166</v>
      </c>
      <c r="H121" s="1495" t="s">
        <v>168</v>
      </c>
    </row>
    <row r="122" spans="1:15" x14ac:dyDescent="0.2">
      <c r="B122" s="21" t="s">
        <v>161</v>
      </c>
      <c r="C122" s="1495" t="s">
        <v>183</v>
      </c>
      <c r="D122" s="1495" t="s">
        <v>77</v>
      </c>
      <c r="F122" s="1495" t="s">
        <v>166</v>
      </c>
      <c r="H122" s="1495" t="s">
        <v>168</v>
      </c>
    </row>
    <row r="123" spans="1:15" x14ac:dyDescent="0.2">
      <c r="B123" s="21" t="s">
        <v>160</v>
      </c>
      <c r="C123" s="1495" t="s">
        <v>183</v>
      </c>
      <c r="D123" s="1495" t="s">
        <v>77</v>
      </c>
      <c r="F123" s="1495" t="s">
        <v>166</v>
      </c>
      <c r="G123" s="1495" t="s">
        <v>469</v>
      </c>
      <c r="H123" s="1495" t="s">
        <v>168</v>
      </c>
      <c r="I123" s="1495" t="s">
        <v>274</v>
      </c>
      <c r="M123" s="1495" t="s">
        <v>60</v>
      </c>
    </row>
    <row r="124" spans="1:15" x14ac:dyDescent="0.2">
      <c r="B124" s="21" t="s">
        <v>157</v>
      </c>
      <c r="C124" s="1495" t="s">
        <v>183</v>
      </c>
      <c r="D124" s="1495" t="s">
        <v>77</v>
      </c>
      <c r="E124" s="21" t="s">
        <v>71</v>
      </c>
      <c r="F124" s="1495" t="s">
        <v>166</v>
      </c>
      <c r="G124" s="1495" t="s">
        <v>469</v>
      </c>
      <c r="H124" s="1495" t="s">
        <v>168</v>
      </c>
      <c r="I124" s="1495" t="s">
        <v>274</v>
      </c>
      <c r="J124" s="21" t="s">
        <v>78</v>
      </c>
      <c r="K124" s="21" t="s">
        <v>39</v>
      </c>
      <c r="L124" s="21" t="s">
        <v>75</v>
      </c>
      <c r="M124" s="1495" t="s">
        <v>60</v>
      </c>
      <c r="N124" s="21" t="s">
        <v>285</v>
      </c>
      <c r="O124" s="21" t="s">
        <v>271</v>
      </c>
    </row>
    <row r="125" spans="1:15" x14ac:dyDescent="0.2">
      <c r="A125" s="7" t="s">
        <v>364</v>
      </c>
      <c r="B125" s="21" t="s">
        <v>177</v>
      </c>
      <c r="C125" s="4">
        <v>22013427000</v>
      </c>
      <c r="D125" s="4">
        <v>8277999000</v>
      </c>
      <c r="E125" s="4">
        <v>5904460000</v>
      </c>
      <c r="F125" s="4">
        <v>125040000</v>
      </c>
      <c r="G125" s="4">
        <v>110720000</v>
      </c>
      <c r="H125" s="4">
        <v>100740000</v>
      </c>
      <c r="I125" s="4">
        <v>87360000</v>
      </c>
      <c r="J125" s="4">
        <v>73750000</v>
      </c>
      <c r="K125" s="4">
        <v>64460000</v>
      </c>
      <c r="L125" s="4">
        <v>62495000</v>
      </c>
      <c r="M125" s="4">
        <v>56280000</v>
      </c>
      <c r="N125" s="4">
        <v>34215000</v>
      </c>
      <c r="O125" s="4">
        <v>10023000</v>
      </c>
    </row>
    <row r="126" spans="1:15" x14ac:dyDescent="0.2">
      <c r="B126" s="21" t="s">
        <v>162</v>
      </c>
      <c r="G126" s="1495" t="s">
        <v>467</v>
      </c>
      <c r="I126" s="1495" t="s">
        <v>165</v>
      </c>
      <c r="K126" s="1495" t="s">
        <v>96</v>
      </c>
    </row>
    <row r="127" spans="1:15" x14ac:dyDescent="0.2">
      <c r="B127" s="21" t="s">
        <v>161</v>
      </c>
      <c r="G127" s="1495" t="s">
        <v>467</v>
      </c>
      <c r="I127" s="1495" t="s">
        <v>165</v>
      </c>
      <c r="K127" s="1495" t="s">
        <v>96</v>
      </c>
    </row>
    <row r="128" spans="1:15" x14ac:dyDescent="0.2">
      <c r="B128" s="21" t="s">
        <v>160</v>
      </c>
      <c r="F128" s="1495" t="s">
        <v>313</v>
      </c>
      <c r="G128" s="1495" t="s">
        <v>467</v>
      </c>
      <c r="I128" s="1495" t="s">
        <v>165</v>
      </c>
      <c r="J128" s="1495" t="s">
        <v>188</v>
      </c>
      <c r="K128" s="1495" t="s">
        <v>96</v>
      </c>
      <c r="L128" s="1495" t="s">
        <v>168</v>
      </c>
    </row>
    <row r="129" spans="1:12" x14ac:dyDescent="0.2">
      <c r="B129" s="21" t="s">
        <v>157</v>
      </c>
      <c r="C129" s="21" t="s">
        <v>27</v>
      </c>
      <c r="D129" s="21" t="s">
        <v>11</v>
      </c>
      <c r="E129" s="21" t="s">
        <v>88</v>
      </c>
      <c r="F129" s="1495" t="s">
        <v>313</v>
      </c>
      <c r="G129" s="1495" t="s">
        <v>467</v>
      </c>
      <c r="H129" s="21" t="s">
        <v>180</v>
      </c>
      <c r="I129" s="1495" t="s">
        <v>165</v>
      </c>
      <c r="J129" s="1495" t="s">
        <v>188</v>
      </c>
      <c r="K129" s="1495" t="s">
        <v>96</v>
      </c>
      <c r="L129" s="1495" t="s">
        <v>168</v>
      </c>
    </row>
    <row r="130" spans="1:12" x14ac:dyDescent="0.2">
      <c r="A130" s="7" t="s">
        <v>362</v>
      </c>
      <c r="B130" s="21" t="s">
        <v>177</v>
      </c>
      <c r="C130" s="4">
        <v>7517040000</v>
      </c>
      <c r="D130" s="4">
        <v>1266065000</v>
      </c>
      <c r="E130" s="4">
        <v>1028600000</v>
      </c>
      <c r="F130" s="4">
        <v>790920000</v>
      </c>
      <c r="G130" s="4">
        <v>740980000</v>
      </c>
      <c r="H130" s="4">
        <v>633900000</v>
      </c>
      <c r="I130" s="4">
        <v>600400000</v>
      </c>
      <c r="J130" s="4">
        <v>524445000</v>
      </c>
      <c r="K130" s="4">
        <v>372620000</v>
      </c>
      <c r="L130" s="4">
        <v>42750000</v>
      </c>
    </row>
    <row r="131" spans="1:12" x14ac:dyDescent="0.2">
      <c r="B131" s="21" t="s">
        <v>162</v>
      </c>
      <c r="C131" s="1495" t="s">
        <v>97</v>
      </c>
      <c r="E131" s="1495" t="s">
        <v>268</v>
      </c>
      <c r="F131" s="1495" t="s">
        <v>31</v>
      </c>
      <c r="H131" s="1495" t="s">
        <v>348</v>
      </c>
      <c r="J131" s="1495" t="s">
        <v>187</v>
      </c>
      <c r="L131" s="1495" t="s">
        <v>466</v>
      </c>
    </row>
    <row r="132" spans="1:12" x14ac:dyDescent="0.2">
      <c r="B132" s="21" t="s">
        <v>161</v>
      </c>
      <c r="C132" s="1495" t="s">
        <v>97</v>
      </c>
      <c r="E132" s="1495" t="s">
        <v>268</v>
      </c>
      <c r="F132" s="1495" t="s">
        <v>31</v>
      </c>
      <c r="H132" s="1495" t="s">
        <v>348</v>
      </c>
      <c r="J132" s="1495" t="s">
        <v>187</v>
      </c>
      <c r="L132" s="1495" t="s">
        <v>466</v>
      </c>
    </row>
    <row r="133" spans="1:12" x14ac:dyDescent="0.2">
      <c r="B133" s="21" t="s">
        <v>160</v>
      </c>
      <c r="C133" s="1495" t="s">
        <v>97</v>
      </c>
      <c r="D133" s="1495" t="s">
        <v>19</v>
      </c>
      <c r="E133" s="1495" t="s">
        <v>268</v>
      </c>
      <c r="F133" s="1495" t="s">
        <v>31</v>
      </c>
      <c r="G133" s="1495" t="s">
        <v>77</v>
      </c>
      <c r="H133" s="1495" t="s">
        <v>348</v>
      </c>
      <c r="J133" s="1495" t="s">
        <v>187</v>
      </c>
      <c r="L133" s="1495" t="s">
        <v>466</v>
      </c>
    </row>
    <row r="134" spans="1:12" x14ac:dyDescent="0.2">
      <c r="B134" s="21" t="s">
        <v>157</v>
      </c>
      <c r="C134" s="1495" t="s">
        <v>97</v>
      </c>
      <c r="D134" s="1495" t="s">
        <v>19</v>
      </c>
      <c r="E134" s="1495" t="s">
        <v>268</v>
      </c>
      <c r="F134" s="1495" t="s">
        <v>31</v>
      </c>
      <c r="G134" s="1495" t="s">
        <v>77</v>
      </c>
      <c r="H134" s="1495" t="s">
        <v>348</v>
      </c>
      <c r="I134" s="21" t="s">
        <v>169</v>
      </c>
      <c r="J134" s="1495" t="s">
        <v>187</v>
      </c>
      <c r="K134" s="21" t="s">
        <v>87</v>
      </c>
      <c r="L134" s="1495" t="s">
        <v>466</v>
      </c>
    </row>
    <row r="135" spans="1:12" x14ac:dyDescent="0.2">
      <c r="A135" s="7" t="s">
        <v>358</v>
      </c>
      <c r="B135" s="21" t="s">
        <v>177</v>
      </c>
      <c r="C135" s="4">
        <v>149905550000</v>
      </c>
      <c r="D135" s="4">
        <v>149663980000</v>
      </c>
      <c r="E135" s="4">
        <v>23265640000</v>
      </c>
      <c r="F135" s="4">
        <v>20000000000</v>
      </c>
      <c r="G135" s="4">
        <v>6196559000</v>
      </c>
      <c r="H135" s="4">
        <v>4243665000</v>
      </c>
      <c r="I135" s="4">
        <v>3448000000</v>
      </c>
      <c r="J135" s="4">
        <v>1948272000</v>
      </c>
      <c r="K135" s="4">
        <v>792540000</v>
      </c>
      <c r="L135" s="4">
        <v>11520000</v>
      </c>
    </row>
    <row r="136" spans="1:12" x14ac:dyDescent="0.2">
      <c r="B136" s="21" t="s">
        <v>162</v>
      </c>
      <c r="C136" s="1495" t="s">
        <v>295</v>
      </c>
    </row>
    <row r="137" spans="1:12" x14ac:dyDescent="0.2">
      <c r="B137" s="21" t="s">
        <v>161</v>
      </c>
      <c r="C137" s="1495" t="s">
        <v>295</v>
      </c>
    </row>
    <row r="138" spans="1:12" x14ac:dyDescent="0.2">
      <c r="B138" s="21" t="s">
        <v>160</v>
      </c>
      <c r="C138" s="1495" t="s">
        <v>295</v>
      </c>
    </row>
    <row r="139" spans="1:12" x14ac:dyDescent="0.2">
      <c r="B139" s="21" t="s">
        <v>157</v>
      </c>
      <c r="C139" s="1495" t="s">
        <v>295</v>
      </c>
    </row>
    <row r="140" spans="1:12" x14ac:dyDescent="0.2">
      <c r="A140" s="7" t="s">
        <v>354</v>
      </c>
      <c r="B140" s="21" t="s">
        <v>177</v>
      </c>
      <c r="C140" s="4">
        <v>34300000000</v>
      </c>
    </row>
    <row r="141" spans="1:12" x14ac:dyDescent="0.2">
      <c r="B141" s="21" t="s">
        <v>157</v>
      </c>
      <c r="C141" s="21" t="s">
        <v>29</v>
      </c>
      <c r="D141" s="21" t="s">
        <v>171</v>
      </c>
      <c r="E141" s="21" t="s">
        <v>169</v>
      </c>
      <c r="F141" s="21" t="s">
        <v>281</v>
      </c>
    </row>
    <row r="142" spans="1:12" x14ac:dyDescent="0.2">
      <c r="A142" s="7" t="s">
        <v>353</v>
      </c>
      <c r="B142" s="21" t="s">
        <v>177</v>
      </c>
      <c r="C142" s="4">
        <v>8456985600</v>
      </c>
      <c r="D142" s="4">
        <v>6216810000</v>
      </c>
      <c r="E142" s="4">
        <v>2602240000</v>
      </c>
      <c r="F142" s="4">
        <v>1523960000</v>
      </c>
    </row>
    <row r="143" spans="1:12" x14ac:dyDescent="0.2">
      <c r="B143" s="21" t="s">
        <v>162</v>
      </c>
      <c r="C143" s="1495" t="s">
        <v>21</v>
      </c>
      <c r="E143" s="1495" t="s">
        <v>270</v>
      </c>
    </row>
    <row r="144" spans="1:12" x14ac:dyDescent="0.2">
      <c r="B144" s="21" t="s">
        <v>161</v>
      </c>
      <c r="C144" s="1495" t="s">
        <v>21</v>
      </c>
      <c r="E144" s="1495" t="s">
        <v>270</v>
      </c>
    </row>
    <row r="145" spans="1:13" x14ac:dyDescent="0.2">
      <c r="B145" s="21" t="s">
        <v>160</v>
      </c>
      <c r="C145" s="1495" t="s">
        <v>21</v>
      </c>
      <c r="E145" s="1495" t="s">
        <v>270</v>
      </c>
    </row>
    <row r="146" spans="1:13" x14ac:dyDescent="0.2">
      <c r="B146" s="21" t="s">
        <v>157</v>
      </c>
      <c r="C146" s="1495" t="s">
        <v>21</v>
      </c>
      <c r="D146" s="21" t="s">
        <v>38</v>
      </c>
      <c r="E146" s="1495" t="s">
        <v>270</v>
      </c>
    </row>
    <row r="147" spans="1:13" x14ac:dyDescent="0.2">
      <c r="A147" s="7" t="s">
        <v>352</v>
      </c>
      <c r="B147" s="21" t="s">
        <v>177</v>
      </c>
      <c r="C147" s="4">
        <v>101032540000</v>
      </c>
      <c r="D147" s="4">
        <v>17968500000</v>
      </c>
      <c r="E147" s="4">
        <v>10219000000</v>
      </c>
    </row>
    <row r="148" spans="1:13" x14ac:dyDescent="0.2">
      <c r="B148" s="21" t="s">
        <v>162</v>
      </c>
      <c r="D148" s="1495" t="s">
        <v>13</v>
      </c>
      <c r="J148" s="1495" t="s">
        <v>25</v>
      </c>
      <c r="K148" s="1495" t="s">
        <v>312</v>
      </c>
    </row>
    <row r="149" spans="1:13" x14ac:dyDescent="0.2">
      <c r="B149" s="21" t="s">
        <v>161</v>
      </c>
      <c r="D149" s="1495" t="s">
        <v>13</v>
      </c>
      <c r="J149" s="1495" t="s">
        <v>25</v>
      </c>
      <c r="K149" s="1495" t="s">
        <v>312</v>
      </c>
    </row>
    <row r="150" spans="1:13" x14ac:dyDescent="0.2">
      <c r="B150" s="21" t="s">
        <v>160</v>
      </c>
      <c r="D150" s="1495" t="s">
        <v>13</v>
      </c>
      <c r="J150" s="1495" t="s">
        <v>25</v>
      </c>
      <c r="K150" s="1495" t="s">
        <v>312</v>
      </c>
    </row>
    <row r="151" spans="1:13" x14ac:dyDescent="0.2">
      <c r="B151" s="21" t="s">
        <v>157</v>
      </c>
      <c r="C151" s="21" t="s">
        <v>23</v>
      </c>
      <c r="D151" s="1495" t="s">
        <v>13</v>
      </c>
      <c r="E151" s="21" t="s">
        <v>35</v>
      </c>
      <c r="F151" s="21" t="s">
        <v>58</v>
      </c>
      <c r="G151" s="21" t="s">
        <v>59</v>
      </c>
      <c r="H151" s="21" t="s">
        <v>34</v>
      </c>
      <c r="I151" s="21" t="s">
        <v>19</v>
      </c>
      <c r="J151" s="1495" t="s">
        <v>25</v>
      </c>
      <c r="K151" s="1495" t="s">
        <v>312</v>
      </c>
      <c r="L151" s="21" t="s">
        <v>9</v>
      </c>
      <c r="M151" s="21" t="s">
        <v>93</v>
      </c>
    </row>
    <row r="152" spans="1:13" x14ac:dyDescent="0.2">
      <c r="A152" s="7" t="s">
        <v>347</v>
      </c>
      <c r="B152" s="21" t="s">
        <v>177</v>
      </c>
      <c r="C152" s="4">
        <v>114745294000</v>
      </c>
      <c r="D152" s="4">
        <v>71394020000</v>
      </c>
      <c r="E152" s="4">
        <v>51289133000</v>
      </c>
      <c r="F152" s="4">
        <v>26144530000</v>
      </c>
      <c r="G152" s="4">
        <v>20179110000</v>
      </c>
      <c r="H152" s="4">
        <v>18736215000</v>
      </c>
      <c r="I152" s="4">
        <v>14982865000</v>
      </c>
      <c r="J152" s="4">
        <v>14672340000</v>
      </c>
      <c r="K152" s="4">
        <v>13154060000</v>
      </c>
      <c r="L152" s="4">
        <v>5732305000</v>
      </c>
      <c r="M152" s="4">
        <v>3093000000</v>
      </c>
    </row>
    <row r="153" spans="1:13" x14ac:dyDescent="0.2">
      <c r="B153" s="21" t="s">
        <v>162</v>
      </c>
      <c r="C153" s="1495" t="s">
        <v>79</v>
      </c>
    </row>
    <row r="154" spans="1:13" x14ac:dyDescent="0.2">
      <c r="B154" s="21" t="s">
        <v>161</v>
      </c>
      <c r="C154" s="1495" t="s">
        <v>79</v>
      </c>
    </row>
    <row r="155" spans="1:13" x14ac:dyDescent="0.2">
      <c r="B155" s="21" t="s">
        <v>160</v>
      </c>
      <c r="C155" s="1495" t="s">
        <v>79</v>
      </c>
    </row>
    <row r="156" spans="1:13" x14ac:dyDescent="0.2">
      <c r="B156" s="21" t="s">
        <v>157</v>
      </c>
      <c r="C156" s="1495" t="s">
        <v>79</v>
      </c>
      <c r="D156" s="21" t="s">
        <v>32</v>
      </c>
      <c r="E156" s="21" t="s">
        <v>21</v>
      </c>
      <c r="F156" s="21" t="s">
        <v>5</v>
      </c>
      <c r="G156" s="21" t="s">
        <v>24</v>
      </c>
      <c r="H156" s="21" t="s">
        <v>59</v>
      </c>
      <c r="I156" s="21" t="s">
        <v>212</v>
      </c>
      <c r="J156" s="21" t="s">
        <v>6</v>
      </c>
    </row>
    <row r="157" spans="1:13" x14ac:dyDescent="0.2">
      <c r="A157" s="7" t="s">
        <v>345</v>
      </c>
      <c r="B157" s="21" t="s">
        <v>177</v>
      </c>
      <c r="C157" s="4">
        <v>125635635000</v>
      </c>
      <c r="D157" s="4">
        <v>41427410000</v>
      </c>
      <c r="E157" s="4">
        <v>33414870000</v>
      </c>
      <c r="F157" s="4">
        <v>25834988000</v>
      </c>
      <c r="G157" s="4">
        <v>22582585000</v>
      </c>
      <c r="H157" s="4">
        <v>18925350000</v>
      </c>
      <c r="I157" s="4">
        <v>12019334000</v>
      </c>
      <c r="J157" s="4">
        <v>1916165000</v>
      </c>
    </row>
    <row r="158" spans="1:13" x14ac:dyDescent="0.2">
      <c r="B158" s="21" t="s">
        <v>162</v>
      </c>
      <c r="C158" s="1495" t="s">
        <v>202</v>
      </c>
    </row>
    <row r="159" spans="1:13" x14ac:dyDescent="0.2">
      <c r="B159" s="21" t="s">
        <v>161</v>
      </c>
      <c r="C159" s="1495" t="s">
        <v>202</v>
      </c>
    </row>
    <row r="160" spans="1:13" x14ac:dyDescent="0.2">
      <c r="B160" s="21" t="s">
        <v>160</v>
      </c>
      <c r="C160" s="1495" t="s">
        <v>202</v>
      </c>
    </row>
    <row r="161" spans="1:9" x14ac:dyDescent="0.2">
      <c r="B161" s="21" t="s">
        <v>157</v>
      </c>
      <c r="C161" s="1495" t="s">
        <v>202</v>
      </c>
      <c r="D161" s="21" t="s">
        <v>171</v>
      </c>
    </row>
    <row r="162" spans="1:9" x14ac:dyDescent="0.2">
      <c r="A162" s="7" t="s">
        <v>344</v>
      </c>
      <c r="B162" s="21" t="s">
        <v>177</v>
      </c>
      <c r="C162" s="4">
        <v>9033000000</v>
      </c>
      <c r="D162" s="4">
        <v>5696290000</v>
      </c>
    </row>
    <row r="163" spans="1:9" x14ac:dyDescent="0.2">
      <c r="B163" s="21" t="s">
        <v>157</v>
      </c>
      <c r="C163" s="21" t="s">
        <v>14</v>
      </c>
      <c r="D163" s="21" t="s">
        <v>89</v>
      </c>
      <c r="E163" s="21" t="s">
        <v>9</v>
      </c>
    </row>
    <row r="164" spans="1:9" x14ac:dyDescent="0.2">
      <c r="A164" s="7" t="s">
        <v>343</v>
      </c>
      <c r="B164" s="21" t="s">
        <v>177</v>
      </c>
      <c r="C164" s="4">
        <v>85819085000</v>
      </c>
      <c r="D164" s="4">
        <v>3038475000</v>
      </c>
      <c r="E164" s="4">
        <v>2754625000</v>
      </c>
    </row>
    <row r="165" spans="1:9" x14ac:dyDescent="0.2">
      <c r="B165" s="21" t="s">
        <v>157</v>
      </c>
      <c r="C165" s="21" t="s">
        <v>70</v>
      </c>
      <c r="D165" s="21" t="s">
        <v>25</v>
      </c>
    </row>
    <row r="166" spans="1:9" x14ac:dyDescent="0.2">
      <c r="A166" s="7" t="s">
        <v>341</v>
      </c>
      <c r="B166" s="21" t="s">
        <v>177</v>
      </c>
      <c r="C166" s="4">
        <v>18935495000</v>
      </c>
      <c r="D166" s="4">
        <v>12781950000</v>
      </c>
    </row>
    <row r="167" spans="1:9" x14ac:dyDescent="0.2">
      <c r="B167" s="21" t="s">
        <v>162</v>
      </c>
      <c r="C167" s="1495" t="s">
        <v>263</v>
      </c>
    </row>
    <row r="168" spans="1:9" x14ac:dyDescent="0.2">
      <c r="B168" s="21" t="s">
        <v>161</v>
      </c>
      <c r="C168" s="1495" t="s">
        <v>263</v>
      </c>
    </row>
    <row r="169" spans="1:9" x14ac:dyDescent="0.2">
      <c r="B169" s="21" t="s">
        <v>160</v>
      </c>
      <c r="C169" s="1495" t="s">
        <v>263</v>
      </c>
    </row>
    <row r="170" spans="1:9" x14ac:dyDescent="0.2">
      <c r="B170" s="21" t="s">
        <v>157</v>
      </c>
      <c r="C170" s="1495" t="s">
        <v>263</v>
      </c>
    </row>
    <row r="171" spans="1:9" x14ac:dyDescent="0.2">
      <c r="A171" s="7" t="s">
        <v>340</v>
      </c>
      <c r="B171" s="21" t="s">
        <v>177</v>
      </c>
      <c r="C171" s="4">
        <v>44883510000</v>
      </c>
    </row>
    <row r="172" spans="1:9" x14ac:dyDescent="0.2">
      <c r="B172" s="21" t="s">
        <v>160</v>
      </c>
      <c r="C172" s="1495" t="s">
        <v>33</v>
      </c>
    </row>
    <row r="173" spans="1:9" x14ac:dyDescent="0.2">
      <c r="B173" s="21" t="s">
        <v>157</v>
      </c>
      <c r="C173" s="1495" t="s">
        <v>33</v>
      </c>
      <c r="D173" s="21" t="s">
        <v>312</v>
      </c>
      <c r="E173" s="21" t="s">
        <v>169</v>
      </c>
    </row>
    <row r="174" spans="1:9" x14ac:dyDescent="0.2">
      <c r="A174" s="7" t="s">
        <v>338</v>
      </c>
      <c r="B174" s="21" t="s">
        <v>177</v>
      </c>
      <c r="C174" s="4">
        <v>112590600000</v>
      </c>
      <c r="D174" s="4">
        <v>3167195000</v>
      </c>
      <c r="E174" s="4">
        <v>1485890000</v>
      </c>
    </row>
    <row r="175" spans="1:9" x14ac:dyDescent="0.2">
      <c r="B175" s="21" t="s">
        <v>162</v>
      </c>
      <c r="C175" s="1495" t="s">
        <v>42</v>
      </c>
      <c r="D175" s="1495" t="s">
        <v>296</v>
      </c>
      <c r="E175" s="1495" t="s">
        <v>28</v>
      </c>
      <c r="F175" s="1495" t="s">
        <v>263</v>
      </c>
      <c r="G175" s="1495" t="s">
        <v>41</v>
      </c>
      <c r="H175" s="1495" t="s">
        <v>63</v>
      </c>
      <c r="I175" s="1495" t="s">
        <v>179</v>
      </c>
    </row>
    <row r="176" spans="1:9" x14ac:dyDescent="0.2">
      <c r="B176" s="21" t="s">
        <v>161</v>
      </c>
      <c r="C176" s="1495" t="s">
        <v>42</v>
      </c>
      <c r="D176" s="1495" t="s">
        <v>296</v>
      </c>
      <c r="E176" s="1495" t="s">
        <v>28</v>
      </c>
      <c r="F176" s="1495" t="s">
        <v>263</v>
      </c>
      <c r="G176" s="1495" t="s">
        <v>41</v>
      </c>
      <c r="H176" s="1495" t="s">
        <v>63</v>
      </c>
      <c r="I176" s="1495" t="s">
        <v>179</v>
      </c>
    </row>
    <row r="177" spans="1:10" x14ac:dyDescent="0.2">
      <c r="B177" s="21" t="s">
        <v>160</v>
      </c>
      <c r="C177" s="1495" t="s">
        <v>42</v>
      </c>
      <c r="D177" s="1495" t="s">
        <v>296</v>
      </c>
      <c r="E177" s="1495" t="s">
        <v>28</v>
      </c>
      <c r="F177" s="1495" t="s">
        <v>263</v>
      </c>
      <c r="G177" s="1495" t="s">
        <v>41</v>
      </c>
      <c r="H177" s="1495" t="s">
        <v>63</v>
      </c>
      <c r="I177" s="1495" t="s">
        <v>179</v>
      </c>
    </row>
    <row r="178" spans="1:10" x14ac:dyDescent="0.2">
      <c r="B178" s="21" t="s">
        <v>157</v>
      </c>
      <c r="C178" s="1495" t="s">
        <v>42</v>
      </c>
      <c r="D178" s="1495" t="s">
        <v>296</v>
      </c>
      <c r="E178" s="1495" t="s">
        <v>28</v>
      </c>
      <c r="F178" s="1495" t="s">
        <v>263</v>
      </c>
      <c r="G178" s="1495" t="s">
        <v>41</v>
      </c>
      <c r="H178" s="1495" t="s">
        <v>63</v>
      </c>
      <c r="I178" s="1495" t="s">
        <v>179</v>
      </c>
      <c r="J178" s="21" t="s">
        <v>19</v>
      </c>
    </row>
    <row r="179" spans="1:10" x14ac:dyDescent="0.2">
      <c r="A179" s="7" t="s">
        <v>334</v>
      </c>
      <c r="B179" s="21" t="s">
        <v>177</v>
      </c>
      <c r="C179" s="4">
        <v>57936870000</v>
      </c>
      <c r="D179" s="4">
        <v>26395940000</v>
      </c>
      <c r="E179" s="4">
        <v>25297190000</v>
      </c>
      <c r="F179" s="4">
        <v>22152620000</v>
      </c>
      <c r="G179" s="4">
        <v>7974470000</v>
      </c>
      <c r="H179" s="4">
        <v>7896010000</v>
      </c>
      <c r="I179" s="4">
        <v>7379165000</v>
      </c>
      <c r="J179" s="4">
        <v>3270705000</v>
      </c>
    </row>
    <row r="180" spans="1:10" x14ac:dyDescent="0.2">
      <c r="B180" s="21" t="s">
        <v>162</v>
      </c>
      <c r="C180" s="1495" t="s">
        <v>296</v>
      </c>
      <c r="D180" s="1495" t="s">
        <v>284</v>
      </c>
      <c r="E180" s="1495" t="s">
        <v>269</v>
      </c>
    </row>
    <row r="181" spans="1:10" x14ac:dyDescent="0.2">
      <c r="B181" s="21" t="s">
        <v>161</v>
      </c>
      <c r="C181" s="1495" t="s">
        <v>296</v>
      </c>
      <c r="D181" s="1495" t="s">
        <v>284</v>
      </c>
      <c r="E181" s="1495" t="s">
        <v>269</v>
      </c>
    </row>
    <row r="182" spans="1:10" x14ac:dyDescent="0.2">
      <c r="B182" s="21" t="s">
        <v>160</v>
      </c>
      <c r="C182" s="1495" t="s">
        <v>296</v>
      </c>
      <c r="D182" s="1495" t="s">
        <v>284</v>
      </c>
      <c r="E182" s="1495" t="s">
        <v>269</v>
      </c>
    </row>
    <row r="183" spans="1:10" x14ac:dyDescent="0.2">
      <c r="B183" s="21" t="s">
        <v>157</v>
      </c>
      <c r="C183" s="1495" t="s">
        <v>296</v>
      </c>
      <c r="D183" s="1495" t="s">
        <v>284</v>
      </c>
      <c r="E183" s="1495" t="s">
        <v>269</v>
      </c>
    </row>
    <row r="184" spans="1:10" x14ac:dyDescent="0.2">
      <c r="A184" s="7" t="s">
        <v>331</v>
      </c>
      <c r="B184" s="21" t="s">
        <v>177</v>
      </c>
      <c r="C184" s="4">
        <v>24896360000</v>
      </c>
      <c r="D184" s="4">
        <v>3982370000</v>
      </c>
      <c r="E184" s="4">
        <v>696279000</v>
      </c>
    </row>
    <row r="185" spans="1:10" x14ac:dyDescent="0.2">
      <c r="B185" s="21" t="s">
        <v>162</v>
      </c>
      <c r="C185" s="1495" t="s">
        <v>57</v>
      </c>
    </row>
    <row r="186" spans="1:10" x14ac:dyDescent="0.2">
      <c r="B186" s="21" t="s">
        <v>161</v>
      </c>
      <c r="C186" s="1495" t="s">
        <v>57</v>
      </c>
    </row>
    <row r="187" spans="1:10" x14ac:dyDescent="0.2">
      <c r="B187" s="21" t="s">
        <v>160</v>
      </c>
      <c r="C187" s="1495" t="s">
        <v>57</v>
      </c>
    </row>
    <row r="188" spans="1:10" x14ac:dyDescent="0.2">
      <c r="B188" s="21" t="s">
        <v>157</v>
      </c>
      <c r="C188" s="1495" t="s">
        <v>57</v>
      </c>
      <c r="D188" s="21" t="s">
        <v>68</v>
      </c>
    </row>
    <row r="189" spans="1:10" x14ac:dyDescent="0.2">
      <c r="A189" s="7" t="s">
        <v>327</v>
      </c>
      <c r="B189" s="21" t="s">
        <v>177</v>
      </c>
      <c r="C189" s="4">
        <v>13006830000</v>
      </c>
      <c r="D189" s="4">
        <v>10683500000</v>
      </c>
    </row>
    <row r="190" spans="1:10" x14ac:dyDescent="0.2">
      <c r="B190" s="21" t="s">
        <v>162</v>
      </c>
      <c r="C190" s="1495" t="s">
        <v>66</v>
      </c>
      <c r="E190" s="1495" t="s">
        <v>190</v>
      </c>
    </row>
    <row r="191" spans="1:10" x14ac:dyDescent="0.2">
      <c r="B191" s="21" t="s">
        <v>161</v>
      </c>
      <c r="C191" s="1495" t="s">
        <v>66</v>
      </c>
      <c r="E191" s="1495" t="s">
        <v>190</v>
      </c>
    </row>
    <row r="192" spans="1:10" x14ac:dyDescent="0.2">
      <c r="B192" s="21" t="s">
        <v>160</v>
      </c>
      <c r="C192" s="1495" t="s">
        <v>66</v>
      </c>
      <c r="E192" s="1495" t="s">
        <v>190</v>
      </c>
    </row>
    <row r="193" spans="1:13" x14ac:dyDescent="0.2">
      <c r="B193" s="21" t="s">
        <v>157</v>
      </c>
      <c r="C193" s="1495" t="s">
        <v>66</v>
      </c>
      <c r="D193" s="21" t="s">
        <v>61</v>
      </c>
      <c r="E193" s="1495" t="s">
        <v>190</v>
      </c>
    </row>
    <row r="194" spans="1:13" x14ac:dyDescent="0.2">
      <c r="A194" s="7" t="s">
        <v>324</v>
      </c>
      <c r="B194" s="21" t="s">
        <v>177</v>
      </c>
      <c r="C194" s="4">
        <v>23491045000</v>
      </c>
      <c r="D194" s="4">
        <v>18844505000</v>
      </c>
      <c r="E194" s="4">
        <v>12467335000</v>
      </c>
    </row>
    <row r="195" spans="1:13" x14ac:dyDescent="0.2">
      <c r="B195" s="21" t="s">
        <v>162</v>
      </c>
      <c r="C195" s="1495" t="s">
        <v>17</v>
      </c>
      <c r="E195" s="1495" t="s">
        <v>66</v>
      </c>
      <c r="F195" s="1495" t="s">
        <v>74</v>
      </c>
      <c r="M195" s="1495" t="s">
        <v>270</v>
      </c>
    </row>
    <row r="196" spans="1:13" x14ac:dyDescent="0.2">
      <c r="B196" s="21" t="s">
        <v>161</v>
      </c>
      <c r="C196" s="1495" t="s">
        <v>17</v>
      </c>
      <c r="E196" s="1495" t="s">
        <v>66</v>
      </c>
      <c r="F196" s="1495" t="s">
        <v>74</v>
      </c>
      <c r="M196" s="1495" t="s">
        <v>270</v>
      </c>
    </row>
    <row r="197" spans="1:13" x14ac:dyDescent="0.2">
      <c r="B197" s="21" t="s">
        <v>160</v>
      </c>
      <c r="C197" s="1495" t="s">
        <v>17</v>
      </c>
      <c r="E197" s="1495" t="s">
        <v>66</v>
      </c>
      <c r="F197" s="1495" t="s">
        <v>74</v>
      </c>
      <c r="M197" s="1495" t="s">
        <v>270</v>
      </c>
    </row>
    <row r="198" spans="1:13" x14ac:dyDescent="0.2">
      <c r="B198" s="21" t="s">
        <v>157</v>
      </c>
      <c r="C198" s="1495" t="s">
        <v>17</v>
      </c>
      <c r="D198" s="21" t="s">
        <v>15</v>
      </c>
      <c r="E198" s="1495" t="s">
        <v>66</v>
      </c>
      <c r="F198" s="1495" t="s">
        <v>74</v>
      </c>
      <c r="G198" s="21" t="s">
        <v>61</v>
      </c>
      <c r="H198" s="21" t="s">
        <v>176</v>
      </c>
      <c r="I198" s="21" t="s">
        <v>183</v>
      </c>
      <c r="J198" s="21" t="s">
        <v>279</v>
      </c>
      <c r="K198" s="21" t="s">
        <v>295</v>
      </c>
      <c r="L198" s="21" t="s">
        <v>19</v>
      </c>
      <c r="M198" s="1495" t="s">
        <v>270</v>
      </c>
    </row>
    <row r="199" spans="1:13" x14ac:dyDescent="0.2">
      <c r="A199" s="7" t="s">
        <v>323</v>
      </c>
      <c r="B199" s="21" t="s">
        <v>177</v>
      </c>
      <c r="C199" s="4">
        <v>130084530000</v>
      </c>
      <c r="D199" s="4">
        <v>109683290000</v>
      </c>
      <c r="E199" s="4">
        <v>20615170000</v>
      </c>
      <c r="F199" s="4">
        <v>17903605000</v>
      </c>
      <c r="G199" s="4">
        <v>16714585000</v>
      </c>
      <c r="H199" s="4">
        <v>8208920000</v>
      </c>
      <c r="I199" s="4">
        <v>7970740000</v>
      </c>
      <c r="J199" s="4">
        <v>5127520000</v>
      </c>
      <c r="K199" s="4">
        <v>3345660000</v>
      </c>
      <c r="L199" s="4">
        <v>2566890000</v>
      </c>
      <c r="M199" s="4">
        <v>2346655000</v>
      </c>
    </row>
    <row r="200" spans="1:13" x14ac:dyDescent="0.2">
      <c r="B200" s="21" t="s">
        <v>162</v>
      </c>
      <c r="C200" s="1495" t="s">
        <v>74</v>
      </c>
      <c r="D200" s="1495" t="s">
        <v>263</v>
      </c>
    </row>
    <row r="201" spans="1:13" x14ac:dyDescent="0.2">
      <c r="B201" s="21" t="s">
        <v>161</v>
      </c>
      <c r="C201" s="1495" t="s">
        <v>74</v>
      </c>
      <c r="D201" s="1495" t="s">
        <v>263</v>
      </c>
    </row>
    <row r="202" spans="1:13" x14ac:dyDescent="0.2">
      <c r="B202" s="21" t="s">
        <v>160</v>
      </c>
      <c r="C202" s="1495" t="s">
        <v>74</v>
      </c>
      <c r="D202" s="1495" t="s">
        <v>263</v>
      </c>
    </row>
    <row r="203" spans="1:13" x14ac:dyDescent="0.2">
      <c r="B203" s="21" t="s">
        <v>157</v>
      </c>
      <c r="C203" s="1495" t="s">
        <v>74</v>
      </c>
      <c r="D203" s="1495" t="s">
        <v>263</v>
      </c>
    </row>
    <row r="204" spans="1:13" x14ac:dyDescent="0.2">
      <c r="A204" s="7" t="s">
        <v>321</v>
      </c>
      <c r="B204" s="21" t="s">
        <v>177</v>
      </c>
      <c r="C204" s="4">
        <v>12967650000</v>
      </c>
      <c r="D204" s="4">
        <v>10955560000</v>
      </c>
    </row>
    <row r="205" spans="1:13" x14ac:dyDescent="0.2">
      <c r="B205" s="21" t="s">
        <v>160</v>
      </c>
      <c r="D205" s="1495" t="s">
        <v>76</v>
      </c>
    </row>
    <row r="206" spans="1:13" x14ac:dyDescent="0.2">
      <c r="B206" s="21" t="s">
        <v>157</v>
      </c>
      <c r="C206" s="21" t="s">
        <v>7</v>
      </c>
      <c r="D206" s="1495" t="s">
        <v>76</v>
      </c>
      <c r="E206" s="21" t="s">
        <v>312</v>
      </c>
    </row>
    <row r="207" spans="1:13" x14ac:dyDescent="0.2">
      <c r="A207" s="7" t="s">
        <v>317</v>
      </c>
      <c r="B207" s="21" t="s">
        <v>177</v>
      </c>
      <c r="C207" s="4">
        <v>3363100000</v>
      </c>
      <c r="D207" s="4">
        <v>2544670000</v>
      </c>
      <c r="E207" s="4">
        <v>2041000000</v>
      </c>
    </row>
    <row r="208" spans="1:13" x14ac:dyDescent="0.2">
      <c r="B208" s="21" t="s">
        <v>162</v>
      </c>
      <c r="D208" s="1495" t="s">
        <v>296</v>
      </c>
      <c r="E208" s="1495" t="s">
        <v>74</v>
      </c>
    </row>
    <row r="209" spans="1:9" x14ac:dyDescent="0.2">
      <c r="B209" s="21" t="s">
        <v>161</v>
      </c>
      <c r="D209" s="1495" t="s">
        <v>296</v>
      </c>
      <c r="E209" s="1495" t="s">
        <v>74</v>
      </c>
    </row>
    <row r="210" spans="1:9" x14ac:dyDescent="0.2">
      <c r="B210" s="21" t="s">
        <v>160</v>
      </c>
      <c r="D210" s="1495" t="s">
        <v>296</v>
      </c>
      <c r="E210" s="1495" t="s">
        <v>74</v>
      </c>
    </row>
    <row r="211" spans="1:9" x14ac:dyDescent="0.2">
      <c r="B211" s="21" t="s">
        <v>157</v>
      </c>
      <c r="C211" s="21" t="s">
        <v>14</v>
      </c>
      <c r="D211" s="1495" t="s">
        <v>296</v>
      </c>
      <c r="E211" s="1495" t="s">
        <v>74</v>
      </c>
      <c r="F211" s="21" t="s">
        <v>25</v>
      </c>
      <c r="G211" s="21" t="s">
        <v>95</v>
      </c>
      <c r="H211" s="21" t="s">
        <v>312</v>
      </c>
    </row>
    <row r="212" spans="1:9" x14ac:dyDescent="0.2">
      <c r="A212" s="7" t="s">
        <v>309</v>
      </c>
      <c r="B212" s="21" t="s">
        <v>177</v>
      </c>
      <c r="C212" s="4">
        <v>63484248000</v>
      </c>
      <c r="D212" s="4">
        <v>20993770000</v>
      </c>
      <c r="E212" s="4">
        <v>7220770000</v>
      </c>
      <c r="F212" s="4">
        <v>6015980000</v>
      </c>
      <c r="G212" s="4">
        <v>1688410000</v>
      </c>
      <c r="H212" s="4">
        <v>1480000000</v>
      </c>
    </row>
    <row r="213" spans="1:9" x14ac:dyDescent="0.2">
      <c r="B213" s="21" t="s">
        <v>162</v>
      </c>
      <c r="C213" s="1495" t="s">
        <v>192</v>
      </c>
    </row>
    <row r="214" spans="1:9" x14ac:dyDescent="0.2">
      <c r="B214" s="21" t="s">
        <v>161</v>
      </c>
      <c r="C214" s="1495" t="s">
        <v>192</v>
      </c>
    </row>
    <row r="215" spans="1:9" x14ac:dyDescent="0.2">
      <c r="B215" s="21" t="s">
        <v>160</v>
      </c>
      <c r="C215" s="1495" t="s">
        <v>192</v>
      </c>
      <c r="F215" s="1495" t="s">
        <v>302</v>
      </c>
    </row>
    <row r="216" spans="1:9" x14ac:dyDescent="0.2">
      <c r="B216" s="21" t="s">
        <v>157</v>
      </c>
      <c r="C216" s="1495" t="s">
        <v>192</v>
      </c>
      <c r="D216" s="21" t="s">
        <v>70</v>
      </c>
      <c r="E216" s="21" t="s">
        <v>202</v>
      </c>
      <c r="F216" s="1495" t="s">
        <v>302</v>
      </c>
      <c r="G216" s="21" t="s">
        <v>7</v>
      </c>
    </row>
    <row r="217" spans="1:9" x14ac:dyDescent="0.2">
      <c r="A217" s="7" t="s">
        <v>305</v>
      </c>
      <c r="B217" s="21" t="s">
        <v>177</v>
      </c>
      <c r="C217" s="4">
        <v>196611260000</v>
      </c>
      <c r="D217" s="4">
        <v>17789730000</v>
      </c>
      <c r="E217" s="4">
        <v>3650000000</v>
      </c>
      <c r="F217" s="4">
        <v>2370705000</v>
      </c>
      <c r="G217" s="4">
        <v>220320000</v>
      </c>
    </row>
    <row r="218" spans="1:9" x14ac:dyDescent="0.2">
      <c r="B218" s="21" t="s">
        <v>162</v>
      </c>
      <c r="C218" s="1495" t="s">
        <v>27</v>
      </c>
      <c r="D218" s="1495" t="s">
        <v>97</v>
      </c>
      <c r="E218" s="1495" t="s">
        <v>92</v>
      </c>
      <c r="F218" s="1495" t="s">
        <v>74</v>
      </c>
    </row>
    <row r="219" spans="1:9" x14ac:dyDescent="0.2">
      <c r="B219" s="21" t="s">
        <v>161</v>
      </c>
      <c r="C219" s="1495" t="s">
        <v>27</v>
      </c>
      <c r="D219" s="1495" t="s">
        <v>97</v>
      </c>
      <c r="E219" s="1495" t="s">
        <v>92</v>
      </c>
      <c r="F219" s="1495" t="s">
        <v>74</v>
      </c>
    </row>
    <row r="220" spans="1:9" x14ac:dyDescent="0.2">
      <c r="B220" s="21" t="s">
        <v>160</v>
      </c>
      <c r="C220" s="1495" t="s">
        <v>27</v>
      </c>
      <c r="D220" s="1495" t="s">
        <v>97</v>
      </c>
      <c r="E220" s="1495" t="s">
        <v>92</v>
      </c>
      <c r="F220" s="1495" t="s">
        <v>74</v>
      </c>
      <c r="G220" s="1495" t="s">
        <v>16</v>
      </c>
    </row>
    <row r="221" spans="1:9" x14ac:dyDescent="0.2">
      <c r="B221" s="21" t="s">
        <v>157</v>
      </c>
      <c r="C221" s="1495" t="s">
        <v>27</v>
      </c>
      <c r="D221" s="1495" t="s">
        <v>97</v>
      </c>
      <c r="E221" s="1495" t="s">
        <v>92</v>
      </c>
      <c r="F221" s="1495" t="s">
        <v>74</v>
      </c>
      <c r="G221" s="1495" t="s">
        <v>16</v>
      </c>
      <c r="H221" s="21" t="s">
        <v>63</v>
      </c>
      <c r="I221" s="21" t="s">
        <v>190</v>
      </c>
    </row>
    <row r="222" spans="1:9" x14ac:dyDescent="0.2">
      <c r="A222" s="7" t="s">
        <v>260</v>
      </c>
      <c r="B222" s="21" t="s">
        <v>177</v>
      </c>
      <c r="C222" s="4">
        <v>38085320000</v>
      </c>
      <c r="D222" s="4">
        <v>14893110000</v>
      </c>
      <c r="E222" s="4">
        <v>13744700000</v>
      </c>
      <c r="F222" s="4">
        <v>7128805000</v>
      </c>
      <c r="G222" s="4">
        <v>5098950000</v>
      </c>
      <c r="H222" s="4">
        <v>2221000000</v>
      </c>
      <c r="I222" s="4">
        <v>2176120000</v>
      </c>
    </row>
    <row r="223" spans="1:9" x14ac:dyDescent="0.2">
      <c r="B223" s="21" t="s">
        <v>160</v>
      </c>
      <c r="C223" s="1495" t="s">
        <v>18</v>
      </c>
      <c r="E223" s="1495" t="s">
        <v>302</v>
      </c>
    </row>
    <row r="224" spans="1:9" x14ac:dyDescent="0.2">
      <c r="B224" s="21" t="s">
        <v>157</v>
      </c>
      <c r="C224" s="1495" t="s">
        <v>18</v>
      </c>
      <c r="D224" s="21" t="s">
        <v>34</v>
      </c>
      <c r="E224" s="1495" t="s">
        <v>302</v>
      </c>
      <c r="F224" s="21" t="s">
        <v>263</v>
      </c>
      <c r="G224" s="21" t="s">
        <v>63</v>
      </c>
      <c r="H224" s="21" t="s">
        <v>95</v>
      </c>
    </row>
    <row r="225" spans="1:9" x14ac:dyDescent="0.2">
      <c r="A225" s="7" t="s">
        <v>259</v>
      </c>
      <c r="B225" s="21" t="s">
        <v>177</v>
      </c>
      <c r="C225" s="4">
        <v>40732570000</v>
      </c>
      <c r="D225" s="4">
        <v>13623154000</v>
      </c>
      <c r="E225" s="4">
        <v>2277795000</v>
      </c>
      <c r="F225" s="4">
        <v>1830710000</v>
      </c>
      <c r="G225" s="4">
        <v>1796500000</v>
      </c>
      <c r="H225" s="4">
        <v>1357000000</v>
      </c>
    </row>
    <row r="226" spans="1:9" x14ac:dyDescent="0.2">
      <c r="B226" s="21" t="s">
        <v>160</v>
      </c>
      <c r="D226" s="1495" t="s">
        <v>302</v>
      </c>
    </row>
    <row r="227" spans="1:9" x14ac:dyDescent="0.2">
      <c r="B227" s="21" t="s">
        <v>157</v>
      </c>
      <c r="C227" s="21" t="s">
        <v>14</v>
      </c>
      <c r="D227" s="1495" t="s">
        <v>302</v>
      </c>
      <c r="E227" s="21" t="s">
        <v>95</v>
      </c>
    </row>
    <row r="228" spans="1:9" x14ac:dyDescent="0.2">
      <c r="A228" s="7" t="s">
        <v>258</v>
      </c>
      <c r="B228" s="21" t="s">
        <v>177</v>
      </c>
      <c r="C228" s="4">
        <v>44577210000</v>
      </c>
      <c r="D228" s="4">
        <v>2235205000</v>
      </c>
      <c r="E228" s="4">
        <v>710000000</v>
      </c>
    </row>
    <row r="229" spans="1:9" x14ac:dyDescent="0.2">
      <c r="B229" s="21" t="s">
        <v>162</v>
      </c>
      <c r="C229" s="1495" t="s">
        <v>86</v>
      </c>
      <c r="D229" s="1495" t="s">
        <v>67</v>
      </c>
      <c r="E229" s="1495" t="s">
        <v>301</v>
      </c>
    </row>
    <row r="230" spans="1:9" x14ac:dyDescent="0.2">
      <c r="B230" s="21" t="s">
        <v>161</v>
      </c>
      <c r="C230" s="1495" t="s">
        <v>86</v>
      </c>
      <c r="D230" s="1495" t="s">
        <v>67</v>
      </c>
      <c r="E230" s="1495" t="s">
        <v>301</v>
      </c>
    </row>
    <row r="231" spans="1:9" x14ac:dyDescent="0.2">
      <c r="B231" s="21" t="s">
        <v>160</v>
      </c>
      <c r="C231" s="1495" t="s">
        <v>86</v>
      </c>
      <c r="D231" s="1495" t="s">
        <v>67</v>
      </c>
      <c r="E231" s="1495" t="s">
        <v>301</v>
      </c>
    </row>
    <row r="232" spans="1:9" x14ac:dyDescent="0.2">
      <c r="B232" s="21" t="s">
        <v>157</v>
      </c>
      <c r="C232" s="1495" t="s">
        <v>86</v>
      </c>
      <c r="D232" s="1495" t="s">
        <v>67</v>
      </c>
      <c r="E232" s="1495" t="s">
        <v>301</v>
      </c>
    </row>
    <row r="233" spans="1:9" x14ac:dyDescent="0.2">
      <c r="A233" s="7" t="s">
        <v>257</v>
      </c>
      <c r="B233" s="21" t="s">
        <v>177</v>
      </c>
      <c r="C233" s="4">
        <v>53991560000</v>
      </c>
      <c r="D233" s="4">
        <v>46380335000</v>
      </c>
      <c r="E233" s="4">
        <v>27612235000</v>
      </c>
    </row>
    <row r="234" spans="1:9" x14ac:dyDescent="0.2">
      <c r="B234" s="21" t="s">
        <v>162</v>
      </c>
      <c r="D234" s="1495" t="s">
        <v>26</v>
      </c>
      <c r="E234" s="1495" t="s">
        <v>186</v>
      </c>
      <c r="F234" s="1495" t="s">
        <v>84</v>
      </c>
      <c r="I234" s="1495" t="s">
        <v>296</v>
      </c>
    </row>
    <row r="235" spans="1:9" x14ac:dyDescent="0.2">
      <c r="B235" s="21" t="s">
        <v>161</v>
      </c>
      <c r="D235" s="1495" t="s">
        <v>26</v>
      </c>
      <c r="E235" s="1495" t="s">
        <v>186</v>
      </c>
      <c r="F235" s="1495" t="s">
        <v>84</v>
      </c>
      <c r="I235" s="1495" t="s">
        <v>296</v>
      </c>
    </row>
    <row r="236" spans="1:9" x14ac:dyDescent="0.2">
      <c r="B236" s="21" t="s">
        <v>160</v>
      </c>
      <c r="D236" s="1495" t="s">
        <v>26</v>
      </c>
      <c r="E236" s="1495" t="s">
        <v>186</v>
      </c>
      <c r="F236" s="1495" t="s">
        <v>84</v>
      </c>
      <c r="I236" s="1495" t="s">
        <v>296</v>
      </c>
    </row>
    <row r="237" spans="1:9" x14ac:dyDescent="0.2">
      <c r="B237" s="21" t="s">
        <v>157</v>
      </c>
      <c r="C237" s="21" t="s">
        <v>33</v>
      </c>
      <c r="D237" s="1495" t="s">
        <v>26</v>
      </c>
      <c r="E237" s="1495" t="s">
        <v>186</v>
      </c>
      <c r="F237" s="1495" t="s">
        <v>84</v>
      </c>
      <c r="G237" s="21" t="s">
        <v>301</v>
      </c>
      <c r="H237" s="21" t="s">
        <v>62</v>
      </c>
      <c r="I237" s="1495" t="s">
        <v>296</v>
      </c>
    </row>
    <row r="238" spans="1:9" x14ac:dyDescent="0.2">
      <c r="A238" s="7" t="s">
        <v>256</v>
      </c>
      <c r="B238" s="21" t="s">
        <v>177</v>
      </c>
      <c r="C238" s="4">
        <v>62485861000</v>
      </c>
      <c r="D238" s="4">
        <v>60666265000</v>
      </c>
      <c r="E238" s="4">
        <v>28541500000</v>
      </c>
      <c r="F238" s="4">
        <v>5617500000</v>
      </c>
      <c r="G238" s="4">
        <v>4209020000</v>
      </c>
      <c r="H238" s="4">
        <v>3951745000</v>
      </c>
      <c r="I238" s="4">
        <v>1825430000</v>
      </c>
    </row>
    <row r="239" spans="1:9" x14ac:dyDescent="0.2">
      <c r="B239" s="21" t="s">
        <v>162</v>
      </c>
      <c r="C239" s="1495" t="s">
        <v>26</v>
      </c>
      <c r="E239" s="1495" t="s">
        <v>73</v>
      </c>
    </row>
    <row r="240" spans="1:9" x14ac:dyDescent="0.2">
      <c r="B240" s="21" t="s">
        <v>161</v>
      </c>
      <c r="C240" s="1495" t="s">
        <v>26</v>
      </c>
      <c r="E240" s="1495" t="s">
        <v>73</v>
      </c>
    </row>
    <row r="241" spans="1:22" x14ac:dyDescent="0.2">
      <c r="B241" s="21" t="s">
        <v>160</v>
      </c>
      <c r="C241" s="1495" t="s">
        <v>26</v>
      </c>
      <c r="E241" s="1495" t="s">
        <v>73</v>
      </c>
    </row>
    <row r="242" spans="1:22" x14ac:dyDescent="0.2">
      <c r="B242" s="21" t="s">
        <v>157</v>
      </c>
      <c r="C242" s="1495" t="s">
        <v>26</v>
      </c>
      <c r="D242" s="21" t="s">
        <v>186</v>
      </c>
      <c r="E242" s="1495" t="s">
        <v>73</v>
      </c>
    </row>
    <row r="243" spans="1:22" x14ac:dyDescent="0.2">
      <c r="A243" s="7" t="s">
        <v>255</v>
      </c>
      <c r="B243" s="21" t="s">
        <v>177</v>
      </c>
      <c r="C243" s="4">
        <v>31065670000</v>
      </c>
      <c r="D243" s="4">
        <v>14119075000</v>
      </c>
      <c r="E243" s="4">
        <v>5588649000</v>
      </c>
    </row>
    <row r="244" spans="1:22" x14ac:dyDescent="0.2">
      <c r="B244" s="21" t="s">
        <v>162</v>
      </c>
      <c r="C244" s="1495" t="s">
        <v>71</v>
      </c>
    </row>
    <row r="245" spans="1:22" x14ac:dyDescent="0.2">
      <c r="B245" s="21" t="s">
        <v>161</v>
      </c>
      <c r="C245" s="1495" t="s">
        <v>71</v>
      </c>
    </row>
    <row r="246" spans="1:22" x14ac:dyDescent="0.2">
      <c r="B246" s="21" t="s">
        <v>160</v>
      </c>
      <c r="C246" s="1495" t="s">
        <v>71</v>
      </c>
      <c r="D246" s="1495" t="s">
        <v>88</v>
      </c>
    </row>
    <row r="247" spans="1:22" x14ac:dyDescent="0.2">
      <c r="B247" s="21" t="s">
        <v>157</v>
      </c>
      <c r="C247" s="1495" t="s">
        <v>71</v>
      </c>
      <c r="D247" s="1495" t="s">
        <v>88</v>
      </c>
    </row>
    <row r="248" spans="1:22" x14ac:dyDescent="0.2">
      <c r="A248" s="7" t="s">
        <v>252</v>
      </c>
      <c r="B248" s="21" t="s">
        <v>177</v>
      </c>
      <c r="C248" s="4">
        <v>232315895000</v>
      </c>
      <c r="D248" s="4">
        <v>13172205000</v>
      </c>
    </row>
    <row r="249" spans="1:22" x14ac:dyDescent="0.2">
      <c r="B249" s="21" t="s">
        <v>162</v>
      </c>
      <c r="C249" s="1495" t="s">
        <v>79</v>
      </c>
      <c r="E249" s="1495" t="s">
        <v>12</v>
      </c>
      <c r="F249" s="1495" t="s">
        <v>21</v>
      </c>
      <c r="G249" s="1495" t="s">
        <v>13</v>
      </c>
      <c r="H249" s="1495" t="s">
        <v>37</v>
      </c>
      <c r="I249" s="1495" t="s">
        <v>64</v>
      </c>
      <c r="J249" s="1495" t="s">
        <v>261</v>
      </c>
      <c r="N249" s="1495" t="s">
        <v>69</v>
      </c>
      <c r="O249" s="1495" t="s">
        <v>212</v>
      </c>
      <c r="Q249" s="1495" t="s">
        <v>66</v>
      </c>
      <c r="S249" s="1495" t="s">
        <v>9</v>
      </c>
      <c r="T249" s="1495" t="s">
        <v>285</v>
      </c>
    </row>
    <row r="250" spans="1:22" x14ac:dyDescent="0.2">
      <c r="B250" s="21" t="s">
        <v>161</v>
      </c>
      <c r="C250" s="1495" t="s">
        <v>79</v>
      </c>
      <c r="E250" s="1495" t="s">
        <v>12</v>
      </c>
      <c r="F250" s="1495" t="s">
        <v>21</v>
      </c>
      <c r="G250" s="1495" t="s">
        <v>13</v>
      </c>
      <c r="H250" s="1495" t="s">
        <v>37</v>
      </c>
      <c r="I250" s="1495" t="s">
        <v>64</v>
      </c>
      <c r="J250" s="1495" t="s">
        <v>261</v>
      </c>
      <c r="N250" s="1495" t="s">
        <v>69</v>
      </c>
      <c r="O250" s="1495" t="s">
        <v>212</v>
      </c>
      <c r="Q250" s="1495" t="s">
        <v>66</v>
      </c>
      <c r="S250" s="1495" t="s">
        <v>9</v>
      </c>
      <c r="T250" s="1495" t="s">
        <v>285</v>
      </c>
    </row>
    <row r="251" spans="1:22" x14ac:dyDescent="0.2">
      <c r="B251" s="21" t="s">
        <v>160</v>
      </c>
      <c r="C251" s="1495" t="s">
        <v>79</v>
      </c>
      <c r="E251" s="1495" t="s">
        <v>12</v>
      </c>
      <c r="F251" s="1495" t="s">
        <v>21</v>
      </c>
      <c r="G251" s="1495" t="s">
        <v>13</v>
      </c>
      <c r="H251" s="1495" t="s">
        <v>37</v>
      </c>
      <c r="I251" s="1495" t="s">
        <v>64</v>
      </c>
      <c r="J251" s="1495" t="s">
        <v>261</v>
      </c>
      <c r="N251" s="1495" t="s">
        <v>69</v>
      </c>
      <c r="O251" s="1495" t="s">
        <v>212</v>
      </c>
      <c r="Q251" s="1495" t="s">
        <v>66</v>
      </c>
      <c r="S251" s="1495" t="s">
        <v>9</v>
      </c>
      <c r="T251" s="1495" t="s">
        <v>285</v>
      </c>
    </row>
    <row r="252" spans="1:22" x14ac:dyDescent="0.2">
      <c r="B252" s="21" t="s">
        <v>157</v>
      </c>
      <c r="C252" s="1495" t="s">
        <v>79</v>
      </c>
      <c r="D252" s="21" t="s">
        <v>32</v>
      </c>
      <c r="E252" s="1495" t="s">
        <v>12</v>
      </c>
      <c r="F252" s="1495" t="s">
        <v>21</v>
      </c>
      <c r="G252" s="1495" t="s">
        <v>13</v>
      </c>
      <c r="H252" s="1495" t="s">
        <v>37</v>
      </c>
      <c r="I252" s="1495" t="s">
        <v>64</v>
      </c>
      <c r="J252" s="1495" t="s">
        <v>261</v>
      </c>
      <c r="K252" s="21" t="s">
        <v>24</v>
      </c>
      <c r="L252" s="21" t="s">
        <v>23</v>
      </c>
      <c r="M252" s="21" t="s">
        <v>99</v>
      </c>
      <c r="N252" s="1495" t="s">
        <v>69</v>
      </c>
      <c r="O252" s="1495" t="s">
        <v>212</v>
      </c>
      <c r="P252" s="21" t="s">
        <v>8</v>
      </c>
      <c r="Q252" s="1495" t="s">
        <v>66</v>
      </c>
      <c r="R252" s="21" t="s">
        <v>186</v>
      </c>
      <c r="S252" s="1495" t="s">
        <v>9</v>
      </c>
      <c r="T252" s="1495" t="s">
        <v>285</v>
      </c>
      <c r="U252" s="21" t="s">
        <v>198</v>
      </c>
      <c r="V252" s="21" t="s">
        <v>10</v>
      </c>
    </row>
    <row r="253" spans="1:22" x14ac:dyDescent="0.2">
      <c r="A253" s="7" t="s">
        <v>251</v>
      </c>
      <c r="B253" s="21" t="s">
        <v>177</v>
      </c>
      <c r="C253" s="4">
        <v>112662494000</v>
      </c>
      <c r="D253" s="4">
        <v>98950131000</v>
      </c>
      <c r="E253" s="4">
        <v>68175432000</v>
      </c>
      <c r="F253" s="4">
        <v>56252460000</v>
      </c>
      <c r="G253" s="4">
        <v>48957070000</v>
      </c>
      <c r="H253" s="4">
        <v>43770705000</v>
      </c>
      <c r="I253" s="4">
        <v>40791940000</v>
      </c>
      <c r="J253" s="4">
        <v>38828910000</v>
      </c>
      <c r="K253" s="4">
        <v>37134855000</v>
      </c>
      <c r="L253" s="4">
        <v>35800033000</v>
      </c>
      <c r="M253" s="4">
        <v>35089673000</v>
      </c>
      <c r="N253" s="4">
        <v>29635580000</v>
      </c>
      <c r="O253" s="4">
        <v>24693350000</v>
      </c>
      <c r="P253" s="4">
        <v>17722730000</v>
      </c>
      <c r="Q253" s="4">
        <v>15424120000</v>
      </c>
      <c r="R253" s="4">
        <v>9328740000</v>
      </c>
      <c r="S253" s="4">
        <v>9296045000</v>
      </c>
      <c r="T253" s="4">
        <v>7751075000</v>
      </c>
      <c r="U253" s="4">
        <v>4878610000</v>
      </c>
      <c r="V253" s="4">
        <v>1970000000</v>
      </c>
    </row>
    <row r="254" spans="1:22" x14ac:dyDescent="0.2">
      <c r="B254" s="21" t="s">
        <v>162</v>
      </c>
      <c r="C254" s="1495" t="s">
        <v>194</v>
      </c>
      <c r="E254" s="1495" t="s">
        <v>66</v>
      </c>
      <c r="G254" s="1495" t="s">
        <v>282</v>
      </c>
    </row>
    <row r="255" spans="1:22" x14ac:dyDescent="0.2">
      <c r="B255" s="21" t="s">
        <v>161</v>
      </c>
      <c r="C255" s="1495" t="s">
        <v>194</v>
      </c>
      <c r="E255" s="1495" t="s">
        <v>66</v>
      </c>
      <c r="G255" s="1495" t="s">
        <v>282</v>
      </c>
    </row>
    <row r="256" spans="1:22" x14ac:dyDescent="0.2">
      <c r="B256" s="21" t="s">
        <v>160</v>
      </c>
      <c r="C256" s="1495" t="s">
        <v>194</v>
      </c>
      <c r="E256" s="1495" t="s">
        <v>66</v>
      </c>
      <c r="G256" s="1495" t="s">
        <v>282</v>
      </c>
    </row>
    <row r="257" spans="1:8" x14ac:dyDescent="0.2">
      <c r="B257" s="21" t="s">
        <v>157</v>
      </c>
      <c r="C257" s="1495" t="s">
        <v>194</v>
      </c>
      <c r="D257" s="21" t="s">
        <v>99</v>
      </c>
      <c r="E257" s="1495" t="s">
        <v>66</v>
      </c>
      <c r="F257" s="21" t="s">
        <v>26</v>
      </c>
      <c r="G257" s="1495" t="s">
        <v>282</v>
      </c>
      <c r="H257" s="21" t="s">
        <v>10</v>
      </c>
    </row>
    <row r="258" spans="1:8" x14ac:dyDescent="0.2">
      <c r="A258" s="7" t="s">
        <v>250</v>
      </c>
      <c r="B258" s="21" t="s">
        <v>177</v>
      </c>
      <c r="C258" s="4">
        <v>18223620000</v>
      </c>
      <c r="D258" s="4">
        <v>18094975000</v>
      </c>
      <c r="E258" s="4">
        <v>14985695000</v>
      </c>
      <c r="F258" s="4">
        <v>4130345000</v>
      </c>
      <c r="G258" s="4">
        <v>2972480000</v>
      </c>
      <c r="H258" s="4">
        <v>1910000000</v>
      </c>
    </row>
    <row r="259" spans="1:8" x14ac:dyDescent="0.2">
      <c r="B259" s="21" t="s">
        <v>162</v>
      </c>
      <c r="C259" s="1495" t="s">
        <v>27</v>
      </c>
      <c r="D259" s="1495" t="s">
        <v>171</v>
      </c>
      <c r="E259" s="1495" t="s">
        <v>276</v>
      </c>
      <c r="F259" s="1495" t="s">
        <v>74</v>
      </c>
    </row>
    <row r="260" spans="1:8" x14ac:dyDescent="0.2">
      <c r="B260" s="21" t="s">
        <v>161</v>
      </c>
      <c r="C260" s="1495" t="s">
        <v>27</v>
      </c>
      <c r="D260" s="1495" t="s">
        <v>171</v>
      </c>
      <c r="E260" s="1495" t="s">
        <v>276</v>
      </c>
      <c r="F260" s="1495" t="s">
        <v>74</v>
      </c>
    </row>
    <row r="261" spans="1:8" x14ac:dyDescent="0.2">
      <c r="B261" s="21" t="s">
        <v>160</v>
      </c>
      <c r="C261" s="1495" t="s">
        <v>27</v>
      </c>
      <c r="D261" s="1495" t="s">
        <v>171</v>
      </c>
      <c r="E261" s="1495" t="s">
        <v>276</v>
      </c>
      <c r="F261" s="1495" t="s">
        <v>74</v>
      </c>
    </row>
    <row r="262" spans="1:8" x14ac:dyDescent="0.2">
      <c r="B262" s="21" t="s">
        <v>157</v>
      </c>
      <c r="C262" s="1495" t="s">
        <v>27</v>
      </c>
      <c r="D262" s="1495" t="s">
        <v>171</v>
      </c>
      <c r="E262" s="1495" t="s">
        <v>276</v>
      </c>
      <c r="F262" s="1495" t="s">
        <v>74</v>
      </c>
    </row>
    <row r="263" spans="1:8" x14ac:dyDescent="0.2">
      <c r="A263" s="7" t="s">
        <v>249</v>
      </c>
      <c r="B263" s="21" t="s">
        <v>177</v>
      </c>
      <c r="C263" s="4">
        <v>8526215000</v>
      </c>
      <c r="D263" s="4">
        <v>7277510000</v>
      </c>
      <c r="E263" s="4">
        <v>2257227000</v>
      </c>
      <c r="F263" s="4">
        <v>2174420000</v>
      </c>
    </row>
    <row r="264" spans="1:8" x14ac:dyDescent="0.2">
      <c r="B264" s="21" t="s">
        <v>162</v>
      </c>
      <c r="D264" s="1495" t="s">
        <v>194</v>
      </c>
      <c r="E264" s="1495" t="s">
        <v>57</v>
      </c>
    </row>
    <row r="265" spans="1:8" x14ac:dyDescent="0.2">
      <c r="B265" s="21" t="s">
        <v>161</v>
      </c>
      <c r="D265" s="1495" t="s">
        <v>194</v>
      </c>
      <c r="E265" s="1495" t="s">
        <v>57</v>
      </c>
    </row>
    <row r="266" spans="1:8" x14ac:dyDescent="0.2">
      <c r="B266" s="21" t="s">
        <v>160</v>
      </c>
      <c r="D266" s="1495" t="s">
        <v>194</v>
      </c>
      <c r="E266" s="1495" t="s">
        <v>57</v>
      </c>
    </row>
    <row r="267" spans="1:8" x14ac:dyDescent="0.2">
      <c r="B267" s="21" t="s">
        <v>157</v>
      </c>
      <c r="C267" s="21" t="s">
        <v>8</v>
      </c>
      <c r="D267" s="1495" t="s">
        <v>194</v>
      </c>
      <c r="E267" s="1495" t="s">
        <v>57</v>
      </c>
    </row>
    <row r="268" spans="1:8" x14ac:dyDescent="0.2">
      <c r="A268" s="7" t="s">
        <v>248</v>
      </c>
      <c r="B268" s="21" t="s">
        <v>177</v>
      </c>
      <c r="C268" s="4">
        <v>17194295000</v>
      </c>
      <c r="D268" s="4">
        <v>13145840000</v>
      </c>
      <c r="E268" s="4">
        <v>10400000000</v>
      </c>
    </row>
    <row r="269" spans="1:8" x14ac:dyDescent="0.2">
      <c r="B269" s="21" t="s">
        <v>157</v>
      </c>
      <c r="C269" s="21" t="s">
        <v>18</v>
      </c>
      <c r="D269" s="21" t="s">
        <v>198</v>
      </c>
      <c r="E269" s="21" t="s">
        <v>74</v>
      </c>
    </row>
    <row r="270" spans="1:8" x14ac:dyDescent="0.2">
      <c r="A270" s="7" t="s">
        <v>247</v>
      </c>
      <c r="B270" s="21" t="s">
        <v>177</v>
      </c>
      <c r="C270" s="4">
        <v>33267092000</v>
      </c>
      <c r="D270" s="4">
        <v>3629750000</v>
      </c>
      <c r="E270" s="4">
        <v>931760000</v>
      </c>
    </row>
    <row r="271" spans="1:8" x14ac:dyDescent="0.2">
      <c r="B271" s="21" t="s">
        <v>162</v>
      </c>
      <c r="D271" s="1495" t="s">
        <v>37</v>
      </c>
    </row>
    <row r="272" spans="1:8" x14ac:dyDescent="0.2">
      <c r="B272" s="21" t="s">
        <v>161</v>
      </c>
      <c r="D272" s="1495" t="s">
        <v>37</v>
      </c>
    </row>
    <row r="273" spans="1:7" x14ac:dyDescent="0.2">
      <c r="B273" s="21" t="s">
        <v>160</v>
      </c>
      <c r="D273" s="1495" t="s">
        <v>37</v>
      </c>
    </row>
    <row r="274" spans="1:7" x14ac:dyDescent="0.2">
      <c r="B274" s="21" t="s">
        <v>157</v>
      </c>
      <c r="C274" s="21" t="s">
        <v>17</v>
      </c>
      <c r="D274" s="1495" t="s">
        <v>37</v>
      </c>
      <c r="E274" s="21" t="s">
        <v>198</v>
      </c>
      <c r="F274" s="21" t="s">
        <v>74</v>
      </c>
    </row>
    <row r="275" spans="1:7" x14ac:dyDescent="0.2">
      <c r="A275" s="7" t="s">
        <v>243</v>
      </c>
      <c r="B275" s="21" t="s">
        <v>177</v>
      </c>
      <c r="C275" s="4">
        <v>74101500000</v>
      </c>
      <c r="D275" s="4">
        <v>7282445000</v>
      </c>
      <c r="E275" s="4">
        <v>1161110000</v>
      </c>
      <c r="F275" s="4">
        <v>260695000</v>
      </c>
    </row>
    <row r="276" spans="1:7" x14ac:dyDescent="0.2">
      <c r="B276" s="21" t="s">
        <v>162</v>
      </c>
      <c r="C276" s="1495" t="s">
        <v>271</v>
      </c>
      <c r="E276" s="1495" t="s">
        <v>158</v>
      </c>
    </row>
    <row r="277" spans="1:7" x14ac:dyDescent="0.2">
      <c r="B277" s="21" t="s">
        <v>161</v>
      </c>
      <c r="C277" s="1495" t="s">
        <v>271</v>
      </c>
      <c r="E277" s="1495" t="s">
        <v>158</v>
      </c>
    </row>
    <row r="278" spans="1:7" x14ac:dyDescent="0.2">
      <c r="B278" s="21" t="s">
        <v>160</v>
      </c>
      <c r="C278" s="1495" t="s">
        <v>271</v>
      </c>
      <c r="E278" s="1495" t="s">
        <v>158</v>
      </c>
    </row>
    <row r="279" spans="1:7" x14ac:dyDescent="0.2">
      <c r="B279" s="21" t="s">
        <v>157</v>
      </c>
      <c r="C279" s="1495" t="s">
        <v>271</v>
      </c>
      <c r="D279" s="21" t="s">
        <v>30</v>
      </c>
      <c r="E279" s="1495" t="s">
        <v>158</v>
      </c>
    </row>
    <row r="280" spans="1:7" x14ac:dyDescent="0.2">
      <c r="A280" s="7" t="s">
        <v>242</v>
      </c>
      <c r="B280" s="21" t="s">
        <v>177</v>
      </c>
      <c r="C280" s="4">
        <v>82000000000</v>
      </c>
      <c r="D280" s="4">
        <v>40687681000</v>
      </c>
      <c r="E280" s="4">
        <v>3188090000</v>
      </c>
    </row>
    <row r="281" spans="1:7" x14ac:dyDescent="0.2">
      <c r="B281" s="21" t="s">
        <v>162</v>
      </c>
      <c r="C281" s="1495" t="s">
        <v>266</v>
      </c>
      <c r="D281" s="1495" t="s">
        <v>37</v>
      </c>
      <c r="E281" s="1495" t="s">
        <v>267</v>
      </c>
    </row>
    <row r="282" spans="1:7" x14ac:dyDescent="0.2">
      <c r="B282" s="21" t="s">
        <v>161</v>
      </c>
      <c r="C282" s="1495" t="s">
        <v>266</v>
      </c>
      <c r="D282" s="1495" t="s">
        <v>37</v>
      </c>
      <c r="E282" s="1495" t="s">
        <v>267</v>
      </c>
    </row>
    <row r="283" spans="1:7" x14ac:dyDescent="0.2">
      <c r="B283" s="21" t="s">
        <v>160</v>
      </c>
      <c r="C283" s="1495" t="s">
        <v>266</v>
      </c>
      <c r="D283" s="1495" t="s">
        <v>37</v>
      </c>
      <c r="E283" s="1495" t="s">
        <v>267</v>
      </c>
    </row>
    <row r="284" spans="1:7" x14ac:dyDescent="0.2">
      <c r="B284" s="21" t="s">
        <v>157</v>
      </c>
      <c r="C284" s="1495" t="s">
        <v>266</v>
      </c>
      <c r="D284" s="1495" t="s">
        <v>37</v>
      </c>
      <c r="E284" s="1495" t="s">
        <v>267</v>
      </c>
      <c r="F284" s="21" t="s">
        <v>194</v>
      </c>
      <c r="G284" s="21" t="s">
        <v>192</v>
      </c>
    </row>
    <row r="285" spans="1:7" x14ac:dyDescent="0.2">
      <c r="A285" s="7" t="s">
        <v>241</v>
      </c>
      <c r="B285" s="21" t="s">
        <v>177</v>
      </c>
      <c r="C285" s="4">
        <v>12849770000</v>
      </c>
      <c r="D285" s="4">
        <v>6371420000</v>
      </c>
      <c r="E285" s="4">
        <v>5564545000</v>
      </c>
      <c r="F285" s="4">
        <v>3640940000</v>
      </c>
      <c r="G285" s="4">
        <v>1056475000</v>
      </c>
    </row>
    <row r="286" spans="1:7" x14ac:dyDescent="0.2">
      <c r="B286" s="21" t="s">
        <v>162</v>
      </c>
      <c r="D286" s="1495" t="s">
        <v>84</v>
      </c>
      <c r="F286" s="1495" t="s">
        <v>286</v>
      </c>
    </row>
    <row r="287" spans="1:7" x14ac:dyDescent="0.2">
      <c r="B287" s="21" t="s">
        <v>161</v>
      </c>
      <c r="D287" s="1495" t="s">
        <v>84</v>
      </c>
      <c r="F287" s="1495" t="s">
        <v>286</v>
      </c>
    </row>
    <row r="288" spans="1:7" x14ac:dyDescent="0.2">
      <c r="B288" s="21" t="s">
        <v>160</v>
      </c>
      <c r="C288" s="1495" t="s">
        <v>13</v>
      </c>
      <c r="D288" s="1495" t="s">
        <v>84</v>
      </c>
      <c r="F288" s="1495" t="s">
        <v>286</v>
      </c>
    </row>
    <row r="289" spans="1:9" x14ac:dyDescent="0.2">
      <c r="B289" s="21" t="s">
        <v>157</v>
      </c>
      <c r="C289" s="1495" t="s">
        <v>13</v>
      </c>
      <c r="D289" s="1495" t="s">
        <v>84</v>
      </c>
      <c r="E289" s="21" t="s">
        <v>194</v>
      </c>
      <c r="F289" s="1495" t="s">
        <v>286</v>
      </c>
    </row>
    <row r="290" spans="1:9" x14ac:dyDescent="0.2">
      <c r="A290" s="7" t="s">
        <v>240</v>
      </c>
      <c r="B290" s="21" t="s">
        <v>177</v>
      </c>
      <c r="C290" s="4">
        <v>45533045000</v>
      </c>
      <c r="D290" s="4">
        <v>4224000000</v>
      </c>
      <c r="E290" s="4">
        <v>2467685000</v>
      </c>
      <c r="F290" s="4">
        <v>2099690000</v>
      </c>
    </row>
    <row r="291" spans="1:9" x14ac:dyDescent="0.2">
      <c r="B291" s="21" t="s">
        <v>162</v>
      </c>
      <c r="C291" s="1495" t="s">
        <v>36</v>
      </c>
      <c r="F291" s="1495" t="s">
        <v>58</v>
      </c>
      <c r="G291" s="1495" t="s">
        <v>176</v>
      </c>
      <c r="H291" s="1495" t="s">
        <v>67</v>
      </c>
      <c r="I291" s="1495" t="s">
        <v>261</v>
      </c>
    </row>
    <row r="292" spans="1:9" x14ac:dyDescent="0.2">
      <c r="B292" s="21" t="s">
        <v>161</v>
      </c>
      <c r="C292" s="1495" t="s">
        <v>36</v>
      </c>
      <c r="F292" s="1495" t="s">
        <v>58</v>
      </c>
      <c r="G292" s="1495" t="s">
        <v>176</v>
      </c>
      <c r="H292" s="1495" t="s">
        <v>67</v>
      </c>
      <c r="I292" s="1495" t="s">
        <v>261</v>
      </c>
    </row>
    <row r="293" spans="1:9" x14ac:dyDescent="0.2">
      <c r="B293" s="21" t="s">
        <v>160</v>
      </c>
      <c r="C293" s="1495" t="s">
        <v>36</v>
      </c>
      <c r="D293" s="1495" t="s">
        <v>59</v>
      </c>
      <c r="E293" s="1495" t="s">
        <v>40</v>
      </c>
      <c r="F293" s="1495" t="s">
        <v>58</v>
      </c>
      <c r="G293" s="1495" t="s">
        <v>176</v>
      </c>
      <c r="H293" s="1495" t="s">
        <v>67</v>
      </c>
      <c r="I293" s="1495" t="s">
        <v>261</v>
      </c>
    </row>
    <row r="294" spans="1:9" x14ac:dyDescent="0.2">
      <c r="B294" s="21" t="s">
        <v>157</v>
      </c>
      <c r="C294" s="1495" t="s">
        <v>36</v>
      </c>
      <c r="D294" s="1495" t="s">
        <v>59</v>
      </c>
      <c r="E294" s="1495" t="s">
        <v>40</v>
      </c>
      <c r="F294" s="1495" t="s">
        <v>58</v>
      </c>
      <c r="G294" s="1495" t="s">
        <v>176</v>
      </c>
      <c r="H294" s="1495" t="s">
        <v>67</v>
      </c>
      <c r="I294" s="1495" t="s">
        <v>261</v>
      </c>
    </row>
    <row r="295" spans="1:9" x14ac:dyDescent="0.2">
      <c r="A295" s="7" t="s">
        <v>239</v>
      </c>
      <c r="B295" s="21" t="s">
        <v>177</v>
      </c>
      <c r="C295" s="4">
        <v>170678160000</v>
      </c>
      <c r="D295" s="4">
        <v>134194415000</v>
      </c>
      <c r="E295" s="4">
        <v>130049660000</v>
      </c>
      <c r="F295" s="4">
        <v>103669225000</v>
      </c>
      <c r="G295" s="4">
        <v>76166320000</v>
      </c>
      <c r="H295" s="4">
        <v>25236370000</v>
      </c>
      <c r="I295" s="4">
        <v>10657270000</v>
      </c>
    </row>
    <row r="296" spans="1:9" x14ac:dyDescent="0.2">
      <c r="B296" s="21" t="s">
        <v>162</v>
      </c>
      <c r="C296" s="1495" t="s">
        <v>22</v>
      </c>
      <c r="D296" s="1495" t="s">
        <v>36</v>
      </c>
    </row>
    <row r="297" spans="1:9" x14ac:dyDescent="0.2">
      <c r="B297" s="21" t="s">
        <v>161</v>
      </c>
      <c r="C297" s="1495" t="s">
        <v>22</v>
      </c>
      <c r="D297" s="1495" t="s">
        <v>36</v>
      </c>
    </row>
    <row r="298" spans="1:9" x14ac:dyDescent="0.2">
      <c r="B298" s="21" t="s">
        <v>160</v>
      </c>
      <c r="C298" s="1495" t="s">
        <v>22</v>
      </c>
      <c r="D298" s="1495" t="s">
        <v>36</v>
      </c>
      <c r="E298" s="1495" t="s">
        <v>261</v>
      </c>
    </row>
    <row r="299" spans="1:9" x14ac:dyDescent="0.2">
      <c r="B299" s="21" t="s">
        <v>157</v>
      </c>
      <c r="C299" s="1495" t="s">
        <v>22</v>
      </c>
      <c r="D299" s="1495" t="s">
        <v>36</v>
      </c>
      <c r="E299" s="1495" t="s">
        <v>261</v>
      </c>
    </row>
    <row r="300" spans="1:9" x14ac:dyDescent="0.2">
      <c r="A300" s="7" t="s">
        <v>238</v>
      </c>
      <c r="B300" s="21" t="s">
        <v>177</v>
      </c>
      <c r="C300" s="4">
        <v>35961815000</v>
      </c>
      <c r="D300" s="4">
        <v>12972210000</v>
      </c>
      <c r="E300" s="4">
        <v>1941640000</v>
      </c>
    </row>
    <row r="301" spans="1:9" x14ac:dyDescent="0.2">
      <c r="B301" s="21" t="s">
        <v>162</v>
      </c>
      <c r="C301" s="1495" t="s">
        <v>86</v>
      </c>
      <c r="E301" s="1495" t="s">
        <v>276</v>
      </c>
    </row>
    <row r="302" spans="1:9" x14ac:dyDescent="0.2">
      <c r="B302" s="21" t="s">
        <v>161</v>
      </c>
      <c r="C302" s="1495" t="s">
        <v>86</v>
      </c>
      <c r="E302" s="1495" t="s">
        <v>276</v>
      </c>
    </row>
    <row r="303" spans="1:9" x14ac:dyDescent="0.2">
      <c r="B303" s="21" t="s">
        <v>160</v>
      </c>
      <c r="C303" s="1495" t="s">
        <v>86</v>
      </c>
      <c r="E303" s="1495" t="s">
        <v>276</v>
      </c>
    </row>
    <row r="304" spans="1:9" x14ac:dyDescent="0.2">
      <c r="B304" s="21" t="s">
        <v>157</v>
      </c>
      <c r="C304" s="1495" t="s">
        <v>86</v>
      </c>
      <c r="D304" s="21" t="s">
        <v>39</v>
      </c>
      <c r="E304" s="1495" t="s">
        <v>276</v>
      </c>
    </row>
    <row r="305" spans="1:7" x14ac:dyDescent="0.2">
      <c r="A305" s="7" t="s">
        <v>237</v>
      </c>
      <c r="B305" s="21" t="s">
        <v>177</v>
      </c>
      <c r="C305" s="4">
        <v>44295690000</v>
      </c>
      <c r="D305" s="4">
        <v>4870167000</v>
      </c>
      <c r="E305" s="4">
        <v>1951939000</v>
      </c>
    </row>
    <row r="306" spans="1:7" x14ac:dyDescent="0.2">
      <c r="B306" s="21" t="s">
        <v>162</v>
      </c>
      <c r="C306" s="1495" t="s">
        <v>86</v>
      </c>
      <c r="D306" s="1495" t="s">
        <v>20</v>
      </c>
    </row>
    <row r="307" spans="1:7" x14ac:dyDescent="0.2">
      <c r="B307" s="21" t="s">
        <v>161</v>
      </c>
      <c r="C307" s="1495" t="s">
        <v>86</v>
      </c>
      <c r="D307" s="1495" t="s">
        <v>20</v>
      </c>
    </row>
    <row r="308" spans="1:7" x14ac:dyDescent="0.2">
      <c r="B308" s="21" t="s">
        <v>160</v>
      </c>
      <c r="C308" s="1495" t="s">
        <v>86</v>
      </c>
      <c r="D308" s="1495" t="s">
        <v>20</v>
      </c>
    </row>
    <row r="309" spans="1:7" x14ac:dyDescent="0.2">
      <c r="B309" s="21" t="s">
        <v>157</v>
      </c>
      <c r="C309" s="1495" t="s">
        <v>86</v>
      </c>
      <c r="D309" s="1495" t="s">
        <v>20</v>
      </c>
      <c r="E309" s="21" t="s">
        <v>91</v>
      </c>
      <c r="F309" s="21" t="s">
        <v>282</v>
      </c>
      <c r="G309" s="21" t="s">
        <v>66</v>
      </c>
    </row>
    <row r="310" spans="1:7" x14ac:dyDescent="0.2">
      <c r="A310" s="7" t="s">
        <v>236</v>
      </c>
      <c r="B310" s="21" t="s">
        <v>177</v>
      </c>
      <c r="C310" s="4">
        <v>39353415000</v>
      </c>
      <c r="D310" s="4">
        <v>27959180000</v>
      </c>
      <c r="E310" s="4">
        <v>4867815000</v>
      </c>
      <c r="F310" s="4">
        <v>2415000000</v>
      </c>
      <c r="G310" s="4">
        <v>1180020000</v>
      </c>
    </row>
    <row r="311" spans="1:7" x14ac:dyDescent="0.2">
      <c r="B311" s="21" t="s">
        <v>162</v>
      </c>
      <c r="C311" s="1495" t="s">
        <v>20</v>
      </c>
    </row>
    <row r="312" spans="1:7" x14ac:dyDescent="0.2">
      <c r="B312" s="21" t="s">
        <v>161</v>
      </c>
      <c r="C312" s="1495" t="s">
        <v>20</v>
      </c>
    </row>
    <row r="313" spans="1:7" x14ac:dyDescent="0.2">
      <c r="B313" s="21" t="s">
        <v>160</v>
      </c>
      <c r="C313" s="1495" t="s">
        <v>20</v>
      </c>
    </row>
    <row r="314" spans="1:7" x14ac:dyDescent="0.2">
      <c r="B314" s="21" t="s">
        <v>157</v>
      </c>
      <c r="C314" s="1495" t="s">
        <v>20</v>
      </c>
      <c r="D314" s="21" t="s">
        <v>186</v>
      </c>
    </row>
    <row r="315" spans="1:7" x14ac:dyDescent="0.2">
      <c r="A315" s="7" t="s">
        <v>235</v>
      </c>
      <c r="B315" s="21" t="s">
        <v>177</v>
      </c>
      <c r="C315" s="4">
        <v>22085200000</v>
      </c>
      <c r="D315" s="4">
        <v>5368785000</v>
      </c>
    </row>
    <row r="316" spans="1:7" x14ac:dyDescent="0.2">
      <c r="B316" s="21" t="s">
        <v>157</v>
      </c>
      <c r="C316" s="21" t="s">
        <v>20</v>
      </c>
    </row>
    <row r="317" spans="1:7" x14ac:dyDescent="0.2">
      <c r="A317" s="7" t="s">
        <v>234</v>
      </c>
      <c r="B317" s="21" t="s">
        <v>177</v>
      </c>
      <c r="C317" s="4">
        <v>10913640000</v>
      </c>
    </row>
    <row r="318" spans="1:7" x14ac:dyDescent="0.2">
      <c r="B318" s="21" t="s">
        <v>162</v>
      </c>
      <c r="C318" s="1495" t="s">
        <v>28</v>
      </c>
      <c r="D318" s="1495" t="s">
        <v>279</v>
      </c>
      <c r="F318" s="1495" t="s">
        <v>263</v>
      </c>
    </row>
    <row r="319" spans="1:7" x14ac:dyDescent="0.2">
      <c r="B319" s="21" t="s">
        <v>161</v>
      </c>
      <c r="C319" s="1495" t="s">
        <v>28</v>
      </c>
      <c r="D319" s="1495" t="s">
        <v>279</v>
      </c>
      <c r="F319" s="1495" t="s">
        <v>263</v>
      </c>
    </row>
    <row r="320" spans="1:7" x14ac:dyDescent="0.2">
      <c r="B320" s="21" t="s">
        <v>160</v>
      </c>
      <c r="C320" s="1495" t="s">
        <v>28</v>
      </c>
      <c r="D320" s="1495" t="s">
        <v>279</v>
      </c>
      <c r="F320" s="1495" t="s">
        <v>263</v>
      </c>
    </row>
    <row r="321" spans="1:21" x14ac:dyDescent="0.2">
      <c r="B321" s="21" t="s">
        <v>157</v>
      </c>
      <c r="C321" s="1495" t="s">
        <v>28</v>
      </c>
      <c r="D321" s="1495" t="s">
        <v>279</v>
      </c>
      <c r="E321" s="21" t="s">
        <v>20</v>
      </c>
      <c r="F321" s="1495" t="s">
        <v>263</v>
      </c>
    </row>
    <row r="322" spans="1:21" x14ac:dyDescent="0.2">
      <c r="A322" s="7" t="s">
        <v>233</v>
      </c>
      <c r="B322" s="21" t="s">
        <v>177</v>
      </c>
      <c r="C322" s="4">
        <v>12125710000</v>
      </c>
      <c r="D322" s="4">
        <v>10201160000</v>
      </c>
      <c r="E322" s="4">
        <v>9947190000</v>
      </c>
      <c r="F322" s="4">
        <v>8456700000</v>
      </c>
    </row>
    <row r="323" spans="1:21" x14ac:dyDescent="0.2">
      <c r="B323" s="21" t="s">
        <v>162</v>
      </c>
      <c r="I323" s="1495" t="s">
        <v>279</v>
      </c>
    </row>
    <row r="324" spans="1:21" x14ac:dyDescent="0.2">
      <c r="B324" s="21" t="s">
        <v>161</v>
      </c>
      <c r="I324" s="1495" t="s">
        <v>279</v>
      </c>
    </row>
    <row r="325" spans="1:21" x14ac:dyDescent="0.2">
      <c r="B325" s="21" t="s">
        <v>160</v>
      </c>
      <c r="E325" s="1495" t="s">
        <v>67</v>
      </c>
      <c r="I325" s="1495" t="s">
        <v>279</v>
      </c>
    </row>
    <row r="326" spans="1:21" x14ac:dyDescent="0.2">
      <c r="B326" s="21" t="s">
        <v>157</v>
      </c>
      <c r="C326" s="21" t="s">
        <v>163</v>
      </c>
      <c r="D326" s="21" t="s">
        <v>18</v>
      </c>
      <c r="E326" s="1495" t="s">
        <v>67</v>
      </c>
      <c r="F326" s="21" t="s">
        <v>8</v>
      </c>
      <c r="G326" s="21" t="s">
        <v>20</v>
      </c>
      <c r="H326" s="21" t="s">
        <v>28</v>
      </c>
      <c r="I326" s="1495" t="s">
        <v>279</v>
      </c>
    </row>
    <row r="327" spans="1:21" x14ac:dyDescent="0.2">
      <c r="A327" s="7" t="s">
        <v>232</v>
      </c>
      <c r="B327" s="21" t="s">
        <v>177</v>
      </c>
      <c r="C327" s="4">
        <v>38452090000</v>
      </c>
      <c r="D327" s="4">
        <v>31414635000</v>
      </c>
      <c r="E327" s="4">
        <v>14411560000</v>
      </c>
      <c r="F327" s="4">
        <v>13449575000</v>
      </c>
      <c r="G327" s="4">
        <v>9666810000</v>
      </c>
      <c r="H327" s="4">
        <v>9604860000</v>
      </c>
      <c r="I327" s="4">
        <v>8760630000</v>
      </c>
    </row>
    <row r="328" spans="1:21" x14ac:dyDescent="0.2">
      <c r="B328" s="21" t="s">
        <v>162</v>
      </c>
      <c r="D328" s="1495" t="s">
        <v>263</v>
      </c>
    </row>
    <row r="329" spans="1:21" x14ac:dyDescent="0.2">
      <c r="B329" s="21" t="s">
        <v>161</v>
      </c>
      <c r="D329" s="1495" t="s">
        <v>263</v>
      </c>
    </row>
    <row r="330" spans="1:21" x14ac:dyDescent="0.2">
      <c r="B330" s="21" t="s">
        <v>160</v>
      </c>
      <c r="D330" s="1495" t="s">
        <v>263</v>
      </c>
    </row>
    <row r="331" spans="1:21" x14ac:dyDescent="0.2">
      <c r="B331" s="21" t="s">
        <v>157</v>
      </c>
      <c r="C331" s="21" t="s">
        <v>20</v>
      </c>
      <c r="D331" s="1495" t="s">
        <v>263</v>
      </c>
    </row>
    <row r="332" spans="1:21" x14ac:dyDescent="0.2">
      <c r="A332" s="7" t="s">
        <v>231</v>
      </c>
      <c r="B332" s="21" t="s">
        <v>177</v>
      </c>
      <c r="C332" s="4">
        <v>7101370000</v>
      </c>
      <c r="D332" s="4">
        <v>4014890000</v>
      </c>
    </row>
    <row r="333" spans="1:21" x14ac:dyDescent="0.2">
      <c r="B333" s="21" t="s">
        <v>162</v>
      </c>
      <c r="C333" s="1495" t="s">
        <v>15</v>
      </c>
      <c r="F333" s="1495" t="s">
        <v>12</v>
      </c>
      <c r="I333" s="1495" t="s">
        <v>64</v>
      </c>
      <c r="K333" s="1495" t="s">
        <v>212</v>
      </c>
      <c r="L333" s="1495" t="s">
        <v>176</v>
      </c>
      <c r="P333" s="1495" t="s">
        <v>68</v>
      </c>
      <c r="Q333" s="1495" t="s">
        <v>279</v>
      </c>
      <c r="T333" s="1495" t="s">
        <v>27</v>
      </c>
      <c r="U333" s="1495" t="s">
        <v>263</v>
      </c>
    </row>
    <row r="334" spans="1:21" x14ac:dyDescent="0.2">
      <c r="B334" s="21" t="s">
        <v>161</v>
      </c>
      <c r="C334" s="1495" t="s">
        <v>15</v>
      </c>
      <c r="F334" s="1495" t="s">
        <v>12</v>
      </c>
      <c r="I334" s="1495" t="s">
        <v>64</v>
      </c>
      <c r="K334" s="1495" t="s">
        <v>212</v>
      </c>
      <c r="L334" s="1495" t="s">
        <v>176</v>
      </c>
      <c r="P334" s="1495" t="s">
        <v>68</v>
      </c>
      <c r="Q334" s="1495" t="s">
        <v>279</v>
      </c>
      <c r="T334" s="1495" t="s">
        <v>27</v>
      </c>
      <c r="U334" s="1495" t="s">
        <v>263</v>
      </c>
    </row>
    <row r="335" spans="1:21" x14ac:dyDescent="0.2">
      <c r="B335" s="21" t="s">
        <v>160</v>
      </c>
      <c r="C335" s="1495" t="s">
        <v>15</v>
      </c>
      <c r="D335" s="1495" t="s">
        <v>33</v>
      </c>
      <c r="F335" s="1495" t="s">
        <v>12</v>
      </c>
      <c r="H335" s="1495" t="s">
        <v>59</v>
      </c>
      <c r="I335" s="1495" t="s">
        <v>64</v>
      </c>
      <c r="K335" s="1495" t="s">
        <v>212</v>
      </c>
      <c r="L335" s="1495" t="s">
        <v>176</v>
      </c>
      <c r="M335" s="1495" t="s">
        <v>65</v>
      </c>
      <c r="O335" s="1495" t="s">
        <v>71</v>
      </c>
      <c r="P335" s="1495" t="s">
        <v>68</v>
      </c>
      <c r="Q335" s="1495" t="s">
        <v>279</v>
      </c>
      <c r="S335" s="1495" t="s">
        <v>67</v>
      </c>
      <c r="T335" s="1495" t="s">
        <v>27</v>
      </c>
      <c r="U335" s="1495" t="s">
        <v>263</v>
      </c>
    </row>
    <row r="336" spans="1:21" x14ac:dyDescent="0.2">
      <c r="B336" s="21" t="s">
        <v>157</v>
      </c>
      <c r="C336" s="1495" t="s">
        <v>15</v>
      </c>
      <c r="D336" s="1495" t="s">
        <v>33</v>
      </c>
      <c r="E336" s="21" t="s">
        <v>32</v>
      </c>
      <c r="F336" s="1495" t="s">
        <v>12</v>
      </c>
      <c r="G336" s="21" t="s">
        <v>21</v>
      </c>
      <c r="H336" s="1495" t="s">
        <v>59</v>
      </c>
      <c r="I336" s="1495" t="s">
        <v>64</v>
      </c>
      <c r="J336" s="21" t="s">
        <v>18</v>
      </c>
      <c r="K336" s="1495" t="s">
        <v>212</v>
      </c>
      <c r="L336" s="1495" t="s">
        <v>176</v>
      </c>
      <c r="M336" s="1495" t="s">
        <v>65</v>
      </c>
      <c r="N336" s="21" t="s">
        <v>183</v>
      </c>
      <c r="O336" s="1495" t="s">
        <v>71</v>
      </c>
      <c r="P336" s="1495" t="s">
        <v>68</v>
      </c>
      <c r="Q336" s="1495" t="s">
        <v>279</v>
      </c>
      <c r="R336" s="21" t="s">
        <v>20</v>
      </c>
      <c r="S336" s="1495" t="s">
        <v>67</v>
      </c>
      <c r="T336" s="1495" t="s">
        <v>27</v>
      </c>
      <c r="U336" s="1495" t="s">
        <v>263</v>
      </c>
    </row>
    <row r="337" spans="1:21" x14ac:dyDescent="0.2">
      <c r="A337" s="7" t="s">
        <v>230</v>
      </c>
      <c r="B337" s="21" t="s">
        <v>177</v>
      </c>
      <c r="C337" s="4">
        <v>514517373000</v>
      </c>
      <c r="D337" s="4">
        <v>76186619000</v>
      </c>
      <c r="E337" s="4">
        <v>60107970000</v>
      </c>
      <c r="F337" s="4">
        <v>42813310000</v>
      </c>
      <c r="G337" s="4">
        <v>39962240000</v>
      </c>
      <c r="H337" s="4">
        <v>37357290000</v>
      </c>
      <c r="I337" s="4">
        <v>30558690000</v>
      </c>
      <c r="J337" s="4">
        <v>24490635000</v>
      </c>
      <c r="K337" s="4">
        <v>24391660000</v>
      </c>
      <c r="L337" s="4">
        <v>21332610000</v>
      </c>
      <c r="M337" s="4">
        <v>17086465000</v>
      </c>
      <c r="N337" s="4">
        <v>16008455000</v>
      </c>
      <c r="O337" s="4">
        <v>14490880000</v>
      </c>
      <c r="P337" s="4">
        <v>13470940000</v>
      </c>
      <c r="Q337" s="4">
        <v>7909580000</v>
      </c>
      <c r="R337" s="4">
        <v>7021160000</v>
      </c>
      <c r="S337" s="4">
        <v>6791150000</v>
      </c>
      <c r="T337" s="4">
        <v>4767020000</v>
      </c>
      <c r="U337" s="4">
        <v>2650800000</v>
      </c>
    </row>
    <row r="338" spans="1:21" x14ac:dyDescent="0.2">
      <c r="B338" s="21" t="s">
        <v>162</v>
      </c>
      <c r="F338" s="1495" t="s">
        <v>29</v>
      </c>
      <c r="G338" s="1495" t="s">
        <v>295</v>
      </c>
      <c r="H338" s="1495" t="s">
        <v>58</v>
      </c>
      <c r="J338" s="1495" t="s">
        <v>95</v>
      </c>
      <c r="M338" s="1495" t="s">
        <v>176</v>
      </c>
      <c r="N338" s="1495" t="s">
        <v>303</v>
      </c>
      <c r="P338" s="1495" t="s">
        <v>202</v>
      </c>
    </row>
    <row r="339" spans="1:21" x14ac:dyDescent="0.2">
      <c r="B339" s="21" t="s">
        <v>161</v>
      </c>
      <c r="F339" s="1495" t="s">
        <v>29</v>
      </c>
      <c r="G339" s="1495" t="s">
        <v>295</v>
      </c>
      <c r="H339" s="1495" t="s">
        <v>58</v>
      </c>
      <c r="J339" s="1495" t="s">
        <v>95</v>
      </c>
      <c r="M339" s="1495" t="s">
        <v>176</v>
      </c>
      <c r="N339" s="1495" t="s">
        <v>303</v>
      </c>
      <c r="P339" s="1495" t="s">
        <v>202</v>
      </c>
    </row>
    <row r="340" spans="1:21" x14ac:dyDescent="0.2">
      <c r="B340" s="21" t="s">
        <v>160</v>
      </c>
      <c r="D340" s="1495" t="s">
        <v>33</v>
      </c>
      <c r="F340" s="1495" t="s">
        <v>29</v>
      </c>
      <c r="G340" s="1495" t="s">
        <v>295</v>
      </c>
      <c r="H340" s="1495" t="s">
        <v>58</v>
      </c>
      <c r="I340" s="1495" t="s">
        <v>34</v>
      </c>
      <c r="J340" s="1495" t="s">
        <v>95</v>
      </c>
      <c r="M340" s="1495" t="s">
        <v>176</v>
      </c>
      <c r="N340" s="1495" t="s">
        <v>303</v>
      </c>
      <c r="O340" s="1495" t="s">
        <v>6</v>
      </c>
      <c r="P340" s="1495" t="s">
        <v>202</v>
      </c>
    </row>
    <row r="341" spans="1:21" x14ac:dyDescent="0.2">
      <c r="B341" s="21" t="s">
        <v>157</v>
      </c>
      <c r="C341" s="21" t="s">
        <v>17</v>
      </c>
      <c r="D341" s="1495" t="s">
        <v>33</v>
      </c>
      <c r="E341" s="21" t="s">
        <v>32</v>
      </c>
      <c r="F341" s="1495" t="s">
        <v>29</v>
      </c>
      <c r="G341" s="1495" t="s">
        <v>295</v>
      </c>
      <c r="H341" s="1495" t="s">
        <v>58</v>
      </c>
      <c r="I341" s="1495" t="s">
        <v>34</v>
      </c>
      <c r="J341" s="1495" t="s">
        <v>95</v>
      </c>
      <c r="K341" s="21" t="s">
        <v>70</v>
      </c>
      <c r="L341" s="21" t="s">
        <v>18</v>
      </c>
      <c r="M341" s="1495" t="s">
        <v>176</v>
      </c>
      <c r="N341" s="1495" t="s">
        <v>303</v>
      </c>
      <c r="O341" s="1495" t="s">
        <v>6</v>
      </c>
      <c r="P341" s="1495" t="s">
        <v>202</v>
      </c>
    </row>
    <row r="342" spans="1:21" x14ac:dyDescent="0.2">
      <c r="A342" s="7" t="s">
        <v>229</v>
      </c>
      <c r="B342" s="21" t="s">
        <v>177</v>
      </c>
      <c r="C342" s="4">
        <v>66226775000</v>
      </c>
      <c r="D342" s="4">
        <v>65480970000</v>
      </c>
      <c r="E342" s="4">
        <v>50855045000</v>
      </c>
      <c r="F342" s="4">
        <v>30838530000</v>
      </c>
      <c r="G342" s="4">
        <v>28462500000</v>
      </c>
      <c r="H342" s="4">
        <v>26533700000</v>
      </c>
      <c r="I342" s="4">
        <v>24761560000</v>
      </c>
      <c r="J342" s="4">
        <v>24209250000</v>
      </c>
      <c r="K342" s="4">
        <v>19611415000</v>
      </c>
      <c r="L342" s="4">
        <v>19170775000</v>
      </c>
      <c r="M342" s="4">
        <v>16444650000</v>
      </c>
      <c r="N342" s="4">
        <v>9483291000</v>
      </c>
      <c r="O342" s="4">
        <v>8121460000</v>
      </c>
      <c r="P342" s="4">
        <v>6130000000</v>
      </c>
    </row>
    <row r="343" spans="1:21" x14ac:dyDescent="0.2">
      <c r="B343" s="21" t="s">
        <v>157</v>
      </c>
      <c r="C343" s="21" t="s">
        <v>17</v>
      </c>
    </row>
    <row r="344" spans="1:21" x14ac:dyDescent="0.2">
      <c r="A344" s="7" t="s">
        <v>228</v>
      </c>
      <c r="B344" s="21" t="s">
        <v>177</v>
      </c>
      <c r="C344" s="4">
        <v>37869090000</v>
      </c>
    </row>
    <row r="345" spans="1:21" x14ac:dyDescent="0.2">
      <c r="B345" s="21" t="s">
        <v>162</v>
      </c>
      <c r="C345" s="1495" t="s">
        <v>303</v>
      </c>
    </row>
    <row r="346" spans="1:21" x14ac:dyDescent="0.2">
      <c r="B346" s="21" t="s">
        <v>161</v>
      </c>
      <c r="C346" s="1495" t="s">
        <v>303</v>
      </c>
    </row>
    <row r="347" spans="1:21" x14ac:dyDescent="0.2">
      <c r="B347" s="21" t="s">
        <v>160</v>
      </c>
      <c r="C347" s="1495" t="s">
        <v>303</v>
      </c>
    </row>
    <row r="348" spans="1:21" x14ac:dyDescent="0.2">
      <c r="B348" s="21" t="s">
        <v>157</v>
      </c>
      <c r="C348" s="1495" t="s">
        <v>303</v>
      </c>
    </row>
    <row r="349" spans="1:21" x14ac:dyDescent="0.2">
      <c r="A349" s="7" t="s">
        <v>227</v>
      </c>
      <c r="B349" s="21" t="s">
        <v>177</v>
      </c>
      <c r="C349" s="4">
        <v>5663798000</v>
      </c>
    </row>
    <row r="350" spans="1:21" x14ac:dyDescent="0.2">
      <c r="B350" s="21" t="s">
        <v>162</v>
      </c>
      <c r="C350" s="1495" t="s">
        <v>38</v>
      </c>
    </row>
    <row r="351" spans="1:21" x14ac:dyDescent="0.2">
      <c r="B351" s="21" t="s">
        <v>161</v>
      </c>
      <c r="C351" s="1495" t="s">
        <v>38</v>
      </c>
    </row>
    <row r="352" spans="1:21" x14ac:dyDescent="0.2">
      <c r="B352" s="21" t="s">
        <v>160</v>
      </c>
      <c r="C352" s="1495" t="s">
        <v>38</v>
      </c>
    </row>
    <row r="353" spans="1:9" x14ac:dyDescent="0.2">
      <c r="B353" s="21" t="s">
        <v>157</v>
      </c>
      <c r="C353" s="1495" t="s">
        <v>38</v>
      </c>
      <c r="D353" s="21" t="s">
        <v>70</v>
      </c>
    </row>
    <row r="354" spans="1:9" x14ac:dyDescent="0.2">
      <c r="A354" s="7" t="s">
        <v>226</v>
      </c>
      <c r="B354" s="21" t="s">
        <v>177</v>
      </c>
      <c r="C354" s="4">
        <v>57129410000</v>
      </c>
      <c r="D354" s="4">
        <v>18941550000</v>
      </c>
    </row>
    <row r="355" spans="1:9" x14ac:dyDescent="0.2">
      <c r="B355" s="21" t="s">
        <v>162</v>
      </c>
      <c r="C355" s="1495" t="s">
        <v>303</v>
      </c>
    </row>
    <row r="356" spans="1:9" x14ac:dyDescent="0.2">
      <c r="B356" s="21" t="s">
        <v>161</v>
      </c>
      <c r="C356" s="1495" t="s">
        <v>303</v>
      </c>
    </row>
    <row r="357" spans="1:9" x14ac:dyDescent="0.2">
      <c r="B357" s="21" t="s">
        <v>160</v>
      </c>
      <c r="C357" s="1495" t="s">
        <v>303</v>
      </c>
    </row>
    <row r="358" spans="1:9" x14ac:dyDescent="0.2">
      <c r="B358" s="21" t="s">
        <v>157</v>
      </c>
      <c r="C358" s="1495" t="s">
        <v>303</v>
      </c>
    </row>
    <row r="359" spans="1:9" x14ac:dyDescent="0.2">
      <c r="A359" s="7" t="s">
        <v>225</v>
      </c>
      <c r="B359" s="21" t="s">
        <v>177</v>
      </c>
      <c r="C359" s="4">
        <v>5595092000</v>
      </c>
    </row>
    <row r="360" spans="1:9" x14ac:dyDescent="0.2">
      <c r="B360" s="21" t="s">
        <v>162</v>
      </c>
      <c r="C360" s="1495" t="s">
        <v>97</v>
      </c>
    </row>
    <row r="361" spans="1:9" x14ac:dyDescent="0.2">
      <c r="B361" s="21" t="s">
        <v>161</v>
      </c>
      <c r="C361" s="1495" t="s">
        <v>97</v>
      </c>
    </row>
    <row r="362" spans="1:9" x14ac:dyDescent="0.2">
      <c r="B362" s="21" t="s">
        <v>160</v>
      </c>
      <c r="C362" s="1495" t="s">
        <v>97</v>
      </c>
    </row>
    <row r="363" spans="1:9" x14ac:dyDescent="0.2">
      <c r="B363" s="21" t="s">
        <v>157</v>
      </c>
      <c r="C363" s="1495" t="s">
        <v>97</v>
      </c>
    </row>
    <row r="364" spans="1:9" x14ac:dyDescent="0.2">
      <c r="A364" s="7" t="s">
        <v>224</v>
      </c>
      <c r="B364" s="21" t="s">
        <v>177</v>
      </c>
      <c r="C364" s="4">
        <v>12444150000</v>
      </c>
    </row>
    <row r="365" spans="1:9" x14ac:dyDescent="0.2">
      <c r="B365" s="21" t="s">
        <v>162</v>
      </c>
      <c r="D365" s="1495" t="s">
        <v>79</v>
      </c>
      <c r="F365" s="1495" t="s">
        <v>42</v>
      </c>
      <c r="G365" s="1495" t="s">
        <v>38</v>
      </c>
    </row>
    <row r="366" spans="1:9" x14ac:dyDescent="0.2">
      <c r="B366" s="21" t="s">
        <v>161</v>
      </c>
      <c r="D366" s="1495" t="s">
        <v>79</v>
      </c>
      <c r="F366" s="1495" t="s">
        <v>42</v>
      </c>
      <c r="G366" s="1495" t="s">
        <v>38</v>
      </c>
    </row>
    <row r="367" spans="1:9" x14ac:dyDescent="0.2">
      <c r="B367" s="21" t="s">
        <v>160</v>
      </c>
      <c r="C367" s="1495" t="s">
        <v>35</v>
      </c>
      <c r="D367" s="1495" t="s">
        <v>79</v>
      </c>
      <c r="F367" s="1495" t="s">
        <v>42</v>
      </c>
      <c r="G367" s="1495" t="s">
        <v>38</v>
      </c>
    </row>
    <row r="368" spans="1:9" x14ac:dyDescent="0.2">
      <c r="B368" s="21" t="s">
        <v>157</v>
      </c>
      <c r="C368" s="1495" t="s">
        <v>35</v>
      </c>
      <c r="D368" s="1495" t="s">
        <v>79</v>
      </c>
      <c r="E368" s="21" t="s">
        <v>5</v>
      </c>
      <c r="F368" s="1495" t="s">
        <v>42</v>
      </c>
      <c r="G368" s="1495" t="s">
        <v>38</v>
      </c>
      <c r="H368" s="21" t="s">
        <v>17</v>
      </c>
      <c r="I368" s="21" t="s">
        <v>91</v>
      </c>
    </row>
    <row r="369" spans="1:16" x14ac:dyDescent="0.2">
      <c r="A369" s="7" t="s">
        <v>223</v>
      </c>
      <c r="B369" s="21" t="s">
        <v>177</v>
      </c>
      <c r="C369" s="4">
        <v>109641009000</v>
      </c>
      <c r="D369" s="4">
        <v>82102625000</v>
      </c>
      <c r="E369" s="4">
        <v>65988100000</v>
      </c>
      <c r="F369" s="4">
        <v>40505375000</v>
      </c>
      <c r="G369" s="4">
        <v>39750400000</v>
      </c>
      <c r="H369" s="4">
        <v>25885920000</v>
      </c>
      <c r="I369" s="4">
        <v>3284000000</v>
      </c>
    </row>
    <row r="370" spans="1:16" x14ac:dyDescent="0.2">
      <c r="B370" s="21" t="s">
        <v>162</v>
      </c>
      <c r="D370" s="1495" t="s">
        <v>79</v>
      </c>
      <c r="E370" s="1495" t="s">
        <v>64</v>
      </c>
      <c r="G370" s="1495" t="s">
        <v>12</v>
      </c>
      <c r="I370" s="1495" t="s">
        <v>180</v>
      </c>
      <c r="K370" s="1495" t="s">
        <v>212</v>
      </c>
      <c r="P370" s="1495" t="s">
        <v>312</v>
      </c>
    </row>
    <row r="371" spans="1:16" x14ac:dyDescent="0.2">
      <c r="B371" s="21" t="s">
        <v>161</v>
      </c>
      <c r="D371" s="1495" t="s">
        <v>79</v>
      </c>
      <c r="E371" s="1495" t="s">
        <v>64</v>
      </c>
      <c r="G371" s="1495" t="s">
        <v>12</v>
      </c>
      <c r="I371" s="1495" t="s">
        <v>180</v>
      </c>
      <c r="K371" s="1495" t="s">
        <v>212</v>
      </c>
      <c r="P371" s="1495" t="s">
        <v>312</v>
      </c>
    </row>
    <row r="372" spans="1:16" x14ac:dyDescent="0.2">
      <c r="B372" s="21" t="s">
        <v>160</v>
      </c>
      <c r="D372" s="1495" t="s">
        <v>79</v>
      </c>
      <c r="E372" s="1495" t="s">
        <v>64</v>
      </c>
      <c r="G372" s="1495" t="s">
        <v>12</v>
      </c>
      <c r="I372" s="1495" t="s">
        <v>180</v>
      </c>
      <c r="K372" s="1495" t="s">
        <v>212</v>
      </c>
      <c r="O372" s="1495" t="s">
        <v>6</v>
      </c>
      <c r="P372" s="1495" t="s">
        <v>312</v>
      </c>
    </row>
    <row r="373" spans="1:16" x14ac:dyDescent="0.2">
      <c r="B373" s="21" t="s">
        <v>157</v>
      </c>
      <c r="C373" s="21" t="s">
        <v>33</v>
      </c>
      <c r="D373" s="1495" t="s">
        <v>79</v>
      </c>
      <c r="E373" s="1495" t="s">
        <v>64</v>
      </c>
      <c r="F373" s="21" t="s">
        <v>59</v>
      </c>
      <c r="G373" s="1495" t="s">
        <v>12</v>
      </c>
      <c r="H373" s="21" t="s">
        <v>169</v>
      </c>
      <c r="I373" s="1495" t="s">
        <v>180</v>
      </c>
      <c r="J373" s="21" t="s">
        <v>58</v>
      </c>
      <c r="K373" s="1495" t="s">
        <v>212</v>
      </c>
      <c r="L373" s="21" t="s">
        <v>65</v>
      </c>
      <c r="M373" s="21" t="s">
        <v>34</v>
      </c>
      <c r="N373" s="21" t="s">
        <v>62</v>
      </c>
      <c r="O373" s="1495" t="s">
        <v>6</v>
      </c>
      <c r="P373" s="1495" t="s">
        <v>312</v>
      </c>
    </row>
    <row r="374" spans="1:16" x14ac:dyDescent="0.2">
      <c r="A374" s="7" t="s">
        <v>222</v>
      </c>
      <c r="B374" s="21" t="s">
        <v>177</v>
      </c>
      <c r="C374" s="4">
        <v>55534600000</v>
      </c>
      <c r="D374" s="4">
        <v>48265530000</v>
      </c>
      <c r="E374" s="4">
        <v>29913455000</v>
      </c>
      <c r="F374" s="4">
        <v>27186515000</v>
      </c>
      <c r="G374" s="4">
        <v>26877070000</v>
      </c>
      <c r="H374" s="4">
        <v>25514600000</v>
      </c>
      <c r="I374" s="4">
        <v>19530020000</v>
      </c>
      <c r="J374" s="4">
        <v>16788575000</v>
      </c>
      <c r="K374" s="4">
        <v>15154090000</v>
      </c>
      <c r="L374" s="4">
        <v>13787125000</v>
      </c>
      <c r="M374" s="4">
        <v>13734303000</v>
      </c>
      <c r="N374" s="4">
        <v>9854215000</v>
      </c>
      <c r="O374" s="4">
        <v>7072165000</v>
      </c>
      <c r="P374" s="4">
        <v>4065500000</v>
      </c>
    </row>
    <row r="375" spans="1:16" x14ac:dyDescent="0.2">
      <c r="B375" s="21" t="s">
        <v>162</v>
      </c>
      <c r="C375" s="1495" t="s">
        <v>7</v>
      </c>
      <c r="F375" s="1495" t="s">
        <v>158</v>
      </c>
    </row>
    <row r="376" spans="1:16" x14ac:dyDescent="0.2">
      <c r="B376" s="21" t="s">
        <v>161</v>
      </c>
      <c r="C376" s="1495" t="s">
        <v>7</v>
      </c>
      <c r="F376" s="1495" t="s">
        <v>158</v>
      </c>
    </row>
    <row r="377" spans="1:16" x14ac:dyDescent="0.2">
      <c r="B377" s="21" t="s">
        <v>160</v>
      </c>
      <c r="C377" s="1495" t="s">
        <v>7</v>
      </c>
      <c r="F377" s="1495" t="s">
        <v>158</v>
      </c>
    </row>
    <row r="378" spans="1:16" x14ac:dyDescent="0.2">
      <c r="B378" s="21" t="s">
        <v>157</v>
      </c>
      <c r="C378" s="1495" t="s">
        <v>7</v>
      </c>
      <c r="D378" s="21" t="s">
        <v>88</v>
      </c>
      <c r="E378" s="21" t="s">
        <v>271</v>
      </c>
      <c r="F378" s="1495" t="s">
        <v>158</v>
      </c>
    </row>
    <row r="379" spans="1:16" x14ac:dyDescent="0.2">
      <c r="A379" s="7" t="s">
        <v>221</v>
      </c>
      <c r="B379" s="21" t="s">
        <v>177</v>
      </c>
      <c r="C379" s="4">
        <v>15467000000</v>
      </c>
      <c r="D379" s="4">
        <v>6419190000</v>
      </c>
      <c r="E379" s="4">
        <v>4397565000</v>
      </c>
      <c r="F379" s="4">
        <v>887960000</v>
      </c>
    </row>
    <row r="380" spans="1:16" x14ac:dyDescent="0.2">
      <c r="B380" s="21" t="s">
        <v>157</v>
      </c>
      <c r="C380" s="21" t="s">
        <v>67</v>
      </c>
    </row>
    <row r="381" spans="1:16" x14ac:dyDescent="0.2">
      <c r="A381" s="7" t="s">
        <v>220</v>
      </c>
      <c r="B381" s="21" t="s">
        <v>177</v>
      </c>
      <c r="C381" s="4">
        <v>3541138000</v>
      </c>
    </row>
    <row r="382" spans="1:16" x14ac:dyDescent="0.2">
      <c r="B382" s="21" t="s">
        <v>162</v>
      </c>
      <c r="C382" s="1495" t="s">
        <v>86</v>
      </c>
      <c r="E382" s="1495" t="s">
        <v>74</v>
      </c>
    </row>
    <row r="383" spans="1:16" x14ac:dyDescent="0.2">
      <c r="B383" s="21" t="s">
        <v>161</v>
      </c>
      <c r="C383" s="1495" t="s">
        <v>86</v>
      </c>
      <c r="E383" s="1495" t="s">
        <v>74</v>
      </c>
    </row>
    <row r="384" spans="1:16" x14ac:dyDescent="0.2">
      <c r="B384" s="21" t="s">
        <v>160</v>
      </c>
      <c r="C384" s="1495" t="s">
        <v>86</v>
      </c>
      <c r="E384" s="1495" t="s">
        <v>74</v>
      </c>
    </row>
    <row r="385" spans="1:6" x14ac:dyDescent="0.2">
      <c r="B385" s="21" t="s">
        <v>157</v>
      </c>
      <c r="C385" s="1495" t="s">
        <v>86</v>
      </c>
      <c r="D385" s="21" t="s">
        <v>67</v>
      </c>
      <c r="E385" s="1495" t="s">
        <v>74</v>
      </c>
    </row>
    <row r="386" spans="1:6" x14ac:dyDescent="0.2">
      <c r="A386" s="7" t="s">
        <v>219</v>
      </c>
      <c r="B386" s="21" t="s">
        <v>177</v>
      </c>
      <c r="C386" s="4">
        <v>30149490000</v>
      </c>
      <c r="D386" s="4">
        <v>1352140000</v>
      </c>
      <c r="E386" s="4">
        <v>989045000</v>
      </c>
    </row>
    <row r="387" spans="1:6" x14ac:dyDescent="0.2">
      <c r="B387" s="21" t="s">
        <v>162</v>
      </c>
      <c r="F387" s="1495" t="s">
        <v>158</v>
      </c>
    </row>
    <row r="388" spans="1:6" x14ac:dyDescent="0.2">
      <c r="B388" s="21" t="s">
        <v>161</v>
      </c>
      <c r="F388" s="1495" t="s">
        <v>158</v>
      </c>
    </row>
    <row r="389" spans="1:6" x14ac:dyDescent="0.2">
      <c r="B389" s="21" t="s">
        <v>160</v>
      </c>
      <c r="F389" s="1495" t="s">
        <v>158</v>
      </c>
    </row>
    <row r="390" spans="1:6" x14ac:dyDescent="0.2">
      <c r="B390" s="21" t="s">
        <v>157</v>
      </c>
      <c r="C390" s="21" t="s">
        <v>15</v>
      </c>
      <c r="D390" s="21" t="s">
        <v>39</v>
      </c>
      <c r="E390" s="21" t="s">
        <v>180</v>
      </c>
      <c r="F390" s="1495" t="s">
        <v>158</v>
      </c>
    </row>
    <row r="391" spans="1:6" x14ac:dyDescent="0.2">
      <c r="A391" s="7" t="s">
        <v>218</v>
      </c>
      <c r="B391" s="21" t="s">
        <v>177</v>
      </c>
      <c r="C391" s="4">
        <v>220688565000</v>
      </c>
      <c r="D391" s="4">
        <v>4497500000</v>
      </c>
      <c r="E391" s="4">
        <v>3710225000</v>
      </c>
      <c r="F391" s="4">
        <v>692040000</v>
      </c>
    </row>
    <row r="392" spans="1:6" x14ac:dyDescent="0.2">
      <c r="B392" s="21" t="s">
        <v>162</v>
      </c>
      <c r="C392" s="1495" t="s">
        <v>23</v>
      </c>
      <c r="D392" s="1495" t="s">
        <v>37</v>
      </c>
    </row>
    <row r="393" spans="1:6" x14ac:dyDescent="0.2">
      <c r="B393" s="21" t="s">
        <v>161</v>
      </c>
      <c r="C393" s="1495" t="s">
        <v>23</v>
      </c>
      <c r="D393" s="1495" t="s">
        <v>37</v>
      </c>
    </row>
    <row r="394" spans="1:6" x14ac:dyDescent="0.2">
      <c r="B394" s="21" t="s">
        <v>160</v>
      </c>
      <c r="C394" s="1495" t="s">
        <v>23</v>
      </c>
      <c r="D394" s="1495" t="s">
        <v>37</v>
      </c>
    </row>
    <row r="395" spans="1:6" x14ac:dyDescent="0.2">
      <c r="B395" s="21" t="s">
        <v>157</v>
      </c>
      <c r="C395" s="1495" t="s">
        <v>23</v>
      </c>
      <c r="D395" s="1495" t="s">
        <v>37</v>
      </c>
      <c r="E395" s="21" t="s">
        <v>88</v>
      </c>
    </row>
    <row r="396" spans="1:6" x14ac:dyDescent="0.2">
      <c r="A396" s="7" t="s">
        <v>216</v>
      </c>
      <c r="B396" s="21" t="s">
        <v>177</v>
      </c>
      <c r="C396" s="4">
        <v>202055550000</v>
      </c>
      <c r="D396" s="4">
        <v>2546735000</v>
      </c>
      <c r="E396" s="4">
        <v>852155000</v>
      </c>
    </row>
    <row r="397" spans="1:6" x14ac:dyDescent="0.2">
      <c r="B397" s="21" t="s">
        <v>162</v>
      </c>
      <c r="C397" s="1495" t="s">
        <v>301</v>
      </c>
      <c r="D397" s="1495" t="s">
        <v>63</v>
      </c>
    </row>
    <row r="398" spans="1:6" x14ac:dyDescent="0.2">
      <c r="B398" s="21" t="s">
        <v>161</v>
      </c>
      <c r="C398" s="1495" t="s">
        <v>301</v>
      </c>
      <c r="D398" s="1495" t="s">
        <v>63</v>
      </c>
    </row>
    <row r="399" spans="1:6" x14ac:dyDescent="0.2">
      <c r="B399" s="21" t="s">
        <v>160</v>
      </c>
      <c r="C399" s="1495" t="s">
        <v>301</v>
      </c>
      <c r="D399" s="1495" t="s">
        <v>63</v>
      </c>
    </row>
    <row r="400" spans="1:6" x14ac:dyDescent="0.2">
      <c r="B400" s="21" t="s">
        <v>157</v>
      </c>
      <c r="C400" s="1495" t="s">
        <v>301</v>
      </c>
      <c r="D400" s="1495" t="s">
        <v>63</v>
      </c>
    </row>
    <row r="401" spans="1:22" x14ac:dyDescent="0.2">
      <c r="A401" s="7" t="s">
        <v>215</v>
      </c>
      <c r="B401" s="21" t="s">
        <v>177</v>
      </c>
      <c r="C401" s="4">
        <v>13411165000</v>
      </c>
      <c r="D401" s="4">
        <v>2444500000</v>
      </c>
    </row>
    <row r="402" spans="1:22" x14ac:dyDescent="0.2">
      <c r="B402" s="21" t="s">
        <v>162</v>
      </c>
      <c r="F402" s="1495" t="s">
        <v>301</v>
      </c>
    </row>
    <row r="403" spans="1:22" x14ac:dyDescent="0.2">
      <c r="B403" s="21" t="s">
        <v>161</v>
      </c>
      <c r="F403" s="1495" t="s">
        <v>301</v>
      </c>
    </row>
    <row r="404" spans="1:22" x14ac:dyDescent="0.2">
      <c r="B404" s="21" t="s">
        <v>160</v>
      </c>
      <c r="F404" s="1495" t="s">
        <v>301</v>
      </c>
    </row>
    <row r="405" spans="1:22" x14ac:dyDescent="0.2">
      <c r="B405" s="21" t="s">
        <v>157</v>
      </c>
      <c r="C405" s="21" t="s">
        <v>19</v>
      </c>
      <c r="D405" s="21" t="s">
        <v>5</v>
      </c>
      <c r="E405" s="21" t="s">
        <v>34</v>
      </c>
      <c r="F405" s="1495" t="s">
        <v>301</v>
      </c>
    </row>
    <row r="406" spans="1:22" x14ac:dyDescent="0.2">
      <c r="A406" s="7" t="s">
        <v>214</v>
      </c>
      <c r="B406" s="21" t="s">
        <v>177</v>
      </c>
      <c r="C406" s="4">
        <v>64990035000</v>
      </c>
      <c r="D406" s="4">
        <v>42479500000</v>
      </c>
      <c r="E406" s="4">
        <v>13119805000</v>
      </c>
      <c r="F406" s="4">
        <v>11460010000</v>
      </c>
    </row>
    <row r="407" spans="1:22" x14ac:dyDescent="0.2">
      <c r="B407" s="21" t="s">
        <v>162</v>
      </c>
      <c r="C407" s="1495" t="s">
        <v>99</v>
      </c>
      <c r="E407" s="1495" t="s">
        <v>36</v>
      </c>
      <c r="F407" s="1495" t="s">
        <v>69</v>
      </c>
      <c r="H407" s="1495" t="s">
        <v>84</v>
      </c>
    </row>
    <row r="408" spans="1:22" x14ac:dyDescent="0.2">
      <c r="B408" s="21" t="s">
        <v>161</v>
      </c>
      <c r="C408" s="1495" t="s">
        <v>99</v>
      </c>
      <c r="E408" s="1495" t="s">
        <v>36</v>
      </c>
      <c r="F408" s="1495" t="s">
        <v>69</v>
      </c>
      <c r="H408" s="1495" t="s">
        <v>84</v>
      </c>
    </row>
    <row r="409" spans="1:22" x14ac:dyDescent="0.2">
      <c r="B409" s="21" t="s">
        <v>160</v>
      </c>
      <c r="C409" s="1495" t="s">
        <v>99</v>
      </c>
      <c r="E409" s="1495" t="s">
        <v>36</v>
      </c>
      <c r="F409" s="1495" t="s">
        <v>69</v>
      </c>
      <c r="H409" s="1495" t="s">
        <v>84</v>
      </c>
    </row>
    <row r="410" spans="1:22" x14ac:dyDescent="0.2">
      <c r="B410" s="21" t="s">
        <v>157</v>
      </c>
      <c r="C410" s="1495" t="s">
        <v>99</v>
      </c>
      <c r="D410" s="21" t="s">
        <v>40</v>
      </c>
      <c r="E410" s="1495" t="s">
        <v>36</v>
      </c>
      <c r="F410" s="1495" t="s">
        <v>69</v>
      </c>
      <c r="G410" s="21" t="s">
        <v>87</v>
      </c>
      <c r="H410" s="1495" t="s">
        <v>84</v>
      </c>
    </row>
    <row r="411" spans="1:22" x14ac:dyDescent="0.2">
      <c r="A411" s="7" t="s">
        <v>213</v>
      </c>
      <c r="B411" s="21" t="s">
        <v>177</v>
      </c>
      <c r="C411" s="4">
        <v>57956545000</v>
      </c>
      <c r="D411" s="4">
        <v>20476960000</v>
      </c>
      <c r="E411" s="4">
        <v>12349900000</v>
      </c>
      <c r="F411" s="4">
        <v>7221020000</v>
      </c>
      <c r="G411" s="4">
        <v>6539940000</v>
      </c>
      <c r="H411" s="4">
        <v>3118500000</v>
      </c>
    </row>
    <row r="412" spans="1:22" x14ac:dyDescent="0.2">
      <c r="B412" s="21" t="s">
        <v>162</v>
      </c>
      <c r="C412" s="1495" t="s">
        <v>23</v>
      </c>
      <c r="D412" s="1495" t="s">
        <v>24</v>
      </c>
      <c r="E412" s="1495" t="s">
        <v>89</v>
      </c>
      <c r="J412" s="1495" t="s">
        <v>313</v>
      </c>
      <c r="L412" s="1495" t="s">
        <v>64</v>
      </c>
      <c r="N412" s="1495" t="s">
        <v>186</v>
      </c>
      <c r="O412" s="1495" t="s">
        <v>7</v>
      </c>
      <c r="Q412" s="1495" t="s">
        <v>212</v>
      </c>
      <c r="R412" s="1495" t="s">
        <v>95</v>
      </c>
      <c r="S412" s="1495" t="s">
        <v>279</v>
      </c>
      <c r="T412" s="1495" t="s">
        <v>9</v>
      </c>
      <c r="U412" s="1495" t="s">
        <v>86</v>
      </c>
    </row>
    <row r="413" spans="1:22" x14ac:dyDescent="0.2">
      <c r="B413" s="21" t="s">
        <v>161</v>
      </c>
      <c r="C413" s="1495" t="s">
        <v>23</v>
      </c>
      <c r="D413" s="1495" t="s">
        <v>24</v>
      </c>
      <c r="E413" s="1495" t="s">
        <v>89</v>
      </c>
      <c r="J413" s="1495" t="s">
        <v>313</v>
      </c>
      <c r="L413" s="1495" t="s">
        <v>64</v>
      </c>
      <c r="N413" s="1495" t="s">
        <v>186</v>
      </c>
      <c r="O413" s="1495" t="s">
        <v>7</v>
      </c>
      <c r="Q413" s="1495" t="s">
        <v>212</v>
      </c>
      <c r="R413" s="1495" t="s">
        <v>95</v>
      </c>
      <c r="S413" s="1495" t="s">
        <v>279</v>
      </c>
      <c r="T413" s="1495" t="s">
        <v>9</v>
      </c>
      <c r="U413" s="1495" t="s">
        <v>86</v>
      </c>
    </row>
    <row r="414" spans="1:22" x14ac:dyDescent="0.2">
      <c r="B414" s="21" t="s">
        <v>160</v>
      </c>
      <c r="C414" s="1495" t="s">
        <v>23</v>
      </c>
      <c r="D414" s="1495" t="s">
        <v>24</v>
      </c>
      <c r="E414" s="1495" t="s">
        <v>89</v>
      </c>
      <c r="J414" s="1495" t="s">
        <v>313</v>
      </c>
      <c r="L414" s="1495" t="s">
        <v>64</v>
      </c>
      <c r="N414" s="1495" t="s">
        <v>186</v>
      </c>
      <c r="O414" s="1495" t="s">
        <v>7</v>
      </c>
      <c r="Q414" s="1495" t="s">
        <v>212</v>
      </c>
      <c r="R414" s="1495" t="s">
        <v>95</v>
      </c>
      <c r="S414" s="1495" t="s">
        <v>279</v>
      </c>
      <c r="T414" s="1495" t="s">
        <v>9</v>
      </c>
      <c r="U414" s="1495" t="s">
        <v>86</v>
      </c>
    </row>
    <row r="415" spans="1:22" x14ac:dyDescent="0.2">
      <c r="B415" s="21" t="s">
        <v>157</v>
      </c>
      <c r="C415" s="1495" t="s">
        <v>23</v>
      </c>
      <c r="D415" s="1495" t="s">
        <v>24</v>
      </c>
      <c r="E415" s="1495" t="s">
        <v>89</v>
      </c>
      <c r="F415" s="21" t="s">
        <v>13</v>
      </c>
      <c r="G415" s="21" t="s">
        <v>15</v>
      </c>
      <c r="H415" s="21" t="s">
        <v>33</v>
      </c>
      <c r="I415" s="21" t="s">
        <v>32</v>
      </c>
      <c r="J415" s="1495" t="s">
        <v>313</v>
      </c>
      <c r="K415" s="21" t="s">
        <v>12</v>
      </c>
      <c r="L415" s="1495" t="s">
        <v>64</v>
      </c>
      <c r="M415" s="21" t="s">
        <v>59</v>
      </c>
      <c r="N415" s="1495" t="s">
        <v>186</v>
      </c>
      <c r="O415" s="1495" t="s">
        <v>7</v>
      </c>
      <c r="P415" s="21" t="s">
        <v>65</v>
      </c>
      <c r="Q415" s="1495" t="s">
        <v>212</v>
      </c>
      <c r="R415" s="1495" t="s">
        <v>95</v>
      </c>
      <c r="S415" s="1495" t="s">
        <v>279</v>
      </c>
      <c r="T415" s="1495" t="s">
        <v>9</v>
      </c>
      <c r="U415" s="1495" t="s">
        <v>86</v>
      </c>
      <c r="V415" s="21" t="s">
        <v>36</v>
      </c>
    </row>
    <row r="416" spans="1:22" x14ac:dyDescent="0.2">
      <c r="A416" s="7" t="s">
        <v>211</v>
      </c>
      <c r="B416" s="21" t="s">
        <v>177</v>
      </c>
      <c r="C416" s="4">
        <v>141018730000</v>
      </c>
      <c r="D416" s="4">
        <v>67907385000</v>
      </c>
      <c r="E416" s="4">
        <v>52235510000</v>
      </c>
      <c r="F416" s="4">
        <v>42898945000</v>
      </c>
      <c r="G416" s="4">
        <v>41092530000</v>
      </c>
      <c r="H416" s="4">
        <v>33390040000</v>
      </c>
      <c r="I416" s="4">
        <v>32240935000</v>
      </c>
      <c r="J416" s="4">
        <v>26351460000</v>
      </c>
      <c r="K416" s="4">
        <v>24747550000</v>
      </c>
      <c r="L416" s="4">
        <v>24445330000</v>
      </c>
      <c r="M416" s="4">
        <v>18158160000</v>
      </c>
      <c r="N416" s="4">
        <v>17220660000</v>
      </c>
      <c r="O416" s="4">
        <v>14144550000</v>
      </c>
      <c r="P416" s="4">
        <v>12942003000</v>
      </c>
      <c r="Q416" s="4">
        <v>12357850000</v>
      </c>
      <c r="R416" s="4">
        <v>10086720000</v>
      </c>
      <c r="S416" s="4">
        <v>7816930000</v>
      </c>
      <c r="T416" s="4">
        <v>7166120000</v>
      </c>
      <c r="U416" s="4">
        <v>5417960000</v>
      </c>
      <c r="V416" s="4">
        <v>1546240000</v>
      </c>
    </row>
    <row r="417" spans="1:18" x14ac:dyDescent="0.2">
      <c r="B417" s="21" t="s">
        <v>162</v>
      </c>
      <c r="C417" s="1495" t="s">
        <v>30</v>
      </c>
      <c r="D417" s="1495" t="s">
        <v>27</v>
      </c>
      <c r="E417" s="1495" t="s">
        <v>301</v>
      </c>
      <c r="F417" s="1495" t="s">
        <v>9</v>
      </c>
    </row>
    <row r="418" spans="1:18" x14ac:dyDescent="0.2">
      <c r="B418" s="21" t="s">
        <v>161</v>
      </c>
      <c r="C418" s="1495" t="s">
        <v>30</v>
      </c>
      <c r="D418" s="1495" t="s">
        <v>27</v>
      </c>
      <c r="E418" s="1495" t="s">
        <v>301</v>
      </c>
      <c r="F418" s="1495" t="s">
        <v>9</v>
      </c>
    </row>
    <row r="419" spans="1:18" x14ac:dyDescent="0.2">
      <c r="B419" s="21" t="s">
        <v>160</v>
      </c>
      <c r="C419" s="1495" t="s">
        <v>30</v>
      </c>
      <c r="D419" s="1495" t="s">
        <v>27</v>
      </c>
      <c r="E419" s="1495" t="s">
        <v>301</v>
      </c>
      <c r="F419" s="1495" t="s">
        <v>9</v>
      </c>
    </row>
    <row r="420" spans="1:18" x14ac:dyDescent="0.2">
      <c r="B420" s="21" t="s">
        <v>157</v>
      </c>
      <c r="C420" s="1495" t="s">
        <v>30</v>
      </c>
      <c r="D420" s="1495" t="s">
        <v>27</v>
      </c>
      <c r="E420" s="1495" t="s">
        <v>301</v>
      </c>
      <c r="F420" s="1495" t="s">
        <v>9</v>
      </c>
    </row>
    <row r="421" spans="1:18" x14ac:dyDescent="0.2">
      <c r="A421" s="7" t="s">
        <v>210</v>
      </c>
      <c r="B421" s="21" t="s">
        <v>177</v>
      </c>
      <c r="C421" s="4">
        <v>48322170000</v>
      </c>
      <c r="D421" s="4">
        <v>4349710000</v>
      </c>
      <c r="E421" s="4">
        <v>3448875000</v>
      </c>
      <c r="F421" s="4">
        <v>1951280000</v>
      </c>
    </row>
    <row r="422" spans="1:18" x14ac:dyDescent="0.2">
      <c r="B422" s="21" t="s">
        <v>162</v>
      </c>
      <c r="C422" s="1495" t="s">
        <v>93</v>
      </c>
    </row>
    <row r="423" spans="1:18" x14ac:dyDescent="0.2">
      <c r="B423" s="21" t="s">
        <v>161</v>
      </c>
      <c r="C423" s="1495" t="s">
        <v>93</v>
      </c>
    </row>
    <row r="424" spans="1:18" x14ac:dyDescent="0.2">
      <c r="B424" s="21" t="s">
        <v>160</v>
      </c>
      <c r="C424" s="1495" t="s">
        <v>93</v>
      </c>
    </row>
    <row r="425" spans="1:18" x14ac:dyDescent="0.2">
      <c r="B425" s="21" t="s">
        <v>157</v>
      </c>
      <c r="C425" s="1495" t="s">
        <v>93</v>
      </c>
    </row>
    <row r="426" spans="1:18" x14ac:dyDescent="0.2">
      <c r="A426" s="7" t="s">
        <v>209</v>
      </c>
      <c r="B426" s="21" t="s">
        <v>177</v>
      </c>
      <c r="C426" s="4">
        <v>6734300000</v>
      </c>
    </row>
    <row r="427" spans="1:18" x14ac:dyDescent="0.2">
      <c r="B427" s="21" t="s">
        <v>162</v>
      </c>
      <c r="C427" s="1495" t="s">
        <v>14</v>
      </c>
      <c r="E427" s="1495" t="s">
        <v>30</v>
      </c>
      <c r="G427" s="1495" t="s">
        <v>29</v>
      </c>
      <c r="I427" s="1495" t="s">
        <v>26</v>
      </c>
      <c r="J427" s="1495" t="s">
        <v>22</v>
      </c>
      <c r="L427" s="1495" t="s">
        <v>25</v>
      </c>
      <c r="M427" s="1495" t="s">
        <v>176</v>
      </c>
      <c r="O427" s="1495" t="s">
        <v>93</v>
      </c>
      <c r="P427" s="1495" t="s">
        <v>312</v>
      </c>
      <c r="Q427" s="1495" t="s">
        <v>202</v>
      </c>
      <c r="R427" s="1495" t="s">
        <v>9</v>
      </c>
    </row>
    <row r="428" spans="1:18" x14ac:dyDescent="0.2">
      <c r="B428" s="21" t="s">
        <v>161</v>
      </c>
      <c r="C428" s="1495" t="s">
        <v>14</v>
      </c>
      <c r="E428" s="1495" t="s">
        <v>30</v>
      </c>
      <c r="G428" s="1495" t="s">
        <v>29</v>
      </c>
      <c r="I428" s="1495" t="s">
        <v>26</v>
      </c>
      <c r="J428" s="1495" t="s">
        <v>22</v>
      </c>
      <c r="L428" s="1495" t="s">
        <v>25</v>
      </c>
      <c r="M428" s="1495" t="s">
        <v>176</v>
      </c>
      <c r="O428" s="1495" t="s">
        <v>93</v>
      </c>
      <c r="P428" s="1495" t="s">
        <v>312</v>
      </c>
      <c r="Q428" s="1495" t="s">
        <v>202</v>
      </c>
      <c r="R428" s="1495" t="s">
        <v>9</v>
      </c>
    </row>
    <row r="429" spans="1:18" x14ac:dyDescent="0.2">
      <c r="B429" s="21" t="s">
        <v>160</v>
      </c>
      <c r="C429" s="1495" t="s">
        <v>14</v>
      </c>
      <c r="E429" s="1495" t="s">
        <v>30</v>
      </c>
      <c r="G429" s="1495" t="s">
        <v>29</v>
      </c>
      <c r="I429" s="1495" t="s">
        <v>26</v>
      </c>
      <c r="J429" s="1495" t="s">
        <v>22</v>
      </c>
      <c r="L429" s="1495" t="s">
        <v>25</v>
      </c>
      <c r="M429" s="1495" t="s">
        <v>176</v>
      </c>
      <c r="O429" s="1495" t="s">
        <v>93</v>
      </c>
      <c r="P429" s="1495" t="s">
        <v>312</v>
      </c>
      <c r="Q429" s="1495" t="s">
        <v>202</v>
      </c>
      <c r="R429" s="1495" t="s">
        <v>9</v>
      </c>
    </row>
    <row r="430" spans="1:18" x14ac:dyDescent="0.2">
      <c r="B430" s="21" t="s">
        <v>157</v>
      </c>
      <c r="C430" s="1495" t="s">
        <v>14</v>
      </c>
      <c r="D430" s="21" t="s">
        <v>35</v>
      </c>
      <c r="E430" s="1495" t="s">
        <v>30</v>
      </c>
      <c r="F430" s="21" t="s">
        <v>33</v>
      </c>
      <c r="G430" s="1495" t="s">
        <v>29</v>
      </c>
      <c r="H430" s="21" t="s">
        <v>32</v>
      </c>
      <c r="I430" s="1495" t="s">
        <v>26</v>
      </c>
      <c r="J430" s="1495" t="s">
        <v>22</v>
      </c>
      <c r="K430" s="21" t="s">
        <v>17</v>
      </c>
      <c r="L430" s="1495" t="s">
        <v>25</v>
      </c>
      <c r="M430" s="1495" t="s">
        <v>176</v>
      </c>
      <c r="N430" s="21" t="s">
        <v>40</v>
      </c>
      <c r="O430" s="1495" t="s">
        <v>93</v>
      </c>
      <c r="P430" s="1495" t="s">
        <v>312</v>
      </c>
      <c r="Q430" s="1495" t="s">
        <v>202</v>
      </c>
      <c r="R430" s="1495" t="s">
        <v>9</v>
      </c>
    </row>
    <row r="431" spans="1:18" x14ac:dyDescent="0.2">
      <c r="A431" s="7" t="s">
        <v>208</v>
      </c>
      <c r="B431" s="21" t="s">
        <v>177</v>
      </c>
      <c r="C431" s="4">
        <v>115951325000</v>
      </c>
      <c r="D431" s="4">
        <v>76633090000</v>
      </c>
      <c r="E431" s="4">
        <v>37358030000</v>
      </c>
      <c r="F431" s="4">
        <v>31366470000</v>
      </c>
      <c r="G431" s="4">
        <v>27720080000</v>
      </c>
      <c r="H431" s="4">
        <v>25932355000</v>
      </c>
      <c r="I431" s="4">
        <v>23899220000</v>
      </c>
      <c r="J431" s="4">
        <v>21726886000</v>
      </c>
      <c r="K431" s="4">
        <v>21613905000</v>
      </c>
      <c r="L431" s="4">
        <v>14606140000</v>
      </c>
      <c r="M431" s="4">
        <v>11709890000</v>
      </c>
      <c r="N431" s="4">
        <v>10113280000</v>
      </c>
      <c r="O431" s="4">
        <v>3496900000</v>
      </c>
      <c r="P431" s="4">
        <v>2807610000</v>
      </c>
      <c r="Q431" s="4">
        <v>2140000000</v>
      </c>
      <c r="R431" s="4">
        <v>1736710000</v>
      </c>
    </row>
    <row r="432" spans="1:18" x14ac:dyDescent="0.2">
      <c r="B432" s="21" t="s">
        <v>162</v>
      </c>
      <c r="C432" s="1495" t="s">
        <v>342</v>
      </c>
    </row>
    <row r="433" spans="1:10" x14ac:dyDescent="0.2">
      <c r="B433" s="21" t="s">
        <v>161</v>
      </c>
      <c r="C433" s="1495" t="s">
        <v>342</v>
      </c>
    </row>
    <row r="434" spans="1:10" x14ac:dyDescent="0.2">
      <c r="B434" s="21" t="s">
        <v>160</v>
      </c>
      <c r="C434" s="1495" t="s">
        <v>342</v>
      </c>
    </row>
    <row r="435" spans="1:10" x14ac:dyDescent="0.2">
      <c r="B435" s="21" t="s">
        <v>157</v>
      </c>
      <c r="C435" s="1495" t="s">
        <v>342</v>
      </c>
      <c r="D435" s="21" t="s">
        <v>66</v>
      </c>
    </row>
    <row r="436" spans="1:10" x14ac:dyDescent="0.2">
      <c r="A436" s="7" t="s">
        <v>206</v>
      </c>
      <c r="B436" s="21" t="s">
        <v>177</v>
      </c>
      <c r="C436" s="4">
        <v>9916490000</v>
      </c>
      <c r="D436" s="4">
        <v>3441890000</v>
      </c>
    </row>
    <row r="437" spans="1:10" x14ac:dyDescent="0.2">
      <c r="B437" s="21" t="s">
        <v>162</v>
      </c>
      <c r="C437" s="1495" t="s">
        <v>61</v>
      </c>
      <c r="D437" s="1495" t="s">
        <v>24</v>
      </c>
      <c r="E437" s="1495" t="s">
        <v>30</v>
      </c>
      <c r="F437" s="1495" t="s">
        <v>20</v>
      </c>
      <c r="G437" s="1495" t="s">
        <v>99</v>
      </c>
      <c r="H437" s="1495" t="s">
        <v>198</v>
      </c>
      <c r="I437" s="1495" t="s">
        <v>303</v>
      </c>
    </row>
    <row r="438" spans="1:10" x14ac:dyDescent="0.2">
      <c r="B438" s="21" t="s">
        <v>161</v>
      </c>
      <c r="C438" s="1495" t="s">
        <v>61</v>
      </c>
      <c r="D438" s="1495" t="s">
        <v>24</v>
      </c>
      <c r="E438" s="1495" t="s">
        <v>30</v>
      </c>
      <c r="F438" s="1495" t="s">
        <v>20</v>
      </c>
      <c r="G438" s="1495" t="s">
        <v>99</v>
      </c>
      <c r="H438" s="1495" t="s">
        <v>198</v>
      </c>
      <c r="I438" s="1495" t="s">
        <v>303</v>
      </c>
    </row>
    <row r="439" spans="1:10" x14ac:dyDescent="0.2">
      <c r="B439" s="21" t="s">
        <v>160</v>
      </c>
      <c r="C439" s="1495" t="s">
        <v>61</v>
      </c>
      <c r="D439" s="1495" t="s">
        <v>24</v>
      </c>
      <c r="E439" s="1495" t="s">
        <v>30</v>
      </c>
      <c r="F439" s="1495" t="s">
        <v>20</v>
      </c>
      <c r="G439" s="1495" t="s">
        <v>99</v>
      </c>
      <c r="H439" s="1495" t="s">
        <v>198</v>
      </c>
      <c r="I439" s="1495" t="s">
        <v>303</v>
      </c>
    </row>
    <row r="440" spans="1:10" x14ac:dyDescent="0.2">
      <c r="B440" s="21" t="s">
        <v>157</v>
      </c>
      <c r="C440" s="1495" t="s">
        <v>61</v>
      </c>
      <c r="D440" s="1495" t="s">
        <v>24</v>
      </c>
      <c r="E440" s="1495" t="s">
        <v>30</v>
      </c>
      <c r="F440" s="1495" t="s">
        <v>20</v>
      </c>
      <c r="G440" s="1495" t="s">
        <v>99</v>
      </c>
      <c r="H440" s="1495" t="s">
        <v>198</v>
      </c>
      <c r="I440" s="1495" t="s">
        <v>303</v>
      </c>
    </row>
    <row r="441" spans="1:10" x14ac:dyDescent="0.2">
      <c r="A441" s="7" t="s">
        <v>205</v>
      </c>
      <c r="B441" s="21" t="s">
        <v>177</v>
      </c>
      <c r="C441" s="4">
        <v>46072900000</v>
      </c>
      <c r="D441" s="4">
        <v>42543905000</v>
      </c>
      <c r="E441" s="4">
        <v>34120630000</v>
      </c>
      <c r="F441" s="4">
        <v>14158970000</v>
      </c>
      <c r="G441" s="4">
        <v>12117740000</v>
      </c>
      <c r="H441" s="4">
        <v>8244690000</v>
      </c>
      <c r="I441" s="4">
        <v>3744365000</v>
      </c>
    </row>
    <row r="442" spans="1:10" x14ac:dyDescent="0.2">
      <c r="B442" s="21" t="s">
        <v>162</v>
      </c>
      <c r="C442" s="1495" t="s">
        <v>11</v>
      </c>
      <c r="F442" s="1495" t="s">
        <v>26</v>
      </c>
      <c r="H442" s="1495" t="s">
        <v>212</v>
      </c>
      <c r="I442" s="1495" t="s">
        <v>301</v>
      </c>
      <c r="J442" s="1495" t="s">
        <v>292</v>
      </c>
    </row>
    <row r="443" spans="1:10" x14ac:dyDescent="0.2">
      <c r="B443" s="21" t="s">
        <v>161</v>
      </c>
      <c r="C443" s="1495" t="s">
        <v>11</v>
      </c>
      <c r="F443" s="1495" t="s">
        <v>26</v>
      </c>
      <c r="H443" s="1495" t="s">
        <v>212</v>
      </c>
      <c r="I443" s="1495" t="s">
        <v>301</v>
      </c>
      <c r="J443" s="1495" t="s">
        <v>292</v>
      </c>
    </row>
    <row r="444" spans="1:10" x14ac:dyDescent="0.2">
      <c r="B444" s="21" t="s">
        <v>160</v>
      </c>
      <c r="C444" s="1495" t="s">
        <v>11</v>
      </c>
      <c r="F444" s="1495" t="s">
        <v>26</v>
      </c>
      <c r="H444" s="1495" t="s">
        <v>212</v>
      </c>
      <c r="I444" s="1495" t="s">
        <v>301</v>
      </c>
      <c r="J444" s="1495" t="s">
        <v>292</v>
      </c>
    </row>
    <row r="445" spans="1:10" x14ac:dyDescent="0.2">
      <c r="B445" s="21" t="s">
        <v>157</v>
      </c>
      <c r="C445" s="1495" t="s">
        <v>11</v>
      </c>
      <c r="D445" s="21" t="s">
        <v>17</v>
      </c>
      <c r="E445" s="21" t="s">
        <v>32</v>
      </c>
      <c r="F445" s="1495" t="s">
        <v>26</v>
      </c>
      <c r="G445" s="21" t="s">
        <v>58</v>
      </c>
      <c r="H445" s="1495" t="s">
        <v>212</v>
      </c>
      <c r="I445" s="1495" t="s">
        <v>301</v>
      </c>
      <c r="J445" s="1495" t="s">
        <v>292</v>
      </c>
    </row>
    <row r="446" spans="1:10" x14ac:dyDescent="0.2">
      <c r="A446" s="7" t="s">
        <v>204</v>
      </c>
      <c r="B446" s="21" t="s">
        <v>177</v>
      </c>
      <c r="C446" s="4">
        <v>191722265000</v>
      </c>
      <c r="D446" s="4">
        <v>18721740000</v>
      </c>
      <c r="E446" s="4">
        <v>18566700000</v>
      </c>
      <c r="F446" s="4">
        <v>17387015000</v>
      </c>
      <c r="G446" s="4">
        <v>10598460000</v>
      </c>
      <c r="H446" s="4">
        <v>7593250000</v>
      </c>
      <c r="I446" s="4">
        <v>2811280000</v>
      </c>
      <c r="J446" s="4">
        <v>225820000</v>
      </c>
    </row>
    <row r="447" spans="1:10" x14ac:dyDescent="0.2">
      <c r="B447" s="21" t="s">
        <v>162</v>
      </c>
      <c r="D447" s="1495" t="s">
        <v>26</v>
      </c>
    </row>
    <row r="448" spans="1:10" x14ac:dyDescent="0.2">
      <c r="B448" s="21" t="s">
        <v>161</v>
      </c>
      <c r="D448" s="1495" t="s">
        <v>26</v>
      </c>
    </row>
    <row r="449" spans="1:10" x14ac:dyDescent="0.2">
      <c r="B449" s="21" t="s">
        <v>160</v>
      </c>
      <c r="D449" s="1495" t="s">
        <v>26</v>
      </c>
    </row>
    <row r="450" spans="1:10" x14ac:dyDescent="0.2">
      <c r="B450" s="21" t="s">
        <v>157</v>
      </c>
      <c r="C450" s="21" t="s">
        <v>71</v>
      </c>
      <c r="D450" s="1495" t="s">
        <v>26</v>
      </c>
      <c r="E450" s="21" t="s">
        <v>357</v>
      </c>
    </row>
    <row r="451" spans="1:10" x14ac:dyDescent="0.2">
      <c r="A451" s="7" t="s">
        <v>203</v>
      </c>
      <c r="B451" s="21" t="s">
        <v>177</v>
      </c>
      <c r="C451" s="4">
        <v>12269170000</v>
      </c>
      <c r="D451" s="4">
        <v>8629205000</v>
      </c>
      <c r="E451" s="4">
        <v>980700000</v>
      </c>
    </row>
    <row r="452" spans="1:10" x14ac:dyDescent="0.2">
      <c r="B452" s="21" t="s">
        <v>162</v>
      </c>
      <c r="D452" s="1495" t="s">
        <v>29</v>
      </c>
      <c r="E452" s="1495" t="s">
        <v>295</v>
      </c>
      <c r="G452" s="1495" t="s">
        <v>282</v>
      </c>
    </row>
    <row r="453" spans="1:10" x14ac:dyDescent="0.2">
      <c r="B453" s="21" t="s">
        <v>161</v>
      </c>
      <c r="D453" s="1495" t="s">
        <v>29</v>
      </c>
      <c r="E453" s="1495" t="s">
        <v>295</v>
      </c>
      <c r="G453" s="1495" t="s">
        <v>282</v>
      </c>
    </row>
    <row r="454" spans="1:10" x14ac:dyDescent="0.2">
      <c r="B454" s="21" t="s">
        <v>160</v>
      </c>
      <c r="D454" s="1495" t="s">
        <v>29</v>
      </c>
      <c r="E454" s="1495" t="s">
        <v>295</v>
      </c>
      <c r="G454" s="1495" t="s">
        <v>282</v>
      </c>
    </row>
    <row r="455" spans="1:10" x14ac:dyDescent="0.2">
      <c r="B455" s="21" t="s">
        <v>157</v>
      </c>
      <c r="C455" s="21" t="s">
        <v>13</v>
      </c>
      <c r="D455" s="1495" t="s">
        <v>29</v>
      </c>
      <c r="E455" s="1495" t="s">
        <v>295</v>
      </c>
      <c r="F455" s="21" t="s">
        <v>325</v>
      </c>
      <c r="G455" s="1495" t="s">
        <v>282</v>
      </c>
    </row>
    <row r="456" spans="1:10" x14ac:dyDescent="0.2">
      <c r="A456" s="7" t="s">
        <v>201</v>
      </c>
      <c r="B456" s="21" t="s">
        <v>177</v>
      </c>
      <c r="C456" s="4">
        <v>38229685000</v>
      </c>
      <c r="D456" s="4">
        <v>17971000000</v>
      </c>
      <c r="E456" s="4">
        <v>14215000000</v>
      </c>
      <c r="F456" s="4">
        <v>4235973000</v>
      </c>
      <c r="G456" s="4">
        <v>2507250000</v>
      </c>
    </row>
    <row r="457" spans="1:10" x14ac:dyDescent="0.2">
      <c r="B457" s="21" t="s">
        <v>162</v>
      </c>
      <c r="D457" s="1495" t="s">
        <v>38</v>
      </c>
      <c r="I457" s="1495" t="s">
        <v>63</v>
      </c>
    </row>
    <row r="458" spans="1:10" x14ac:dyDescent="0.2">
      <c r="B458" s="21" t="s">
        <v>161</v>
      </c>
      <c r="D458" s="1495" t="s">
        <v>38</v>
      </c>
      <c r="I458" s="1495" t="s">
        <v>63</v>
      </c>
    </row>
    <row r="459" spans="1:10" x14ac:dyDescent="0.2">
      <c r="B459" s="21" t="s">
        <v>160</v>
      </c>
      <c r="D459" s="1495" t="s">
        <v>38</v>
      </c>
      <c r="I459" s="1495" t="s">
        <v>63</v>
      </c>
    </row>
    <row r="460" spans="1:10" x14ac:dyDescent="0.2">
      <c r="B460" s="21" t="s">
        <v>157</v>
      </c>
      <c r="C460" s="21" t="s">
        <v>14</v>
      </c>
      <c r="D460" s="1495" t="s">
        <v>38</v>
      </c>
      <c r="E460" s="21" t="s">
        <v>15</v>
      </c>
      <c r="F460" s="21" t="s">
        <v>35</v>
      </c>
      <c r="G460" s="21" t="s">
        <v>183</v>
      </c>
      <c r="H460" s="21" t="s">
        <v>29</v>
      </c>
      <c r="I460" s="1495" t="s">
        <v>63</v>
      </c>
    </row>
    <row r="461" spans="1:10" x14ac:dyDescent="0.2">
      <c r="A461" s="7" t="s">
        <v>200</v>
      </c>
      <c r="B461" s="21" t="s">
        <v>177</v>
      </c>
      <c r="C461" s="4">
        <v>39205410000</v>
      </c>
      <c r="D461" s="4">
        <v>34988660000</v>
      </c>
      <c r="E461" s="4">
        <v>26169920000</v>
      </c>
      <c r="F461" s="4">
        <v>18099960000</v>
      </c>
      <c r="G461" s="4">
        <v>15955050000</v>
      </c>
      <c r="H461" s="4">
        <v>6393000000</v>
      </c>
      <c r="I461" s="4">
        <v>2072620000</v>
      </c>
    </row>
    <row r="462" spans="1:10" x14ac:dyDescent="0.2">
      <c r="B462" s="21" t="s">
        <v>162</v>
      </c>
      <c r="C462" s="1495" t="s">
        <v>23</v>
      </c>
      <c r="D462" s="1495" t="s">
        <v>70</v>
      </c>
      <c r="E462" s="1495" t="s">
        <v>38</v>
      </c>
      <c r="F462" s="1495" t="s">
        <v>28</v>
      </c>
      <c r="G462" s="1495" t="s">
        <v>188</v>
      </c>
      <c r="J462" s="1495" t="s">
        <v>301</v>
      </c>
    </row>
    <row r="463" spans="1:10" x14ac:dyDescent="0.2">
      <c r="B463" s="21" t="s">
        <v>161</v>
      </c>
      <c r="C463" s="1495" t="s">
        <v>23</v>
      </c>
      <c r="D463" s="1495" t="s">
        <v>70</v>
      </c>
      <c r="E463" s="1495" t="s">
        <v>38</v>
      </c>
      <c r="F463" s="1495" t="s">
        <v>28</v>
      </c>
      <c r="G463" s="1495" t="s">
        <v>188</v>
      </c>
      <c r="J463" s="1495" t="s">
        <v>301</v>
      </c>
    </row>
    <row r="464" spans="1:10" x14ac:dyDescent="0.2">
      <c r="B464" s="21" t="s">
        <v>160</v>
      </c>
      <c r="C464" s="1495" t="s">
        <v>23</v>
      </c>
      <c r="D464" s="1495" t="s">
        <v>70</v>
      </c>
      <c r="E464" s="1495" t="s">
        <v>38</v>
      </c>
      <c r="F464" s="1495" t="s">
        <v>28</v>
      </c>
      <c r="G464" s="1495" t="s">
        <v>188</v>
      </c>
      <c r="J464" s="1495" t="s">
        <v>301</v>
      </c>
    </row>
    <row r="465" spans="1:10" x14ac:dyDescent="0.2">
      <c r="B465" s="21" t="s">
        <v>157</v>
      </c>
      <c r="C465" s="1495" t="s">
        <v>23</v>
      </c>
      <c r="D465" s="1495" t="s">
        <v>70</v>
      </c>
      <c r="E465" s="1495" t="s">
        <v>38</v>
      </c>
      <c r="F465" s="1495" t="s">
        <v>28</v>
      </c>
      <c r="G465" s="1495" t="s">
        <v>188</v>
      </c>
      <c r="H465" s="21" t="s">
        <v>78</v>
      </c>
      <c r="I465" s="21" t="s">
        <v>10</v>
      </c>
      <c r="J465" s="1495" t="s">
        <v>301</v>
      </c>
    </row>
    <row r="466" spans="1:10" x14ac:dyDescent="0.2">
      <c r="A466" s="7" t="s">
        <v>199</v>
      </c>
      <c r="B466" s="21" t="s">
        <v>177</v>
      </c>
      <c r="C466" s="4">
        <v>66748740000</v>
      </c>
      <c r="D466" s="4">
        <v>24617275000</v>
      </c>
      <c r="E466" s="4">
        <v>19884865000</v>
      </c>
      <c r="F466" s="4">
        <v>11143720000</v>
      </c>
      <c r="G466" s="4">
        <v>7307010000</v>
      </c>
      <c r="H466" s="4">
        <v>6394570000</v>
      </c>
      <c r="I466" s="4">
        <v>5618000000</v>
      </c>
      <c r="J466" s="4">
        <v>2631640000</v>
      </c>
    </row>
    <row r="467" spans="1:10" x14ac:dyDescent="0.2">
      <c r="B467" s="21" t="s">
        <v>162</v>
      </c>
      <c r="C467" s="1495" t="s">
        <v>336</v>
      </c>
      <c r="D467" s="1495" t="s">
        <v>86</v>
      </c>
      <c r="E467" s="1495" t="s">
        <v>198</v>
      </c>
    </row>
    <row r="468" spans="1:10" x14ac:dyDescent="0.2">
      <c r="B468" s="21" t="s">
        <v>161</v>
      </c>
      <c r="C468" s="1495" t="s">
        <v>336</v>
      </c>
      <c r="D468" s="1495" t="s">
        <v>86</v>
      </c>
      <c r="E468" s="1495" t="s">
        <v>198</v>
      </c>
    </row>
    <row r="469" spans="1:10" x14ac:dyDescent="0.2">
      <c r="B469" s="21" t="s">
        <v>160</v>
      </c>
      <c r="C469" s="1495" t="s">
        <v>336</v>
      </c>
      <c r="D469" s="1495" t="s">
        <v>86</v>
      </c>
      <c r="E469" s="1495" t="s">
        <v>198</v>
      </c>
    </row>
    <row r="470" spans="1:10" x14ac:dyDescent="0.2">
      <c r="B470" s="21" t="s">
        <v>157</v>
      </c>
      <c r="C470" s="1495" t="s">
        <v>336</v>
      </c>
      <c r="D470" s="1495" t="s">
        <v>86</v>
      </c>
      <c r="E470" s="1495" t="s">
        <v>198</v>
      </c>
    </row>
    <row r="471" spans="1:10" x14ac:dyDescent="0.2">
      <c r="A471" s="7" t="s">
        <v>196</v>
      </c>
      <c r="B471" s="21" t="s">
        <v>177</v>
      </c>
      <c r="C471" s="4">
        <v>5472500000</v>
      </c>
      <c r="D471" s="4">
        <v>5086055000</v>
      </c>
      <c r="E471" s="4">
        <v>4015950000</v>
      </c>
    </row>
    <row r="472" spans="1:10" x14ac:dyDescent="0.2">
      <c r="B472" s="21" t="s">
        <v>162</v>
      </c>
      <c r="C472" s="1495" t="s">
        <v>190</v>
      </c>
    </row>
    <row r="473" spans="1:10" x14ac:dyDescent="0.2">
      <c r="B473" s="21" t="s">
        <v>161</v>
      </c>
      <c r="C473" s="1495" t="s">
        <v>190</v>
      </c>
    </row>
    <row r="474" spans="1:10" x14ac:dyDescent="0.2">
      <c r="B474" s="21" t="s">
        <v>160</v>
      </c>
      <c r="C474" s="1495" t="s">
        <v>190</v>
      </c>
    </row>
    <row r="475" spans="1:10" x14ac:dyDescent="0.2">
      <c r="B475" s="21" t="s">
        <v>157</v>
      </c>
      <c r="C475" s="1495" t="s">
        <v>190</v>
      </c>
      <c r="D475" s="21" t="s">
        <v>6</v>
      </c>
    </row>
    <row r="476" spans="1:10" x14ac:dyDescent="0.2">
      <c r="A476" s="7" t="s">
        <v>195</v>
      </c>
      <c r="B476" s="21" t="s">
        <v>177</v>
      </c>
      <c r="C476" s="4">
        <v>4742650000</v>
      </c>
      <c r="D476" s="4">
        <v>3980430000</v>
      </c>
    </row>
    <row r="477" spans="1:10" x14ac:dyDescent="0.2">
      <c r="B477" s="21" t="s">
        <v>162</v>
      </c>
      <c r="C477" s="1495" t="s">
        <v>176</v>
      </c>
    </row>
    <row r="478" spans="1:10" x14ac:dyDescent="0.2">
      <c r="B478" s="21" t="s">
        <v>161</v>
      </c>
      <c r="C478" s="1495" t="s">
        <v>176</v>
      </c>
    </row>
    <row r="479" spans="1:10" x14ac:dyDescent="0.2">
      <c r="B479" s="21" t="s">
        <v>160</v>
      </c>
      <c r="C479" s="1495" t="s">
        <v>176</v>
      </c>
    </row>
    <row r="480" spans="1:10" x14ac:dyDescent="0.2">
      <c r="B480" s="21" t="s">
        <v>157</v>
      </c>
      <c r="C480" s="1495" t="s">
        <v>176</v>
      </c>
      <c r="D480" s="21" t="s">
        <v>6</v>
      </c>
      <c r="E480" s="21" t="s">
        <v>10</v>
      </c>
    </row>
    <row r="481" spans="1:21" x14ac:dyDescent="0.2">
      <c r="A481" s="7" t="s">
        <v>193</v>
      </c>
      <c r="B481" s="21" t="s">
        <v>177</v>
      </c>
      <c r="C481" s="4">
        <v>6136400000</v>
      </c>
      <c r="D481" s="4">
        <v>3896570000</v>
      </c>
      <c r="E481" s="4">
        <v>3660000000</v>
      </c>
    </row>
    <row r="482" spans="1:21" x14ac:dyDescent="0.2">
      <c r="B482" s="21" t="s">
        <v>162</v>
      </c>
      <c r="C482" s="1495" t="s">
        <v>24</v>
      </c>
      <c r="D482" s="1495" t="s">
        <v>212</v>
      </c>
      <c r="E482" s="1495" t="s">
        <v>171</v>
      </c>
      <c r="F482" s="1495" t="s">
        <v>333</v>
      </c>
      <c r="G482" s="1495" t="s">
        <v>61</v>
      </c>
      <c r="H482" s="1495" t="s">
        <v>20</v>
      </c>
    </row>
    <row r="483" spans="1:21" x14ac:dyDescent="0.2">
      <c r="B483" s="21" t="s">
        <v>161</v>
      </c>
      <c r="C483" s="1495" t="s">
        <v>24</v>
      </c>
      <c r="D483" s="1495" t="s">
        <v>212</v>
      </c>
      <c r="E483" s="1495" t="s">
        <v>171</v>
      </c>
      <c r="F483" s="1495" t="s">
        <v>333</v>
      </c>
      <c r="G483" s="1495" t="s">
        <v>61</v>
      </c>
      <c r="H483" s="1495" t="s">
        <v>20</v>
      </c>
    </row>
    <row r="484" spans="1:21" x14ac:dyDescent="0.2">
      <c r="B484" s="21" t="s">
        <v>160</v>
      </c>
      <c r="C484" s="1495" t="s">
        <v>24</v>
      </c>
      <c r="D484" s="1495" t="s">
        <v>212</v>
      </c>
      <c r="E484" s="1495" t="s">
        <v>171</v>
      </c>
      <c r="F484" s="1495" t="s">
        <v>333</v>
      </c>
      <c r="G484" s="1495" t="s">
        <v>61</v>
      </c>
      <c r="H484" s="1495" t="s">
        <v>20</v>
      </c>
    </row>
    <row r="485" spans="1:21" x14ac:dyDescent="0.2">
      <c r="B485" s="21" t="s">
        <v>157</v>
      </c>
      <c r="C485" s="1495" t="s">
        <v>24</v>
      </c>
      <c r="D485" s="1495" t="s">
        <v>212</v>
      </c>
      <c r="E485" s="1495" t="s">
        <v>171</v>
      </c>
      <c r="F485" s="1495" t="s">
        <v>333</v>
      </c>
      <c r="G485" s="1495" t="s">
        <v>61</v>
      </c>
      <c r="H485" s="1495" t="s">
        <v>20</v>
      </c>
    </row>
    <row r="486" spans="1:21" x14ac:dyDescent="0.2">
      <c r="A486" s="7" t="s">
        <v>189</v>
      </c>
      <c r="B486" s="21" t="s">
        <v>177</v>
      </c>
      <c r="C486" s="4">
        <v>20194215000</v>
      </c>
      <c r="D486" s="4">
        <v>7239890000</v>
      </c>
      <c r="E486" s="4">
        <v>5594510000</v>
      </c>
      <c r="F486" s="4">
        <v>4419490000</v>
      </c>
      <c r="G486" s="4">
        <v>2672955000</v>
      </c>
      <c r="H486" s="4">
        <v>582000000</v>
      </c>
    </row>
    <row r="487" spans="1:21" x14ac:dyDescent="0.2"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</row>
    <row r="488" spans="1:21" x14ac:dyDescent="0.2"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</row>
    <row r="489" spans="1:21" x14ac:dyDescent="0.2"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</row>
    <row r="490" spans="1:21" x14ac:dyDescent="0.2"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</row>
    <row r="491" spans="1:21" x14ac:dyDescent="0.2"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</row>
    <row r="492" spans="1:21" x14ac:dyDescent="0.2"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</row>
    <row r="493" spans="1:21" x14ac:dyDescent="0.2"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</row>
    <row r="494" spans="1:21" x14ac:dyDescent="0.2"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</row>
    <row r="495" spans="1:21" x14ac:dyDescent="0.2">
      <c r="A495" t="s">
        <v>368</v>
      </c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</row>
  </sheetData>
  <mergeCells count="326">
    <mergeCell ref="M123:M124"/>
    <mergeCell ref="L128:L129"/>
    <mergeCell ref="C172:C173"/>
    <mergeCell ref="U22:U25"/>
    <mergeCell ref="J24:J25"/>
    <mergeCell ref="O24:O25"/>
    <mergeCell ref="R24:R25"/>
    <mergeCell ref="I22:I25"/>
    <mergeCell ref="M22:M25"/>
    <mergeCell ref="P22:P25"/>
    <mergeCell ref="S22:S25"/>
    <mergeCell ref="I32:I35"/>
    <mergeCell ref="M32:M35"/>
    <mergeCell ref="M27:M30"/>
    <mergeCell ref="N27:N30"/>
    <mergeCell ref="O27:O30"/>
    <mergeCell ref="P27:P30"/>
    <mergeCell ref="R27:R30"/>
    <mergeCell ref="I29:I30"/>
    <mergeCell ref="J29:J30"/>
    <mergeCell ref="L29:L30"/>
    <mergeCell ref="Q34:Q35"/>
    <mergeCell ref="D286:D289"/>
    <mergeCell ref="D264:D267"/>
    <mergeCell ref="E264:E267"/>
    <mergeCell ref="D271:D274"/>
    <mergeCell ref="C276:C279"/>
    <mergeCell ref="E276:E279"/>
    <mergeCell ref="E281:E284"/>
    <mergeCell ref="D281:D284"/>
    <mergeCell ref="C281:C284"/>
    <mergeCell ref="M195:M198"/>
    <mergeCell ref="D200:D203"/>
    <mergeCell ref="C200:C203"/>
    <mergeCell ref="I175:I178"/>
    <mergeCell ref="E180:E183"/>
    <mergeCell ref="D180:D183"/>
    <mergeCell ref="C180:C183"/>
    <mergeCell ref="C185:C188"/>
    <mergeCell ref="C190:C193"/>
    <mergeCell ref="E190:E193"/>
    <mergeCell ref="C175:C178"/>
    <mergeCell ref="D175:D178"/>
    <mergeCell ref="E175:E178"/>
    <mergeCell ref="F175:F178"/>
    <mergeCell ref="G175:G178"/>
    <mergeCell ref="H175:H178"/>
    <mergeCell ref="D259:D262"/>
    <mergeCell ref="E259:E262"/>
    <mergeCell ref="F259:F262"/>
    <mergeCell ref="C239:C242"/>
    <mergeCell ref="C244:C247"/>
    <mergeCell ref="C249:C252"/>
    <mergeCell ref="F218:F221"/>
    <mergeCell ref="F195:F198"/>
    <mergeCell ref="E195:E198"/>
    <mergeCell ref="C195:C198"/>
    <mergeCell ref="C254:C257"/>
    <mergeCell ref="C259:C262"/>
    <mergeCell ref="I323:I326"/>
    <mergeCell ref="C291:C294"/>
    <mergeCell ref="C296:C299"/>
    <mergeCell ref="D296:D299"/>
    <mergeCell ref="E301:E304"/>
    <mergeCell ref="C301:C304"/>
    <mergeCell ref="C306:C309"/>
    <mergeCell ref="E293:E294"/>
    <mergeCell ref="D293:D294"/>
    <mergeCell ref="E298:E299"/>
    <mergeCell ref="H291:H294"/>
    <mergeCell ref="I291:I294"/>
    <mergeCell ref="C311:C314"/>
    <mergeCell ref="D306:D309"/>
    <mergeCell ref="D318:D321"/>
    <mergeCell ref="C318:C321"/>
    <mergeCell ref="F318:F321"/>
    <mergeCell ref="Q412:Q415"/>
    <mergeCell ref="R412:R415"/>
    <mergeCell ref="S412:S415"/>
    <mergeCell ref="T412:T415"/>
    <mergeCell ref="U412:U415"/>
    <mergeCell ref="M335:M336"/>
    <mergeCell ref="S335:S336"/>
    <mergeCell ref="O340:O341"/>
    <mergeCell ref="O335:O336"/>
    <mergeCell ref="O412:O415"/>
    <mergeCell ref="P370:P373"/>
    <mergeCell ref="O372:O373"/>
    <mergeCell ref="T333:T336"/>
    <mergeCell ref="U333:U336"/>
    <mergeCell ref="L412:L415"/>
    <mergeCell ref="N412:N415"/>
    <mergeCell ref="F407:F410"/>
    <mergeCell ref="P333:P336"/>
    <mergeCell ref="Q333:Q336"/>
    <mergeCell ref="P338:P341"/>
    <mergeCell ref="N338:N341"/>
    <mergeCell ref="H76:H77"/>
    <mergeCell ref="F103:F104"/>
    <mergeCell ref="I96:I97"/>
    <mergeCell ref="G123:G124"/>
    <mergeCell ref="I123:I124"/>
    <mergeCell ref="J148:J151"/>
    <mergeCell ref="H121:H124"/>
    <mergeCell ref="I126:I129"/>
    <mergeCell ref="G126:G129"/>
    <mergeCell ref="J412:J415"/>
    <mergeCell ref="L333:L336"/>
    <mergeCell ref="I370:I373"/>
    <mergeCell ref="K370:K373"/>
    <mergeCell ref="M338:M341"/>
    <mergeCell ref="F286:F289"/>
    <mergeCell ref="F291:F294"/>
    <mergeCell ref="G291:G294"/>
    <mergeCell ref="C74:C77"/>
    <mergeCell ref="C107:C109"/>
    <mergeCell ref="C482:C485"/>
    <mergeCell ref="D482:D485"/>
    <mergeCell ref="E482:E485"/>
    <mergeCell ref="F482:F485"/>
    <mergeCell ref="G482:G485"/>
    <mergeCell ref="C442:C445"/>
    <mergeCell ref="C422:C425"/>
    <mergeCell ref="C417:C420"/>
    <mergeCell ref="D417:D420"/>
    <mergeCell ref="E417:E420"/>
    <mergeCell ref="F417:F420"/>
    <mergeCell ref="F387:F390"/>
    <mergeCell ref="D392:D395"/>
    <mergeCell ref="C392:C395"/>
    <mergeCell ref="C397:C400"/>
    <mergeCell ref="D397:D400"/>
    <mergeCell ref="F402:F405"/>
    <mergeCell ref="E382:E385"/>
    <mergeCell ref="D205:D206"/>
    <mergeCell ref="C223:C224"/>
    <mergeCell ref="F215:F216"/>
    <mergeCell ref="G220:G221"/>
    <mergeCell ref="C382:C385"/>
    <mergeCell ref="C355:C358"/>
    <mergeCell ref="C288:C289"/>
    <mergeCell ref="E325:E326"/>
    <mergeCell ref="H482:H485"/>
    <mergeCell ref="C462:C465"/>
    <mergeCell ref="C467:C470"/>
    <mergeCell ref="E467:E470"/>
    <mergeCell ref="D467:D470"/>
    <mergeCell ref="C472:C475"/>
    <mergeCell ref="C477:C480"/>
    <mergeCell ref="E452:E455"/>
    <mergeCell ref="D452:D455"/>
    <mergeCell ref="D457:D460"/>
    <mergeCell ref="G452:G455"/>
    <mergeCell ref="E407:E410"/>
    <mergeCell ref="C407:C410"/>
    <mergeCell ref="H407:H410"/>
    <mergeCell ref="E412:E415"/>
    <mergeCell ref="D412:D415"/>
    <mergeCell ref="C412:C415"/>
    <mergeCell ref="C375:C378"/>
    <mergeCell ref="F375:F378"/>
    <mergeCell ref="C360:C363"/>
    <mergeCell ref="I457:I460"/>
    <mergeCell ref="J462:J465"/>
    <mergeCell ref="G462:G465"/>
    <mergeCell ref="F462:F465"/>
    <mergeCell ref="E462:E465"/>
    <mergeCell ref="D462:D465"/>
    <mergeCell ref="H442:H445"/>
    <mergeCell ref="I442:I445"/>
    <mergeCell ref="J442:J445"/>
    <mergeCell ref="F442:F445"/>
    <mergeCell ref="D447:D450"/>
    <mergeCell ref="R427:R430"/>
    <mergeCell ref="G437:G440"/>
    <mergeCell ref="F437:F440"/>
    <mergeCell ref="E437:E440"/>
    <mergeCell ref="D437:D440"/>
    <mergeCell ref="C437:C440"/>
    <mergeCell ref="H437:H440"/>
    <mergeCell ref="I437:I440"/>
    <mergeCell ref="C432:C435"/>
    <mergeCell ref="L427:L430"/>
    <mergeCell ref="M427:M430"/>
    <mergeCell ref="O427:O430"/>
    <mergeCell ref="P427:P430"/>
    <mergeCell ref="Q427:Q430"/>
    <mergeCell ref="C427:C430"/>
    <mergeCell ref="E427:E430"/>
    <mergeCell ref="G427:G430"/>
    <mergeCell ref="I427:I430"/>
    <mergeCell ref="J427:J430"/>
    <mergeCell ref="D365:D368"/>
    <mergeCell ref="G365:G368"/>
    <mergeCell ref="F365:F368"/>
    <mergeCell ref="G370:G373"/>
    <mergeCell ref="E370:E373"/>
    <mergeCell ref="D370:D373"/>
    <mergeCell ref="C367:C368"/>
    <mergeCell ref="C345:C348"/>
    <mergeCell ref="C350:C353"/>
    <mergeCell ref="D328:D331"/>
    <mergeCell ref="C333:C336"/>
    <mergeCell ref="F333:F336"/>
    <mergeCell ref="I333:I336"/>
    <mergeCell ref="K333:K336"/>
    <mergeCell ref="D335:D336"/>
    <mergeCell ref="H335:H336"/>
    <mergeCell ref="J338:J341"/>
    <mergeCell ref="H338:H341"/>
    <mergeCell ref="G338:G341"/>
    <mergeCell ref="F338:F341"/>
    <mergeCell ref="I340:I341"/>
    <mergeCell ref="D340:D341"/>
    <mergeCell ref="J249:J252"/>
    <mergeCell ref="N249:N252"/>
    <mergeCell ref="O249:O252"/>
    <mergeCell ref="Q249:Q252"/>
    <mergeCell ref="T249:T252"/>
    <mergeCell ref="S249:S252"/>
    <mergeCell ref="G254:G257"/>
    <mergeCell ref="E254:E257"/>
    <mergeCell ref="I234:I237"/>
    <mergeCell ref="E239:E242"/>
    <mergeCell ref="E249:E252"/>
    <mergeCell ref="F249:F252"/>
    <mergeCell ref="G249:G252"/>
    <mergeCell ref="H249:H252"/>
    <mergeCell ref="I249:I252"/>
    <mergeCell ref="D246:D247"/>
    <mergeCell ref="D229:D232"/>
    <mergeCell ref="C229:C232"/>
    <mergeCell ref="E229:E232"/>
    <mergeCell ref="D234:D237"/>
    <mergeCell ref="E234:E237"/>
    <mergeCell ref="F234:F237"/>
    <mergeCell ref="D208:D211"/>
    <mergeCell ref="E208:E211"/>
    <mergeCell ref="C213:C216"/>
    <mergeCell ref="C218:C221"/>
    <mergeCell ref="D218:D221"/>
    <mergeCell ref="E218:E221"/>
    <mergeCell ref="E223:E224"/>
    <mergeCell ref="D226:D227"/>
    <mergeCell ref="K148:K151"/>
    <mergeCell ref="C153:C156"/>
    <mergeCell ref="C158:C161"/>
    <mergeCell ref="C167:C170"/>
    <mergeCell ref="C131:C134"/>
    <mergeCell ref="C136:C139"/>
    <mergeCell ref="C143:C146"/>
    <mergeCell ref="E143:E146"/>
    <mergeCell ref="G133:G134"/>
    <mergeCell ref="D133:D134"/>
    <mergeCell ref="F131:F134"/>
    <mergeCell ref="E131:E134"/>
    <mergeCell ref="D148:D151"/>
    <mergeCell ref="K126:K129"/>
    <mergeCell ref="L131:L134"/>
    <mergeCell ref="J131:J134"/>
    <mergeCell ref="H131:H134"/>
    <mergeCell ref="J128:J129"/>
    <mergeCell ref="C111:C114"/>
    <mergeCell ref="C116:C119"/>
    <mergeCell ref="F116:F119"/>
    <mergeCell ref="D121:D124"/>
    <mergeCell ref="C121:C124"/>
    <mergeCell ref="F121:F124"/>
    <mergeCell ref="F128:F129"/>
    <mergeCell ref="K101:K104"/>
    <mergeCell ref="F106:F109"/>
    <mergeCell ref="E106:E109"/>
    <mergeCell ref="D106:D109"/>
    <mergeCell ref="K79:K82"/>
    <mergeCell ref="G84:G87"/>
    <mergeCell ref="E84:E87"/>
    <mergeCell ref="D84:D87"/>
    <mergeCell ref="C89:C92"/>
    <mergeCell ref="F94:F97"/>
    <mergeCell ref="G94:G97"/>
    <mergeCell ref="H94:H97"/>
    <mergeCell ref="C85:C87"/>
    <mergeCell ref="C79:C82"/>
    <mergeCell ref="F79:F82"/>
    <mergeCell ref="G79:G82"/>
    <mergeCell ref="E101:E104"/>
    <mergeCell ref="I101:I104"/>
    <mergeCell ref="J71:J72"/>
    <mergeCell ref="D69:D72"/>
    <mergeCell ref="F56:F59"/>
    <mergeCell ref="H56:H59"/>
    <mergeCell ref="E32:E35"/>
    <mergeCell ref="G32:G35"/>
    <mergeCell ref="G27:G30"/>
    <mergeCell ref="C27:C30"/>
    <mergeCell ref="D22:D25"/>
    <mergeCell ref="C22:C25"/>
    <mergeCell ref="E22:E25"/>
    <mergeCell ref="F22:F25"/>
    <mergeCell ref="F61:F64"/>
    <mergeCell ref="F69:F72"/>
    <mergeCell ref="E69:E72"/>
    <mergeCell ref="I63:I64"/>
    <mergeCell ref="I51:I54"/>
    <mergeCell ref="C51:C54"/>
    <mergeCell ref="C69:C72"/>
    <mergeCell ref="G69:G72"/>
    <mergeCell ref="D66:D67"/>
    <mergeCell ref="C2:C5"/>
    <mergeCell ref="D2:D5"/>
    <mergeCell ref="E2:E5"/>
    <mergeCell ref="C7:C10"/>
    <mergeCell ref="C19:C20"/>
    <mergeCell ref="F19:F20"/>
    <mergeCell ref="H17:H20"/>
    <mergeCell ref="G17:G20"/>
    <mergeCell ref="K56:K59"/>
    <mergeCell ref="F37:F40"/>
    <mergeCell ref="C46:C49"/>
    <mergeCell ref="E46:E49"/>
    <mergeCell ref="F12:F15"/>
    <mergeCell ref="D12:D15"/>
    <mergeCell ref="E14:E15"/>
    <mergeCell ref="G22:G25"/>
    <mergeCell ref="H22:H25"/>
    <mergeCell ref="F34:F3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4BD0-8C39-D440-A246-D93546408C2B}">
  <sheetPr codeName="Sheet5">
    <tabColor rgb="FFFF7E79"/>
  </sheetPr>
  <dimension ref="A1:AJ487"/>
  <sheetViews>
    <sheetView workbookViewId="0">
      <selection activeCell="M35" sqref="M35"/>
    </sheetView>
  </sheetViews>
  <sheetFormatPr baseColWidth="10" defaultRowHeight="16" x14ac:dyDescent="0.2"/>
  <cols>
    <col min="3" max="3" width="16.6640625" customWidth="1"/>
    <col min="4" max="4" width="18.1640625" customWidth="1"/>
    <col min="5" max="5" width="16" bestFit="1" customWidth="1"/>
    <col min="6" max="6" width="15.83203125" customWidth="1"/>
    <col min="7" max="7" width="14.6640625" customWidth="1"/>
    <col min="8" max="8" width="16.6640625" customWidth="1"/>
    <col min="9" max="9" width="17.83203125" customWidth="1"/>
    <col min="10" max="10" width="17.6640625" customWidth="1"/>
    <col min="11" max="11" width="16.5" customWidth="1"/>
    <col min="12" max="12" width="15.33203125" customWidth="1"/>
    <col min="13" max="13" width="17.83203125" customWidth="1"/>
    <col min="14" max="14" width="17" customWidth="1"/>
    <col min="15" max="15" width="17.6640625" customWidth="1"/>
    <col min="16" max="16" width="14.6640625" customWidth="1"/>
    <col min="17" max="17" width="15" customWidth="1"/>
    <col min="18" max="18" width="15.33203125" customWidth="1"/>
    <col min="19" max="19" width="14.33203125" customWidth="1"/>
    <col min="20" max="20" width="14.5" customWidth="1"/>
    <col min="21" max="21" width="15.1640625" customWidth="1"/>
    <col min="22" max="22" width="13.83203125" customWidth="1"/>
    <col min="23" max="23" width="16.1640625" customWidth="1"/>
    <col min="24" max="24" width="14.6640625" customWidth="1"/>
    <col min="25" max="25" width="11.83203125" bestFit="1" customWidth="1"/>
    <col min="26" max="26" width="15.1640625" customWidth="1"/>
    <col min="27" max="27" width="14.5" customWidth="1"/>
    <col min="28" max="35" width="11.83203125" bestFit="1" customWidth="1"/>
    <col min="36" max="36" width="13.5" customWidth="1"/>
    <col min="39" max="39" width="18.1640625" customWidth="1"/>
    <col min="40" max="40" width="15.5" customWidth="1"/>
    <col min="41" max="41" width="16.5" customWidth="1"/>
    <col min="42" max="42" width="13.5" customWidth="1"/>
    <col min="43" max="43" width="21.6640625" customWidth="1"/>
  </cols>
  <sheetData>
    <row r="1" spans="1:22" x14ac:dyDescent="0.2">
      <c r="A1" s="10" t="s">
        <v>105</v>
      </c>
      <c r="B1" s="9" t="s">
        <v>164</v>
      </c>
    </row>
    <row r="2" spans="1:22" x14ac:dyDescent="0.2">
      <c r="B2" s="21" t="s">
        <v>160</v>
      </c>
      <c r="D2" s="1495" t="s">
        <v>37</v>
      </c>
    </row>
    <row r="3" spans="1:22" x14ac:dyDescent="0.2">
      <c r="B3" s="21" t="s">
        <v>157</v>
      </c>
      <c r="C3" s="21" t="s">
        <v>17</v>
      </c>
      <c r="D3" s="1495"/>
    </row>
    <row r="4" spans="1:22" x14ac:dyDescent="0.2">
      <c r="A4" s="7" t="s">
        <v>508</v>
      </c>
      <c r="B4" s="21" t="s">
        <v>177</v>
      </c>
      <c r="C4" s="4">
        <v>-45358630000</v>
      </c>
      <c r="D4" s="4">
        <v>-7812075000</v>
      </c>
    </row>
    <row r="5" spans="1:22" x14ac:dyDescent="0.2">
      <c r="B5" s="21" t="s">
        <v>162</v>
      </c>
      <c r="D5" s="1495" t="s">
        <v>506</v>
      </c>
      <c r="E5" s="21"/>
      <c r="F5" s="1495" t="s">
        <v>507</v>
      </c>
    </row>
    <row r="6" spans="1:22" x14ac:dyDescent="0.2">
      <c r="B6" s="21" t="s">
        <v>161</v>
      </c>
      <c r="D6" s="1495" t="s">
        <v>506</v>
      </c>
      <c r="E6" s="1495" t="s">
        <v>339</v>
      </c>
      <c r="F6" s="1495" t="s">
        <v>507</v>
      </c>
    </row>
    <row r="7" spans="1:22" x14ac:dyDescent="0.2">
      <c r="B7" s="21" t="s">
        <v>160</v>
      </c>
      <c r="D7" s="1495" t="s">
        <v>506</v>
      </c>
      <c r="E7" s="1495"/>
      <c r="F7" s="1495" t="s">
        <v>507</v>
      </c>
    </row>
    <row r="8" spans="1:22" x14ac:dyDescent="0.2">
      <c r="B8" s="21" t="s">
        <v>157</v>
      </c>
      <c r="C8" s="21" t="s">
        <v>70</v>
      </c>
      <c r="D8" s="1495" t="s">
        <v>506</v>
      </c>
      <c r="E8" s="1495"/>
      <c r="F8" s="1495" t="s">
        <v>507</v>
      </c>
    </row>
    <row r="9" spans="1:22" x14ac:dyDescent="0.2">
      <c r="A9" s="7" t="s">
        <v>505</v>
      </c>
      <c r="B9" s="21" t="s">
        <v>177</v>
      </c>
      <c r="C9" s="4">
        <v>-13139430000</v>
      </c>
      <c r="D9" s="4">
        <v>-5496798900</v>
      </c>
      <c r="E9" s="4">
        <v>-1854035000</v>
      </c>
      <c r="F9" s="4">
        <v>-3650000</v>
      </c>
    </row>
    <row r="10" spans="1:22" x14ac:dyDescent="0.2">
      <c r="B10" s="21" t="s">
        <v>162</v>
      </c>
      <c r="F10" s="1495" t="s">
        <v>339</v>
      </c>
    </row>
    <row r="11" spans="1:22" x14ac:dyDescent="0.2">
      <c r="B11" s="21" t="s">
        <v>161</v>
      </c>
      <c r="F11" s="1495" t="s">
        <v>339</v>
      </c>
    </row>
    <row r="12" spans="1:22" x14ac:dyDescent="0.2">
      <c r="B12" s="21" t="s">
        <v>160</v>
      </c>
      <c r="F12" s="1495" t="s">
        <v>339</v>
      </c>
    </row>
    <row r="13" spans="1:22" x14ac:dyDescent="0.2">
      <c r="B13" s="21" t="s">
        <v>157</v>
      </c>
      <c r="C13" s="21" t="s">
        <v>61</v>
      </c>
      <c r="D13" s="21" t="s">
        <v>12</v>
      </c>
      <c r="E13" s="21" t="s">
        <v>183</v>
      </c>
      <c r="F13" s="1495" t="s">
        <v>339</v>
      </c>
      <c r="G13" s="21" t="s">
        <v>83</v>
      </c>
    </row>
    <row r="14" spans="1:22" x14ac:dyDescent="0.2">
      <c r="A14" s="7" t="s">
        <v>503</v>
      </c>
      <c r="B14" s="21" t="s">
        <v>177</v>
      </c>
      <c r="C14" s="4">
        <v>-14910170000</v>
      </c>
      <c r="D14" s="4">
        <v>-13947510000</v>
      </c>
      <c r="E14" s="4">
        <v>-9470195000</v>
      </c>
      <c r="F14" s="4">
        <v>-656740000</v>
      </c>
      <c r="G14" s="4">
        <v>-1400000</v>
      </c>
    </row>
    <row r="15" spans="1:22" x14ac:dyDescent="0.2">
      <c r="B15" s="21" t="s">
        <v>162</v>
      </c>
      <c r="C15" s="1495" t="s">
        <v>79</v>
      </c>
      <c r="D15" s="1495" t="s">
        <v>40</v>
      </c>
      <c r="E15" s="1495" t="s">
        <v>176</v>
      </c>
      <c r="F15" s="1495" t="s">
        <v>36</v>
      </c>
      <c r="G15" s="1495" t="s">
        <v>348</v>
      </c>
      <c r="H15" s="1495" t="s">
        <v>74</v>
      </c>
      <c r="I15" s="1495" t="s">
        <v>27</v>
      </c>
      <c r="J15" s="1495" t="s">
        <v>62</v>
      </c>
      <c r="K15" s="1495" t="s">
        <v>72</v>
      </c>
      <c r="L15" s="1495" t="s">
        <v>187</v>
      </c>
      <c r="N15" s="1495" t="s">
        <v>198</v>
      </c>
      <c r="P15" s="1495" t="s">
        <v>502</v>
      </c>
      <c r="Q15" s="1495" t="s">
        <v>287</v>
      </c>
      <c r="S15" s="1495" t="s">
        <v>289</v>
      </c>
      <c r="U15" s="1495" t="s">
        <v>448</v>
      </c>
      <c r="V15" s="1495" t="s">
        <v>179</v>
      </c>
    </row>
    <row r="16" spans="1:22" x14ac:dyDescent="0.2">
      <c r="B16" s="21" t="s">
        <v>161</v>
      </c>
      <c r="C16" s="1495" t="s">
        <v>79</v>
      </c>
      <c r="D16" s="1495" t="s">
        <v>40</v>
      </c>
      <c r="E16" s="1495" t="s">
        <v>176</v>
      </c>
      <c r="F16" s="1495" t="s">
        <v>36</v>
      </c>
      <c r="G16" s="1495" t="s">
        <v>348</v>
      </c>
      <c r="H16" s="1495" t="s">
        <v>74</v>
      </c>
      <c r="I16" s="1495"/>
      <c r="J16" s="1495" t="s">
        <v>62</v>
      </c>
      <c r="K16" s="1495" t="s">
        <v>72</v>
      </c>
      <c r="L16" s="1495" t="s">
        <v>187</v>
      </c>
      <c r="N16" s="1495"/>
      <c r="P16" s="1495" t="s">
        <v>502</v>
      </c>
      <c r="Q16" s="1495" t="s">
        <v>287</v>
      </c>
      <c r="S16" s="1495" t="s">
        <v>289</v>
      </c>
      <c r="U16" s="1495" t="s">
        <v>448</v>
      </c>
      <c r="V16" s="1495" t="s">
        <v>179</v>
      </c>
    </row>
    <row r="17" spans="1:22" x14ac:dyDescent="0.2">
      <c r="B17" s="21" t="s">
        <v>160</v>
      </c>
      <c r="C17" s="1495" t="s">
        <v>79</v>
      </c>
      <c r="D17" s="1495" t="s">
        <v>40</v>
      </c>
      <c r="E17" s="1495" t="s">
        <v>176</v>
      </c>
      <c r="F17" s="1495" t="s">
        <v>36</v>
      </c>
      <c r="G17" s="1495" t="s">
        <v>348</v>
      </c>
      <c r="H17" s="1495" t="s">
        <v>74</v>
      </c>
      <c r="I17" s="1495"/>
      <c r="J17" s="1495" t="s">
        <v>62</v>
      </c>
      <c r="K17" s="1495" t="s">
        <v>72</v>
      </c>
      <c r="L17" s="1495" t="s">
        <v>187</v>
      </c>
      <c r="N17" s="1495" t="s">
        <v>198</v>
      </c>
      <c r="P17" s="1495" t="s">
        <v>502</v>
      </c>
      <c r="Q17" s="1495" t="s">
        <v>287</v>
      </c>
      <c r="S17" s="1495" t="s">
        <v>289</v>
      </c>
      <c r="U17" s="1495" t="s">
        <v>448</v>
      </c>
      <c r="V17" s="1495" t="s">
        <v>179</v>
      </c>
    </row>
    <row r="18" spans="1:22" x14ac:dyDescent="0.2">
      <c r="B18" s="21" t="s">
        <v>157</v>
      </c>
      <c r="C18" s="1495" t="s">
        <v>79</v>
      </c>
      <c r="D18" s="1495" t="s">
        <v>40</v>
      </c>
      <c r="E18" s="1495" t="s">
        <v>176</v>
      </c>
      <c r="F18" s="1495" t="s">
        <v>36</v>
      </c>
      <c r="G18" s="1495" t="s">
        <v>348</v>
      </c>
      <c r="H18" s="1495" t="s">
        <v>74</v>
      </c>
      <c r="I18" s="1495" t="s">
        <v>27</v>
      </c>
      <c r="J18" s="1495" t="s">
        <v>62</v>
      </c>
      <c r="K18" s="1495" t="s">
        <v>72</v>
      </c>
      <c r="L18" s="1495" t="s">
        <v>187</v>
      </c>
      <c r="M18" s="21" t="s">
        <v>61</v>
      </c>
      <c r="N18" s="1495" t="s">
        <v>198</v>
      </c>
      <c r="O18" s="21" t="s">
        <v>183</v>
      </c>
      <c r="P18" s="1495" t="s">
        <v>502</v>
      </c>
      <c r="Q18" s="1495" t="s">
        <v>287</v>
      </c>
      <c r="R18" s="21" t="s">
        <v>31</v>
      </c>
      <c r="S18" s="1495" t="s">
        <v>289</v>
      </c>
      <c r="T18" s="21" t="s">
        <v>171</v>
      </c>
      <c r="U18" s="1495" t="s">
        <v>448</v>
      </c>
      <c r="V18" s="1495" t="s">
        <v>179</v>
      </c>
    </row>
    <row r="19" spans="1:22" x14ac:dyDescent="0.2">
      <c r="A19" s="7" t="s">
        <v>500</v>
      </c>
      <c r="B19" s="21" t="s">
        <v>177</v>
      </c>
      <c r="C19" s="4">
        <v>-157451634000</v>
      </c>
      <c r="D19" s="4">
        <v>-154502020000</v>
      </c>
      <c r="E19" s="4">
        <v>-72503720000</v>
      </c>
      <c r="F19" s="4">
        <v>-60058410000</v>
      </c>
      <c r="G19" s="4">
        <v>-29171060000</v>
      </c>
      <c r="H19" s="4">
        <v>-24002925000</v>
      </c>
      <c r="I19" s="4">
        <v>-19172215000</v>
      </c>
      <c r="J19" s="4">
        <v>-17108910000</v>
      </c>
      <c r="K19" s="4">
        <v>-11722960000</v>
      </c>
      <c r="L19" s="4">
        <v>-10015959000</v>
      </c>
      <c r="M19" s="4">
        <v>-8150780000</v>
      </c>
      <c r="N19" s="4">
        <v>-5483780000</v>
      </c>
      <c r="O19" s="4">
        <v>-3329130000</v>
      </c>
      <c r="P19" s="4">
        <v>-2448000000</v>
      </c>
      <c r="Q19" s="4">
        <v>-2025840000</v>
      </c>
      <c r="R19" s="4">
        <v>-1517375000</v>
      </c>
      <c r="S19" s="4">
        <v>-912100000</v>
      </c>
      <c r="T19" s="4">
        <v>-867870000</v>
      </c>
      <c r="U19" s="4">
        <v>-746200000</v>
      </c>
      <c r="V19" s="4">
        <v>-630220000</v>
      </c>
    </row>
    <row r="20" spans="1:22" x14ac:dyDescent="0.2">
      <c r="B20" s="21" t="s">
        <v>162</v>
      </c>
      <c r="E20" s="21"/>
      <c r="G20" s="1495" t="s">
        <v>265</v>
      </c>
      <c r="J20" s="1495" t="s">
        <v>348</v>
      </c>
      <c r="K20" s="1495" t="s">
        <v>194</v>
      </c>
      <c r="P20" s="1495" t="s">
        <v>467</v>
      </c>
      <c r="Q20" s="1495" t="s">
        <v>292</v>
      </c>
    </row>
    <row r="21" spans="1:22" x14ac:dyDescent="0.2">
      <c r="B21" s="21" t="s">
        <v>161</v>
      </c>
      <c r="E21" s="1495" t="s">
        <v>64</v>
      </c>
      <c r="G21" s="1495" t="s">
        <v>265</v>
      </c>
      <c r="J21" s="1495" t="s">
        <v>348</v>
      </c>
      <c r="K21" s="1495" t="s">
        <v>194</v>
      </c>
      <c r="P21" s="1495" t="s">
        <v>467</v>
      </c>
      <c r="Q21" s="1495" t="s">
        <v>292</v>
      </c>
    </row>
    <row r="22" spans="1:22" x14ac:dyDescent="0.2">
      <c r="B22" s="21" t="s">
        <v>160</v>
      </c>
      <c r="E22" s="1495"/>
      <c r="G22" s="1495" t="s">
        <v>265</v>
      </c>
      <c r="H22" s="1495" t="s">
        <v>65</v>
      </c>
      <c r="J22" s="1495" t="s">
        <v>348</v>
      </c>
      <c r="K22" s="1495" t="s">
        <v>194</v>
      </c>
      <c r="M22" s="1495" t="s">
        <v>62</v>
      </c>
      <c r="P22" s="1495" t="s">
        <v>467</v>
      </c>
      <c r="Q22" s="1495" t="s">
        <v>292</v>
      </c>
      <c r="R22" s="1495" t="s">
        <v>16</v>
      </c>
    </row>
    <row r="23" spans="1:22" x14ac:dyDescent="0.2">
      <c r="B23" s="21" t="s">
        <v>157</v>
      </c>
      <c r="C23" s="21" t="s">
        <v>79</v>
      </c>
      <c r="D23" s="21" t="s">
        <v>15</v>
      </c>
      <c r="E23" s="1495"/>
      <c r="F23" s="21" t="s">
        <v>32</v>
      </c>
      <c r="G23" s="1495" t="s">
        <v>265</v>
      </c>
      <c r="H23" s="1495" t="s">
        <v>65</v>
      </c>
      <c r="I23" s="21" t="s">
        <v>34</v>
      </c>
      <c r="J23" s="1495" t="s">
        <v>348</v>
      </c>
      <c r="K23" s="1495" t="s">
        <v>194</v>
      </c>
      <c r="L23" s="21" t="s">
        <v>212</v>
      </c>
      <c r="M23" s="1495" t="s">
        <v>62</v>
      </c>
      <c r="N23" s="21" t="s">
        <v>187</v>
      </c>
      <c r="O23" s="21" t="s">
        <v>6</v>
      </c>
      <c r="P23" s="1495" t="s">
        <v>467</v>
      </c>
      <c r="Q23" s="1495" t="s">
        <v>292</v>
      </c>
      <c r="R23" s="1495" t="s">
        <v>16</v>
      </c>
      <c r="S23" s="21" t="s">
        <v>63</v>
      </c>
    </row>
    <row r="24" spans="1:22" x14ac:dyDescent="0.2">
      <c r="A24" s="7" t="s">
        <v>497</v>
      </c>
      <c r="B24" s="21" t="s">
        <v>177</v>
      </c>
      <c r="C24" s="4">
        <v>-80236095000</v>
      </c>
      <c r="D24" s="4">
        <v>-80109102000</v>
      </c>
      <c r="E24" s="4">
        <v>-52085400000</v>
      </c>
      <c r="F24" s="4">
        <v>-51721077000</v>
      </c>
      <c r="G24" s="4">
        <v>-49320000000</v>
      </c>
      <c r="H24" s="4">
        <v>-27440200000</v>
      </c>
      <c r="I24" s="4">
        <v>-21645080000</v>
      </c>
      <c r="J24" s="4">
        <v>-17185410000</v>
      </c>
      <c r="K24" s="4">
        <v>-14875612000</v>
      </c>
      <c r="L24" s="4">
        <v>-14362760000</v>
      </c>
      <c r="M24" s="4">
        <v>-12305350000</v>
      </c>
      <c r="N24" s="4">
        <v>-4813508000</v>
      </c>
      <c r="O24" s="4">
        <v>-3087060000</v>
      </c>
      <c r="P24" s="4">
        <v>-2687440000</v>
      </c>
      <c r="Q24" s="4">
        <v>-1128000000</v>
      </c>
      <c r="R24" s="4">
        <v>-1120140000</v>
      </c>
      <c r="S24" s="4">
        <v>-714302400</v>
      </c>
    </row>
    <row r="25" spans="1:22" x14ac:dyDescent="0.2">
      <c r="B25" s="21" t="s">
        <v>162</v>
      </c>
      <c r="C25" s="1495" t="s">
        <v>269</v>
      </c>
      <c r="D25" s="1495" t="s">
        <v>9</v>
      </c>
      <c r="E25" s="1495" t="s">
        <v>286</v>
      </c>
      <c r="F25" s="21"/>
      <c r="G25" s="21"/>
      <c r="H25" s="21"/>
      <c r="I25" s="1495" t="s">
        <v>442</v>
      </c>
    </row>
    <row r="26" spans="1:22" x14ac:dyDescent="0.2">
      <c r="B26" s="21" t="s">
        <v>161</v>
      </c>
      <c r="C26" s="1495" t="s">
        <v>269</v>
      </c>
      <c r="D26" s="1495" t="s">
        <v>9</v>
      </c>
      <c r="E26" s="1495" t="s">
        <v>286</v>
      </c>
      <c r="I26" s="1495" t="s">
        <v>442</v>
      </c>
    </row>
    <row r="27" spans="1:22" x14ac:dyDescent="0.2">
      <c r="B27" s="21" t="s">
        <v>160</v>
      </c>
      <c r="C27" s="1495" t="s">
        <v>269</v>
      </c>
      <c r="D27" s="1495" t="s">
        <v>9</v>
      </c>
      <c r="E27" s="1495" t="s">
        <v>286</v>
      </c>
      <c r="I27" s="1495" t="s">
        <v>442</v>
      </c>
    </row>
    <row r="28" spans="1:22" x14ac:dyDescent="0.2">
      <c r="B28" s="21" t="s">
        <v>157</v>
      </c>
      <c r="C28" s="1495" t="s">
        <v>269</v>
      </c>
      <c r="D28" s="1495" t="s">
        <v>9</v>
      </c>
      <c r="E28" s="1495" t="s">
        <v>286</v>
      </c>
      <c r="F28" s="21" t="s">
        <v>163</v>
      </c>
      <c r="G28" s="21" t="s">
        <v>192</v>
      </c>
      <c r="H28" s="21" t="s">
        <v>443</v>
      </c>
      <c r="I28" s="1495" t="s">
        <v>442</v>
      </c>
    </row>
    <row r="29" spans="1:22" x14ac:dyDescent="0.2">
      <c r="A29" s="7" t="s">
        <v>494</v>
      </c>
      <c r="B29" s="21" t="s">
        <v>177</v>
      </c>
      <c r="C29" s="4">
        <v>-87396905000</v>
      </c>
      <c r="D29" s="4">
        <v>-12874065000</v>
      </c>
      <c r="E29" s="4">
        <v>-9944400000</v>
      </c>
      <c r="F29" s="4">
        <v>-2540400000</v>
      </c>
      <c r="G29" s="4">
        <v>-960000000</v>
      </c>
      <c r="H29" s="4">
        <v>-18907000</v>
      </c>
      <c r="I29" s="4">
        <v>-2358000</v>
      </c>
    </row>
    <row r="30" spans="1:22" x14ac:dyDescent="0.2">
      <c r="B30" s="21" t="s">
        <v>162</v>
      </c>
      <c r="C30" s="1495" t="s">
        <v>21</v>
      </c>
      <c r="D30" s="1495" t="s">
        <v>468</v>
      </c>
      <c r="E30" s="1495" t="s">
        <v>74</v>
      </c>
      <c r="F30" s="1495" t="s">
        <v>415</v>
      </c>
      <c r="G30" s="1495" t="s">
        <v>348</v>
      </c>
      <c r="H30" s="21"/>
      <c r="I30" s="21"/>
    </row>
    <row r="31" spans="1:22" x14ac:dyDescent="0.2">
      <c r="B31" s="21" t="s">
        <v>161</v>
      </c>
      <c r="C31" s="1495" t="s">
        <v>21</v>
      </c>
      <c r="D31" s="1495" t="s">
        <v>468</v>
      </c>
      <c r="E31" s="1495" t="s">
        <v>74</v>
      </c>
      <c r="F31" s="1495" t="s">
        <v>415</v>
      </c>
      <c r="G31" s="1495" t="s">
        <v>348</v>
      </c>
    </row>
    <row r="32" spans="1:22" x14ac:dyDescent="0.2">
      <c r="B32" s="21" t="s">
        <v>160</v>
      </c>
      <c r="C32" s="1495" t="s">
        <v>21</v>
      </c>
      <c r="D32" s="1495" t="s">
        <v>468</v>
      </c>
      <c r="E32" s="1495" t="s">
        <v>74</v>
      </c>
      <c r="F32" s="1495" t="s">
        <v>415</v>
      </c>
      <c r="G32" s="1495" t="s">
        <v>348</v>
      </c>
    </row>
    <row r="33" spans="1:12" x14ac:dyDescent="0.2">
      <c r="B33" s="21" t="s">
        <v>157</v>
      </c>
      <c r="C33" s="1495" t="s">
        <v>21</v>
      </c>
      <c r="D33" s="1495" t="s">
        <v>468</v>
      </c>
      <c r="E33" s="1495" t="s">
        <v>74</v>
      </c>
      <c r="F33" s="1495" t="s">
        <v>415</v>
      </c>
      <c r="G33" s="1495" t="s">
        <v>348</v>
      </c>
      <c r="H33" s="21" t="s">
        <v>194</v>
      </c>
      <c r="I33" s="21" t="s">
        <v>42</v>
      </c>
    </row>
    <row r="34" spans="1:12" x14ac:dyDescent="0.2">
      <c r="A34" s="7" t="s">
        <v>491</v>
      </c>
      <c r="B34" s="21" t="s">
        <v>177</v>
      </c>
      <c r="C34" s="4">
        <v>-99128340000</v>
      </c>
      <c r="D34" s="4">
        <v>-31721380000</v>
      </c>
      <c r="E34" s="4">
        <v>-10390000000</v>
      </c>
      <c r="F34" s="4">
        <v>-5868930000</v>
      </c>
      <c r="G34" s="4">
        <v>-4388410000</v>
      </c>
      <c r="H34" s="4">
        <v>-4248735000</v>
      </c>
      <c r="I34" s="4">
        <v>-3268490000</v>
      </c>
    </row>
    <row r="35" spans="1:12" x14ac:dyDescent="0.2">
      <c r="B35" s="21" t="s">
        <v>162</v>
      </c>
      <c r="C35" s="1495" t="s">
        <v>415</v>
      </c>
      <c r="D35" s="1495" t="s">
        <v>301</v>
      </c>
      <c r="G35" s="1495" t="s">
        <v>470</v>
      </c>
      <c r="H35" s="1495" t="s">
        <v>443</v>
      </c>
      <c r="I35" s="1495" t="s">
        <v>476</v>
      </c>
    </row>
    <row r="36" spans="1:12" x14ac:dyDescent="0.2">
      <c r="B36" s="21" t="s">
        <v>161</v>
      </c>
      <c r="C36" s="1495" t="s">
        <v>415</v>
      </c>
      <c r="D36" s="1495" t="s">
        <v>301</v>
      </c>
      <c r="G36" s="1495" t="s">
        <v>470</v>
      </c>
      <c r="H36" s="1495" t="s">
        <v>443</v>
      </c>
      <c r="I36" s="1495" t="s">
        <v>476</v>
      </c>
    </row>
    <row r="37" spans="1:12" x14ac:dyDescent="0.2">
      <c r="B37" s="21" t="s">
        <v>160</v>
      </c>
      <c r="C37" s="1495" t="s">
        <v>415</v>
      </c>
      <c r="D37" s="1495" t="s">
        <v>301</v>
      </c>
      <c r="F37" s="1495" t="s">
        <v>180</v>
      </c>
      <c r="G37" s="1495" t="s">
        <v>470</v>
      </c>
      <c r="H37" s="1495" t="s">
        <v>443</v>
      </c>
      <c r="I37" s="1495" t="s">
        <v>476</v>
      </c>
    </row>
    <row r="38" spans="1:12" x14ac:dyDescent="0.2">
      <c r="B38" s="21" t="s">
        <v>157</v>
      </c>
      <c r="C38" s="1495" t="s">
        <v>415</v>
      </c>
      <c r="D38" s="1495" t="s">
        <v>301</v>
      </c>
      <c r="E38" s="21" t="s">
        <v>99</v>
      </c>
      <c r="F38" s="1495" t="s">
        <v>180</v>
      </c>
      <c r="G38" s="1495" t="s">
        <v>470</v>
      </c>
      <c r="H38" s="1495" t="s">
        <v>443</v>
      </c>
      <c r="I38" s="1495" t="s">
        <v>476</v>
      </c>
    </row>
    <row r="39" spans="1:12" x14ac:dyDescent="0.2">
      <c r="A39" s="7" t="s">
        <v>483</v>
      </c>
      <c r="B39" s="21" t="s">
        <v>177</v>
      </c>
      <c r="C39" s="4">
        <v>-5618840000</v>
      </c>
      <c r="D39" s="4">
        <v>-2605380000</v>
      </c>
      <c r="E39" s="4">
        <v>-2498410000</v>
      </c>
      <c r="F39" s="4">
        <v>-2283020000</v>
      </c>
      <c r="G39" s="4">
        <v>-306315000</v>
      </c>
      <c r="H39" s="4">
        <v>-282150000</v>
      </c>
      <c r="I39" s="4">
        <v>-109877000</v>
      </c>
    </row>
    <row r="40" spans="1:12" x14ac:dyDescent="0.2">
      <c r="B40" s="21" t="s">
        <v>162</v>
      </c>
      <c r="D40" s="1495" t="s">
        <v>475</v>
      </c>
      <c r="E40" s="1495" t="s">
        <v>476</v>
      </c>
    </row>
    <row r="41" spans="1:12" x14ac:dyDescent="0.2">
      <c r="B41" s="21" t="s">
        <v>161</v>
      </c>
      <c r="D41" s="1495" t="s">
        <v>475</v>
      </c>
      <c r="E41" s="1495" t="s">
        <v>476</v>
      </c>
    </row>
    <row r="42" spans="1:12" x14ac:dyDescent="0.2">
      <c r="B42" s="21" t="s">
        <v>160</v>
      </c>
      <c r="D42" s="1495" t="s">
        <v>475</v>
      </c>
      <c r="E42" s="1495" t="s">
        <v>476</v>
      </c>
    </row>
    <row r="43" spans="1:12" x14ac:dyDescent="0.2">
      <c r="B43" s="21" t="s">
        <v>157</v>
      </c>
      <c r="C43" s="21" t="s">
        <v>34</v>
      </c>
      <c r="D43" s="1495" t="s">
        <v>475</v>
      </c>
      <c r="E43" s="1495" t="s">
        <v>476</v>
      </c>
    </row>
    <row r="44" spans="1:12" x14ac:dyDescent="0.2">
      <c r="A44" s="7" t="s">
        <v>473</v>
      </c>
      <c r="B44" s="21" t="s">
        <v>177</v>
      </c>
      <c r="C44" s="4">
        <v>-8863709000</v>
      </c>
      <c r="D44" s="4">
        <v>-388425000</v>
      </c>
      <c r="E44" s="4">
        <v>-43044000</v>
      </c>
    </row>
    <row r="45" spans="1:12" x14ac:dyDescent="0.2">
      <c r="B45" s="21" t="s">
        <v>162</v>
      </c>
      <c r="C45" s="1495" t="s">
        <v>190</v>
      </c>
      <c r="D45" s="1495" t="s">
        <v>26</v>
      </c>
      <c r="H45" s="1495" t="s">
        <v>467</v>
      </c>
      <c r="I45" s="1495" t="s">
        <v>85</v>
      </c>
      <c r="J45" s="1495" t="s">
        <v>72</v>
      </c>
      <c r="K45" s="1495" t="s">
        <v>165</v>
      </c>
      <c r="L45" s="1495" t="s">
        <v>270</v>
      </c>
    </row>
    <row r="46" spans="1:12" x14ac:dyDescent="0.2">
      <c r="B46" s="21" t="s">
        <v>161</v>
      </c>
      <c r="C46" s="1495"/>
      <c r="D46" s="1495" t="s">
        <v>26</v>
      </c>
      <c r="H46" s="1495" t="s">
        <v>467</v>
      </c>
      <c r="I46" s="1495" t="s">
        <v>85</v>
      </c>
      <c r="J46" s="1495" t="s">
        <v>72</v>
      </c>
      <c r="K46" s="1495" t="s">
        <v>165</v>
      </c>
      <c r="L46" s="1495" t="s">
        <v>270</v>
      </c>
    </row>
    <row r="47" spans="1:12" x14ac:dyDescent="0.2">
      <c r="B47" s="21" t="s">
        <v>160</v>
      </c>
      <c r="C47" s="1495"/>
      <c r="D47" s="1495" t="s">
        <v>26</v>
      </c>
      <c r="E47" s="1495" t="s">
        <v>86</v>
      </c>
      <c r="F47" s="1495" t="s">
        <v>88</v>
      </c>
      <c r="G47" s="1495" t="s">
        <v>97</v>
      </c>
      <c r="H47" s="1495" t="s">
        <v>467</v>
      </c>
      <c r="I47" s="1495" t="s">
        <v>85</v>
      </c>
      <c r="J47" s="1495" t="s">
        <v>72</v>
      </c>
      <c r="K47" s="1495" t="s">
        <v>165</v>
      </c>
      <c r="L47" s="1495" t="s">
        <v>270</v>
      </c>
    </row>
    <row r="48" spans="1:12" x14ac:dyDescent="0.2">
      <c r="B48" s="21" t="s">
        <v>157</v>
      </c>
      <c r="C48" s="1495"/>
      <c r="D48" s="1495" t="s">
        <v>26</v>
      </c>
      <c r="E48" s="1495"/>
      <c r="F48" s="1495" t="s">
        <v>88</v>
      </c>
      <c r="G48" s="1495" t="s">
        <v>97</v>
      </c>
      <c r="H48" s="1495" t="s">
        <v>467</v>
      </c>
      <c r="I48" s="1495" t="s">
        <v>85</v>
      </c>
      <c r="J48" s="1495" t="s">
        <v>72</v>
      </c>
      <c r="K48" s="1495" t="s">
        <v>165</v>
      </c>
      <c r="L48" s="1495" t="s">
        <v>270</v>
      </c>
    </row>
    <row r="49" spans="1:36" x14ac:dyDescent="0.2">
      <c r="A49" s="7" t="s">
        <v>428</v>
      </c>
      <c r="B49" s="21" t="s">
        <v>177</v>
      </c>
      <c r="C49" s="4">
        <v>-5352485000</v>
      </c>
      <c r="D49" s="4">
        <v>-4257765000</v>
      </c>
      <c r="E49" s="4">
        <v>-1578065000</v>
      </c>
      <c r="F49" s="4">
        <v>-897150000</v>
      </c>
      <c r="G49" s="4">
        <v>-769600000</v>
      </c>
      <c r="H49" s="4">
        <v>-669840000</v>
      </c>
      <c r="I49" s="4">
        <v>-500500000</v>
      </c>
      <c r="J49" s="4">
        <v>-269700000</v>
      </c>
      <c r="K49" s="4">
        <v>-214530000</v>
      </c>
      <c r="L49" s="4">
        <v>-118620000</v>
      </c>
    </row>
    <row r="50" spans="1:36" x14ac:dyDescent="0.2">
      <c r="B50" s="21" t="s">
        <v>162</v>
      </c>
      <c r="C50" s="1495" t="s">
        <v>294</v>
      </c>
      <c r="D50" s="1495" t="s">
        <v>359</v>
      </c>
      <c r="E50" s="1495" t="s">
        <v>415</v>
      </c>
      <c r="F50" s="1495" t="s">
        <v>192</v>
      </c>
      <c r="G50" s="1495" t="s">
        <v>269</v>
      </c>
    </row>
    <row r="51" spans="1:36" x14ac:dyDescent="0.2">
      <c r="B51" s="21" t="s">
        <v>161</v>
      </c>
      <c r="C51" s="1495" t="s">
        <v>294</v>
      </c>
      <c r="D51" s="1495" t="s">
        <v>359</v>
      </c>
      <c r="E51" s="1495" t="s">
        <v>415</v>
      </c>
      <c r="F51" s="1495" t="s">
        <v>192</v>
      </c>
      <c r="G51" s="1495" t="s">
        <v>269</v>
      </c>
    </row>
    <row r="52" spans="1:36" x14ac:dyDescent="0.2">
      <c r="B52" s="21" t="s">
        <v>160</v>
      </c>
      <c r="C52" s="1495" t="s">
        <v>294</v>
      </c>
      <c r="D52" s="1495" t="s">
        <v>359</v>
      </c>
      <c r="E52" s="1495" t="s">
        <v>415</v>
      </c>
      <c r="F52" s="1495" t="s">
        <v>192</v>
      </c>
      <c r="G52" s="1495" t="s">
        <v>269</v>
      </c>
    </row>
    <row r="53" spans="1:36" x14ac:dyDescent="0.2">
      <c r="B53" s="21" t="s">
        <v>157</v>
      </c>
      <c r="C53" s="1495" t="s">
        <v>294</v>
      </c>
      <c r="D53" s="1495" t="s">
        <v>359</v>
      </c>
      <c r="E53" s="1495" t="s">
        <v>415</v>
      </c>
      <c r="F53" s="1495" t="s">
        <v>192</v>
      </c>
      <c r="G53" s="1495" t="s">
        <v>269</v>
      </c>
    </row>
    <row r="54" spans="1:36" x14ac:dyDescent="0.2">
      <c r="A54" s="7" t="s">
        <v>427</v>
      </c>
      <c r="B54" s="21" t="s">
        <v>177</v>
      </c>
      <c r="C54" s="4">
        <v>-1872360000</v>
      </c>
      <c r="D54" s="4">
        <v>-1277120000</v>
      </c>
      <c r="E54" s="4">
        <v>-1100100000</v>
      </c>
      <c r="F54" s="4">
        <v>-1003630000</v>
      </c>
      <c r="G54" s="4">
        <v>-563554000</v>
      </c>
    </row>
    <row r="55" spans="1:36" x14ac:dyDescent="0.2">
      <c r="B55" s="21" t="s">
        <v>162</v>
      </c>
      <c r="C55" s="1495" t="s">
        <v>77</v>
      </c>
    </row>
    <row r="56" spans="1:36" x14ac:dyDescent="0.2">
      <c r="B56" s="21" t="s">
        <v>161</v>
      </c>
      <c r="C56" s="1495" t="s">
        <v>77</v>
      </c>
    </row>
    <row r="57" spans="1:36" x14ac:dyDescent="0.2">
      <c r="B57" s="21" t="s">
        <v>160</v>
      </c>
      <c r="C57" s="1495" t="s">
        <v>77</v>
      </c>
    </row>
    <row r="58" spans="1:36" x14ac:dyDescent="0.2">
      <c r="B58" s="21" t="s">
        <v>157</v>
      </c>
      <c r="C58" s="1495" t="s">
        <v>77</v>
      </c>
      <c r="D58" s="21" t="s">
        <v>11</v>
      </c>
      <c r="E58" s="21" t="s">
        <v>76</v>
      </c>
    </row>
    <row r="59" spans="1:36" x14ac:dyDescent="0.2">
      <c r="A59" s="7" t="s">
        <v>425</v>
      </c>
      <c r="B59" s="21" t="s">
        <v>177</v>
      </c>
      <c r="C59" s="4">
        <v>-88081648000</v>
      </c>
      <c r="D59" s="4">
        <v>-4504800000</v>
      </c>
      <c r="E59" s="4">
        <v>-1863700000</v>
      </c>
    </row>
    <row r="60" spans="1:36" x14ac:dyDescent="0.2">
      <c r="B60" s="21" t="s">
        <v>162</v>
      </c>
      <c r="C60" s="1495" t="s">
        <v>59</v>
      </c>
      <c r="D60" s="1495" t="s">
        <v>13</v>
      </c>
      <c r="E60" s="1495" t="s">
        <v>296</v>
      </c>
      <c r="F60" s="1495" t="s">
        <v>166</v>
      </c>
      <c r="H60" s="1495" t="s">
        <v>77</v>
      </c>
      <c r="J60" s="1495" t="s">
        <v>89</v>
      </c>
      <c r="K60" s="1495" t="s">
        <v>26</v>
      </c>
      <c r="T60" s="1495" t="s">
        <v>188</v>
      </c>
      <c r="U60" s="1495" t="s">
        <v>467</v>
      </c>
      <c r="W60" s="1495" t="s">
        <v>286</v>
      </c>
      <c r="Y60" s="1495" t="s">
        <v>269</v>
      </c>
      <c r="Z60" s="1495" t="s">
        <v>168</v>
      </c>
      <c r="AB60" s="1495" t="s">
        <v>274</v>
      </c>
      <c r="AC60" s="1495" t="s">
        <v>96</v>
      </c>
      <c r="AE60" s="1495" t="s">
        <v>41</v>
      </c>
      <c r="AF60" s="1495" t="s">
        <v>469</v>
      </c>
      <c r="AG60" s="1495" t="s">
        <v>60</v>
      </c>
      <c r="AI60" s="1495" t="s">
        <v>285</v>
      </c>
      <c r="AJ60" s="1495" t="s">
        <v>270</v>
      </c>
    </row>
    <row r="61" spans="1:36" x14ac:dyDescent="0.2">
      <c r="B61" s="21" t="s">
        <v>161</v>
      </c>
      <c r="C61" s="1495" t="s">
        <v>59</v>
      </c>
      <c r="D61" s="1495" t="s">
        <v>13</v>
      </c>
      <c r="E61" s="1495" t="s">
        <v>296</v>
      </c>
      <c r="F61" s="1495" t="s">
        <v>166</v>
      </c>
      <c r="H61" s="1495" t="s">
        <v>77</v>
      </c>
      <c r="J61" s="1495" t="s">
        <v>89</v>
      </c>
      <c r="K61" s="1495" t="s">
        <v>26</v>
      </c>
      <c r="T61" s="1495" t="s">
        <v>188</v>
      </c>
      <c r="U61" s="1495" t="s">
        <v>467</v>
      </c>
      <c r="W61" s="1495" t="s">
        <v>286</v>
      </c>
      <c r="Y61" s="1495" t="s">
        <v>269</v>
      </c>
      <c r="Z61" s="1495" t="s">
        <v>168</v>
      </c>
      <c r="AB61" s="1495" t="s">
        <v>274</v>
      </c>
      <c r="AC61" s="1495" t="s">
        <v>96</v>
      </c>
      <c r="AE61" s="1495" t="s">
        <v>41</v>
      </c>
      <c r="AF61" s="1495" t="s">
        <v>469</v>
      </c>
      <c r="AG61" s="1495" t="s">
        <v>60</v>
      </c>
      <c r="AI61" s="1495" t="s">
        <v>285</v>
      </c>
      <c r="AJ61" s="1495" t="s">
        <v>270</v>
      </c>
    </row>
    <row r="62" spans="1:36" x14ac:dyDescent="0.2">
      <c r="B62" s="21" t="s">
        <v>160</v>
      </c>
      <c r="C62" s="1495" t="s">
        <v>59</v>
      </c>
      <c r="D62" s="1495" t="s">
        <v>13</v>
      </c>
      <c r="E62" s="1495" t="s">
        <v>296</v>
      </c>
      <c r="F62" s="1495" t="s">
        <v>166</v>
      </c>
      <c r="G62" s="1495" t="s">
        <v>23</v>
      </c>
      <c r="H62" s="1495" t="s">
        <v>77</v>
      </c>
      <c r="J62" s="1495" t="s">
        <v>89</v>
      </c>
      <c r="K62" s="1495" t="s">
        <v>26</v>
      </c>
      <c r="L62" s="1495" t="s">
        <v>86</v>
      </c>
      <c r="N62" s="1495" t="s">
        <v>88</v>
      </c>
      <c r="Q62" s="1495" t="s">
        <v>97</v>
      </c>
      <c r="R62" s="1495" t="s">
        <v>313</v>
      </c>
      <c r="S62" s="1495" t="s">
        <v>16</v>
      </c>
      <c r="T62" s="1495" t="s">
        <v>188</v>
      </c>
      <c r="U62" s="1495" t="s">
        <v>467</v>
      </c>
      <c r="W62" s="1495" t="s">
        <v>286</v>
      </c>
      <c r="Y62" s="1495" t="s">
        <v>269</v>
      </c>
      <c r="Z62" s="1495" t="s">
        <v>168</v>
      </c>
      <c r="AA62" s="1495" t="s">
        <v>325</v>
      </c>
      <c r="AB62" s="1495" t="s">
        <v>274</v>
      </c>
      <c r="AC62" s="1495" t="s">
        <v>96</v>
      </c>
      <c r="AD62" s="1495" t="s">
        <v>78</v>
      </c>
      <c r="AE62" s="1495" t="s">
        <v>41</v>
      </c>
      <c r="AF62" s="1495" t="s">
        <v>469</v>
      </c>
      <c r="AG62" s="1495" t="s">
        <v>60</v>
      </c>
      <c r="AH62" s="1495" t="s">
        <v>75</v>
      </c>
      <c r="AI62" s="1495" t="s">
        <v>285</v>
      </c>
      <c r="AJ62" s="1495" t="s">
        <v>270</v>
      </c>
    </row>
    <row r="63" spans="1:36" x14ac:dyDescent="0.2">
      <c r="B63" s="21" t="s">
        <v>157</v>
      </c>
      <c r="C63" s="1495" t="s">
        <v>59</v>
      </c>
      <c r="D63" s="1495" t="s">
        <v>13</v>
      </c>
      <c r="E63" s="1495" t="s">
        <v>296</v>
      </c>
      <c r="F63" s="1495" t="s">
        <v>166</v>
      </c>
      <c r="G63" s="1495" t="s">
        <v>23</v>
      </c>
      <c r="H63" s="1495" t="s">
        <v>77</v>
      </c>
      <c r="I63" s="21" t="s">
        <v>69</v>
      </c>
      <c r="J63" s="1495" t="s">
        <v>89</v>
      </c>
      <c r="K63" s="1495" t="s">
        <v>26</v>
      </c>
      <c r="L63" s="1495" t="s">
        <v>86</v>
      </c>
      <c r="M63" s="21" t="s">
        <v>11</v>
      </c>
      <c r="N63" s="1495" t="s">
        <v>88</v>
      </c>
      <c r="O63" s="21" t="s">
        <v>169</v>
      </c>
      <c r="P63" s="21" t="s">
        <v>66</v>
      </c>
      <c r="Q63" s="1495" t="s">
        <v>97</v>
      </c>
      <c r="R63" s="1495" t="s">
        <v>313</v>
      </c>
      <c r="S63" s="1495" t="s">
        <v>16</v>
      </c>
      <c r="T63" s="1495" t="s">
        <v>188</v>
      </c>
      <c r="U63" s="1495" t="s">
        <v>467</v>
      </c>
      <c r="V63" s="21" t="s">
        <v>279</v>
      </c>
      <c r="W63" s="1495" t="s">
        <v>286</v>
      </c>
      <c r="X63" s="21" t="s">
        <v>95</v>
      </c>
      <c r="Y63" s="1495" t="s">
        <v>269</v>
      </c>
      <c r="Z63" s="1495" t="s">
        <v>168</v>
      </c>
      <c r="AA63" s="1495" t="s">
        <v>325</v>
      </c>
      <c r="AB63" s="1495" t="s">
        <v>274</v>
      </c>
      <c r="AC63" s="1495" t="s">
        <v>96</v>
      </c>
      <c r="AD63" s="1495" t="s">
        <v>78</v>
      </c>
      <c r="AE63" s="1495" t="s">
        <v>41</v>
      </c>
      <c r="AF63" s="1495" t="s">
        <v>469</v>
      </c>
      <c r="AG63" s="1495" t="s">
        <v>60</v>
      </c>
      <c r="AH63" s="1495" t="s">
        <v>75</v>
      </c>
      <c r="AI63" s="1495" t="s">
        <v>285</v>
      </c>
      <c r="AJ63" s="1495" t="s">
        <v>270</v>
      </c>
    </row>
    <row r="64" spans="1:36" x14ac:dyDescent="0.2">
      <c r="A64" s="7" t="s">
        <v>424</v>
      </c>
      <c r="B64" s="21" t="s">
        <v>177</v>
      </c>
      <c r="C64" s="4">
        <v>-527729318000</v>
      </c>
      <c r="D64" s="4">
        <v>-332727290000</v>
      </c>
      <c r="E64" s="4">
        <v>-170546878000</v>
      </c>
      <c r="F64" s="4">
        <v>-110336615000</v>
      </c>
      <c r="G64" s="4">
        <v>-96775350000</v>
      </c>
      <c r="H64" s="4">
        <v>-19071390000</v>
      </c>
      <c r="I64" s="4">
        <v>-11477740000</v>
      </c>
      <c r="J64" s="4">
        <v>-4895750000</v>
      </c>
      <c r="K64" s="4">
        <v>-2892405000</v>
      </c>
      <c r="L64" s="4">
        <v>-1528085000</v>
      </c>
      <c r="M64" s="4">
        <v>-1145430000</v>
      </c>
      <c r="N64" s="4">
        <v>-872545000</v>
      </c>
      <c r="O64" s="4">
        <v>-765100000</v>
      </c>
      <c r="P64" s="4">
        <v>-751400000</v>
      </c>
      <c r="Q64" s="4">
        <v>-730050000</v>
      </c>
      <c r="R64" s="4">
        <v>-672200000</v>
      </c>
      <c r="S64" s="4">
        <v>-664550000</v>
      </c>
      <c r="T64" s="4">
        <v>-656665000</v>
      </c>
      <c r="U64" s="4">
        <v>-649240000</v>
      </c>
      <c r="V64" s="4">
        <v>-613320000</v>
      </c>
      <c r="W64" s="4">
        <v>-453495000</v>
      </c>
      <c r="X64" s="4">
        <v>-415910000</v>
      </c>
      <c r="Y64" s="4">
        <v>-385281000</v>
      </c>
      <c r="Z64" s="4">
        <v>-366915000</v>
      </c>
      <c r="AA64" s="4">
        <v>-345530000</v>
      </c>
      <c r="AB64" s="4">
        <v>-330450000</v>
      </c>
      <c r="AC64" s="4">
        <v>-301670000</v>
      </c>
      <c r="AD64" s="4">
        <v>-270150000</v>
      </c>
      <c r="AE64" s="4">
        <v>-223895000</v>
      </c>
      <c r="AF64" s="4">
        <v>-218800000</v>
      </c>
      <c r="AG64" s="4">
        <v>-207645000</v>
      </c>
      <c r="AH64" s="4">
        <v>-201532000</v>
      </c>
      <c r="AI64" s="4">
        <v>-122945000</v>
      </c>
      <c r="AJ64" s="4">
        <v>-113690000</v>
      </c>
    </row>
    <row r="65" spans="1:14" x14ac:dyDescent="0.2">
      <c r="B65" s="21" t="s">
        <v>157</v>
      </c>
      <c r="C65" s="21" t="s">
        <v>14</v>
      </c>
      <c r="D65" s="21" t="s">
        <v>35</v>
      </c>
    </row>
    <row r="66" spans="1:14" x14ac:dyDescent="0.2">
      <c r="A66" s="7" t="s">
        <v>423</v>
      </c>
      <c r="B66" s="21" t="s">
        <v>177</v>
      </c>
      <c r="C66" s="4">
        <v>-58615287000</v>
      </c>
      <c r="D66" s="4">
        <v>-58187132000</v>
      </c>
    </row>
    <row r="67" spans="1:14" x14ac:dyDescent="0.2">
      <c r="B67" s="21" t="s">
        <v>162</v>
      </c>
      <c r="E67" s="1495" t="s">
        <v>265</v>
      </c>
      <c r="F67" s="1495" t="s">
        <v>207</v>
      </c>
      <c r="G67" s="1495" t="s">
        <v>283</v>
      </c>
      <c r="H67" s="1495" t="s">
        <v>72</v>
      </c>
    </row>
    <row r="68" spans="1:14" x14ac:dyDescent="0.2">
      <c r="B68" s="21" t="s">
        <v>161</v>
      </c>
      <c r="E68" s="1495" t="s">
        <v>265</v>
      </c>
      <c r="F68" s="1495" t="s">
        <v>207</v>
      </c>
      <c r="G68" s="1495" t="s">
        <v>283</v>
      </c>
      <c r="H68" s="1495" t="s">
        <v>72</v>
      </c>
    </row>
    <row r="69" spans="1:14" x14ac:dyDescent="0.2">
      <c r="B69" s="21" t="s">
        <v>160</v>
      </c>
      <c r="D69" s="1495" t="s">
        <v>180</v>
      </c>
      <c r="E69" s="1495" t="s">
        <v>265</v>
      </c>
      <c r="F69" s="1495" t="s">
        <v>207</v>
      </c>
      <c r="G69" s="1495" t="s">
        <v>283</v>
      </c>
      <c r="H69" s="1495" t="s">
        <v>72</v>
      </c>
    </row>
    <row r="70" spans="1:14" x14ac:dyDescent="0.2">
      <c r="B70" s="21" t="s">
        <v>157</v>
      </c>
      <c r="C70" s="21" t="s">
        <v>6</v>
      </c>
      <c r="D70" s="1495" t="s">
        <v>180</v>
      </c>
      <c r="E70" s="1495" t="s">
        <v>265</v>
      </c>
      <c r="F70" s="1495" t="s">
        <v>207</v>
      </c>
      <c r="G70" s="1495" t="s">
        <v>283</v>
      </c>
      <c r="H70" s="1495" t="s">
        <v>72</v>
      </c>
    </row>
    <row r="71" spans="1:14" x14ac:dyDescent="0.2">
      <c r="A71" s="7" t="s">
        <v>422</v>
      </c>
      <c r="B71" s="21" t="s">
        <v>177</v>
      </c>
      <c r="C71" s="4">
        <v>-2237210000</v>
      </c>
      <c r="D71" s="4">
        <v>-2027810000</v>
      </c>
      <c r="E71" s="4">
        <v>-1806250000</v>
      </c>
      <c r="F71" s="4">
        <v>-1792710000</v>
      </c>
      <c r="G71" s="4">
        <v>-48200000</v>
      </c>
      <c r="H71" s="4">
        <v>-1270000</v>
      </c>
    </row>
    <row r="72" spans="1:14" x14ac:dyDescent="0.2">
      <c r="B72" s="21" t="s">
        <v>162</v>
      </c>
      <c r="D72" s="1495" t="s">
        <v>8</v>
      </c>
      <c r="E72" s="1495" t="s">
        <v>312</v>
      </c>
      <c r="F72" s="1495" t="s">
        <v>301</v>
      </c>
    </row>
    <row r="73" spans="1:14" x14ac:dyDescent="0.2">
      <c r="B73" s="21" t="s">
        <v>161</v>
      </c>
      <c r="D73" s="1495" t="s">
        <v>8</v>
      </c>
      <c r="E73" s="1495" t="s">
        <v>312</v>
      </c>
      <c r="F73" s="1495" t="s">
        <v>301</v>
      </c>
    </row>
    <row r="74" spans="1:14" x14ac:dyDescent="0.2">
      <c r="B74" s="21" t="s">
        <v>160</v>
      </c>
      <c r="D74" s="1495" t="s">
        <v>8</v>
      </c>
      <c r="E74" s="1495" t="s">
        <v>312</v>
      </c>
      <c r="F74" s="1495" t="s">
        <v>301</v>
      </c>
    </row>
    <row r="75" spans="1:14" x14ac:dyDescent="0.2">
      <c r="B75" s="21" t="s">
        <v>157</v>
      </c>
      <c r="C75" s="21" t="s">
        <v>14</v>
      </c>
      <c r="D75" s="1495" t="s">
        <v>8</v>
      </c>
      <c r="E75" s="1495" t="s">
        <v>312</v>
      </c>
      <c r="F75" s="1495" t="s">
        <v>301</v>
      </c>
    </row>
    <row r="76" spans="1:14" x14ac:dyDescent="0.2">
      <c r="A76" s="7" t="s">
        <v>420</v>
      </c>
      <c r="B76" s="21" t="s">
        <v>177</v>
      </c>
      <c r="C76" s="4">
        <v>-49181709000</v>
      </c>
      <c r="D76" s="4">
        <v>-5535320000</v>
      </c>
      <c r="E76" s="4">
        <v>-3986755000</v>
      </c>
      <c r="F76" s="4">
        <v>-1664240000</v>
      </c>
    </row>
    <row r="77" spans="1:14" x14ac:dyDescent="0.2">
      <c r="B77" s="21" t="s">
        <v>157</v>
      </c>
      <c r="C77" s="21" t="s">
        <v>163</v>
      </c>
      <c r="D77" s="21" t="s">
        <v>99</v>
      </c>
    </row>
    <row r="78" spans="1:14" x14ac:dyDescent="0.2">
      <c r="A78" s="7" t="s">
        <v>418</v>
      </c>
      <c r="B78" s="21" t="s">
        <v>177</v>
      </c>
      <c r="C78" s="4">
        <v>-6343350000</v>
      </c>
      <c r="D78" s="4">
        <v>-567395000</v>
      </c>
    </row>
    <row r="79" spans="1:14" x14ac:dyDescent="0.2">
      <c r="B79" s="21" t="s">
        <v>162</v>
      </c>
      <c r="D79" s="1495" t="s">
        <v>13</v>
      </c>
      <c r="E79" s="1495" t="s">
        <v>282</v>
      </c>
      <c r="F79" s="1495" t="s">
        <v>166</v>
      </c>
      <c r="J79" s="1495" t="s">
        <v>302</v>
      </c>
      <c r="K79" s="1495" t="s">
        <v>68</v>
      </c>
      <c r="M79" s="1495" t="s">
        <v>359</v>
      </c>
      <c r="N79" s="1495" t="s">
        <v>170</v>
      </c>
    </row>
    <row r="80" spans="1:14" x14ac:dyDescent="0.2">
      <c r="B80" s="21" t="s">
        <v>161</v>
      </c>
      <c r="C80" s="1495" t="s">
        <v>59</v>
      </c>
      <c r="D80" s="1495" t="s">
        <v>13</v>
      </c>
      <c r="E80" s="1495" t="s">
        <v>282</v>
      </c>
      <c r="F80" s="1495" t="s">
        <v>166</v>
      </c>
      <c r="J80" s="1495" t="s">
        <v>302</v>
      </c>
      <c r="K80" s="1495" t="s">
        <v>68</v>
      </c>
      <c r="M80" s="1495" t="s">
        <v>359</v>
      </c>
      <c r="N80" s="1495" t="s">
        <v>170</v>
      </c>
    </row>
    <row r="81" spans="1:14" x14ac:dyDescent="0.2">
      <c r="B81" s="21" t="s">
        <v>160</v>
      </c>
      <c r="C81" s="1495"/>
      <c r="D81" s="1495" t="s">
        <v>13</v>
      </c>
      <c r="E81" s="1495" t="s">
        <v>282</v>
      </c>
      <c r="F81" s="1495" t="s">
        <v>166</v>
      </c>
      <c r="J81" s="1495" t="s">
        <v>302</v>
      </c>
      <c r="K81" s="1495" t="s">
        <v>68</v>
      </c>
      <c r="M81" s="1495" t="s">
        <v>359</v>
      </c>
      <c r="N81" s="1495" t="s">
        <v>170</v>
      </c>
    </row>
    <row r="82" spans="1:14" x14ac:dyDescent="0.2">
      <c r="B82" s="21" t="s">
        <v>157</v>
      </c>
      <c r="C82" s="1495"/>
      <c r="D82" s="1495" t="s">
        <v>13</v>
      </c>
      <c r="E82" s="1495" t="s">
        <v>282</v>
      </c>
      <c r="F82" s="1495" t="s">
        <v>166</v>
      </c>
      <c r="G82" s="21" t="s">
        <v>24</v>
      </c>
      <c r="H82" s="21" t="s">
        <v>29</v>
      </c>
      <c r="I82" s="21" t="s">
        <v>25</v>
      </c>
      <c r="J82" s="1495" t="s">
        <v>302</v>
      </c>
      <c r="K82" s="1495" t="s">
        <v>68</v>
      </c>
      <c r="L82" s="21" t="s">
        <v>194</v>
      </c>
      <c r="M82" s="1495" t="s">
        <v>359</v>
      </c>
      <c r="N82" s="1495" t="s">
        <v>170</v>
      </c>
    </row>
    <row r="83" spans="1:14" x14ac:dyDescent="0.2">
      <c r="A83" s="7" t="s">
        <v>417</v>
      </c>
      <c r="B83" s="21" t="s">
        <v>177</v>
      </c>
      <c r="C83" s="4">
        <v>-362572979000</v>
      </c>
      <c r="D83" s="4">
        <v>-294625160000</v>
      </c>
      <c r="E83" s="4">
        <v>-208009320000</v>
      </c>
      <c r="F83" s="4">
        <v>-109126530000</v>
      </c>
      <c r="G83" s="4">
        <v>-31407540000</v>
      </c>
      <c r="H83" s="4">
        <v>-12172506000</v>
      </c>
      <c r="I83" s="4">
        <v>-6472780000</v>
      </c>
      <c r="J83" s="4">
        <v>-3427830000</v>
      </c>
      <c r="K83" s="4">
        <v>-2635110000</v>
      </c>
      <c r="L83" s="4">
        <v>-1635560000</v>
      </c>
      <c r="M83" s="4">
        <v>-1274210000</v>
      </c>
      <c r="N83" s="4">
        <v>-8470000</v>
      </c>
    </row>
    <row r="84" spans="1:14" x14ac:dyDescent="0.2">
      <c r="B84" s="21" t="s">
        <v>162</v>
      </c>
      <c r="C84" s="1495" t="s">
        <v>94</v>
      </c>
    </row>
    <row r="85" spans="1:14" x14ac:dyDescent="0.2">
      <c r="B85" s="21" t="s">
        <v>161</v>
      </c>
      <c r="C85" s="1495" t="s">
        <v>94</v>
      </c>
    </row>
    <row r="86" spans="1:14" x14ac:dyDescent="0.2">
      <c r="B86" s="21" t="s">
        <v>160</v>
      </c>
      <c r="C86" s="1495" t="s">
        <v>94</v>
      </c>
    </row>
    <row r="87" spans="1:14" x14ac:dyDescent="0.2">
      <c r="B87" s="21" t="s">
        <v>157</v>
      </c>
      <c r="C87" s="1495" t="s">
        <v>94</v>
      </c>
    </row>
    <row r="88" spans="1:14" x14ac:dyDescent="0.2">
      <c r="A88" s="7" t="s">
        <v>416</v>
      </c>
      <c r="B88" s="21" t="s">
        <v>177</v>
      </c>
      <c r="C88" s="4">
        <v>-4310000</v>
      </c>
    </row>
    <row r="89" spans="1:14" x14ac:dyDescent="0.2">
      <c r="B89" s="21" t="s">
        <v>162</v>
      </c>
      <c r="D89" s="1495" t="s">
        <v>297</v>
      </c>
    </row>
    <row r="90" spans="1:14" x14ac:dyDescent="0.2">
      <c r="B90" s="21" t="s">
        <v>161</v>
      </c>
      <c r="D90" s="1495" t="s">
        <v>297</v>
      </c>
    </row>
    <row r="91" spans="1:14" x14ac:dyDescent="0.2">
      <c r="B91" s="21" t="s">
        <v>160</v>
      </c>
      <c r="D91" s="1495" t="s">
        <v>297</v>
      </c>
    </row>
    <row r="92" spans="1:14" x14ac:dyDescent="0.2">
      <c r="B92" s="21" t="s">
        <v>157</v>
      </c>
      <c r="C92" s="21" t="s">
        <v>71</v>
      </c>
      <c r="D92" s="1495" t="s">
        <v>297</v>
      </c>
      <c r="E92" s="21" t="s">
        <v>6</v>
      </c>
    </row>
    <row r="93" spans="1:14" x14ac:dyDescent="0.2">
      <c r="A93" s="7" t="s">
        <v>414</v>
      </c>
      <c r="B93" s="21" t="s">
        <v>177</v>
      </c>
      <c r="C93" s="4">
        <v>-41180875000</v>
      </c>
      <c r="D93" s="4">
        <v>-5226830000</v>
      </c>
      <c r="E93" s="4">
        <v>-1982340000</v>
      </c>
    </row>
    <row r="94" spans="1:14" x14ac:dyDescent="0.2">
      <c r="B94" s="21" t="s">
        <v>162</v>
      </c>
      <c r="D94" s="1495" t="s">
        <v>158</v>
      </c>
    </row>
    <row r="95" spans="1:14" x14ac:dyDescent="0.2">
      <c r="B95" s="21" t="s">
        <v>161</v>
      </c>
      <c r="D95" s="1495" t="s">
        <v>158</v>
      </c>
    </row>
    <row r="96" spans="1:14" x14ac:dyDescent="0.2">
      <c r="B96" s="21" t="s">
        <v>160</v>
      </c>
      <c r="D96" s="1495" t="s">
        <v>158</v>
      </c>
    </row>
    <row r="97" spans="1:34" x14ac:dyDescent="0.2">
      <c r="B97" s="21" t="s">
        <v>157</v>
      </c>
      <c r="C97" s="21" t="s">
        <v>22</v>
      </c>
      <c r="D97" s="1495" t="s">
        <v>158</v>
      </c>
      <c r="E97" s="21" t="s">
        <v>25</v>
      </c>
      <c r="F97" s="21" t="s">
        <v>6</v>
      </c>
      <c r="G97" s="21" t="s">
        <v>89</v>
      </c>
    </row>
    <row r="98" spans="1:34" x14ac:dyDescent="0.2">
      <c r="A98" s="7" t="s">
        <v>413</v>
      </c>
      <c r="B98" s="21" t="s">
        <v>177</v>
      </c>
      <c r="C98" s="4">
        <v>-20769785000</v>
      </c>
      <c r="D98" s="4">
        <v>-4327000000</v>
      </c>
      <c r="E98" s="4">
        <v>-3530550000</v>
      </c>
      <c r="F98" s="4">
        <v>-1288830000</v>
      </c>
      <c r="G98" s="4">
        <v>-310250000</v>
      </c>
    </row>
    <row r="99" spans="1:34" x14ac:dyDescent="0.2">
      <c r="B99" s="21" t="s">
        <v>162</v>
      </c>
      <c r="C99" s="1495" t="s">
        <v>39</v>
      </c>
      <c r="D99" s="1495" t="s">
        <v>272</v>
      </c>
      <c r="E99" s="1495" t="s">
        <v>84</v>
      </c>
      <c r="F99" s="1495" t="s">
        <v>471</v>
      </c>
      <c r="G99" s="1495" t="s">
        <v>312</v>
      </c>
      <c r="I99" s="1495" t="s">
        <v>301</v>
      </c>
    </row>
    <row r="100" spans="1:34" x14ac:dyDescent="0.2">
      <c r="B100" s="21" t="s">
        <v>161</v>
      </c>
      <c r="C100" s="1495" t="s">
        <v>39</v>
      </c>
      <c r="D100" s="1495" t="s">
        <v>272</v>
      </c>
      <c r="E100" s="1495" t="s">
        <v>84</v>
      </c>
      <c r="F100" s="1495" t="s">
        <v>471</v>
      </c>
      <c r="G100" s="1495" t="s">
        <v>312</v>
      </c>
      <c r="I100" s="1495" t="s">
        <v>301</v>
      </c>
    </row>
    <row r="101" spans="1:34" x14ac:dyDescent="0.2">
      <c r="B101" s="21" t="s">
        <v>160</v>
      </c>
      <c r="C101" s="1495" t="s">
        <v>39</v>
      </c>
      <c r="D101" s="1495" t="s">
        <v>272</v>
      </c>
      <c r="E101" s="1495" t="s">
        <v>84</v>
      </c>
      <c r="F101" s="1495" t="s">
        <v>471</v>
      </c>
      <c r="G101" s="1495" t="s">
        <v>312</v>
      </c>
      <c r="I101" s="1495" t="s">
        <v>301</v>
      </c>
      <c r="M101" s="1495" t="s">
        <v>188</v>
      </c>
    </row>
    <row r="102" spans="1:34" x14ac:dyDescent="0.2">
      <c r="B102" s="21" t="s">
        <v>157</v>
      </c>
      <c r="C102" s="1495" t="s">
        <v>39</v>
      </c>
      <c r="D102" s="1495" t="s">
        <v>272</v>
      </c>
      <c r="E102" s="1495" t="s">
        <v>84</v>
      </c>
      <c r="F102" s="1495" t="s">
        <v>471</v>
      </c>
      <c r="G102" s="1495" t="s">
        <v>312</v>
      </c>
      <c r="H102" s="21" t="s">
        <v>6</v>
      </c>
      <c r="I102" s="1495" t="s">
        <v>301</v>
      </c>
      <c r="J102" s="21" t="s">
        <v>169</v>
      </c>
      <c r="K102" s="21" t="s">
        <v>25</v>
      </c>
      <c r="L102" s="21" t="s">
        <v>194</v>
      </c>
      <c r="M102" s="1495" t="s">
        <v>188</v>
      </c>
      <c r="N102" s="21" t="s">
        <v>180</v>
      </c>
      <c r="O102" s="21" t="s">
        <v>271</v>
      </c>
    </row>
    <row r="103" spans="1:34" x14ac:dyDescent="0.2">
      <c r="A103" s="7" t="s">
        <v>367</v>
      </c>
      <c r="B103" s="21" t="s">
        <v>177</v>
      </c>
      <c r="C103" s="4">
        <v>-15418475000</v>
      </c>
      <c r="D103" s="4">
        <v>-7872870000</v>
      </c>
      <c r="E103" s="4">
        <v>-6872195000</v>
      </c>
      <c r="F103" s="4">
        <v>-2640000000</v>
      </c>
      <c r="G103" s="4">
        <v>-2262640000</v>
      </c>
      <c r="H103" s="4">
        <v>-1033930000</v>
      </c>
      <c r="I103" s="4">
        <v>-895805000</v>
      </c>
      <c r="J103" s="4">
        <v>-682400000</v>
      </c>
      <c r="K103" s="4">
        <v>-375690000</v>
      </c>
      <c r="L103" s="4">
        <v>-334000000</v>
      </c>
      <c r="M103" s="4">
        <v>-59050000</v>
      </c>
      <c r="N103" s="4">
        <v>-48570000</v>
      </c>
      <c r="O103" s="4">
        <v>-16083000</v>
      </c>
    </row>
    <row r="104" spans="1:34" x14ac:dyDescent="0.2">
      <c r="B104" s="21" t="s">
        <v>162</v>
      </c>
      <c r="D104" s="1495" t="s">
        <v>70</v>
      </c>
      <c r="G104" s="1495" t="s">
        <v>272</v>
      </c>
      <c r="H104" s="1495" t="s">
        <v>284</v>
      </c>
      <c r="J104" s="1495" t="s">
        <v>357</v>
      </c>
      <c r="K104" s="1495" t="s">
        <v>85</v>
      </c>
      <c r="Q104" s="1495" t="s">
        <v>26</v>
      </c>
      <c r="U104" s="1495" t="s">
        <v>470</v>
      </c>
      <c r="X104" s="1495" t="s">
        <v>467</v>
      </c>
      <c r="Y104" s="1495" t="s">
        <v>286</v>
      </c>
      <c r="Z104" s="1495" t="s">
        <v>87</v>
      </c>
      <c r="AA104" s="1495" t="s">
        <v>165</v>
      </c>
      <c r="AC104" s="1495" t="s">
        <v>96</v>
      </c>
      <c r="AE104" s="1495" t="s">
        <v>288</v>
      </c>
    </row>
    <row r="105" spans="1:34" x14ac:dyDescent="0.2">
      <c r="B105" s="21" t="s">
        <v>161</v>
      </c>
      <c r="D105" s="1495" t="s">
        <v>70</v>
      </c>
      <c r="G105" s="1495" t="s">
        <v>272</v>
      </c>
      <c r="H105" s="1495" t="s">
        <v>284</v>
      </c>
      <c r="J105" s="1495" t="s">
        <v>357</v>
      </c>
      <c r="K105" s="1495" t="s">
        <v>85</v>
      </c>
      <c r="Q105" s="1495" t="s">
        <v>26</v>
      </c>
      <c r="U105" s="1495" t="s">
        <v>470</v>
      </c>
      <c r="X105" s="1495" t="s">
        <v>467</v>
      </c>
      <c r="Y105" s="1495" t="s">
        <v>286</v>
      </c>
      <c r="Z105" s="1495" t="s">
        <v>87</v>
      </c>
      <c r="AA105" s="1495" t="s">
        <v>165</v>
      </c>
      <c r="AC105" s="1495" t="s">
        <v>96</v>
      </c>
      <c r="AE105" s="1495" t="s">
        <v>288</v>
      </c>
    </row>
    <row r="106" spans="1:34" x14ac:dyDescent="0.2">
      <c r="B106" s="21" t="s">
        <v>160</v>
      </c>
      <c r="C106" s="1495" t="s">
        <v>176</v>
      </c>
      <c r="D106" s="1495" t="s">
        <v>70</v>
      </c>
      <c r="E106" s="1495" t="s">
        <v>62</v>
      </c>
      <c r="G106" s="1495" t="s">
        <v>272</v>
      </c>
      <c r="H106" s="1495" t="s">
        <v>284</v>
      </c>
      <c r="I106" s="1495" t="s">
        <v>198</v>
      </c>
      <c r="J106" s="1495" t="s">
        <v>357</v>
      </c>
      <c r="K106" s="1495" t="s">
        <v>85</v>
      </c>
      <c r="O106" s="1495" t="s">
        <v>86</v>
      </c>
      <c r="Q106" s="1495" t="s">
        <v>26</v>
      </c>
      <c r="T106" s="1495" t="s">
        <v>97</v>
      </c>
      <c r="U106" s="1495" t="s">
        <v>470</v>
      </c>
      <c r="V106" s="1495" t="s">
        <v>313</v>
      </c>
      <c r="X106" s="1495" t="s">
        <v>467</v>
      </c>
      <c r="Y106" s="1495" t="s">
        <v>286</v>
      </c>
      <c r="Z106" s="1495" t="s">
        <v>87</v>
      </c>
      <c r="AA106" s="1495" t="s">
        <v>165</v>
      </c>
      <c r="AB106" s="1495" t="s">
        <v>16</v>
      </c>
      <c r="AC106" s="1495" t="s">
        <v>96</v>
      </c>
      <c r="AD106" s="1495" t="s">
        <v>188</v>
      </c>
      <c r="AE106" s="1495" t="s">
        <v>288</v>
      </c>
    </row>
    <row r="107" spans="1:34" x14ac:dyDescent="0.2">
      <c r="B107" s="21" t="s">
        <v>157</v>
      </c>
      <c r="C107" s="1495" t="s">
        <v>176</v>
      </c>
      <c r="D107" s="1495" t="s">
        <v>70</v>
      </c>
      <c r="E107" s="1495" t="s">
        <v>62</v>
      </c>
      <c r="F107" s="21" t="s">
        <v>69</v>
      </c>
      <c r="G107" s="1495" t="s">
        <v>272</v>
      </c>
      <c r="H107" s="1495" t="s">
        <v>284</v>
      </c>
      <c r="I107" s="1495" t="s">
        <v>198</v>
      </c>
      <c r="J107" s="1495" t="s">
        <v>357</v>
      </c>
      <c r="K107" s="1495" t="s">
        <v>85</v>
      </c>
      <c r="L107" s="21" t="s">
        <v>25</v>
      </c>
      <c r="M107" s="21" t="s">
        <v>89</v>
      </c>
      <c r="N107" s="21" t="s">
        <v>6</v>
      </c>
      <c r="O107" s="1495" t="s">
        <v>86</v>
      </c>
      <c r="P107" s="21" t="s">
        <v>11</v>
      </c>
      <c r="Q107" s="1495" t="s">
        <v>26</v>
      </c>
      <c r="R107" s="21" t="s">
        <v>66</v>
      </c>
      <c r="S107" s="21" t="s">
        <v>169</v>
      </c>
      <c r="T107" s="1495" t="s">
        <v>97</v>
      </c>
      <c r="U107" s="1495" t="s">
        <v>470</v>
      </c>
      <c r="V107" s="1495" t="s">
        <v>313</v>
      </c>
      <c r="W107" s="21" t="s">
        <v>88</v>
      </c>
      <c r="X107" s="1495" t="s">
        <v>467</v>
      </c>
      <c r="Y107" s="1495" t="s">
        <v>286</v>
      </c>
      <c r="Z107" s="1495" t="s">
        <v>87</v>
      </c>
      <c r="AA107" s="1495" t="s">
        <v>165</v>
      </c>
      <c r="AB107" s="1495" t="s">
        <v>16</v>
      </c>
      <c r="AC107" s="1495" t="s">
        <v>96</v>
      </c>
      <c r="AD107" s="1495" t="s">
        <v>188</v>
      </c>
      <c r="AE107" s="1495" t="s">
        <v>288</v>
      </c>
    </row>
    <row r="108" spans="1:34" x14ac:dyDescent="0.2">
      <c r="A108" s="7" t="s">
        <v>364</v>
      </c>
      <c r="B108" s="21" t="s">
        <v>177</v>
      </c>
      <c r="C108" s="4">
        <v>-23243743000</v>
      </c>
      <c r="D108" s="4">
        <v>-17770675000</v>
      </c>
      <c r="E108" s="4">
        <v>-6462980000</v>
      </c>
      <c r="F108" s="4">
        <v>-6179105000</v>
      </c>
      <c r="G108" s="4">
        <v>-4717760000</v>
      </c>
      <c r="H108" s="4">
        <v>-3385820000</v>
      </c>
      <c r="I108" s="4">
        <v>-3040878000</v>
      </c>
      <c r="J108" s="4">
        <v>-697800000</v>
      </c>
      <c r="K108" s="4">
        <v>-431515000</v>
      </c>
      <c r="L108" s="4">
        <v>-364650000</v>
      </c>
      <c r="M108" s="4">
        <v>-303150000</v>
      </c>
      <c r="N108" s="4">
        <v>-300945000</v>
      </c>
      <c r="O108" s="4">
        <v>-267285000</v>
      </c>
      <c r="P108" s="4">
        <v>-199300000</v>
      </c>
      <c r="Q108" s="4">
        <v>-170330000</v>
      </c>
      <c r="R108" s="4">
        <v>-159060000</v>
      </c>
      <c r="S108" s="4">
        <v>-156750000</v>
      </c>
      <c r="T108" s="4">
        <v>-156700000</v>
      </c>
      <c r="U108" s="4">
        <v>-143750000</v>
      </c>
      <c r="V108" s="4">
        <v>-139980000</v>
      </c>
      <c r="W108" s="4">
        <v>-134010000</v>
      </c>
      <c r="X108" s="4">
        <v>-130750000</v>
      </c>
      <c r="Y108" s="4">
        <v>-126180000</v>
      </c>
      <c r="Z108" s="4">
        <v>-109640000</v>
      </c>
      <c r="AA108" s="4">
        <v>-105785000</v>
      </c>
      <c r="AB108" s="4">
        <v>-104265000</v>
      </c>
      <c r="AC108" s="4">
        <v>-65395000</v>
      </c>
      <c r="AD108" s="4">
        <v>-48510000</v>
      </c>
      <c r="AE108" s="4">
        <v>-214700</v>
      </c>
    </row>
    <row r="109" spans="1:34" x14ac:dyDescent="0.2">
      <c r="B109" s="21" t="s">
        <v>162</v>
      </c>
      <c r="C109" s="1495" t="s">
        <v>19</v>
      </c>
      <c r="E109" s="1495" t="s">
        <v>268</v>
      </c>
      <c r="F109" s="1495" t="s">
        <v>31</v>
      </c>
      <c r="G109" s="1495" t="s">
        <v>187</v>
      </c>
      <c r="I109" s="1495" t="s">
        <v>348</v>
      </c>
      <c r="J109" s="1495" t="s">
        <v>267</v>
      </c>
      <c r="L109" s="1495" t="s">
        <v>261</v>
      </c>
      <c r="M109" s="1495" t="s">
        <v>468</v>
      </c>
      <c r="N109" s="1495" t="s">
        <v>174</v>
      </c>
      <c r="P109" s="1495" t="s">
        <v>357</v>
      </c>
      <c r="Q109" s="1495" t="s">
        <v>284</v>
      </c>
      <c r="S109" s="1495" t="s">
        <v>469</v>
      </c>
      <c r="T109" s="1495" t="s">
        <v>269</v>
      </c>
      <c r="V109" s="1495" t="s">
        <v>168</v>
      </c>
      <c r="W109" s="1495" t="s">
        <v>274</v>
      </c>
      <c r="Z109" s="1495" t="s">
        <v>41</v>
      </c>
      <c r="AC109" s="1495" t="s">
        <v>270</v>
      </c>
      <c r="AD109" s="1495" t="s">
        <v>60</v>
      </c>
      <c r="AF109" s="1495" t="s">
        <v>285</v>
      </c>
      <c r="AH109" s="1495" t="s">
        <v>342</v>
      </c>
    </row>
    <row r="110" spans="1:34" x14ac:dyDescent="0.2">
      <c r="B110" s="21" t="s">
        <v>161</v>
      </c>
      <c r="C110" s="1495" t="s">
        <v>19</v>
      </c>
      <c r="E110" s="1495" t="s">
        <v>268</v>
      </c>
      <c r="F110" s="1495" t="s">
        <v>31</v>
      </c>
      <c r="G110" s="1495" t="s">
        <v>187</v>
      </c>
      <c r="I110" s="1495" t="s">
        <v>348</v>
      </c>
      <c r="J110" s="1495" t="s">
        <v>267</v>
      </c>
      <c r="L110" s="1495" t="s">
        <v>261</v>
      </c>
      <c r="M110" s="1495" t="s">
        <v>468</v>
      </c>
      <c r="N110" s="1495" t="s">
        <v>174</v>
      </c>
      <c r="P110" s="1495" t="s">
        <v>357</v>
      </c>
      <c r="Q110" s="1495" t="s">
        <v>284</v>
      </c>
      <c r="S110" s="1495" t="s">
        <v>469</v>
      </c>
      <c r="T110" s="1495" t="s">
        <v>269</v>
      </c>
      <c r="V110" s="1495" t="s">
        <v>168</v>
      </c>
      <c r="W110" s="1495" t="s">
        <v>274</v>
      </c>
      <c r="Z110" s="1495" t="s">
        <v>41</v>
      </c>
      <c r="AC110" s="1495" t="s">
        <v>270</v>
      </c>
      <c r="AD110" s="1495" t="s">
        <v>60</v>
      </c>
      <c r="AF110" s="1495" t="s">
        <v>285</v>
      </c>
      <c r="AH110" s="1495" t="s">
        <v>342</v>
      </c>
    </row>
    <row r="111" spans="1:34" x14ac:dyDescent="0.2">
      <c r="B111" s="21" t="s">
        <v>160</v>
      </c>
      <c r="C111" s="1495" t="s">
        <v>19</v>
      </c>
      <c r="E111" s="1495" t="s">
        <v>268</v>
      </c>
      <c r="F111" s="1495" t="s">
        <v>31</v>
      </c>
      <c r="G111" s="1495" t="s">
        <v>187</v>
      </c>
      <c r="I111" s="1495" t="s">
        <v>348</v>
      </c>
      <c r="J111" s="1495" t="s">
        <v>267</v>
      </c>
      <c r="K111" s="1495" t="s">
        <v>171</v>
      </c>
      <c r="L111" s="1495" t="s">
        <v>261</v>
      </c>
      <c r="M111" s="1495" t="s">
        <v>468</v>
      </c>
      <c r="N111" s="1495" t="s">
        <v>174</v>
      </c>
      <c r="P111" s="1495" t="s">
        <v>357</v>
      </c>
      <c r="Q111" s="1495" t="s">
        <v>284</v>
      </c>
      <c r="R111" s="1495" t="s">
        <v>166</v>
      </c>
      <c r="S111" s="1495" t="s">
        <v>469</v>
      </c>
      <c r="T111" s="1495" t="s">
        <v>269</v>
      </c>
      <c r="U111" s="1495" t="s">
        <v>325</v>
      </c>
      <c r="V111" s="1495" t="s">
        <v>168</v>
      </c>
      <c r="W111" s="1495" t="s">
        <v>274</v>
      </c>
      <c r="Z111" s="1495" t="s">
        <v>41</v>
      </c>
      <c r="AA111" s="1495" t="s">
        <v>39</v>
      </c>
      <c r="AB111" s="1495" t="s">
        <v>75</v>
      </c>
      <c r="AC111" s="1495" t="s">
        <v>270</v>
      </c>
      <c r="AD111" s="1495" t="s">
        <v>60</v>
      </c>
      <c r="AF111" s="1495" t="s">
        <v>285</v>
      </c>
      <c r="AH111" s="1495" t="s">
        <v>342</v>
      </c>
    </row>
    <row r="112" spans="1:34" x14ac:dyDescent="0.2">
      <c r="B112" s="21" t="s">
        <v>157</v>
      </c>
      <c r="C112" s="1495" t="s">
        <v>19</v>
      </c>
      <c r="D112" s="21" t="s">
        <v>59</v>
      </c>
      <c r="E112" s="1495" t="s">
        <v>268</v>
      </c>
      <c r="F112" s="1495" t="s">
        <v>31</v>
      </c>
      <c r="G112" s="1495" t="s">
        <v>187</v>
      </c>
      <c r="H112" s="21" t="s">
        <v>62</v>
      </c>
      <c r="I112" s="1495" t="s">
        <v>348</v>
      </c>
      <c r="J112" s="1495" t="s">
        <v>267</v>
      </c>
      <c r="K112" s="1495" t="s">
        <v>171</v>
      </c>
      <c r="L112" s="1495" t="s">
        <v>261</v>
      </c>
      <c r="M112" s="1495" t="s">
        <v>468</v>
      </c>
      <c r="N112" s="1495" t="s">
        <v>174</v>
      </c>
      <c r="O112" s="21" t="s">
        <v>279</v>
      </c>
      <c r="P112" s="1495" t="s">
        <v>357</v>
      </c>
      <c r="Q112" s="1495" t="s">
        <v>284</v>
      </c>
      <c r="R112" s="1495" t="s">
        <v>166</v>
      </c>
      <c r="S112" s="1495" t="s">
        <v>469</v>
      </c>
      <c r="T112" s="1495" t="s">
        <v>269</v>
      </c>
      <c r="U112" s="1495" t="s">
        <v>325</v>
      </c>
      <c r="V112" s="1495" t="s">
        <v>168</v>
      </c>
      <c r="W112" s="1495" t="s">
        <v>274</v>
      </c>
      <c r="X112" s="21" t="s">
        <v>78</v>
      </c>
      <c r="Y112" s="21" t="s">
        <v>11</v>
      </c>
      <c r="Z112" s="1495" t="s">
        <v>41</v>
      </c>
      <c r="AA112" s="1495" t="s">
        <v>39</v>
      </c>
      <c r="AB112" s="1495" t="s">
        <v>75</v>
      </c>
      <c r="AC112" s="1495" t="s">
        <v>270</v>
      </c>
      <c r="AD112" s="1495" t="s">
        <v>60</v>
      </c>
      <c r="AE112" s="21" t="s">
        <v>95</v>
      </c>
      <c r="AF112" s="1495" t="s">
        <v>285</v>
      </c>
      <c r="AG112" s="21" t="s">
        <v>180</v>
      </c>
      <c r="AH112" s="1495" t="s">
        <v>342</v>
      </c>
    </row>
    <row r="113" spans="1:34" x14ac:dyDescent="0.2">
      <c r="A113" s="7" t="s">
        <v>363</v>
      </c>
      <c r="B113" s="21" t="s">
        <v>177</v>
      </c>
      <c r="C113" s="4">
        <v>-150052265000</v>
      </c>
      <c r="D113" s="4">
        <v>-30649200000</v>
      </c>
      <c r="E113" s="4">
        <v>-21244930000</v>
      </c>
      <c r="F113" s="4">
        <v>-20025000000</v>
      </c>
      <c r="G113" s="4">
        <v>-6642934000</v>
      </c>
      <c r="H113" s="4">
        <v>-4776605000</v>
      </c>
      <c r="I113" s="4">
        <v>-4063055000</v>
      </c>
      <c r="J113" s="4">
        <v>-2698495000</v>
      </c>
      <c r="K113" s="4">
        <v>-1618180000</v>
      </c>
      <c r="L113" s="4">
        <v>-1277087000</v>
      </c>
      <c r="M113" s="4">
        <v>-843920000</v>
      </c>
      <c r="N113" s="4">
        <v>-327100000</v>
      </c>
      <c r="O113" s="4">
        <v>-261060000</v>
      </c>
      <c r="P113" s="4">
        <v>-249500000</v>
      </c>
      <c r="Q113" s="4">
        <v>-225940000</v>
      </c>
      <c r="R113" s="4">
        <v>-155610000</v>
      </c>
      <c r="S113" s="4">
        <v>-138860000</v>
      </c>
      <c r="T113" s="4">
        <v>-137538000</v>
      </c>
      <c r="U113" s="4">
        <v>-129100000</v>
      </c>
      <c r="V113" s="4">
        <v>-127695000</v>
      </c>
      <c r="W113" s="4">
        <v>-110250000</v>
      </c>
      <c r="X113" s="4">
        <v>-94890000</v>
      </c>
      <c r="Y113" s="4">
        <v>-86250000</v>
      </c>
      <c r="Z113" s="4">
        <v>-81320000</v>
      </c>
      <c r="AA113" s="4">
        <v>-80520000</v>
      </c>
      <c r="AB113" s="4">
        <v>-80325000</v>
      </c>
      <c r="AC113" s="4">
        <v>-79130000</v>
      </c>
      <c r="AD113" s="4">
        <v>-71980000</v>
      </c>
      <c r="AE113" s="4">
        <v>-71760000</v>
      </c>
      <c r="AF113" s="4">
        <v>-43080000</v>
      </c>
      <c r="AG113" s="4">
        <v>-40970000</v>
      </c>
      <c r="AH113" s="4">
        <v>-21470000</v>
      </c>
    </row>
    <row r="114" spans="1:34" x14ac:dyDescent="0.2">
      <c r="B114" s="21" t="s">
        <v>162</v>
      </c>
      <c r="D114" s="1495" t="s">
        <v>262</v>
      </c>
    </row>
    <row r="115" spans="1:34" x14ac:dyDescent="0.2">
      <c r="B115" s="21" t="s">
        <v>161</v>
      </c>
      <c r="D115" s="1495" t="s">
        <v>262</v>
      </c>
    </row>
    <row r="116" spans="1:34" x14ac:dyDescent="0.2">
      <c r="B116" s="21" t="s">
        <v>160</v>
      </c>
      <c r="D116" s="1495" t="s">
        <v>262</v>
      </c>
    </row>
    <row r="117" spans="1:34" x14ac:dyDescent="0.2">
      <c r="B117" s="21" t="s">
        <v>157</v>
      </c>
      <c r="C117" s="21" t="s">
        <v>29</v>
      </c>
      <c r="D117" s="1495" t="s">
        <v>262</v>
      </c>
      <c r="E117" s="21" t="s">
        <v>301</v>
      </c>
    </row>
    <row r="118" spans="1:34" x14ac:dyDescent="0.2">
      <c r="A118" s="7" t="s">
        <v>362</v>
      </c>
      <c r="B118" s="21" t="s">
        <v>177</v>
      </c>
      <c r="C118" s="4">
        <v>-8148610800</v>
      </c>
      <c r="D118" s="4">
        <v>-276250000</v>
      </c>
      <c r="E118" s="4">
        <v>-187320000</v>
      </c>
    </row>
    <row r="119" spans="1:34" x14ac:dyDescent="0.2">
      <c r="B119" s="21" t="s">
        <v>162</v>
      </c>
      <c r="D119" s="1495" t="s">
        <v>8</v>
      </c>
      <c r="G119" s="1495" t="s">
        <v>281</v>
      </c>
      <c r="H119" s="1495" t="s">
        <v>359</v>
      </c>
      <c r="I119" s="1495" t="s">
        <v>262</v>
      </c>
    </row>
    <row r="120" spans="1:34" x14ac:dyDescent="0.2">
      <c r="B120" s="21" t="s">
        <v>161</v>
      </c>
      <c r="D120" s="1495" t="s">
        <v>8</v>
      </c>
      <c r="G120" s="1495" t="s">
        <v>281</v>
      </c>
      <c r="H120" s="1495" t="s">
        <v>359</v>
      </c>
      <c r="I120" s="1495" t="s">
        <v>262</v>
      </c>
    </row>
    <row r="121" spans="1:34" x14ac:dyDescent="0.2">
      <c r="B121" s="21" t="s">
        <v>160</v>
      </c>
      <c r="D121" s="1495" t="s">
        <v>8</v>
      </c>
      <c r="G121" s="1495" t="s">
        <v>281</v>
      </c>
      <c r="H121" s="1495" t="s">
        <v>359</v>
      </c>
      <c r="I121" s="1495" t="s">
        <v>262</v>
      </c>
    </row>
    <row r="122" spans="1:34" x14ac:dyDescent="0.2">
      <c r="B122" s="21" t="s">
        <v>157</v>
      </c>
      <c r="C122" s="21" t="s">
        <v>57</v>
      </c>
      <c r="D122" s="1495" t="s">
        <v>8</v>
      </c>
      <c r="E122" s="21" t="s">
        <v>62</v>
      </c>
      <c r="F122" s="21" t="s">
        <v>163</v>
      </c>
      <c r="G122" s="1495" t="s">
        <v>281</v>
      </c>
      <c r="H122" s="1495" t="s">
        <v>359</v>
      </c>
      <c r="I122" s="1495" t="s">
        <v>262</v>
      </c>
    </row>
    <row r="123" spans="1:34" x14ac:dyDescent="0.2">
      <c r="A123" s="7" t="s">
        <v>358</v>
      </c>
      <c r="B123" s="21" t="s">
        <v>177</v>
      </c>
      <c r="C123" s="4">
        <v>-10595450000</v>
      </c>
      <c r="D123" s="4">
        <v>-5284290000</v>
      </c>
      <c r="E123" s="4">
        <v>-4085415000</v>
      </c>
      <c r="F123" s="4">
        <v>-2806355000</v>
      </c>
      <c r="G123" s="4">
        <v>-1526420000</v>
      </c>
      <c r="H123" s="4">
        <v>-395680000</v>
      </c>
      <c r="I123" s="4">
        <v>-274000000</v>
      </c>
    </row>
    <row r="124" spans="1:34" x14ac:dyDescent="0.2">
      <c r="B124" s="21" t="s">
        <v>162</v>
      </c>
      <c r="F124" s="1495" t="s">
        <v>77</v>
      </c>
      <c r="K124" s="1495" t="s">
        <v>74</v>
      </c>
      <c r="L124" s="1495" t="s">
        <v>91</v>
      </c>
      <c r="M124" s="1495" t="s">
        <v>187</v>
      </c>
      <c r="P124" s="1495" t="s">
        <v>348</v>
      </c>
      <c r="S124" s="1495" t="s">
        <v>267</v>
      </c>
      <c r="T124" s="1495" t="s">
        <v>261</v>
      </c>
      <c r="U124" s="1495" t="s">
        <v>174</v>
      </c>
    </row>
    <row r="125" spans="1:34" x14ac:dyDescent="0.2">
      <c r="B125" s="21" t="s">
        <v>161</v>
      </c>
      <c r="F125" s="1495" t="s">
        <v>77</v>
      </c>
      <c r="K125" s="1495" t="s">
        <v>74</v>
      </c>
      <c r="L125" s="1495" t="s">
        <v>91</v>
      </c>
      <c r="M125" s="1495" t="s">
        <v>187</v>
      </c>
      <c r="P125" s="1495" t="s">
        <v>348</v>
      </c>
      <c r="S125" s="1495" t="s">
        <v>267</v>
      </c>
      <c r="T125" s="1495" t="s">
        <v>261</v>
      </c>
      <c r="U125" s="1495" t="s">
        <v>174</v>
      </c>
    </row>
    <row r="126" spans="1:34" x14ac:dyDescent="0.2">
      <c r="B126" s="21" t="s">
        <v>160</v>
      </c>
      <c r="F126" s="1495" t="s">
        <v>77</v>
      </c>
      <c r="K126" s="1495" t="s">
        <v>74</v>
      </c>
      <c r="L126" s="1495" t="s">
        <v>91</v>
      </c>
      <c r="M126" s="1495" t="s">
        <v>187</v>
      </c>
      <c r="O126" s="1495" t="s">
        <v>190</v>
      </c>
      <c r="P126" s="1495" t="s">
        <v>348</v>
      </c>
      <c r="R126" s="1495" t="s">
        <v>297</v>
      </c>
      <c r="S126" s="1495" t="s">
        <v>267</v>
      </c>
      <c r="T126" s="1495" t="s">
        <v>261</v>
      </c>
      <c r="U126" s="1495" t="s">
        <v>174</v>
      </c>
    </row>
    <row r="127" spans="1:34" x14ac:dyDescent="0.2">
      <c r="B127" s="21" t="s">
        <v>157</v>
      </c>
      <c r="C127" s="21" t="s">
        <v>24</v>
      </c>
      <c r="D127" s="21" t="s">
        <v>64</v>
      </c>
      <c r="E127" s="21" t="s">
        <v>22</v>
      </c>
      <c r="F127" s="1495" t="s">
        <v>77</v>
      </c>
      <c r="G127" s="21" t="s">
        <v>18</v>
      </c>
      <c r="H127" s="21" t="s">
        <v>65</v>
      </c>
      <c r="I127" s="21" t="s">
        <v>212</v>
      </c>
      <c r="J127" s="21" t="s">
        <v>38</v>
      </c>
      <c r="K127" s="1495" t="s">
        <v>74</v>
      </c>
      <c r="L127" s="1495" t="s">
        <v>91</v>
      </c>
      <c r="M127" s="1495" t="s">
        <v>187</v>
      </c>
      <c r="N127" s="21" t="s">
        <v>62</v>
      </c>
      <c r="O127" s="1495" t="s">
        <v>190</v>
      </c>
      <c r="P127" s="1495" t="s">
        <v>348</v>
      </c>
      <c r="Q127" s="21" t="s">
        <v>163</v>
      </c>
      <c r="R127" s="1495" t="s">
        <v>297</v>
      </c>
      <c r="S127" s="1495" t="s">
        <v>267</v>
      </c>
      <c r="T127" s="1495" t="s">
        <v>261</v>
      </c>
      <c r="U127" s="1495" t="s">
        <v>174</v>
      </c>
      <c r="V127" s="21" t="s">
        <v>271</v>
      </c>
    </row>
    <row r="128" spans="1:34" x14ac:dyDescent="0.2">
      <c r="A128" s="7" t="s">
        <v>354</v>
      </c>
      <c r="B128" s="21" t="s">
        <v>177</v>
      </c>
      <c r="C128" s="4">
        <v>-19243065000</v>
      </c>
      <c r="D128" s="4">
        <v>-17017220000</v>
      </c>
      <c r="E128" s="4">
        <v>-15517805000</v>
      </c>
      <c r="F128" s="4">
        <v>-14357426000</v>
      </c>
      <c r="G128" s="4">
        <v>-12937365000</v>
      </c>
      <c r="H128" s="4">
        <v>-11211530000</v>
      </c>
      <c r="I128" s="4">
        <v>-10742080000</v>
      </c>
      <c r="J128" s="4">
        <v>-9058225000</v>
      </c>
      <c r="K128" s="4">
        <v>-5869810000</v>
      </c>
      <c r="L128" s="4">
        <v>-5315660000</v>
      </c>
      <c r="M128" s="4">
        <v>-4687210000</v>
      </c>
      <c r="N128" s="4">
        <v>-4031730000</v>
      </c>
      <c r="O128" s="4">
        <v>-3078615000</v>
      </c>
      <c r="P128" s="4">
        <v>-2952585000</v>
      </c>
      <c r="Q128" s="4">
        <v>-2496876000</v>
      </c>
      <c r="R128" s="4">
        <v>-1832055000</v>
      </c>
      <c r="S128" s="4">
        <v>-1050050000</v>
      </c>
      <c r="T128" s="4">
        <v>-874650000</v>
      </c>
      <c r="U128" s="4">
        <v>-319855000</v>
      </c>
      <c r="V128" s="4">
        <v>-8927000</v>
      </c>
    </row>
    <row r="129" spans="1:10" x14ac:dyDescent="0.2">
      <c r="B129" s="21" t="s">
        <v>162</v>
      </c>
      <c r="E129" s="1495" t="s">
        <v>36</v>
      </c>
      <c r="H129" s="1495" t="s">
        <v>202</v>
      </c>
      <c r="I129" s="1495" t="s">
        <v>84</v>
      </c>
    </row>
    <row r="130" spans="1:10" x14ac:dyDescent="0.2">
      <c r="B130" s="21" t="s">
        <v>161</v>
      </c>
      <c r="E130" s="1495" t="s">
        <v>36</v>
      </c>
      <c r="H130" s="1495" t="s">
        <v>202</v>
      </c>
      <c r="I130" s="1495" t="s">
        <v>84</v>
      </c>
    </row>
    <row r="131" spans="1:10" x14ac:dyDescent="0.2">
      <c r="B131" s="21" t="s">
        <v>160</v>
      </c>
      <c r="D131" s="1495" t="s">
        <v>40</v>
      </c>
      <c r="E131" s="1495" t="s">
        <v>36</v>
      </c>
      <c r="G131" s="1495" t="s">
        <v>176</v>
      </c>
      <c r="H131" s="1495" t="s">
        <v>202</v>
      </c>
      <c r="I131" s="1495" t="s">
        <v>84</v>
      </c>
    </row>
    <row r="132" spans="1:10" x14ac:dyDescent="0.2">
      <c r="B132" s="21" t="s">
        <v>157</v>
      </c>
      <c r="C132" s="21" t="s">
        <v>33</v>
      </c>
      <c r="D132" s="1495" t="s">
        <v>40</v>
      </c>
      <c r="E132" s="1495" t="s">
        <v>36</v>
      </c>
      <c r="F132" s="21" t="s">
        <v>13</v>
      </c>
      <c r="G132" s="1495" t="s">
        <v>176</v>
      </c>
      <c r="H132" s="1495" t="s">
        <v>202</v>
      </c>
      <c r="I132" s="1495" t="s">
        <v>84</v>
      </c>
      <c r="J132" s="21" t="s">
        <v>83</v>
      </c>
    </row>
    <row r="133" spans="1:10" x14ac:dyDescent="0.2">
      <c r="A133" s="7" t="s">
        <v>353</v>
      </c>
      <c r="B133" s="21" t="s">
        <v>177</v>
      </c>
      <c r="C133" s="4">
        <v>-145542480000</v>
      </c>
      <c r="D133" s="4">
        <v>-57341150000</v>
      </c>
      <c r="E133" s="4">
        <v>-51509660000</v>
      </c>
      <c r="F133" s="4">
        <v>-33037085000</v>
      </c>
      <c r="G133" s="4">
        <v>-21758070000</v>
      </c>
      <c r="H133" s="4">
        <v>-6376910000</v>
      </c>
      <c r="I133" s="4">
        <v>-601750000</v>
      </c>
      <c r="J133" s="4">
        <v>-3420000</v>
      </c>
    </row>
    <row r="134" spans="1:10" x14ac:dyDescent="0.2">
      <c r="B134" s="21" t="s">
        <v>162</v>
      </c>
      <c r="E134" s="1495" t="s">
        <v>158</v>
      </c>
    </row>
    <row r="135" spans="1:10" x14ac:dyDescent="0.2">
      <c r="B135" s="21" t="s">
        <v>161</v>
      </c>
      <c r="E135" s="1495" t="s">
        <v>158</v>
      </c>
    </row>
    <row r="136" spans="1:10" x14ac:dyDescent="0.2">
      <c r="B136" s="21" t="s">
        <v>160</v>
      </c>
      <c r="E136" s="1495" t="s">
        <v>158</v>
      </c>
    </row>
    <row r="137" spans="1:10" x14ac:dyDescent="0.2">
      <c r="B137" s="21" t="s">
        <v>157</v>
      </c>
      <c r="C137" s="21" t="s">
        <v>17</v>
      </c>
      <c r="D137" s="21" t="s">
        <v>20</v>
      </c>
      <c r="E137" s="1495" t="s">
        <v>158</v>
      </c>
      <c r="F137" s="21" t="s">
        <v>62</v>
      </c>
    </row>
    <row r="138" spans="1:10" x14ac:dyDescent="0.2">
      <c r="A138" s="7" t="s">
        <v>347</v>
      </c>
      <c r="B138" s="21" t="s">
        <v>177</v>
      </c>
      <c r="C138" s="4">
        <v>-109163239000</v>
      </c>
      <c r="D138" s="4">
        <v>-10828470000</v>
      </c>
      <c r="E138" s="4">
        <v>-3616000000</v>
      </c>
      <c r="F138" s="4">
        <v>-2251050000</v>
      </c>
    </row>
    <row r="139" spans="1:10" x14ac:dyDescent="0.2">
      <c r="B139" s="21" t="s">
        <v>160</v>
      </c>
      <c r="F139" s="1495" t="s">
        <v>74</v>
      </c>
    </row>
    <row r="140" spans="1:10" x14ac:dyDescent="0.2">
      <c r="B140" s="21" t="s">
        <v>157</v>
      </c>
      <c r="C140" s="21" t="s">
        <v>33</v>
      </c>
      <c r="D140" s="21" t="s">
        <v>40</v>
      </c>
      <c r="E140" s="21" t="s">
        <v>36</v>
      </c>
      <c r="F140" s="1495" t="s">
        <v>74</v>
      </c>
      <c r="G140" s="21" t="s">
        <v>171</v>
      </c>
    </row>
    <row r="141" spans="1:10" x14ac:dyDescent="0.2">
      <c r="A141" s="7" t="s">
        <v>346</v>
      </c>
      <c r="B141" s="21" t="s">
        <v>177</v>
      </c>
      <c r="C141" s="4">
        <v>-105916230000</v>
      </c>
      <c r="D141" s="4">
        <v>-22984630000</v>
      </c>
      <c r="E141" s="4">
        <v>-20977850000</v>
      </c>
      <c r="F141" s="4">
        <v>-1982855000</v>
      </c>
      <c r="G141" s="4">
        <v>-822480000</v>
      </c>
    </row>
    <row r="142" spans="1:10" x14ac:dyDescent="0.2">
      <c r="B142" s="21" t="s">
        <v>162</v>
      </c>
      <c r="C142" s="1495" t="s">
        <v>42</v>
      </c>
      <c r="D142" s="1495" t="s">
        <v>280</v>
      </c>
    </row>
    <row r="143" spans="1:10" x14ac:dyDescent="0.2">
      <c r="B143" s="21" t="s">
        <v>161</v>
      </c>
      <c r="C143" s="1495" t="s">
        <v>42</v>
      </c>
      <c r="D143" s="1495" t="s">
        <v>280</v>
      </c>
    </row>
    <row r="144" spans="1:10" x14ac:dyDescent="0.2">
      <c r="B144" s="21" t="s">
        <v>160</v>
      </c>
      <c r="C144" s="1495" t="s">
        <v>42</v>
      </c>
      <c r="D144" s="1495" t="s">
        <v>280</v>
      </c>
    </row>
    <row r="145" spans="1:6" x14ac:dyDescent="0.2">
      <c r="B145" s="21" t="s">
        <v>157</v>
      </c>
      <c r="C145" s="1495" t="s">
        <v>42</v>
      </c>
      <c r="D145" s="1495" t="s">
        <v>280</v>
      </c>
    </row>
    <row r="146" spans="1:6" x14ac:dyDescent="0.2">
      <c r="A146" s="7" t="s">
        <v>345</v>
      </c>
      <c r="B146" s="21" t="s">
        <v>177</v>
      </c>
      <c r="C146" s="4">
        <v>-16519290000</v>
      </c>
      <c r="D146" s="4">
        <v>-1420000</v>
      </c>
    </row>
    <row r="147" spans="1:6" x14ac:dyDescent="0.2">
      <c r="B147" s="21" t="s">
        <v>157</v>
      </c>
      <c r="C147" s="21" t="s">
        <v>10</v>
      </c>
    </row>
    <row r="148" spans="1:6" x14ac:dyDescent="0.2">
      <c r="A148" s="7" t="s">
        <v>344</v>
      </c>
      <c r="B148" s="21" t="s">
        <v>177</v>
      </c>
      <c r="C148" s="4">
        <v>-1973900000</v>
      </c>
    </row>
    <row r="149" spans="1:6" x14ac:dyDescent="0.2">
      <c r="B149" s="21" t="s">
        <v>162</v>
      </c>
      <c r="C149" s="1495" t="s">
        <v>263</v>
      </c>
    </row>
    <row r="150" spans="1:6" x14ac:dyDescent="0.2">
      <c r="B150" s="21" t="s">
        <v>161</v>
      </c>
      <c r="C150" s="1495" t="s">
        <v>263</v>
      </c>
    </row>
    <row r="151" spans="1:6" x14ac:dyDescent="0.2">
      <c r="B151" s="21" t="s">
        <v>160</v>
      </c>
      <c r="C151" s="1495" t="s">
        <v>263</v>
      </c>
    </row>
    <row r="152" spans="1:6" x14ac:dyDescent="0.2">
      <c r="B152" s="21" t="s">
        <v>157</v>
      </c>
      <c r="C152" s="1495" t="s">
        <v>263</v>
      </c>
    </row>
    <row r="153" spans="1:6" x14ac:dyDescent="0.2">
      <c r="A153" s="7" t="s">
        <v>343</v>
      </c>
      <c r="B153" s="21" t="s">
        <v>177</v>
      </c>
      <c r="C153" s="4">
        <v>-95661280000</v>
      </c>
    </row>
    <row r="154" spans="1:6" x14ac:dyDescent="0.2">
      <c r="B154" s="21" t="s">
        <v>162</v>
      </c>
      <c r="C154" s="1495" t="s">
        <v>296</v>
      </c>
    </row>
    <row r="155" spans="1:6" x14ac:dyDescent="0.2">
      <c r="B155" s="21" t="s">
        <v>161</v>
      </c>
      <c r="C155" s="1495" t="s">
        <v>296</v>
      </c>
    </row>
    <row r="156" spans="1:6" x14ac:dyDescent="0.2">
      <c r="B156" s="21" t="s">
        <v>160</v>
      </c>
      <c r="C156" s="1495" t="s">
        <v>296</v>
      </c>
    </row>
    <row r="157" spans="1:6" x14ac:dyDescent="0.2">
      <c r="B157" s="21" t="s">
        <v>157</v>
      </c>
      <c r="C157" s="1495" t="s">
        <v>296</v>
      </c>
      <c r="D157" s="21" t="s">
        <v>34</v>
      </c>
    </row>
    <row r="158" spans="1:6" x14ac:dyDescent="0.2">
      <c r="A158" s="7" t="s">
        <v>341</v>
      </c>
      <c r="B158" s="21" t="s">
        <v>177</v>
      </c>
      <c r="C158" s="4">
        <v>-87823040000</v>
      </c>
      <c r="D158" s="4">
        <v>-45930756000</v>
      </c>
    </row>
    <row r="159" spans="1:6" x14ac:dyDescent="0.2">
      <c r="B159" s="21" t="s">
        <v>160</v>
      </c>
      <c r="D159" s="1495" t="s">
        <v>282</v>
      </c>
    </row>
    <row r="160" spans="1:6" x14ac:dyDescent="0.2">
      <c r="B160" s="21" t="s">
        <v>157</v>
      </c>
      <c r="C160" s="21" t="s">
        <v>61</v>
      </c>
      <c r="D160" s="1495" t="s">
        <v>282</v>
      </c>
      <c r="E160" s="21" t="s">
        <v>37</v>
      </c>
      <c r="F160" s="21" t="s">
        <v>62</v>
      </c>
    </row>
    <row r="161" spans="1:10" x14ac:dyDescent="0.2">
      <c r="A161" s="7" t="s">
        <v>338</v>
      </c>
      <c r="B161" s="21" t="s">
        <v>177</v>
      </c>
      <c r="C161" s="4">
        <v>-15893730000</v>
      </c>
      <c r="D161" s="4">
        <v>-4676292000</v>
      </c>
      <c r="E161" s="4">
        <v>-3667400000</v>
      </c>
      <c r="F161" s="4">
        <v>-1830300000</v>
      </c>
    </row>
    <row r="162" spans="1:10" x14ac:dyDescent="0.2">
      <c r="B162" s="21" t="s">
        <v>162</v>
      </c>
      <c r="C162" s="1495" t="s">
        <v>14</v>
      </c>
      <c r="G162" s="1495" t="s">
        <v>27</v>
      </c>
      <c r="J162" s="1495" t="s">
        <v>311</v>
      </c>
    </row>
    <row r="163" spans="1:10" x14ac:dyDescent="0.2">
      <c r="B163" s="21" t="s">
        <v>161</v>
      </c>
      <c r="C163" s="1495" t="s">
        <v>14</v>
      </c>
      <c r="G163" s="1495" t="s">
        <v>27</v>
      </c>
      <c r="J163" s="1495" t="s">
        <v>311</v>
      </c>
    </row>
    <row r="164" spans="1:10" x14ac:dyDescent="0.2">
      <c r="B164" s="21" t="s">
        <v>160</v>
      </c>
      <c r="C164" s="1495" t="s">
        <v>14</v>
      </c>
      <c r="D164" s="1495" t="s">
        <v>5</v>
      </c>
      <c r="G164" s="1495" t="s">
        <v>27</v>
      </c>
      <c r="J164" s="1495" t="s">
        <v>311</v>
      </c>
    </row>
    <row r="165" spans="1:10" x14ac:dyDescent="0.2">
      <c r="B165" s="21" t="s">
        <v>157</v>
      </c>
      <c r="C165" s="1495" t="s">
        <v>14</v>
      </c>
      <c r="D165" s="1495" t="s">
        <v>5</v>
      </c>
      <c r="E165" s="21" t="s">
        <v>35</v>
      </c>
      <c r="F165" s="21" t="s">
        <v>33</v>
      </c>
      <c r="G165" s="1495" t="s">
        <v>27</v>
      </c>
      <c r="H165" s="21" t="s">
        <v>36</v>
      </c>
      <c r="I165" s="21" t="s">
        <v>282</v>
      </c>
      <c r="J165" s="1495" t="s">
        <v>311</v>
      </c>
    </row>
    <row r="166" spans="1:10" x14ac:dyDescent="0.2">
      <c r="A166" s="7" t="s">
        <v>334</v>
      </c>
      <c r="B166" s="21" t="s">
        <v>177</v>
      </c>
      <c r="C166" s="4">
        <v>-179460700000</v>
      </c>
      <c r="D166" s="4">
        <v>-91099405000</v>
      </c>
      <c r="E166" s="4">
        <v>-66500340000</v>
      </c>
      <c r="F166" s="4">
        <v>-49556270000</v>
      </c>
      <c r="G166" s="4">
        <v>-38977863000</v>
      </c>
      <c r="H166" s="4">
        <v>-12139920000</v>
      </c>
      <c r="I166" s="4">
        <v>-12150000</v>
      </c>
      <c r="J166" s="4">
        <v>-7080000</v>
      </c>
    </row>
    <row r="167" spans="1:10" x14ac:dyDescent="0.2">
      <c r="B167" s="21" t="s">
        <v>162</v>
      </c>
      <c r="C167" s="1495" t="s">
        <v>30</v>
      </c>
      <c r="D167" s="1495" t="s">
        <v>186</v>
      </c>
    </row>
    <row r="168" spans="1:10" x14ac:dyDescent="0.2">
      <c r="B168" s="21" t="s">
        <v>161</v>
      </c>
      <c r="C168" s="1495" t="s">
        <v>30</v>
      </c>
      <c r="D168" s="1495" t="s">
        <v>186</v>
      </c>
    </row>
    <row r="169" spans="1:10" x14ac:dyDescent="0.2">
      <c r="B169" s="21" t="s">
        <v>160</v>
      </c>
      <c r="C169" s="1495" t="s">
        <v>30</v>
      </c>
      <c r="D169" s="1495" t="s">
        <v>186</v>
      </c>
    </row>
    <row r="170" spans="1:10" x14ac:dyDescent="0.2">
      <c r="B170" s="21" t="s">
        <v>157</v>
      </c>
      <c r="C170" s="1495" t="s">
        <v>30</v>
      </c>
      <c r="D170" s="1495" t="s">
        <v>186</v>
      </c>
    </row>
    <row r="171" spans="1:10" x14ac:dyDescent="0.2">
      <c r="A171" s="7" t="s">
        <v>332</v>
      </c>
      <c r="B171" s="21" t="s">
        <v>177</v>
      </c>
      <c r="C171" s="4">
        <v>-72049784000</v>
      </c>
      <c r="D171" s="4">
        <v>-29560770000</v>
      </c>
    </row>
    <row r="172" spans="1:10" x14ac:dyDescent="0.2">
      <c r="B172" s="21" t="s">
        <v>162</v>
      </c>
      <c r="D172" s="1495" t="s">
        <v>202</v>
      </c>
    </row>
    <row r="173" spans="1:10" x14ac:dyDescent="0.2">
      <c r="B173" s="21" t="s">
        <v>161</v>
      </c>
      <c r="D173" s="1495" t="s">
        <v>202</v>
      </c>
    </row>
    <row r="174" spans="1:10" x14ac:dyDescent="0.2">
      <c r="B174" s="21" t="s">
        <v>160</v>
      </c>
      <c r="D174" s="1495" t="s">
        <v>202</v>
      </c>
    </row>
    <row r="175" spans="1:10" x14ac:dyDescent="0.2">
      <c r="B175" s="21" t="s">
        <v>157</v>
      </c>
      <c r="C175" s="21" t="s">
        <v>58</v>
      </c>
      <c r="D175" s="1495" t="s">
        <v>202</v>
      </c>
    </row>
    <row r="176" spans="1:10" x14ac:dyDescent="0.2">
      <c r="A176" s="7" t="s">
        <v>331</v>
      </c>
      <c r="B176" s="21" t="s">
        <v>177</v>
      </c>
      <c r="C176" s="4">
        <v>-23855465000</v>
      </c>
      <c r="D176" s="4">
        <v>-5369500000</v>
      </c>
    </row>
    <row r="177" spans="1:6" x14ac:dyDescent="0.2">
      <c r="B177" s="21" t="s">
        <v>162</v>
      </c>
      <c r="D177" s="1495" t="s">
        <v>63</v>
      </c>
      <c r="F177" s="1495" t="s">
        <v>276</v>
      </c>
    </row>
    <row r="178" spans="1:6" x14ac:dyDescent="0.2">
      <c r="B178" s="21" t="s">
        <v>161</v>
      </c>
      <c r="D178" s="1495" t="s">
        <v>63</v>
      </c>
      <c r="F178" s="1495" t="s">
        <v>276</v>
      </c>
    </row>
    <row r="179" spans="1:6" x14ac:dyDescent="0.2">
      <c r="B179" s="21" t="s">
        <v>160</v>
      </c>
      <c r="D179" s="1495" t="s">
        <v>63</v>
      </c>
      <c r="F179" s="1495" t="s">
        <v>276</v>
      </c>
    </row>
    <row r="180" spans="1:6" x14ac:dyDescent="0.2">
      <c r="B180" s="21" t="s">
        <v>157</v>
      </c>
      <c r="C180" s="21" t="s">
        <v>33</v>
      </c>
      <c r="D180" s="1495" t="s">
        <v>63</v>
      </c>
      <c r="E180" s="21" t="s">
        <v>18</v>
      </c>
      <c r="F180" s="1495" t="s">
        <v>276</v>
      </c>
    </row>
    <row r="181" spans="1:6" x14ac:dyDescent="0.2">
      <c r="A181" s="7" t="s">
        <v>324</v>
      </c>
      <c r="B181" s="21" t="s">
        <v>177</v>
      </c>
      <c r="C181" s="4">
        <v>-44460630000</v>
      </c>
      <c r="D181" s="4">
        <v>-10904220000</v>
      </c>
      <c r="E181" s="4">
        <v>-9666835000</v>
      </c>
      <c r="F181" s="4">
        <v>-6664810000</v>
      </c>
    </row>
    <row r="182" spans="1:6" x14ac:dyDescent="0.2">
      <c r="B182" s="21" t="s">
        <v>162</v>
      </c>
      <c r="C182" s="1495" t="s">
        <v>30</v>
      </c>
      <c r="D182" s="1495" t="s">
        <v>186</v>
      </c>
      <c r="F182" s="1495" t="s">
        <v>158</v>
      </c>
    </row>
    <row r="183" spans="1:6" x14ac:dyDescent="0.2">
      <c r="B183" s="21" t="s">
        <v>161</v>
      </c>
      <c r="C183" s="1495" t="s">
        <v>30</v>
      </c>
      <c r="D183" s="1495" t="s">
        <v>186</v>
      </c>
      <c r="F183" s="1495" t="s">
        <v>158</v>
      </c>
    </row>
    <row r="184" spans="1:6" x14ac:dyDescent="0.2">
      <c r="B184" s="21" t="s">
        <v>160</v>
      </c>
      <c r="C184" s="1495" t="s">
        <v>30</v>
      </c>
      <c r="D184" s="1495" t="s">
        <v>186</v>
      </c>
      <c r="F184" s="1495" t="s">
        <v>158</v>
      </c>
    </row>
    <row r="185" spans="1:6" x14ac:dyDescent="0.2">
      <c r="B185" s="21" t="s">
        <v>157</v>
      </c>
      <c r="C185" s="1495" t="s">
        <v>30</v>
      </c>
      <c r="D185" s="1495" t="s">
        <v>186</v>
      </c>
      <c r="E185" s="21" t="s">
        <v>190</v>
      </c>
      <c r="F185" s="1495" t="s">
        <v>158</v>
      </c>
    </row>
    <row r="186" spans="1:6" x14ac:dyDescent="0.2">
      <c r="A186" s="7" t="s">
        <v>323</v>
      </c>
      <c r="B186" s="21" t="s">
        <v>177</v>
      </c>
      <c r="C186" s="4">
        <v>-29842132000</v>
      </c>
      <c r="D186" s="4">
        <v>-3209648000</v>
      </c>
      <c r="E186" s="4">
        <v>-2897295000</v>
      </c>
      <c r="F186" s="4">
        <v>-855000000</v>
      </c>
    </row>
    <row r="187" spans="1:6" x14ac:dyDescent="0.2">
      <c r="B187" s="21" t="s">
        <v>162</v>
      </c>
      <c r="C187" s="1495" t="s">
        <v>21</v>
      </c>
    </row>
    <row r="188" spans="1:6" x14ac:dyDescent="0.2">
      <c r="B188" s="21" t="s">
        <v>161</v>
      </c>
      <c r="C188" s="1495" t="s">
        <v>21</v>
      </c>
    </row>
    <row r="189" spans="1:6" x14ac:dyDescent="0.2">
      <c r="B189" s="21" t="s">
        <v>160</v>
      </c>
      <c r="C189" s="1495" t="s">
        <v>21</v>
      </c>
    </row>
    <row r="190" spans="1:6" x14ac:dyDescent="0.2">
      <c r="B190" s="21" t="s">
        <v>157</v>
      </c>
      <c r="C190" s="1495" t="s">
        <v>21</v>
      </c>
      <c r="D190" s="21" t="s">
        <v>12</v>
      </c>
      <c r="E190" s="21" t="s">
        <v>198</v>
      </c>
    </row>
    <row r="191" spans="1:6" x14ac:dyDescent="0.2">
      <c r="A191" s="7" t="s">
        <v>321</v>
      </c>
      <c r="B191" s="21" t="s">
        <v>177</v>
      </c>
      <c r="C191" s="4">
        <v>-79270400000</v>
      </c>
      <c r="D191" s="4">
        <v>-37233077000</v>
      </c>
      <c r="E191" s="4">
        <v>-1212850000</v>
      </c>
    </row>
    <row r="192" spans="1:6" x14ac:dyDescent="0.2">
      <c r="B192" s="21" t="s">
        <v>162</v>
      </c>
      <c r="C192" s="1495" t="s">
        <v>67</v>
      </c>
      <c r="D192" s="1495" t="s">
        <v>30</v>
      </c>
    </row>
    <row r="193" spans="1:8" x14ac:dyDescent="0.2">
      <c r="B193" s="21" t="s">
        <v>161</v>
      </c>
      <c r="C193" s="1495" t="s">
        <v>67</v>
      </c>
      <c r="D193" s="1495" t="s">
        <v>30</v>
      </c>
    </row>
    <row r="194" spans="1:8" x14ac:dyDescent="0.2">
      <c r="B194" s="21" t="s">
        <v>160</v>
      </c>
      <c r="C194" s="1495" t="s">
        <v>67</v>
      </c>
      <c r="D194" s="1495" t="s">
        <v>30</v>
      </c>
    </row>
    <row r="195" spans="1:8" x14ac:dyDescent="0.2">
      <c r="B195" s="21" t="s">
        <v>157</v>
      </c>
      <c r="C195" s="1495" t="s">
        <v>67</v>
      </c>
      <c r="D195" s="1495" t="s">
        <v>30</v>
      </c>
      <c r="E195" s="21" t="s">
        <v>93</v>
      </c>
      <c r="F195" s="21" t="s">
        <v>62</v>
      </c>
    </row>
    <row r="196" spans="1:8" x14ac:dyDescent="0.2">
      <c r="A196" s="7" t="s">
        <v>317</v>
      </c>
      <c r="B196" s="21" t="s">
        <v>177</v>
      </c>
      <c r="C196" s="4">
        <v>-58511420000</v>
      </c>
      <c r="D196" s="4">
        <v>-25603027000</v>
      </c>
      <c r="E196" s="4">
        <v>-4067520000</v>
      </c>
      <c r="F196" s="4">
        <v>-1669705000</v>
      </c>
    </row>
    <row r="197" spans="1:8" x14ac:dyDescent="0.2">
      <c r="B197" s="21" t="s">
        <v>162</v>
      </c>
      <c r="C197" s="1495" t="s">
        <v>28</v>
      </c>
      <c r="F197" s="1495" t="s">
        <v>158</v>
      </c>
    </row>
    <row r="198" spans="1:8" x14ac:dyDescent="0.2">
      <c r="B198" s="21" t="s">
        <v>161</v>
      </c>
      <c r="C198" s="1495" t="s">
        <v>28</v>
      </c>
      <c r="F198" s="1495" t="s">
        <v>158</v>
      </c>
    </row>
    <row r="199" spans="1:8" x14ac:dyDescent="0.2">
      <c r="B199" s="21" t="s">
        <v>160</v>
      </c>
      <c r="C199" s="1495" t="s">
        <v>28</v>
      </c>
      <c r="F199" s="1495" t="s">
        <v>158</v>
      </c>
    </row>
    <row r="200" spans="1:8" x14ac:dyDescent="0.2">
      <c r="B200" s="21" t="s">
        <v>157</v>
      </c>
      <c r="C200" s="1495" t="s">
        <v>28</v>
      </c>
      <c r="D200" s="21" t="s">
        <v>34</v>
      </c>
      <c r="E200" s="21" t="s">
        <v>19</v>
      </c>
      <c r="F200" s="1495" t="s">
        <v>158</v>
      </c>
    </row>
    <row r="201" spans="1:8" x14ac:dyDescent="0.2">
      <c r="A201" s="7" t="s">
        <v>309</v>
      </c>
      <c r="B201" s="21" t="s">
        <v>177</v>
      </c>
      <c r="C201" s="4">
        <v>-31764910000</v>
      </c>
      <c r="D201" s="4">
        <v>-16449411000</v>
      </c>
      <c r="E201" s="4">
        <v>-9663730000</v>
      </c>
      <c r="F201" s="4">
        <v>-517000000</v>
      </c>
    </row>
    <row r="202" spans="1:8" x14ac:dyDescent="0.2">
      <c r="B202" s="21" t="s">
        <v>162</v>
      </c>
      <c r="C202" s="1495" t="s">
        <v>14</v>
      </c>
      <c r="D202" s="1495" t="s">
        <v>69</v>
      </c>
      <c r="E202" s="1495" t="s">
        <v>194</v>
      </c>
      <c r="H202" s="1495" t="s">
        <v>186</v>
      </c>
    </row>
    <row r="203" spans="1:8" x14ac:dyDescent="0.2">
      <c r="B203" s="21" t="s">
        <v>161</v>
      </c>
      <c r="C203" s="1495" t="s">
        <v>14</v>
      </c>
      <c r="D203" s="1495" t="s">
        <v>69</v>
      </c>
      <c r="E203" s="1495" t="s">
        <v>194</v>
      </c>
      <c r="H203" s="1495" t="s">
        <v>186</v>
      </c>
    </row>
    <row r="204" spans="1:8" x14ac:dyDescent="0.2">
      <c r="B204" s="21" t="s">
        <v>160</v>
      </c>
      <c r="C204" s="1495" t="s">
        <v>14</v>
      </c>
      <c r="D204" s="1495" t="s">
        <v>69</v>
      </c>
      <c r="E204" s="1495" t="s">
        <v>194</v>
      </c>
      <c r="H204" s="1495" t="s">
        <v>186</v>
      </c>
    </row>
    <row r="205" spans="1:8" x14ac:dyDescent="0.2">
      <c r="B205" s="21" t="s">
        <v>157</v>
      </c>
      <c r="C205" s="1495" t="s">
        <v>14</v>
      </c>
      <c r="D205" s="1495" t="s">
        <v>69</v>
      </c>
      <c r="E205" s="1495" t="s">
        <v>194</v>
      </c>
      <c r="F205" s="21" t="s">
        <v>176</v>
      </c>
      <c r="G205" s="21" t="s">
        <v>19</v>
      </c>
      <c r="H205" s="1495" t="s">
        <v>186</v>
      </c>
    </row>
    <row r="206" spans="1:8" x14ac:dyDescent="0.2">
      <c r="A206" s="7" t="s">
        <v>305</v>
      </c>
      <c r="B206" s="21" t="s">
        <v>177</v>
      </c>
      <c r="C206" s="4">
        <v>-142468233000</v>
      </c>
      <c r="D206" s="4">
        <v>-45025520000</v>
      </c>
      <c r="E206" s="4">
        <v>-14171480000</v>
      </c>
      <c r="F206" s="4">
        <v>-10495360000</v>
      </c>
      <c r="G206" s="4">
        <v>-7611520000</v>
      </c>
      <c r="H206" s="4">
        <v>-1946575000</v>
      </c>
    </row>
    <row r="207" spans="1:8" x14ac:dyDescent="0.2">
      <c r="B207" s="21" t="s">
        <v>162</v>
      </c>
      <c r="D207" s="1495" t="s">
        <v>7</v>
      </c>
      <c r="E207" s="1495" t="s">
        <v>76</v>
      </c>
      <c r="F207" s="1495" t="s">
        <v>186</v>
      </c>
      <c r="G207" s="1495" t="s">
        <v>158</v>
      </c>
      <c r="H207" s="1495" t="s">
        <v>94</v>
      </c>
    </row>
    <row r="208" spans="1:8" x14ac:dyDescent="0.2">
      <c r="B208" s="21" t="s">
        <v>161</v>
      </c>
      <c r="D208" s="1495" t="s">
        <v>7</v>
      </c>
      <c r="E208" s="1495" t="s">
        <v>76</v>
      </c>
      <c r="F208" s="1495" t="s">
        <v>186</v>
      </c>
      <c r="G208" s="1495" t="s">
        <v>158</v>
      </c>
      <c r="H208" s="1495" t="s">
        <v>94</v>
      </c>
    </row>
    <row r="209" spans="1:8" x14ac:dyDescent="0.2">
      <c r="B209" s="21" t="s">
        <v>160</v>
      </c>
      <c r="D209" s="1495" t="s">
        <v>7</v>
      </c>
      <c r="E209" s="1495" t="s">
        <v>76</v>
      </c>
      <c r="F209" s="1495" t="s">
        <v>186</v>
      </c>
      <c r="G209" s="1495" t="s">
        <v>158</v>
      </c>
      <c r="H209" s="1495" t="s">
        <v>94</v>
      </c>
    </row>
    <row r="210" spans="1:8" x14ac:dyDescent="0.2">
      <c r="B210" s="21" t="s">
        <v>157</v>
      </c>
      <c r="C210" s="21" t="s">
        <v>67</v>
      </c>
      <c r="D210" s="1495" t="s">
        <v>7</v>
      </c>
      <c r="E210" s="1495" t="s">
        <v>76</v>
      </c>
      <c r="F210" s="1495" t="s">
        <v>186</v>
      </c>
      <c r="G210" s="1495" t="s">
        <v>158</v>
      </c>
      <c r="H210" s="1495" t="s">
        <v>94</v>
      </c>
    </row>
    <row r="211" spans="1:8" x14ac:dyDescent="0.2">
      <c r="A211" s="7" t="s">
        <v>260</v>
      </c>
      <c r="B211" s="21" t="s">
        <v>177</v>
      </c>
      <c r="C211" s="4">
        <v>-22947940000</v>
      </c>
      <c r="D211" s="4">
        <v>-10147090000</v>
      </c>
      <c r="E211" s="4">
        <v>-6462197000</v>
      </c>
      <c r="F211" s="4">
        <v>-1026565000</v>
      </c>
      <c r="G211" s="4">
        <v>-342000000</v>
      </c>
      <c r="H211" s="4">
        <v>-3590000</v>
      </c>
    </row>
    <row r="212" spans="1:8" x14ac:dyDescent="0.2">
      <c r="B212" s="21" t="s">
        <v>157</v>
      </c>
      <c r="C212" s="21" t="s">
        <v>99</v>
      </c>
      <c r="D212" s="21" t="s">
        <v>10</v>
      </c>
    </row>
    <row r="213" spans="1:8" x14ac:dyDescent="0.2">
      <c r="A213" s="7" t="s">
        <v>259</v>
      </c>
      <c r="B213" s="21" t="s">
        <v>177</v>
      </c>
      <c r="C213" s="4">
        <v>-8786860000</v>
      </c>
      <c r="D213" s="4">
        <v>-1379000000</v>
      </c>
    </row>
    <row r="214" spans="1:8" x14ac:dyDescent="0.2">
      <c r="B214" s="21" t="s">
        <v>162</v>
      </c>
      <c r="D214" s="1495" t="s">
        <v>63</v>
      </c>
    </row>
    <row r="215" spans="1:8" x14ac:dyDescent="0.2">
      <c r="B215" s="21" t="s">
        <v>161</v>
      </c>
      <c r="D215" s="1495" t="s">
        <v>63</v>
      </c>
    </row>
    <row r="216" spans="1:8" x14ac:dyDescent="0.2">
      <c r="B216" s="21" t="s">
        <v>160</v>
      </c>
      <c r="D216" s="1495" t="s">
        <v>63</v>
      </c>
      <c r="E216" s="1495" t="s">
        <v>158</v>
      </c>
    </row>
    <row r="217" spans="1:8" x14ac:dyDescent="0.2">
      <c r="B217" s="21" t="s">
        <v>157</v>
      </c>
      <c r="C217" s="21" t="s">
        <v>38</v>
      </c>
      <c r="D217" s="1495" t="s">
        <v>63</v>
      </c>
      <c r="E217" s="1495" t="s">
        <v>158</v>
      </c>
    </row>
    <row r="218" spans="1:8" x14ac:dyDescent="0.2">
      <c r="A218" s="7" t="s">
        <v>258</v>
      </c>
      <c r="B218" s="21" t="s">
        <v>177</v>
      </c>
      <c r="C218" s="4">
        <v>-13173635000</v>
      </c>
      <c r="D218" s="4">
        <v>-3175600000</v>
      </c>
      <c r="E218" s="4">
        <v>-5000000</v>
      </c>
    </row>
    <row r="219" spans="1:8" x14ac:dyDescent="0.2">
      <c r="B219" s="21" t="s">
        <v>162</v>
      </c>
      <c r="C219" s="1495" t="s">
        <v>71</v>
      </c>
      <c r="D219" s="1495" t="s">
        <v>24</v>
      </c>
    </row>
    <row r="220" spans="1:8" x14ac:dyDescent="0.2">
      <c r="B220" s="21" t="s">
        <v>161</v>
      </c>
      <c r="C220" s="1495" t="s">
        <v>71</v>
      </c>
      <c r="D220" s="1495" t="s">
        <v>24</v>
      </c>
    </row>
    <row r="221" spans="1:8" x14ac:dyDescent="0.2">
      <c r="B221" s="21" t="s">
        <v>160</v>
      </c>
      <c r="C221" s="1495" t="s">
        <v>71</v>
      </c>
      <c r="D221" s="1495" t="s">
        <v>24</v>
      </c>
    </row>
    <row r="222" spans="1:8" x14ac:dyDescent="0.2">
      <c r="B222" s="21" t="s">
        <v>157</v>
      </c>
      <c r="C222" s="1495" t="s">
        <v>71</v>
      </c>
      <c r="D222" s="1495" t="s">
        <v>24</v>
      </c>
      <c r="E222" s="21" t="s">
        <v>23</v>
      </c>
      <c r="F222" s="21" t="s">
        <v>9</v>
      </c>
    </row>
    <row r="223" spans="1:8" x14ac:dyDescent="0.2">
      <c r="A223" s="7" t="s">
        <v>257</v>
      </c>
      <c r="B223" s="21" t="s">
        <v>177</v>
      </c>
      <c r="C223" s="4">
        <v>-75416965000</v>
      </c>
      <c r="D223" s="4">
        <v>-52843285000</v>
      </c>
      <c r="E223" s="4">
        <v>-49797321000</v>
      </c>
      <c r="F223" s="4">
        <v>-11276960000</v>
      </c>
    </row>
    <row r="224" spans="1:8" x14ac:dyDescent="0.2">
      <c r="B224" s="21" t="s">
        <v>162</v>
      </c>
      <c r="C224" s="1495" t="s">
        <v>71</v>
      </c>
      <c r="E224" s="1495" t="s">
        <v>66</v>
      </c>
    </row>
    <row r="225" spans="1:7" x14ac:dyDescent="0.2">
      <c r="B225" s="21" t="s">
        <v>161</v>
      </c>
      <c r="C225" s="1495" t="s">
        <v>71</v>
      </c>
      <c r="E225" s="1495" t="s">
        <v>66</v>
      </c>
    </row>
    <row r="226" spans="1:7" x14ac:dyDescent="0.2">
      <c r="B226" s="21" t="s">
        <v>160</v>
      </c>
      <c r="C226" s="1495" t="s">
        <v>71</v>
      </c>
      <c r="E226" s="1495" t="s">
        <v>66</v>
      </c>
    </row>
    <row r="227" spans="1:7" x14ac:dyDescent="0.2">
      <c r="B227" s="21" t="s">
        <v>157</v>
      </c>
      <c r="C227" s="1495" t="s">
        <v>71</v>
      </c>
      <c r="D227" s="21" t="s">
        <v>30</v>
      </c>
      <c r="E227" s="1495" t="s">
        <v>66</v>
      </c>
    </row>
    <row r="228" spans="1:7" x14ac:dyDescent="0.2">
      <c r="A228" s="7" t="s">
        <v>256</v>
      </c>
      <c r="B228" s="21" t="s">
        <v>177</v>
      </c>
      <c r="C228" s="4">
        <v>-56021339000</v>
      </c>
      <c r="D228" s="4">
        <v>-4973500000</v>
      </c>
      <c r="E228" s="4">
        <v>-964805000</v>
      </c>
    </row>
    <row r="229" spans="1:7" x14ac:dyDescent="0.2">
      <c r="B229" s="21" t="s">
        <v>162</v>
      </c>
      <c r="C229" s="1495" t="s">
        <v>15</v>
      </c>
      <c r="D229" s="1495" t="s">
        <v>57</v>
      </c>
      <c r="F229" s="1495" t="s">
        <v>63</v>
      </c>
      <c r="G229" s="1495" t="s">
        <v>293</v>
      </c>
    </row>
    <row r="230" spans="1:7" x14ac:dyDescent="0.2">
      <c r="B230" s="21" t="s">
        <v>161</v>
      </c>
      <c r="C230" s="1495" t="s">
        <v>15</v>
      </c>
      <c r="D230" s="1495" t="s">
        <v>57</v>
      </c>
      <c r="F230" s="1495" t="s">
        <v>63</v>
      </c>
      <c r="G230" s="1495" t="s">
        <v>293</v>
      </c>
    </row>
    <row r="231" spans="1:7" x14ac:dyDescent="0.2">
      <c r="B231" s="21" t="s">
        <v>160</v>
      </c>
      <c r="C231" s="1495" t="s">
        <v>15</v>
      </c>
      <c r="D231" s="1495" t="s">
        <v>57</v>
      </c>
      <c r="F231" s="1495" t="s">
        <v>63</v>
      </c>
      <c r="G231" s="1495" t="s">
        <v>293</v>
      </c>
    </row>
    <row r="232" spans="1:7" x14ac:dyDescent="0.2">
      <c r="B232" s="21" t="s">
        <v>157</v>
      </c>
      <c r="C232" s="1495" t="s">
        <v>15</v>
      </c>
      <c r="D232" s="1495" t="s">
        <v>57</v>
      </c>
      <c r="E232" s="21" t="s">
        <v>67</v>
      </c>
      <c r="F232" s="1495" t="s">
        <v>63</v>
      </c>
      <c r="G232" s="1495" t="s">
        <v>293</v>
      </c>
    </row>
    <row r="233" spans="1:7" x14ac:dyDescent="0.2">
      <c r="A233" s="7" t="s">
        <v>255</v>
      </c>
      <c r="B233" s="21" t="s">
        <v>177</v>
      </c>
      <c r="C233" s="4">
        <v>-428924611000</v>
      </c>
      <c r="D233" s="4">
        <v>-27568880000</v>
      </c>
      <c r="E233" s="4">
        <v>-19033738000</v>
      </c>
      <c r="F233" s="4">
        <v>-2626175200</v>
      </c>
      <c r="G233" s="4">
        <v>-1345000000</v>
      </c>
    </row>
    <row r="234" spans="1:7" x14ac:dyDescent="0.2">
      <c r="B234" s="21" t="s">
        <v>157</v>
      </c>
      <c r="C234" s="21" t="s">
        <v>38</v>
      </c>
      <c r="D234" s="21" t="s">
        <v>42</v>
      </c>
    </row>
    <row r="235" spans="1:7" x14ac:dyDescent="0.2">
      <c r="A235" s="7" t="s">
        <v>254</v>
      </c>
      <c r="B235" s="21" t="s">
        <v>177</v>
      </c>
      <c r="C235" s="4">
        <v>-53900910</v>
      </c>
      <c r="D235" s="4">
        <v>-2067710</v>
      </c>
    </row>
    <row r="236" spans="1:7" x14ac:dyDescent="0.2">
      <c r="B236" s="21" t="s">
        <v>157</v>
      </c>
      <c r="C236" s="21" t="s">
        <v>26</v>
      </c>
    </row>
    <row r="237" spans="1:7" x14ac:dyDescent="0.2">
      <c r="A237" s="7" t="s">
        <v>253</v>
      </c>
      <c r="B237" s="21" t="s">
        <v>177</v>
      </c>
      <c r="C237" s="4">
        <v>-47653850</v>
      </c>
    </row>
    <row r="238" spans="1:7" x14ac:dyDescent="0.2">
      <c r="B238" s="21" t="s">
        <v>162</v>
      </c>
      <c r="C238" s="1495" t="s">
        <v>183</v>
      </c>
      <c r="D238" s="1495" t="s">
        <v>70</v>
      </c>
    </row>
    <row r="239" spans="1:7" x14ac:dyDescent="0.2">
      <c r="B239" s="21" t="s">
        <v>161</v>
      </c>
      <c r="C239" s="1495" t="s">
        <v>183</v>
      </c>
      <c r="D239" s="1495" t="s">
        <v>70</v>
      </c>
    </row>
    <row r="240" spans="1:7" x14ac:dyDescent="0.2">
      <c r="B240" s="21" t="s">
        <v>160</v>
      </c>
      <c r="C240" s="1495" t="s">
        <v>183</v>
      </c>
      <c r="D240" s="1495" t="s">
        <v>70</v>
      </c>
    </row>
    <row r="241" spans="1:4" x14ac:dyDescent="0.2">
      <c r="B241" s="21" t="s">
        <v>157</v>
      </c>
      <c r="C241" s="1495" t="s">
        <v>183</v>
      </c>
      <c r="D241" s="1495" t="s">
        <v>70</v>
      </c>
    </row>
    <row r="242" spans="1:4" x14ac:dyDescent="0.2">
      <c r="A242" s="7" t="s">
        <v>252</v>
      </c>
      <c r="B242" s="21" t="s">
        <v>177</v>
      </c>
      <c r="C242" s="4">
        <v>-19436145000</v>
      </c>
      <c r="D242" s="4">
        <v>-17260640000</v>
      </c>
    </row>
    <row r="243" spans="1:4" x14ac:dyDescent="0.2">
      <c r="B243" s="21" t="s">
        <v>162</v>
      </c>
      <c r="C243" s="1495" t="s">
        <v>194</v>
      </c>
    </row>
    <row r="244" spans="1:4" x14ac:dyDescent="0.2">
      <c r="B244" s="21" t="s">
        <v>161</v>
      </c>
      <c r="C244" s="1495" t="s">
        <v>194</v>
      </c>
    </row>
    <row r="245" spans="1:4" x14ac:dyDescent="0.2">
      <c r="B245" s="21" t="s">
        <v>160</v>
      </c>
      <c r="C245" s="1495" t="s">
        <v>194</v>
      </c>
    </row>
    <row r="246" spans="1:4" x14ac:dyDescent="0.2">
      <c r="B246" s="21" t="s">
        <v>157</v>
      </c>
      <c r="C246" s="1495" t="s">
        <v>194</v>
      </c>
      <c r="D246" s="21" t="s">
        <v>293</v>
      </c>
    </row>
    <row r="247" spans="1:4" x14ac:dyDescent="0.2">
      <c r="A247" s="7" t="s">
        <v>251</v>
      </c>
      <c r="B247" s="21" t="s">
        <v>177</v>
      </c>
      <c r="C247" s="4">
        <v>-4251036000</v>
      </c>
      <c r="D247" s="4">
        <v>-800000000</v>
      </c>
    </row>
    <row r="248" spans="1:4" x14ac:dyDescent="0.2">
      <c r="B248" s="21" t="s">
        <v>162</v>
      </c>
      <c r="C248" s="1495" t="s">
        <v>271</v>
      </c>
      <c r="D248" s="1495" t="s">
        <v>202</v>
      </c>
    </row>
    <row r="249" spans="1:4" x14ac:dyDescent="0.2">
      <c r="B249" s="21" t="s">
        <v>161</v>
      </c>
      <c r="C249" s="1495" t="s">
        <v>271</v>
      </c>
      <c r="D249" s="1495" t="s">
        <v>202</v>
      </c>
    </row>
    <row r="250" spans="1:4" x14ac:dyDescent="0.2">
      <c r="B250" s="21" t="s">
        <v>160</v>
      </c>
      <c r="C250" s="1495" t="s">
        <v>271</v>
      </c>
      <c r="D250" s="1495" t="s">
        <v>202</v>
      </c>
    </row>
    <row r="251" spans="1:4" x14ac:dyDescent="0.2">
      <c r="B251" s="21" t="s">
        <v>157</v>
      </c>
      <c r="C251" s="1495" t="s">
        <v>271</v>
      </c>
      <c r="D251" s="1495" t="s">
        <v>202</v>
      </c>
    </row>
    <row r="252" spans="1:4" x14ac:dyDescent="0.2">
      <c r="A252" s="7" t="s">
        <v>250</v>
      </c>
      <c r="B252" s="21" t="s">
        <v>177</v>
      </c>
      <c r="C252" s="4">
        <v>-16610060000</v>
      </c>
      <c r="D252" s="4">
        <v>-4870000000</v>
      </c>
    </row>
    <row r="253" spans="1:4" x14ac:dyDescent="0.2">
      <c r="B253" s="21" t="s">
        <v>162</v>
      </c>
      <c r="C253" s="1495" t="s">
        <v>183</v>
      </c>
      <c r="D253" s="1495" t="s">
        <v>275</v>
      </c>
    </row>
    <row r="254" spans="1:4" x14ac:dyDescent="0.2">
      <c r="B254" s="21" t="s">
        <v>161</v>
      </c>
      <c r="C254" s="1495" t="s">
        <v>183</v>
      </c>
      <c r="D254" s="1495" t="s">
        <v>275</v>
      </c>
    </row>
    <row r="255" spans="1:4" x14ac:dyDescent="0.2">
      <c r="B255" s="21" t="s">
        <v>160</v>
      </c>
      <c r="C255" s="1495" t="s">
        <v>183</v>
      </c>
      <c r="D255" s="1495" t="s">
        <v>275</v>
      </c>
    </row>
    <row r="256" spans="1:4" x14ac:dyDescent="0.2">
      <c r="B256" s="21" t="s">
        <v>157</v>
      </c>
      <c r="C256" s="1495" t="s">
        <v>183</v>
      </c>
      <c r="D256" s="1495" t="s">
        <v>275</v>
      </c>
    </row>
    <row r="257" spans="1:9" x14ac:dyDescent="0.2">
      <c r="A257" s="7" t="s">
        <v>247</v>
      </c>
      <c r="B257" s="21" t="s">
        <v>177</v>
      </c>
      <c r="C257" s="4">
        <v>-16006650000</v>
      </c>
      <c r="D257" s="4">
        <v>-8200</v>
      </c>
    </row>
    <row r="258" spans="1:9" x14ac:dyDescent="0.2">
      <c r="B258" s="21" t="s">
        <v>157</v>
      </c>
      <c r="C258" s="21" t="s">
        <v>89</v>
      </c>
      <c r="D258" s="21" t="s">
        <v>171</v>
      </c>
      <c r="E258" s="21" t="s">
        <v>169</v>
      </c>
    </row>
    <row r="259" spans="1:9" x14ac:dyDescent="0.2">
      <c r="A259" s="7" t="s">
        <v>243</v>
      </c>
      <c r="B259" s="21" t="s">
        <v>177</v>
      </c>
      <c r="C259" s="4">
        <v>-1979455000</v>
      </c>
      <c r="D259" s="4">
        <v>-1229840000</v>
      </c>
      <c r="E259" s="4">
        <v>-984160000</v>
      </c>
    </row>
    <row r="260" spans="1:9" x14ac:dyDescent="0.2">
      <c r="B260" s="21" t="s">
        <v>162</v>
      </c>
      <c r="C260" s="1495" t="s">
        <v>20</v>
      </c>
      <c r="D260" s="1495" t="s">
        <v>29</v>
      </c>
      <c r="E260" s="1495" t="s">
        <v>266</v>
      </c>
    </row>
    <row r="261" spans="1:9" x14ac:dyDescent="0.2">
      <c r="B261" s="21" t="s">
        <v>161</v>
      </c>
      <c r="C261" s="1495" t="s">
        <v>20</v>
      </c>
      <c r="D261" s="1495" t="s">
        <v>29</v>
      </c>
      <c r="E261" s="1495" t="s">
        <v>266</v>
      </c>
    </row>
    <row r="262" spans="1:9" x14ac:dyDescent="0.2">
      <c r="B262" s="21" t="s">
        <v>160</v>
      </c>
      <c r="C262" s="1495" t="s">
        <v>20</v>
      </c>
      <c r="D262" s="1495" t="s">
        <v>29</v>
      </c>
      <c r="E262" s="1495" t="s">
        <v>266</v>
      </c>
    </row>
    <row r="263" spans="1:9" x14ac:dyDescent="0.2">
      <c r="B263" s="21" t="s">
        <v>157</v>
      </c>
      <c r="C263" s="1495" t="s">
        <v>20</v>
      </c>
      <c r="D263" s="1495" t="s">
        <v>29</v>
      </c>
      <c r="E263" s="1495" t="s">
        <v>266</v>
      </c>
      <c r="F263" s="21" t="s">
        <v>183</v>
      </c>
    </row>
    <row r="264" spans="1:9" x14ac:dyDescent="0.2">
      <c r="A264" s="7" t="s">
        <v>242</v>
      </c>
      <c r="B264" s="21" t="s">
        <v>177</v>
      </c>
      <c r="C264" s="4">
        <v>-64211830500</v>
      </c>
      <c r="D264" s="4">
        <v>-34730990000</v>
      </c>
      <c r="E264" s="4">
        <v>-14873500000</v>
      </c>
      <c r="F264" s="4">
        <v>-3036750000</v>
      </c>
    </row>
    <row r="265" spans="1:9" x14ac:dyDescent="0.2">
      <c r="B265" s="21" t="s">
        <v>162</v>
      </c>
      <c r="C265" s="1495" t="s">
        <v>58</v>
      </c>
      <c r="E265" s="1495" t="s">
        <v>22</v>
      </c>
      <c r="G265" s="1495" t="s">
        <v>11</v>
      </c>
      <c r="H265" s="1495" t="s">
        <v>279</v>
      </c>
      <c r="I265" s="1495" t="s">
        <v>202</v>
      </c>
    </row>
    <row r="266" spans="1:9" x14ac:dyDescent="0.2">
      <c r="B266" s="21" t="s">
        <v>161</v>
      </c>
      <c r="C266" s="1495" t="s">
        <v>58</v>
      </c>
      <c r="E266" s="1495" t="s">
        <v>22</v>
      </c>
      <c r="G266" s="1495" t="s">
        <v>11</v>
      </c>
      <c r="H266" s="1495" t="s">
        <v>279</v>
      </c>
      <c r="I266" s="1495" t="s">
        <v>202</v>
      </c>
    </row>
    <row r="267" spans="1:9" x14ac:dyDescent="0.2">
      <c r="B267" s="21" t="s">
        <v>160</v>
      </c>
      <c r="C267" s="1495" t="s">
        <v>58</v>
      </c>
      <c r="E267" s="1495" t="s">
        <v>22</v>
      </c>
      <c r="G267" s="1495" t="s">
        <v>11</v>
      </c>
      <c r="H267" s="1495" t="s">
        <v>279</v>
      </c>
      <c r="I267" s="1495" t="s">
        <v>202</v>
      </c>
    </row>
    <row r="268" spans="1:9" x14ac:dyDescent="0.2">
      <c r="B268" s="21" t="s">
        <v>157</v>
      </c>
      <c r="C268" s="1495" t="s">
        <v>58</v>
      </c>
      <c r="D268" s="21" t="s">
        <v>32</v>
      </c>
      <c r="E268" s="1495" t="s">
        <v>22</v>
      </c>
      <c r="F268" s="21" t="s">
        <v>25</v>
      </c>
      <c r="G268" s="1495" t="s">
        <v>11</v>
      </c>
      <c r="H268" s="1495" t="s">
        <v>279</v>
      </c>
      <c r="I268" s="1495" t="s">
        <v>202</v>
      </c>
    </row>
    <row r="269" spans="1:9" x14ac:dyDescent="0.2">
      <c r="A269" s="7" t="s">
        <v>241</v>
      </c>
      <c r="B269" s="21" t="s">
        <v>177</v>
      </c>
      <c r="C269" s="4">
        <v>-120049574000</v>
      </c>
      <c r="D269" s="4">
        <v>-82379740000</v>
      </c>
      <c r="E269" s="4">
        <v>-38909175000</v>
      </c>
      <c r="F269" s="4">
        <v>-11527240000</v>
      </c>
      <c r="G269" s="4">
        <v>-11356270000</v>
      </c>
      <c r="H269" s="4">
        <v>-5202350000</v>
      </c>
      <c r="I269" s="4">
        <v>-4220000000</v>
      </c>
    </row>
    <row r="270" spans="1:9" x14ac:dyDescent="0.2">
      <c r="B270" s="21" t="s">
        <v>162</v>
      </c>
      <c r="C270" s="1495" t="s">
        <v>20</v>
      </c>
      <c r="D270" s="1495" t="s">
        <v>22</v>
      </c>
      <c r="F270" s="1495" t="s">
        <v>63</v>
      </c>
      <c r="G270" s="1495" t="s">
        <v>301</v>
      </c>
    </row>
    <row r="271" spans="1:9" x14ac:dyDescent="0.2">
      <c r="B271" s="21" t="s">
        <v>161</v>
      </c>
      <c r="C271" s="1495" t="s">
        <v>20</v>
      </c>
      <c r="D271" s="1495" t="s">
        <v>22</v>
      </c>
      <c r="F271" s="1495" t="s">
        <v>63</v>
      </c>
      <c r="G271" s="1495" t="s">
        <v>301</v>
      </c>
    </row>
    <row r="272" spans="1:9" x14ac:dyDescent="0.2">
      <c r="B272" s="21" t="s">
        <v>160</v>
      </c>
      <c r="C272" s="1495" t="s">
        <v>20</v>
      </c>
      <c r="D272" s="1495" t="s">
        <v>22</v>
      </c>
      <c r="F272" s="1495" t="s">
        <v>63</v>
      </c>
      <c r="G272" s="1495" t="s">
        <v>301</v>
      </c>
    </row>
    <row r="273" spans="1:7" x14ac:dyDescent="0.2">
      <c r="B273" s="21" t="s">
        <v>157</v>
      </c>
      <c r="C273" s="1495" t="s">
        <v>20</v>
      </c>
      <c r="D273" s="1495" t="s">
        <v>22</v>
      </c>
      <c r="E273" s="21" t="s">
        <v>36</v>
      </c>
      <c r="F273" s="1495" t="s">
        <v>63</v>
      </c>
      <c r="G273" s="1495" t="s">
        <v>301</v>
      </c>
    </row>
    <row r="274" spans="1:7" x14ac:dyDescent="0.2">
      <c r="A274" s="7" t="s">
        <v>240</v>
      </c>
      <c r="B274" s="21" t="s">
        <v>177</v>
      </c>
      <c r="C274" s="4">
        <v>-46264360000</v>
      </c>
      <c r="D274" s="4">
        <v>-38200715000</v>
      </c>
      <c r="E274" s="4">
        <v>-31451030000</v>
      </c>
      <c r="F274" s="4">
        <v>-932200000</v>
      </c>
      <c r="G274" s="4">
        <v>-409880000</v>
      </c>
    </row>
    <row r="275" spans="1:7" x14ac:dyDescent="0.2">
      <c r="B275" s="21" t="s">
        <v>162</v>
      </c>
      <c r="D275" s="1495" t="s">
        <v>28</v>
      </c>
    </row>
    <row r="276" spans="1:7" x14ac:dyDescent="0.2">
      <c r="B276" s="21" t="s">
        <v>161</v>
      </c>
      <c r="D276" s="1495" t="s">
        <v>28</v>
      </c>
    </row>
    <row r="277" spans="1:7" x14ac:dyDescent="0.2">
      <c r="B277" s="21" t="s">
        <v>160</v>
      </c>
      <c r="D277" s="1495" t="s">
        <v>28</v>
      </c>
    </row>
    <row r="278" spans="1:7" x14ac:dyDescent="0.2">
      <c r="B278" s="21" t="s">
        <v>157</v>
      </c>
      <c r="C278" s="21" t="s">
        <v>25</v>
      </c>
      <c r="D278" s="1495" t="s">
        <v>28</v>
      </c>
      <c r="E278" s="21" t="s">
        <v>9</v>
      </c>
    </row>
    <row r="279" spans="1:7" x14ac:dyDescent="0.2">
      <c r="A279" s="7" t="s">
        <v>239</v>
      </c>
      <c r="B279" s="21" t="s">
        <v>177</v>
      </c>
      <c r="C279" s="4">
        <v>-8834050000</v>
      </c>
      <c r="D279" s="4">
        <v>-7307010000</v>
      </c>
      <c r="E279" s="4">
        <v>-5827365000</v>
      </c>
    </row>
    <row r="280" spans="1:7" x14ac:dyDescent="0.2">
      <c r="B280" s="21" t="s">
        <v>162</v>
      </c>
      <c r="C280" s="1495" t="s">
        <v>163</v>
      </c>
      <c r="D280" s="1495" t="s">
        <v>301</v>
      </c>
    </row>
    <row r="281" spans="1:7" x14ac:dyDescent="0.2">
      <c r="B281" s="21" t="s">
        <v>161</v>
      </c>
      <c r="C281" s="1495" t="s">
        <v>163</v>
      </c>
      <c r="D281" s="1495" t="s">
        <v>301</v>
      </c>
    </row>
    <row r="282" spans="1:7" x14ac:dyDescent="0.2">
      <c r="B282" s="21" t="s">
        <v>160</v>
      </c>
      <c r="C282" s="1495" t="s">
        <v>163</v>
      </c>
      <c r="D282" s="1495" t="s">
        <v>301</v>
      </c>
    </row>
    <row r="283" spans="1:7" x14ac:dyDescent="0.2">
      <c r="B283" s="21" t="s">
        <v>157</v>
      </c>
      <c r="C283" s="1495" t="s">
        <v>163</v>
      </c>
      <c r="D283" s="1495" t="s">
        <v>301</v>
      </c>
    </row>
    <row r="284" spans="1:7" x14ac:dyDescent="0.2">
      <c r="A284" s="7" t="s">
        <v>238</v>
      </c>
      <c r="B284" s="21" t="s">
        <v>177</v>
      </c>
      <c r="C284" s="4">
        <v>-53878338000</v>
      </c>
      <c r="D284" s="4">
        <v>-181530000</v>
      </c>
    </row>
    <row r="285" spans="1:7" x14ac:dyDescent="0.2">
      <c r="B285" s="21" t="s">
        <v>162</v>
      </c>
      <c r="C285" s="1495" t="s">
        <v>28</v>
      </c>
    </row>
    <row r="286" spans="1:7" x14ac:dyDescent="0.2">
      <c r="B286" s="21" t="s">
        <v>161</v>
      </c>
      <c r="C286" s="1495" t="s">
        <v>28</v>
      </c>
    </row>
    <row r="287" spans="1:7" x14ac:dyDescent="0.2">
      <c r="B287" s="21" t="s">
        <v>160</v>
      </c>
      <c r="C287" s="1495" t="s">
        <v>28</v>
      </c>
    </row>
    <row r="288" spans="1:7" x14ac:dyDescent="0.2">
      <c r="B288" s="21" t="s">
        <v>157</v>
      </c>
      <c r="C288" s="1495" t="s">
        <v>28</v>
      </c>
      <c r="D288" s="21" t="s">
        <v>183</v>
      </c>
    </row>
    <row r="289" spans="1:15" x14ac:dyDescent="0.2">
      <c r="A289" s="7" t="s">
        <v>237</v>
      </c>
      <c r="B289" s="21" t="s">
        <v>177</v>
      </c>
      <c r="C289" s="4">
        <v>-3237310000</v>
      </c>
      <c r="D289" s="4">
        <v>-1287805000</v>
      </c>
    </row>
    <row r="290" spans="1:15" x14ac:dyDescent="0.2">
      <c r="B290" s="21" t="s">
        <v>162</v>
      </c>
      <c r="C290" s="1495" t="s">
        <v>17</v>
      </c>
      <c r="E290" s="1495" t="s">
        <v>92</v>
      </c>
    </row>
    <row r="291" spans="1:15" x14ac:dyDescent="0.2">
      <c r="B291" s="21" t="s">
        <v>161</v>
      </c>
      <c r="C291" s="1495" t="s">
        <v>17</v>
      </c>
      <c r="E291" s="1495" t="s">
        <v>92</v>
      </c>
    </row>
    <row r="292" spans="1:15" x14ac:dyDescent="0.2">
      <c r="B292" s="21" t="s">
        <v>160</v>
      </c>
      <c r="C292" s="1495" t="s">
        <v>17</v>
      </c>
      <c r="E292" s="1495" t="s">
        <v>92</v>
      </c>
    </row>
    <row r="293" spans="1:15" x14ac:dyDescent="0.2">
      <c r="B293" s="21" t="s">
        <v>157</v>
      </c>
      <c r="C293" s="1495" t="s">
        <v>17</v>
      </c>
      <c r="D293" s="21" t="s">
        <v>18</v>
      </c>
      <c r="E293" s="1495" t="s">
        <v>92</v>
      </c>
    </row>
    <row r="294" spans="1:15" x14ac:dyDescent="0.2">
      <c r="A294" s="7" t="s">
        <v>236</v>
      </c>
      <c r="B294" s="21" t="s">
        <v>177</v>
      </c>
      <c r="C294" s="4">
        <v>-239788520000</v>
      </c>
      <c r="D294" s="4">
        <v>-23203435000</v>
      </c>
      <c r="E294" s="4">
        <v>-19479390000</v>
      </c>
    </row>
    <row r="295" spans="1:15" x14ac:dyDescent="0.2">
      <c r="B295" s="21" t="s">
        <v>162</v>
      </c>
      <c r="D295" s="1495" t="s">
        <v>7</v>
      </c>
    </row>
    <row r="296" spans="1:15" x14ac:dyDescent="0.2">
      <c r="B296" s="21" t="s">
        <v>161</v>
      </c>
      <c r="D296" s="1495" t="s">
        <v>7</v>
      </c>
    </row>
    <row r="297" spans="1:15" x14ac:dyDescent="0.2">
      <c r="B297" s="21" t="s">
        <v>160</v>
      </c>
      <c r="C297" s="1495" t="s">
        <v>33</v>
      </c>
      <c r="D297" s="1495" t="s">
        <v>7</v>
      </c>
    </row>
    <row r="298" spans="1:15" x14ac:dyDescent="0.2">
      <c r="B298" s="21" t="s">
        <v>157</v>
      </c>
      <c r="C298" s="1495" t="s">
        <v>33</v>
      </c>
      <c r="D298" s="1495" t="s">
        <v>7</v>
      </c>
      <c r="E298" s="21" t="s">
        <v>57</v>
      </c>
    </row>
    <row r="299" spans="1:15" x14ac:dyDescent="0.2">
      <c r="A299" s="7" t="s">
        <v>235</v>
      </c>
      <c r="B299" s="21" t="s">
        <v>177</v>
      </c>
      <c r="C299" s="4">
        <v>-240618610000</v>
      </c>
      <c r="D299" s="4">
        <v>-9899490000</v>
      </c>
      <c r="E299" s="4">
        <v>-8876100000</v>
      </c>
    </row>
    <row r="300" spans="1:15" x14ac:dyDescent="0.2">
      <c r="B300" s="21" t="s">
        <v>162</v>
      </c>
      <c r="J300" s="1495" t="s">
        <v>12</v>
      </c>
      <c r="N300" s="1495" t="s">
        <v>212</v>
      </c>
    </row>
    <row r="301" spans="1:15" x14ac:dyDescent="0.2">
      <c r="B301" s="21" t="s">
        <v>161</v>
      </c>
      <c r="J301" s="1495" t="s">
        <v>12</v>
      </c>
      <c r="N301" s="1495" t="s">
        <v>212</v>
      </c>
    </row>
    <row r="302" spans="1:15" x14ac:dyDescent="0.2">
      <c r="B302" s="21" t="s">
        <v>160</v>
      </c>
      <c r="E302" s="1495" t="s">
        <v>79</v>
      </c>
      <c r="I302" s="1495" t="s">
        <v>59</v>
      </c>
      <c r="J302" s="1495" t="s">
        <v>12</v>
      </c>
      <c r="M302" s="1495" t="s">
        <v>65</v>
      </c>
      <c r="N302" s="1495" t="s">
        <v>212</v>
      </c>
    </row>
    <row r="303" spans="1:15" x14ac:dyDescent="0.2">
      <c r="B303" s="21" t="s">
        <v>157</v>
      </c>
      <c r="C303" s="21" t="s">
        <v>33</v>
      </c>
      <c r="D303" s="21" t="s">
        <v>17</v>
      </c>
      <c r="E303" s="1495" t="s">
        <v>79</v>
      </c>
      <c r="F303" s="21" t="s">
        <v>32</v>
      </c>
      <c r="G303" s="21" t="s">
        <v>14</v>
      </c>
      <c r="H303" s="21" t="s">
        <v>40</v>
      </c>
      <c r="I303" s="1495" t="s">
        <v>59</v>
      </c>
      <c r="J303" s="1495" t="s">
        <v>12</v>
      </c>
      <c r="K303" s="21" t="s">
        <v>21</v>
      </c>
      <c r="L303" s="21" t="s">
        <v>64</v>
      </c>
      <c r="M303" s="1495" t="s">
        <v>65</v>
      </c>
      <c r="N303" s="1495" t="s">
        <v>212</v>
      </c>
      <c r="O303" s="21" t="s">
        <v>176</v>
      </c>
    </row>
    <row r="304" spans="1:15" x14ac:dyDescent="0.2">
      <c r="A304" s="7" t="s">
        <v>234</v>
      </c>
      <c r="B304" s="21" t="s">
        <v>177</v>
      </c>
      <c r="C304" s="4">
        <v>-129715560000</v>
      </c>
      <c r="D304" s="4">
        <v>-105550470000</v>
      </c>
      <c r="E304" s="4">
        <v>-95308670000</v>
      </c>
      <c r="F304" s="4">
        <v>-79561315000</v>
      </c>
      <c r="G304" s="4">
        <v>-67849970000</v>
      </c>
      <c r="H304" s="4">
        <v>-45421354000</v>
      </c>
      <c r="I304" s="4">
        <v>-45291145000</v>
      </c>
      <c r="J304" s="4">
        <v>-39692780000</v>
      </c>
      <c r="K304" s="4">
        <v>-38118730000</v>
      </c>
      <c r="L304" s="4">
        <v>-33533735000</v>
      </c>
      <c r="M304" s="4">
        <v>-27692730000</v>
      </c>
      <c r="N304" s="4">
        <v>-21622900000</v>
      </c>
      <c r="O304" s="4">
        <v>-11137720000</v>
      </c>
    </row>
    <row r="305" spans="1:5" x14ac:dyDescent="0.2">
      <c r="B305" s="21" t="s">
        <v>162</v>
      </c>
      <c r="C305" s="1495" t="s">
        <v>95</v>
      </c>
    </row>
    <row r="306" spans="1:5" x14ac:dyDescent="0.2">
      <c r="B306" s="21" t="s">
        <v>161</v>
      </c>
      <c r="C306" s="1495" t="s">
        <v>95</v>
      </c>
    </row>
    <row r="307" spans="1:5" x14ac:dyDescent="0.2">
      <c r="B307" s="21" t="s">
        <v>160</v>
      </c>
      <c r="C307" s="1495" t="s">
        <v>95</v>
      </c>
    </row>
    <row r="308" spans="1:5" x14ac:dyDescent="0.2">
      <c r="B308" s="21" t="s">
        <v>157</v>
      </c>
      <c r="C308" s="1495" t="s">
        <v>95</v>
      </c>
      <c r="D308" s="21" t="s">
        <v>61</v>
      </c>
      <c r="E308" s="21" t="s">
        <v>74</v>
      </c>
    </row>
    <row r="309" spans="1:5" x14ac:dyDescent="0.2">
      <c r="A309" s="7" t="s">
        <v>233</v>
      </c>
      <c r="B309" s="21" t="s">
        <v>177</v>
      </c>
      <c r="C309" s="4">
        <v>-15248560000</v>
      </c>
      <c r="D309" s="4">
        <v>-5762120000</v>
      </c>
      <c r="E309" s="4">
        <v>-1122175000</v>
      </c>
    </row>
    <row r="310" spans="1:5" x14ac:dyDescent="0.2">
      <c r="B310" s="21" t="s">
        <v>162</v>
      </c>
      <c r="C310" s="1495" t="s">
        <v>295</v>
      </c>
      <c r="D310" s="1495" t="s">
        <v>273</v>
      </c>
    </row>
    <row r="311" spans="1:5" x14ac:dyDescent="0.2">
      <c r="B311" s="21" t="s">
        <v>161</v>
      </c>
      <c r="C311" s="1495" t="s">
        <v>295</v>
      </c>
      <c r="D311" s="1495" t="s">
        <v>273</v>
      </c>
    </row>
    <row r="312" spans="1:5" x14ac:dyDescent="0.2">
      <c r="B312" s="21" t="s">
        <v>160</v>
      </c>
      <c r="C312" s="1495" t="s">
        <v>295</v>
      </c>
      <c r="D312" s="1495" t="s">
        <v>273</v>
      </c>
    </row>
    <row r="313" spans="1:5" x14ac:dyDescent="0.2">
      <c r="B313" s="21" t="s">
        <v>157</v>
      </c>
      <c r="C313" s="1495" t="s">
        <v>295</v>
      </c>
      <c r="D313" s="1495" t="s">
        <v>273</v>
      </c>
    </row>
    <row r="314" spans="1:5" x14ac:dyDescent="0.2">
      <c r="A314" s="7" t="s">
        <v>231</v>
      </c>
      <c r="B314" s="21" t="s">
        <v>177</v>
      </c>
      <c r="C314" s="4">
        <v>-27223950000</v>
      </c>
      <c r="D314" s="4">
        <v>-571640000</v>
      </c>
    </row>
    <row r="315" spans="1:5" x14ac:dyDescent="0.2">
      <c r="B315" s="21" t="s">
        <v>162</v>
      </c>
      <c r="C315" s="1495" t="s">
        <v>303</v>
      </c>
    </row>
    <row r="316" spans="1:5" x14ac:dyDescent="0.2">
      <c r="B316" s="21" t="s">
        <v>161</v>
      </c>
      <c r="C316" s="1495" t="s">
        <v>303</v>
      </c>
    </row>
    <row r="317" spans="1:5" x14ac:dyDescent="0.2">
      <c r="B317" s="21" t="s">
        <v>160</v>
      </c>
      <c r="C317" s="1495" t="s">
        <v>303</v>
      </c>
    </row>
    <row r="318" spans="1:5" x14ac:dyDescent="0.2">
      <c r="B318" s="21" t="s">
        <v>157</v>
      </c>
      <c r="C318" s="1495" t="s">
        <v>303</v>
      </c>
      <c r="D318" s="21" t="s">
        <v>6</v>
      </c>
      <c r="E318" s="21" t="s">
        <v>295</v>
      </c>
    </row>
    <row r="319" spans="1:5" x14ac:dyDescent="0.2">
      <c r="A319" s="7" t="s">
        <v>228</v>
      </c>
      <c r="B319" s="21" t="s">
        <v>177</v>
      </c>
      <c r="C319" s="4">
        <v>-8077083000</v>
      </c>
      <c r="D319" s="4">
        <v>-6440960000</v>
      </c>
      <c r="E319" s="4">
        <v>-2550000000</v>
      </c>
    </row>
    <row r="320" spans="1:5" x14ac:dyDescent="0.2">
      <c r="B320" s="21" t="s">
        <v>157</v>
      </c>
      <c r="C320" s="21" t="s">
        <v>10</v>
      </c>
    </row>
    <row r="321" spans="1:8" x14ac:dyDescent="0.2">
      <c r="A321" s="7" t="s">
        <v>227</v>
      </c>
      <c r="B321" s="21" t="s">
        <v>177</v>
      </c>
      <c r="C321" s="4">
        <v>-3941200000</v>
      </c>
    </row>
    <row r="322" spans="1:8" x14ac:dyDescent="0.2">
      <c r="B322" s="21" t="s">
        <v>162</v>
      </c>
      <c r="C322" s="1495" t="s">
        <v>35</v>
      </c>
    </row>
    <row r="323" spans="1:8" x14ac:dyDescent="0.2">
      <c r="B323" s="21" t="s">
        <v>161</v>
      </c>
      <c r="C323" s="1495" t="s">
        <v>35</v>
      </c>
    </row>
    <row r="324" spans="1:8" x14ac:dyDescent="0.2">
      <c r="B324" s="21" t="s">
        <v>160</v>
      </c>
      <c r="C324" s="1495" t="s">
        <v>35</v>
      </c>
    </row>
    <row r="325" spans="1:8" x14ac:dyDescent="0.2">
      <c r="B325" s="21" t="s">
        <v>157</v>
      </c>
      <c r="C325" s="1495" t="s">
        <v>35</v>
      </c>
      <c r="D325" s="21" t="s">
        <v>263</v>
      </c>
      <c r="E325" s="21" t="s">
        <v>6</v>
      </c>
    </row>
    <row r="326" spans="1:8" x14ac:dyDescent="0.2">
      <c r="A326" s="7" t="s">
        <v>226</v>
      </c>
      <c r="B326" s="21" t="s">
        <v>177</v>
      </c>
      <c r="C326" s="4">
        <v>-257077975000</v>
      </c>
      <c r="D326" s="4">
        <v>-9520310000</v>
      </c>
      <c r="E326" s="4">
        <v>-5572350000</v>
      </c>
    </row>
    <row r="327" spans="1:8" x14ac:dyDescent="0.2">
      <c r="B327" s="21" t="s">
        <v>162</v>
      </c>
      <c r="C327" s="1495" t="s">
        <v>163</v>
      </c>
      <c r="D327" s="1495" t="s">
        <v>20</v>
      </c>
    </row>
    <row r="328" spans="1:8" x14ac:dyDescent="0.2">
      <c r="B328" s="21" t="s">
        <v>161</v>
      </c>
      <c r="C328" s="1495" t="s">
        <v>163</v>
      </c>
      <c r="D328" s="1495" t="s">
        <v>20</v>
      </c>
    </row>
    <row r="329" spans="1:8" x14ac:dyDescent="0.2">
      <c r="B329" s="21" t="s">
        <v>160</v>
      </c>
      <c r="C329" s="1495" t="s">
        <v>163</v>
      </c>
      <c r="D329" s="1495" t="s">
        <v>20</v>
      </c>
    </row>
    <row r="330" spans="1:8" x14ac:dyDescent="0.2">
      <c r="B330" s="21" t="s">
        <v>157</v>
      </c>
      <c r="C330" s="1495" t="s">
        <v>163</v>
      </c>
      <c r="D330" s="1495" t="s">
        <v>20</v>
      </c>
    </row>
    <row r="331" spans="1:8" x14ac:dyDescent="0.2">
      <c r="A331" s="7" t="s">
        <v>225</v>
      </c>
      <c r="B331" s="21" t="s">
        <v>177</v>
      </c>
      <c r="C331" s="4">
        <v>-25778470000</v>
      </c>
      <c r="D331" s="4">
        <v>-12738510000</v>
      </c>
    </row>
    <row r="332" spans="1:8" x14ac:dyDescent="0.2">
      <c r="B332" s="21" t="s">
        <v>162</v>
      </c>
      <c r="C332" s="1495" t="s">
        <v>13</v>
      </c>
      <c r="D332" s="1495" t="s">
        <v>24</v>
      </c>
      <c r="E332" s="1495" t="s">
        <v>99</v>
      </c>
      <c r="F332" s="1495" t="s">
        <v>12</v>
      </c>
      <c r="G332" s="1495" t="s">
        <v>212</v>
      </c>
      <c r="H332" s="1495" t="s">
        <v>180</v>
      </c>
    </row>
    <row r="333" spans="1:8" x14ac:dyDescent="0.2">
      <c r="B333" s="21" t="s">
        <v>161</v>
      </c>
      <c r="C333" s="1495" t="s">
        <v>13</v>
      </c>
      <c r="D333" s="1495" t="s">
        <v>24</v>
      </c>
      <c r="E333" s="1495" t="s">
        <v>99</v>
      </c>
      <c r="F333" s="1495" t="s">
        <v>12</v>
      </c>
      <c r="G333" s="1495" t="s">
        <v>212</v>
      </c>
      <c r="H333" s="1495" t="s">
        <v>180</v>
      </c>
    </row>
    <row r="334" spans="1:8" x14ac:dyDescent="0.2">
      <c r="B334" s="21" t="s">
        <v>160</v>
      </c>
      <c r="C334" s="1495" t="s">
        <v>13</v>
      </c>
      <c r="D334" s="1495" t="s">
        <v>24</v>
      </c>
      <c r="E334" s="1495" t="s">
        <v>99</v>
      </c>
      <c r="F334" s="1495" t="s">
        <v>12</v>
      </c>
      <c r="G334" s="1495" t="s">
        <v>212</v>
      </c>
      <c r="H334" s="1495" t="s">
        <v>180</v>
      </c>
    </row>
    <row r="335" spans="1:8" x14ac:dyDescent="0.2">
      <c r="B335" s="21" t="s">
        <v>157</v>
      </c>
      <c r="C335" s="1495" t="s">
        <v>13</v>
      </c>
      <c r="D335" s="1495" t="s">
        <v>24</v>
      </c>
      <c r="E335" s="1495" t="s">
        <v>99</v>
      </c>
      <c r="F335" s="1495" t="s">
        <v>12</v>
      </c>
      <c r="G335" s="1495" t="s">
        <v>212</v>
      </c>
      <c r="H335" s="1495" t="s">
        <v>180</v>
      </c>
    </row>
    <row r="336" spans="1:8" x14ac:dyDescent="0.2">
      <c r="A336" s="7" t="s">
        <v>224</v>
      </c>
      <c r="B336" s="21" t="s">
        <v>177</v>
      </c>
      <c r="C336" s="4">
        <v>-122038480000</v>
      </c>
      <c r="D336" s="4">
        <v>-52097890000</v>
      </c>
      <c r="E336" s="4">
        <v>-32521950000</v>
      </c>
      <c r="F336" s="4">
        <v>-27530250000</v>
      </c>
      <c r="G336" s="4">
        <v>-12727510000</v>
      </c>
      <c r="H336" s="4">
        <v>-11261645000</v>
      </c>
    </row>
    <row r="337" spans="1:12" x14ac:dyDescent="0.2">
      <c r="B337" s="21" t="s">
        <v>162</v>
      </c>
      <c r="C337" s="1495" t="s">
        <v>88</v>
      </c>
      <c r="D337" s="1495" t="s">
        <v>293</v>
      </c>
    </row>
    <row r="338" spans="1:12" x14ac:dyDescent="0.2">
      <c r="B338" s="21" t="s">
        <v>161</v>
      </c>
      <c r="C338" s="1495" t="s">
        <v>88</v>
      </c>
      <c r="D338" s="1495" t="s">
        <v>293</v>
      </c>
    </row>
    <row r="339" spans="1:12" x14ac:dyDescent="0.2">
      <c r="B339" s="21" t="s">
        <v>160</v>
      </c>
      <c r="C339" s="1495" t="s">
        <v>88</v>
      </c>
      <c r="D339" s="1495" t="s">
        <v>293</v>
      </c>
    </row>
    <row r="340" spans="1:12" x14ac:dyDescent="0.2">
      <c r="B340" s="21" t="s">
        <v>157</v>
      </c>
      <c r="C340" s="1495" t="s">
        <v>88</v>
      </c>
      <c r="D340" s="1495" t="s">
        <v>293</v>
      </c>
    </row>
    <row r="341" spans="1:12" x14ac:dyDescent="0.2">
      <c r="A341" s="7" t="s">
        <v>223</v>
      </c>
      <c r="B341" s="21" t="s">
        <v>177</v>
      </c>
      <c r="C341" s="4">
        <v>-1266590000</v>
      </c>
      <c r="D341" s="4">
        <v>-855000000</v>
      </c>
    </row>
    <row r="342" spans="1:12" x14ac:dyDescent="0.2">
      <c r="B342" s="21" t="s">
        <v>162</v>
      </c>
      <c r="C342" s="1495" t="s">
        <v>37</v>
      </c>
      <c r="D342" s="1495" t="s">
        <v>202</v>
      </c>
    </row>
    <row r="343" spans="1:12" x14ac:dyDescent="0.2">
      <c r="B343" s="21" t="s">
        <v>161</v>
      </c>
      <c r="C343" s="1495" t="s">
        <v>37</v>
      </c>
      <c r="D343" s="1495" t="s">
        <v>202</v>
      </c>
    </row>
    <row r="344" spans="1:12" x14ac:dyDescent="0.2">
      <c r="B344" s="21" t="s">
        <v>160</v>
      </c>
      <c r="C344" s="1495" t="s">
        <v>37</v>
      </c>
      <c r="D344" s="1495" t="s">
        <v>202</v>
      </c>
    </row>
    <row r="345" spans="1:12" x14ac:dyDescent="0.2">
      <c r="B345" s="21" t="s">
        <v>157</v>
      </c>
      <c r="C345" s="1495" t="s">
        <v>37</v>
      </c>
      <c r="D345" s="1495" t="s">
        <v>202</v>
      </c>
    </row>
    <row r="346" spans="1:12" x14ac:dyDescent="0.2">
      <c r="A346" s="7" t="s">
        <v>222</v>
      </c>
      <c r="B346" s="21" t="s">
        <v>177</v>
      </c>
      <c r="C346" s="4">
        <v>-19847005000</v>
      </c>
      <c r="D346" s="4">
        <v>-1687500000</v>
      </c>
    </row>
    <row r="347" spans="1:12" x14ac:dyDescent="0.2">
      <c r="B347" s="21" t="s">
        <v>162</v>
      </c>
      <c r="I347" s="1495" t="s">
        <v>24</v>
      </c>
      <c r="K347" s="1495" t="s">
        <v>281</v>
      </c>
      <c r="L347" s="1495" t="s">
        <v>78</v>
      </c>
    </row>
    <row r="348" spans="1:12" x14ac:dyDescent="0.2">
      <c r="B348" s="21" t="s">
        <v>161</v>
      </c>
      <c r="I348" s="1495" t="s">
        <v>24</v>
      </c>
      <c r="K348" s="1495" t="s">
        <v>281</v>
      </c>
      <c r="L348" s="1495" t="s">
        <v>78</v>
      </c>
    </row>
    <row r="349" spans="1:12" x14ac:dyDescent="0.2">
      <c r="B349" s="21" t="s">
        <v>160</v>
      </c>
      <c r="C349" s="1495" t="s">
        <v>35</v>
      </c>
      <c r="D349" s="1495" t="s">
        <v>13</v>
      </c>
      <c r="I349" s="1495" t="s">
        <v>24</v>
      </c>
      <c r="K349" s="1495" t="s">
        <v>281</v>
      </c>
      <c r="L349" s="1495" t="s">
        <v>78</v>
      </c>
    </row>
    <row r="350" spans="1:12" x14ac:dyDescent="0.2">
      <c r="B350" s="21" t="s">
        <v>157</v>
      </c>
      <c r="C350" s="1495" t="s">
        <v>35</v>
      </c>
      <c r="D350" s="1495" t="s">
        <v>13</v>
      </c>
      <c r="E350" s="21" t="s">
        <v>14</v>
      </c>
      <c r="F350" s="21" t="s">
        <v>5</v>
      </c>
      <c r="G350" s="21" t="s">
        <v>64</v>
      </c>
      <c r="H350" s="21" t="s">
        <v>21</v>
      </c>
      <c r="I350" s="1495" t="s">
        <v>24</v>
      </c>
      <c r="J350" s="21" t="s">
        <v>282</v>
      </c>
      <c r="K350" s="1495" t="s">
        <v>281</v>
      </c>
      <c r="L350" s="1495" t="s">
        <v>78</v>
      </c>
    </row>
    <row r="351" spans="1:12" x14ac:dyDescent="0.2">
      <c r="A351" s="7" t="s">
        <v>221</v>
      </c>
      <c r="B351" s="21" t="s">
        <v>177</v>
      </c>
      <c r="C351" s="4">
        <v>-120006973000</v>
      </c>
      <c r="D351" s="4">
        <v>-79904495000</v>
      </c>
      <c r="E351" s="4">
        <v>-53081090000</v>
      </c>
      <c r="F351" s="4">
        <v>-33754921000</v>
      </c>
      <c r="G351" s="4">
        <v>-30892435000</v>
      </c>
      <c r="H351" s="4">
        <v>-28008016000</v>
      </c>
      <c r="I351" s="4">
        <v>-26126540000</v>
      </c>
      <c r="J351" s="4">
        <v>-3273162700</v>
      </c>
      <c r="K351" s="4">
        <v>-1316880000</v>
      </c>
      <c r="L351" s="4">
        <v>-744370000</v>
      </c>
    </row>
    <row r="352" spans="1:12" x14ac:dyDescent="0.2">
      <c r="B352" s="21" t="s">
        <v>162</v>
      </c>
      <c r="D352" s="1495" t="s">
        <v>29</v>
      </c>
      <c r="E352" s="1495" t="s">
        <v>38</v>
      </c>
      <c r="F352" s="1495" t="s">
        <v>169</v>
      </c>
    </row>
    <row r="353" spans="1:6" x14ac:dyDescent="0.2">
      <c r="B353" s="21" t="s">
        <v>161</v>
      </c>
      <c r="D353" s="1495" t="s">
        <v>29</v>
      </c>
      <c r="E353" s="1495" t="s">
        <v>38</v>
      </c>
      <c r="F353" s="1495" t="s">
        <v>169</v>
      </c>
    </row>
    <row r="354" spans="1:6" x14ac:dyDescent="0.2">
      <c r="B354" s="21" t="s">
        <v>160</v>
      </c>
      <c r="D354" s="1495" t="s">
        <v>29</v>
      </c>
      <c r="E354" s="1495" t="s">
        <v>38</v>
      </c>
      <c r="F354" s="1495" t="s">
        <v>169</v>
      </c>
    </row>
    <row r="355" spans="1:6" x14ac:dyDescent="0.2">
      <c r="B355" s="21" t="s">
        <v>157</v>
      </c>
      <c r="C355" s="21" t="s">
        <v>13</v>
      </c>
      <c r="D355" s="1495" t="s">
        <v>29</v>
      </c>
      <c r="E355" s="1495" t="s">
        <v>38</v>
      </c>
      <c r="F355" s="1495" t="s">
        <v>169</v>
      </c>
    </row>
    <row r="356" spans="1:6" x14ac:dyDescent="0.2">
      <c r="A356" s="7" t="s">
        <v>220</v>
      </c>
      <c r="B356" s="21" t="s">
        <v>177</v>
      </c>
      <c r="C356" s="4">
        <v>-76272170000</v>
      </c>
      <c r="D356" s="4">
        <v>-22282170000</v>
      </c>
      <c r="E356" s="4">
        <v>-18598360000</v>
      </c>
      <c r="F356" s="4">
        <v>-2728340000</v>
      </c>
    </row>
    <row r="357" spans="1:6" x14ac:dyDescent="0.2">
      <c r="B357" s="21" t="s">
        <v>162</v>
      </c>
      <c r="C357" s="1495" t="s">
        <v>89</v>
      </c>
      <c r="D357" s="1495" t="s">
        <v>37</v>
      </c>
    </row>
    <row r="358" spans="1:6" x14ac:dyDescent="0.2">
      <c r="B358" s="21" t="s">
        <v>161</v>
      </c>
      <c r="C358" s="1495" t="s">
        <v>89</v>
      </c>
      <c r="D358" s="1495" t="s">
        <v>37</v>
      </c>
    </row>
    <row r="359" spans="1:6" x14ac:dyDescent="0.2">
      <c r="B359" s="21" t="s">
        <v>160</v>
      </c>
      <c r="C359" s="1495" t="s">
        <v>89</v>
      </c>
      <c r="D359" s="1495" t="s">
        <v>37</v>
      </c>
    </row>
    <row r="360" spans="1:6" x14ac:dyDescent="0.2">
      <c r="B360" s="21" t="s">
        <v>157</v>
      </c>
      <c r="C360" s="1495" t="s">
        <v>89</v>
      </c>
      <c r="D360" s="1495" t="s">
        <v>37</v>
      </c>
    </row>
    <row r="361" spans="1:6" x14ac:dyDescent="0.2">
      <c r="A361" s="7" t="s">
        <v>219</v>
      </c>
      <c r="B361" s="21" t="s">
        <v>177</v>
      </c>
      <c r="C361" s="4">
        <v>-2508755000</v>
      </c>
      <c r="D361" s="4">
        <v>-912480000</v>
      </c>
    </row>
    <row r="362" spans="1:6" x14ac:dyDescent="0.2">
      <c r="B362" s="21" t="s">
        <v>162</v>
      </c>
      <c r="C362" s="1495" t="s">
        <v>99</v>
      </c>
      <c r="D362" s="1495" t="s">
        <v>93</v>
      </c>
    </row>
    <row r="363" spans="1:6" x14ac:dyDescent="0.2">
      <c r="B363" s="21" t="s">
        <v>161</v>
      </c>
      <c r="C363" s="1495" t="s">
        <v>99</v>
      </c>
      <c r="D363" s="1495" t="s">
        <v>93</v>
      </c>
    </row>
    <row r="364" spans="1:6" x14ac:dyDescent="0.2">
      <c r="B364" s="21" t="s">
        <v>160</v>
      </c>
      <c r="C364" s="1495" t="s">
        <v>99</v>
      </c>
      <c r="D364" s="1495" t="s">
        <v>93</v>
      </c>
    </row>
    <row r="365" spans="1:6" x14ac:dyDescent="0.2">
      <c r="B365" s="21" t="s">
        <v>157</v>
      </c>
      <c r="C365" s="1495" t="s">
        <v>99</v>
      </c>
      <c r="D365" s="1495" t="s">
        <v>93</v>
      </c>
    </row>
    <row r="366" spans="1:6" x14ac:dyDescent="0.2">
      <c r="A366" s="7" t="s">
        <v>218</v>
      </c>
      <c r="B366" s="21" t="s">
        <v>177</v>
      </c>
      <c r="C366" s="4">
        <v>-25665360000</v>
      </c>
      <c r="D366" s="4">
        <v>-10614680000</v>
      </c>
    </row>
    <row r="367" spans="1:6" x14ac:dyDescent="0.2">
      <c r="B367" s="21" t="s">
        <v>162</v>
      </c>
      <c r="D367" s="1495" t="s">
        <v>311</v>
      </c>
    </row>
    <row r="368" spans="1:6" x14ac:dyDescent="0.2">
      <c r="B368" s="21" t="s">
        <v>161</v>
      </c>
      <c r="D368" s="1495" t="s">
        <v>311</v>
      </c>
    </row>
    <row r="369" spans="1:7" x14ac:dyDescent="0.2">
      <c r="B369" s="21" t="s">
        <v>160</v>
      </c>
      <c r="D369" s="1495" t="s">
        <v>311</v>
      </c>
    </row>
    <row r="370" spans="1:7" x14ac:dyDescent="0.2">
      <c r="B370" s="21" t="s">
        <v>157</v>
      </c>
      <c r="C370" s="21" t="s">
        <v>83</v>
      </c>
      <c r="D370" s="1495" t="s">
        <v>311</v>
      </c>
    </row>
    <row r="371" spans="1:7" x14ac:dyDescent="0.2">
      <c r="A371" s="7" t="s">
        <v>216</v>
      </c>
      <c r="B371" s="21" t="s">
        <v>177</v>
      </c>
      <c r="C371" s="4">
        <v>-6990000</v>
      </c>
      <c r="D371" s="4">
        <v>-2920000</v>
      </c>
    </row>
    <row r="372" spans="1:7" x14ac:dyDescent="0.2">
      <c r="B372" s="21" t="s">
        <v>162</v>
      </c>
      <c r="C372" s="1495" t="s">
        <v>23</v>
      </c>
      <c r="D372" s="1495" t="s">
        <v>58</v>
      </c>
      <c r="E372" s="1495" t="s">
        <v>93</v>
      </c>
    </row>
    <row r="373" spans="1:7" x14ac:dyDescent="0.2">
      <c r="B373" s="21" t="s">
        <v>161</v>
      </c>
      <c r="C373" s="1495" t="s">
        <v>23</v>
      </c>
      <c r="D373" s="1495" t="s">
        <v>58</v>
      </c>
      <c r="E373" s="1495" t="s">
        <v>93</v>
      </c>
    </row>
    <row r="374" spans="1:7" x14ac:dyDescent="0.2">
      <c r="B374" s="21" t="s">
        <v>160</v>
      </c>
      <c r="C374" s="1495" t="s">
        <v>23</v>
      </c>
      <c r="D374" s="1495" t="s">
        <v>58</v>
      </c>
      <c r="E374" s="1495" t="s">
        <v>93</v>
      </c>
    </row>
    <row r="375" spans="1:7" x14ac:dyDescent="0.2">
      <c r="B375" s="21" t="s">
        <v>157</v>
      </c>
      <c r="C375" s="1495" t="s">
        <v>23</v>
      </c>
      <c r="D375" s="1495" t="s">
        <v>58</v>
      </c>
      <c r="E375" s="1495" t="s">
        <v>93</v>
      </c>
    </row>
    <row r="376" spans="1:7" x14ac:dyDescent="0.2">
      <c r="A376" s="7" t="s">
        <v>215</v>
      </c>
      <c r="B376" s="21" t="s">
        <v>177</v>
      </c>
      <c r="C376" s="4">
        <v>-251061450000</v>
      </c>
      <c r="D376" s="4">
        <v>-24082225000</v>
      </c>
      <c r="E376" s="4">
        <v>-4206530000</v>
      </c>
    </row>
    <row r="377" spans="1:7" x14ac:dyDescent="0.2">
      <c r="B377" s="21" t="s">
        <v>162</v>
      </c>
      <c r="C377" s="1495" t="s">
        <v>12</v>
      </c>
      <c r="D377" s="1495" t="s">
        <v>212</v>
      </c>
      <c r="E377" s="1495" t="s">
        <v>42</v>
      </c>
      <c r="F377" s="1495" t="s">
        <v>58</v>
      </c>
      <c r="G377" s="1495" t="s">
        <v>292</v>
      </c>
    </row>
    <row r="378" spans="1:7" x14ac:dyDescent="0.2">
      <c r="B378" s="21" t="s">
        <v>161</v>
      </c>
      <c r="C378" s="1495" t="s">
        <v>12</v>
      </c>
      <c r="D378" s="1495" t="s">
        <v>212</v>
      </c>
      <c r="E378" s="1495" t="s">
        <v>42</v>
      </c>
      <c r="F378" s="1495" t="s">
        <v>58</v>
      </c>
      <c r="G378" s="1495" t="s">
        <v>292</v>
      </c>
    </row>
    <row r="379" spans="1:7" x14ac:dyDescent="0.2">
      <c r="B379" s="21" t="s">
        <v>160</v>
      </c>
      <c r="C379" s="1495" t="s">
        <v>12</v>
      </c>
      <c r="D379" s="1495" t="s">
        <v>212</v>
      </c>
      <c r="E379" s="1495" t="s">
        <v>42</v>
      </c>
      <c r="F379" s="1495" t="s">
        <v>58</v>
      </c>
      <c r="G379" s="1495" t="s">
        <v>292</v>
      </c>
    </row>
    <row r="380" spans="1:7" x14ac:dyDescent="0.2">
      <c r="B380" s="21" t="s">
        <v>157</v>
      </c>
      <c r="C380" s="1495" t="s">
        <v>12</v>
      </c>
      <c r="D380" s="1495" t="s">
        <v>212</v>
      </c>
      <c r="E380" s="1495" t="s">
        <v>42</v>
      </c>
      <c r="F380" s="1495" t="s">
        <v>58</v>
      </c>
      <c r="G380" s="1495" t="s">
        <v>292</v>
      </c>
    </row>
    <row r="381" spans="1:7" x14ac:dyDescent="0.2">
      <c r="A381" s="7" t="s">
        <v>214</v>
      </c>
      <c r="B381" s="21" t="s">
        <v>177</v>
      </c>
      <c r="C381" s="4">
        <v>-21018390000</v>
      </c>
      <c r="D381" s="4">
        <v>-10701480000</v>
      </c>
      <c r="E381" s="4">
        <v>-5834405000</v>
      </c>
      <c r="F381" s="4">
        <v>-5184535000</v>
      </c>
      <c r="G381" s="4">
        <v>-236150000</v>
      </c>
    </row>
    <row r="382" spans="1:7" x14ac:dyDescent="0.2">
      <c r="B382" s="21" t="s">
        <v>162</v>
      </c>
      <c r="D382" s="1495" t="s">
        <v>20</v>
      </c>
    </row>
    <row r="383" spans="1:7" x14ac:dyDescent="0.2">
      <c r="B383" s="21" t="s">
        <v>161</v>
      </c>
      <c r="D383" s="1495" t="s">
        <v>20</v>
      </c>
    </row>
    <row r="384" spans="1:7" x14ac:dyDescent="0.2">
      <c r="B384" s="21" t="s">
        <v>160</v>
      </c>
      <c r="D384" s="1495" t="s">
        <v>20</v>
      </c>
    </row>
    <row r="385" spans="1:15" x14ac:dyDescent="0.2">
      <c r="B385" s="21" t="s">
        <v>157</v>
      </c>
      <c r="C385" s="21" t="s">
        <v>13</v>
      </c>
      <c r="D385" s="1495" t="s">
        <v>20</v>
      </c>
    </row>
    <row r="386" spans="1:15" x14ac:dyDescent="0.2">
      <c r="A386" s="7" t="s">
        <v>213</v>
      </c>
      <c r="B386" s="21" t="s">
        <v>177</v>
      </c>
      <c r="C386" s="4">
        <v>-63156570000</v>
      </c>
      <c r="D386" s="4">
        <v>-11901200000</v>
      </c>
    </row>
    <row r="387" spans="1:15" x14ac:dyDescent="0.2">
      <c r="B387" s="21" t="s">
        <v>162</v>
      </c>
      <c r="C387" s="1495" t="s">
        <v>29</v>
      </c>
    </row>
    <row r="388" spans="1:15" x14ac:dyDescent="0.2">
      <c r="B388" s="21" t="s">
        <v>161</v>
      </c>
      <c r="C388" s="1495" t="s">
        <v>29</v>
      </c>
    </row>
    <row r="389" spans="1:15" x14ac:dyDescent="0.2">
      <c r="B389" s="21" t="s">
        <v>160</v>
      </c>
      <c r="C389" s="1495" t="s">
        <v>29</v>
      </c>
    </row>
    <row r="390" spans="1:15" x14ac:dyDescent="0.2">
      <c r="B390" s="21" t="s">
        <v>157</v>
      </c>
      <c r="C390" s="1495" t="s">
        <v>29</v>
      </c>
    </row>
    <row r="391" spans="1:15" x14ac:dyDescent="0.2">
      <c r="A391" s="7" t="s">
        <v>211</v>
      </c>
      <c r="B391" s="21" t="s">
        <v>177</v>
      </c>
      <c r="C391" s="4">
        <v>-19230360000</v>
      </c>
    </row>
    <row r="392" spans="1:15" x14ac:dyDescent="0.2">
      <c r="B392" s="21" t="s">
        <v>162</v>
      </c>
      <c r="C392" s="1495" t="s">
        <v>34</v>
      </c>
      <c r="D392" s="1495" t="s">
        <v>36</v>
      </c>
      <c r="E392" s="1495" t="s">
        <v>62</v>
      </c>
      <c r="F392" s="1495" t="s">
        <v>281</v>
      </c>
      <c r="H392" s="1495" t="s">
        <v>293</v>
      </c>
      <c r="I392" s="1495" t="s">
        <v>280</v>
      </c>
    </row>
    <row r="393" spans="1:15" x14ac:dyDescent="0.2">
      <c r="B393" s="21" t="s">
        <v>161</v>
      </c>
      <c r="C393" s="1495" t="s">
        <v>34</v>
      </c>
      <c r="D393" s="1495" t="s">
        <v>36</v>
      </c>
      <c r="E393" s="1495" t="s">
        <v>62</v>
      </c>
      <c r="F393" s="1495" t="s">
        <v>281</v>
      </c>
      <c r="H393" s="1495" t="s">
        <v>293</v>
      </c>
      <c r="I393" s="1495" t="s">
        <v>280</v>
      </c>
    </row>
    <row r="394" spans="1:15" x14ac:dyDescent="0.2">
      <c r="B394" s="21" t="s">
        <v>160</v>
      </c>
      <c r="C394" s="1495" t="s">
        <v>34</v>
      </c>
      <c r="D394" s="1495" t="s">
        <v>36</v>
      </c>
      <c r="E394" s="1495" t="s">
        <v>62</v>
      </c>
      <c r="F394" s="1495" t="s">
        <v>281</v>
      </c>
      <c r="H394" s="1495" t="s">
        <v>293</v>
      </c>
      <c r="I394" s="1495" t="s">
        <v>280</v>
      </c>
    </row>
    <row r="395" spans="1:15" x14ac:dyDescent="0.2">
      <c r="B395" s="21" t="s">
        <v>157</v>
      </c>
      <c r="C395" s="1495" t="s">
        <v>34</v>
      </c>
      <c r="D395" s="1495" t="s">
        <v>36</v>
      </c>
      <c r="E395" s="1495" t="s">
        <v>62</v>
      </c>
      <c r="F395" s="1495" t="s">
        <v>281</v>
      </c>
      <c r="G395" s="21" t="s">
        <v>83</v>
      </c>
      <c r="H395" s="1495" t="s">
        <v>293</v>
      </c>
      <c r="I395" s="1495" t="s">
        <v>280</v>
      </c>
    </row>
    <row r="396" spans="1:15" x14ac:dyDescent="0.2">
      <c r="A396" s="7" t="s">
        <v>210</v>
      </c>
      <c r="B396" s="21" t="s">
        <v>177</v>
      </c>
      <c r="C396" s="4">
        <v>-78312910000</v>
      </c>
      <c r="D396" s="4">
        <v>-46018890000</v>
      </c>
      <c r="E396" s="4">
        <v>-16306320000</v>
      </c>
      <c r="F396" s="4">
        <v>-342030000</v>
      </c>
      <c r="G396" s="4">
        <v>-4500000</v>
      </c>
      <c r="H396" s="4">
        <v>-2880000</v>
      </c>
      <c r="I396" s="4">
        <v>-1330000</v>
      </c>
    </row>
    <row r="397" spans="1:15" x14ac:dyDescent="0.2">
      <c r="B397" s="21" t="s">
        <v>162</v>
      </c>
      <c r="G397" s="1495" t="s">
        <v>61</v>
      </c>
      <c r="J397" s="1495" t="s">
        <v>176</v>
      </c>
      <c r="N397" s="1495" t="s">
        <v>22</v>
      </c>
      <c r="O397" s="1495" t="s">
        <v>37</v>
      </c>
    </row>
    <row r="398" spans="1:15" x14ac:dyDescent="0.2">
      <c r="B398" s="21" t="s">
        <v>161</v>
      </c>
      <c r="G398" s="1495" t="s">
        <v>61</v>
      </c>
      <c r="J398" s="1495" t="s">
        <v>176</v>
      </c>
      <c r="N398" s="1495" t="s">
        <v>22</v>
      </c>
      <c r="O398" s="1495" t="s">
        <v>37</v>
      </c>
    </row>
    <row r="399" spans="1:15" x14ac:dyDescent="0.2">
      <c r="B399" s="21" t="s">
        <v>160</v>
      </c>
      <c r="G399" s="1495" t="s">
        <v>61</v>
      </c>
      <c r="J399" s="1495" t="s">
        <v>176</v>
      </c>
      <c r="N399" s="1495" t="s">
        <v>22</v>
      </c>
      <c r="O399" s="1495" t="s">
        <v>37</v>
      </c>
    </row>
    <row r="400" spans="1:15" x14ac:dyDescent="0.2">
      <c r="B400" s="21" t="s">
        <v>157</v>
      </c>
      <c r="C400" s="21" t="s">
        <v>33</v>
      </c>
      <c r="D400" s="21" t="s">
        <v>17</v>
      </c>
      <c r="E400" s="21" t="s">
        <v>40</v>
      </c>
      <c r="F400" s="21" t="s">
        <v>15</v>
      </c>
      <c r="G400" s="1495" t="s">
        <v>61</v>
      </c>
      <c r="H400" s="21" t="s">
        <v>32</v>
      </c>
      <c r="I400" s="21" t="s">
        <v>79</v>
      </c>
      <c r="J400" s="1495" t="s">
        <v>176</v>
      </c>
      <c r="K400" s="21" t="s">
        <v>59</v>
      </c>
      <c r="L400" s="21" t="s">
        <v>34</v>
      </c>
      <c r="M400" s="21" t="s">
        <v>18</v>
      </c>
      <c r="N400" s="1495" t="s">
        <v>22</v>
      </c>
      <c r="O400" s="1495" t="s">
        <v>37</v>
      </c>
    </row>
    <row r="401" spans="1:15" x14ac:dyDescent="0.2">
      <c r="A401" s="7" t="s">
        <v>209</v>
      </c>
      <c r="B401" s="21" t="s">
        <v>177</v>
      </c>
      <c r="C401" s="4">
        <v>-150223190000</v>
      </c>
      <c r="D401" s="4">
        <v>-139792805000</v>
      </c>
      <c r="E401" s="4">
        <v>-97635210000</v>
      </c>
      <c r="F401" s="4">
        <v>-76037605000</v>
      </c>
      <c r="G401" s="4">
        <v>-74008310000</v>
      </c>
      <c r="H401" s="4">
        <v>-71324250000</v>
      </c>
      <c r="I401" s="4">
        <v>-69574140000</v>
      </c>
      <c r="J401" s="4">
        <v>-36313470000</v>
      </c>
      <c r="K401" s="4">
        <v>-34610990000</v>
      </c>
      <c r="L401" s="4">
        <v>-27463576000</v>
      </c>
      <c r="M401" s="4">
        <v>-24633260000</v>
      </c>
      <c r="N401" s="4">
        <v>-18329300000</v>
      </c>
      <c r="O401" s="4">
        <v>-570040000</v>
      </c>
    </row>
    <row r="402" spans="1:15" x14ac:dyDescent="0.2">
      <c r="B402" s="21" t="s">
        <v>162</v>
      </c>
      <c r="C402" s="1495" t="s">
        <v>27</v>
      </c>
    </row>
    <row r="403" spans="1:15" x14ac:dyDescent="0.2">
      <c r="B403" s="21" t="s">
        <v>161</v>
      </c>
      <c r="C403" s="1495" t="s">
        <v>27</v>
      </c>
    </row>
    <row r="404" spans="1:15" x14ac:dyDescent="0.2">
      <c r="B404" s="21" t="s">
        <v>160</v>
      </c>
      <c r="C404" s="1495" t="s">
        <v>27</v>
      </c>
    </row>
    <row r="405" spans="1:15" x14ac:dyDescent="0.2">
      <c r="B405" s="21" t="s">
        <v>157</v>
      </c>
      <c r="C405" s="1495" t="s">
        <v>27</v>
      </c>
      <c r="D405" s="21" t="s">
        <v>271</v>
      </c>
    </row>
    <row r="406" spans="1:15" x14ac:dyDescent="0.2">
      <c r="A406" s="7" t="s">
        <v>208</v>
      </c>
      <c r="B406" s="21" t="s">
        <v>177</v>
      </c>
      <c r="C406" s="4">
        <v>-5498529000</v>
      </c>
      <c r="D406" s="4">
        <v>-5305110000</v>
      </c>
    </row>
    <row r="407" spans="1:15" x14ac:dyDescent="0.2">
      <c r="B407" s="21" t="s">
        <v>162</v>
      </c>
      <c r="C407" s="1495" t="s">
        <v>190</v>
      </c>
      <c r="D407" s="1495" t="s">
        <v>93</v>
      </c>
      <c r="E407" s="1495" t="s">
        <v>27</v>
      </c>
    </row>
    <row r="408" spans="1:15" x14ac:dyDescent="0.2">
      <c r="B408" s="21" t="s">
        <v>161</v>
      </c>
      <c r="C408" s="1495" t="s">
        <v>190</v>
      </c>
      <c r="D408" s="1495" t="s">
        <v>93</v>
      </c>
      <c r="E408" s="1495" t="s">
        <v>27</v>
      </c>
    </row>
    <row r="409" spans="1:15" x14ac:dyDescent="0.2">
      <c r="B409" s="21" t="s">
        <v>160</v>
      </c>
      <c r="C409" s="1495" t="s">
        <v>190</v>
      </c>
      <c r="D409" s="1495" t="s">
        <v>93</v>
      </c>
      <c r="E409" s="1495" t="s">
        <v>27</v>
      </c>
    </row>
    <row r="410" spans="1:15" x14ac:dyDescent="0.2">
      <c r="B410" s="21" t="s">
        <v>157</v>
      </c>
      <c r="C410" s="1495" t="s">
        <v>190</v>
      </c>
      <c r="D410" s="1495" t="s">
        <v>93</v>
      </c>
      <c r="E410" s="1495" t="s">
        <v>27</v>
      </c>
    </row>
    <row r="411" spans="1:15" x14ac:dyDescent="0.2">
      <c r="A411" s="7" t="s">
        <v>206</v>
      </c>
      <c r="B411" s="21" t="s">
        <v>177</v>
      </c>
      <c r="C411" s="4">
        <v>-3827200000</v>
      </c>
      <c r="D411" s="4">
        <v>-2808090000</v>
      </c>
      <c r="E411" s="4">
        <v>-1243650000</v>
      </c>
    </row>
    <row r="412" spans="1:15" x14ac:dyDescent="0.2">
      <c r="B412" s="21" t="s">
        <v>162</v>
      </c>
      <c r="D412" s="1495" t="s">
        <v>38</v>
      </c>
    </row>
    <row r="413" spans="1:15" x14ac:dyDescent="0.2">
      <c r="B413" s="21" t="s">
        <v>161</v>
      </c>
      <c r="D413" s="1495" t="s">
        <v>38</v>
      </c>
    </row>
    <row r="414" spans="1:15" x14ac:dyDescent="0.2">
      <c r="B414" s="21" t="s">
        <v>160</v>
      </c>
      <c r="D414" s="1495" t="s">
        <v>38</v>
      </c>
    </row>
    <row r="415" spans="1:15" x14ac:dyDescent="0.2">
      <c r="B415" s="21" t="s">
        <v>157</v>
      </c>
      <c r="C415" s="21" t="s">
        <v>23</v>
      </c>
      <c r="D415" s="1495" t="s">
        <v>38</v>
      </c>
    </row>
    <row r="416" spans="1:15" x14ac:dyDescent="0.2">
      <c r="A416" s="7" t="s">
        <v>205</v>
      </c>
      <c r="B416" s="21" t="s">
        <v>177</v>
      </c>
      <c r="C416" s="4">
        <v>-81722583000</v>
      </c>
      <c r="D416" s="4">
        <v>-1916950000</v>
      </c>
    </row>
    <row r="417" spans="1:8" x14ac:dyDescent="0.2">
      <c r="B417" s="21" t="s">
        <v>162</v>
      </c>
      <c r="C417" s="1495" t="s">
        <v>67</v>
      </c>
      <c r="D417" s="1495" t="s">
        <v>266</v>
      </c>
      <c r="E417" s="1495" t="s">
        <v>325</v>
      </c>
    </row>
    <row r="418" spans="1:8" x14ac:dyDescent="0.2">
      <c r="B418" s="21" t="s">
        <v>161</v>
      </c>
      <c r="C418" s="1495" t="s">
        <v>67</v>
      </c>
      <c r="D418" s="1495" t="s">
        <v>266</v>
      </c>
      <c r="E418" s="1495" t="s">
        <v>325</v>
      </c>
    </row>
    <row r="419" spans="1:8" x14ac:dyDescent="0.2">
      <c r="B419" s="21" t="s">
        <v>160</v>
      </c>
      <c r="C419" s="1495" t="s">
        <v>67</v>
      </c>
      <c r="D419" s="1495" t="s">
        <v>266</v>
      </c>
      <c r="E419" s="1495" t="s">
        <v>325</v>
      </c>
    </row>
    <row r="420" spans="1:8" x14ac:dyDescent="0.2">
      <c r="B420" s="21" t="s">
        <v>157</v>
      </c>
      <c r="C420" s="1495" t="s">
        <v>67</v>
      </c>
      <c r="D420" s="1495" t="s">
        <v>266</v>
      </c>
      <c r="E420" s="1495" t="s">
        <v>325</v>
      </c>
      <c r="F420" s="21" t="s">
        <v>202</v>
      </c>
    </row>
    <row r="421" spans="1:8" x14ac:dyDescent="0.2">
      <c r="A421" s="7" t="s">
        <v>204</v>
      </c>
      <c r="B421" s="21" t="s">
        <v>177</v>
      </c>
      <c r="C421" s="4">
        <v>-34071850000</v>
      </c>
      <c r="D421" s="4">
        <v>-3870620000</v>
      </c>
      <c r="E421" s="4">
        <v>-3441210000</v>
      </c>
      <c r="F421" s="4">
        <v>-2300000</v>
      </c>
    </row>
    <row r="422" spans="1:8" x14ac:dyDescent="0.2">
      <c r="B422" s="21" t="s">
        <v>162</v>
      </c>
      <c r="D422" s="1495" t="s">
        <v>212</v>
      </c>
      <c r="F422" s="1495" t="s">
        <v>38</v>
      </c>
    </row>
    <row r="423" spans="1:8" x14ac:dyDescent="0.2">
      <c r="B423" s="21" t="s">
        <v>161</v>
      </c>
      <c r="D423" s="1495" t="s">
        <v>212</v>
      </c>
      <c r="F423" s="1495" t="s">
        <v>38</v>
      </c>
    </row>
    <row r="424" spans="1:8" x14ac:dyDescent="0.2">
      <c r="B424" s="21" t="s">
        <v>160</v>
      </c>
      <c r="D424" s="1495" t="s">
        <v>212</v>
      </c>
      <c r="F424" s="1495" t="s">
        <v>38</v>
      </c>
    </row>
    <row r="425" spans="1:8" x14ac:dyDescent="0.2">
      <c r="B425" s="21" t="s">
        <v>157</v>
      </c>
      <c r="C425" s="21" t="s">
        <v>64</v>
      </c>
      <c r="D425" s="1495" t="s">
        <v>212</v>
      </c>
      <c r="E425" s="21" t="s">
        <v>282</v>
      </c>
      <c r="F425" s="1495" t="s">
        <v>38</v>
      </c>
    </row>
    <row r="426" spans="1:8" x14ac:dyDescent="0.2">
      <c r="A426" s="7" t="s">
        <v>203</v>
      </c>
      <c r="B426" s="21" t="s">
        <v>177</v>
      </c>
      <c r="C426" s="4">
        <v>-20912115000</v>
      </c>
      <c r="D426" s="4">
        <v>-8932280000</v>
      </c>
      <c r="E426" s="4">
        <v>-2465850000</v>
      </c>
      <c r="F426" s="4">
        <v>-456152000</v>
      </c>
    </row>
    <row r="427" spans="1:8" x14ac:dyDescent="0.2">
      <c r="B427" s="21" t="s">
        <v>162</v>
      </c>
      <c r="C427" s="1495" t="s">
        <v>9</v>
      </c>
    </row>
    <row r="428" spans="1:8" x14ac:dyDescent="0.2">
      <c r="B428" s="21" t="s">
        <v>161</v>
      </c>
      <c r="C428" s="1495" t="s">
        <v>9</v>
      </c>
    </row>
    <row r="429" spans="1:8" x14ac:dyDescent="0.2">
      <c r="B429" s="21" t="s">
        <v>160</v>
      </c>
      <c r="C429" s="1495" t="s">
        <v>9</v>
      </c>
    </row>
    <row r="430" spans="1:8" x14ac:dyDescent="0.2">
      <c r="B430" s="21" t="s">
        <v>157</v>
      </c>
      <c r="C430" s="1495" t="s">
        <v>9</v>
      </c>
    </row>
    <row r="431" spans="1:8" x14ac:dyDescent="0.2">
      <c r="A431" s="7" t="s">
        <v>201</v>
      </c>
      <c r="B431" s="21" t="s">
        <v>177</v>
      </c>
      <c r="C431" s="4">
        <v>-11951885000</v>
      </c>
    </row>
    <row r="432" spans="1:8" x14ac:dyDescent="0.2">
      <c r="B432" s="21" t="s">
        <v>162</v>
      </c>
      <c r="C432" s="1495" t="s">
        <v>24</v>
      </c>
      <c r="D432" s="1495" t="s">
        <v>176</v>
      </c>
      <c r="F432" s="1495" t="s">
        <v>7</v>
      </c>
      <c r="H432" s="1495" t="s">
        <v>290</v>
      </c>
    </row>
    <row r="433" spans="1:8" x14ac:dyDescent="0.2">
      <c r="B433" s="21" t="s">
        <v>161</v>
      </c>
      <c r="C433" s="1495" t="s">
        <v>24</v>
      </c>
      <c r="D433" s="1495" t="s">
        <v>176</v>
      </c>
      <c r="F433" s="1495" t="s">
        <v>7</v>
      </c>
      <c r="H433" s="1495" t="s">
        <v>290</v>
      </c>
    </row>
    <row r="434" spans="1:8" x14ac:dyDescent="0.2">
      <c r="B434" s="21" t="s">
        <v>160</v>
      </c>
      <c r="C434" s="1495" t="s">
        <v>24</v>
      </c>
      <c r="D434" s="1495" t="s">
        <v>176</v>
      </c>
      <c r="F434" s="1495" t="s">
        <v>7</v>
      </c>
      <c r="H434" s="1495" t="s">
        <v>290</v>
      </c>
    </row>
    <row r="435" spans="1:8" x14ac:dyDescent="0.2">
      <c r="B435" s="21" t="s">
        <v>157</v>
      </c>
      <c r="C435" s="1495" t="s">
        <v>24</v>
      </c>
      <c r="D435" s="1495" t="s">
        <v>176</v>
      </c>
      <c r="E435" s="21" t="s">
        <v>10</v>
      </c>
      <c r="F435" s="1495" t="s">
        <v>7</v>
      </c>
      <c r="G435" s="21" t="s">
        <v>58</v>
      </c>
      <c r="H435" s="1495" t="s">
        <v>290</v>
      </c>
    </row>
    <row r="436" spans="1:8" x14ac:dyDescent="0.2">
      <c r="A436" s="7" t="s">
        <v>200</v>
      </c>
      <c r="B436" s="21" t="s">
        <v>177</v>
      </c>
      <c r="C436" s="4">
        <v>-21288680000</v>
      </c>
      <c r="D436" s="4">
        <v>-12892299000</v>
      </c>
      <c r="E436" s="4">
        <v>-9161500000</v>
      </c>
      <c r="F436" s="4">
        <v>-6077040000</v>
      </c>
      <c r="G436" s="4">
        <v>-3416780000</v>
      </c>
      <c r="H436" s="4">
        <v>-391782000</v>
      </c>
    </row>
    <row r="437" spans="1:8" x14ac:dyDescent="0.2">
      <c r="B437" s="21" t="s">
        <v>162</v>
      </c>
      <c r="D437" s="1495" t="s">
        <v>57</v>
      </c>
      <c r="E437" s="1495" t="s">
        <v>197</v>
      </c>
    </row>
    <row r="438" spans="1:8" x14ac:dyDescent="0.2">
      <c r="B438" s="21" t="s">
        <v>161</v>
      </c>
      <c r="D438" s="1495" t="s">
        <v>57</v>
      </c>
      <c r="E438" s="1495" t="s">
        <v>197</v>
      </c>
    </row>
    <row r="439" spans="1:8" x14ac:dyDescent="0.2">
      <c r="B439" s="21" t="s">
        <v>160</v>
      </c>
      <c r="D439" s="1495" t="s">
        <v>57</v>
      </c>
      <c r="E439" s="1495" t="s">
        <v>197</v>
      </c>
    </row>
    <row r="440" spans="1:8" x14ac:dyDescent="0.2">
      <c r="B440" s="21" t="s">
        <v>157</v>
      </c>
      <c r="C440" s="21" t="s">
        <v>79</v>
      </c>
      <c r="D440" s="1495" t="s">
        <v>57</v>
      </c>
      <c r="E440" s="1495" t="s">
        <v>197</v>
      </c>
    </row>
    <row r="441" spans="1:8" x14ac:dyDescent="0.2">
      <c r="A441" s="7" t="s">
        <v>199</v>
      </c>
      <c r="B441" s="21" t="s">
        <v>177</v>
      </c>
      <c r="C441" s="4">
        <v>-69315090000</v>
      </c>
      <c r="D441" s="4">
        <v>-16690410000</v>
      </c>
      <c r="E441" s="4">
        <v>-5642850000</v>
      </c>
    </row>
    <row r="442" spans="1:8" x14ac:dyDescent="0.2">
      <c r="B442" s="21" t="s">
        <v>162</v>
      </c>
      <c r="D442" s="1495" t="s">
        <v>25</v>
      </c>
      <c r="E442" s="1495" t="s">
        <v>20</v>
      </c>
      <c r="F442" s="1495" t="s">
        <v>212</v>
      </c>
      <c r="G442" s="1495" t="s">
        <v>57</v>
      </c>
      <c r="H442" s="1495" t="s">
        <v>89</v>
      </c>
    </row>
    <row r="443" spans="1:8" x14ac:dyDescent="0.2">
      <c r="B443" s="21" t="s">
        <v>161</v>
      </c>
      <c r="D443" s="1495" t="s">
        <v>25</v>
      </c>
      <c r="E443" s="1495" t="s">
        <v>20</v>
      </c>
      <c r="F443" s="1495" t="s">
        <v>212</v>
      </c>
      <c r="G443" s="1495" t="s">
        <v>57</v>
      </c>
      <c r="H443" s="1495" t="s">
        <v>89</v>
      </c>
    </row>
    <row r="444" spans="1:8" x14ac:dyDescent="0.2">
      <c r="B444" s="21" t="s">
        <v>160</v>
      </c>
      <c r="D444" s="1495" t="s">
        <v>25</v>
      </c>
      <c r="E444" s="1495" t="s">
        <v>20</v>
      </c>
      <c r="F444" s="1495" t="s">
        <v>212</v>
      </c>
      <c r="G444" s="1495" t="s">
        <v>57</v>
      </c>
      <c r="H444" s="1495" t="s">
        <v>89</v>
      </c>
    </row>
    <row r="445" spans="1:8" x14ac:dyDescent="0.2">
      <c r="B445" s="21" t="s">
        <v>157</v>
      </c>
      <c r="C445" s="21" t="s">
        <v>18</v>
      </c>
      <c r="D445" s="1495" t="s">
        <v>25</v>
      </c>
      <c r="E445" s="1495" t="s">
        <v>20</v>
      </c>
      <c r="F445" s="1495" t="s">
        <v>212</v>
      </c>
      <c r="G445" s="1495" t="s">
        <v>57</v>
      </c>
      <c r="H445" s="1495" t="s">
        <v>89</v>
      </c>
    </row>
    <row r="446" spans="1:8" x14ac:dyDescent="0.2">
      <c r="A446" s="7" t="s">
        <v>196</v>
      </c>
      <c r="B446" s="21" t="s">
        <v>177</v>
      </c>
      <c r="C446" s="4">
        <v>-23684225000</v>
      </c>
      <c r="D446" s="4">
        <v>-14762470000</v>
      </c>
      <c r="E446" s="4">
        <v>-9278380000</v>
      </c>
      <c r="F446" s="4">
        <v>-6671240000</v>
      </c>
      <c r="G446" s="4">
        <v>-1997870000</v>
      </c>
      <c r="H446" s="4">
        <v>-43569000</v>
      </c>
    </row>
    <row r="447" spans="1:8" x14ac:dyDescent="0.2">
      <c r="B447" s="21" t="s">
        <v>162</v>
      </c>
      <c r="C447" s="1495" t="s">
        <v>22</v>
      </c>
      <c r="D447" s="1495" t="s">
        <v>30</v>
      </c>
    </row>
    <row r="448" spans="1:8" x14ac:dyDescent="0.2">
      <c r="B448" s="21" t="s">
        <v>161</v>
      </c>
      <c r="C448" s="1495" t="s">
        <v>22</v>
      </c>
      <c r="D448" s="1495" t="s">
        <v>30</v>
      </c>
    </row>
    <row r="449" spans="1:23" x14ac:dyDescent="0.2">
      <c r="B449" s="21" t="s">
        <v>160</v>
      </c>
      <c r="C449" s="1495" t="s">
        <v>22</v>
      </c>
      <c r="D449" s="1495" t="s">
        <v>30</v>
      </c>
    </row>
    <row r="450" spans="1:23" x14ac:dyDescent="0.2">
      <c r="B450" s="21" t="s">
        <v>157</v>
      </c>
      <c r="C450" s="1495" t="s">
        <v>22</v>
      </c>
      <c r="D450" s="1495" t="s">
        <v>30</v>
      </c>
      <c r="E450" s="21" t="s">
        <v>176</v>
      </c>
      <c r="F450" s="21" t="s">
        <v>99</v>
      </c>
    </row>
    <row r="451" spans="1:23" x14ac:dyDescent="0.2">
      <c r="A451" s="7" t="s">
        <v>195</v>
      </c>
      <c r="B451" s="21" t="s">
        <v>177</v>
      </c>
      <c r="C451" s="4">
        <v>-14394500000</v>
      </c>
      <c r="D451" s="4">
        <v>-11262570000</v>
      </c>
      <c r="E451" s="4">
        <v>-6225750000</v>
      </c>
      <c r="F451" s="4">
        <v>-4929370000</v>
      </c>
    </row>
    <row r="452" spans="1:23" x14ac:dyDescent="0.2">
      <c r="B452" s="21" t="s">
        <v>162</v>
      </c>
      <c r="C452" s="1495" t="s">
        <v>212</v>
      </c>
      <c r="D452" s="1495" t="s">
        <v>266</v>
      </c>
    </row>
    <row r="453" spans="1:23" x14ac:dyDescent="0.2">
      <c r="B453" s="21" t="s">
        <v>161</v>
      </c>
      <c r="C453" s="1495" t="s">
        <v>212</v>
      </c>
      <c r="D453" s="1495" t="s">
        <v>266</v>
      </c>
    </row>
    <row r="454" spans="1:23" x14ac:dyDescent="0.2">
      <c r="B454" s="21" t="s">
        <v>160</v>
      </c>
      <c r="C454" s="1495" t="s">
        <v>212</v>
      </c>
      <c r="D454" s="1495" t="s">
        <v>266</v>
      </c>
    </row>
    <row r="455" spans="1:23" x14ac:dyDescent="0.2">
      <c r="B455" s="21" t="s">
        <v>157</v>
      </c>
      <c r="C455" s="1495" t="s">
        <v>212</v>
      </c>
      <c r="D455" s="1495" t="s">
        <v>266</v>
      </c>
    </row>
    <row r="456" spans="1:23" x14ac:dyDescent="0.2">
      <c r="A456" s="7" t="s">
        <v>193</v>
      </c>
      <c r="B456" s="21" t="s">
        <v>177</v>
      </c>
      <c r="C456" s="4">
        <v>-5156640000</v>
      </c>
      <c r="D456" s="4">
        <v>-2491600000</v>
      </c>
    </row>
    <row r="457" spans="1:23" x14ac:dyDescent="0.2">
      <c r="B457" s="21" t="s">
        <v>157</v>
      </c>
      <c r="C457" s="21" t="s">
        <v>33</v>
      </c>
      <c r="D457" s="21" t="s">
        <v>10</v>
      </c>
      <c r="E457" s="21" t="s">
        <v>8</v>
      </c>
    </row>
    <row r="458" spans="1:23" x14ac:dyDescent="0.2">
      <c r="A458" s="7" t="s">
        <v>189</v>
      </c>
      <c r="B458" s="21" t="s">
        <v>177</v>
      </c>
      <c r="C458" s="4">
        <v>-73248490000</v>
      </c>
      <c r="D458" s="4">
        <v>-2978023600</v>
      </c>
      <c r="E458" s="4">
        <v>-2366470000</v>
      </c>
    </row>
    <row r="459" spans="1:23" x14ac:dyDescent="0.2"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</row>
    <row r="460" spans="1:23" x14ac:dyDescent="0.2"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</row>
    <row r="461" spans="1:23" x14ac:dyDescent="0.2"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</row>
    <row r="462" spans="1:23" x14ac:dyDescent="0.2"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</row>
    <row r="463" spans="1:23" x14ac:dyDescent="0.2"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</row>
    <row r="464" spans="1:23" x14ac:dyDescent="0.2"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</row>
    <row r="465" spans="1:23" x14ac:dyDescent="0.2"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</row>
    <row r="466" spans="1:23" x14ac:dyDescent="0.2"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</row>
    <row r="467" spans="1:23" x14ac:dyDescent="0.2">
      <c r="A467" t="s">
        <v>368</v>
      </c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</row>
    <row r="468" spans="1:23" x14ac:dyDescent="0.2"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</row>
    <row r="469" spans="1:23" x14ac:dyDescent="0.2"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</row>
    <row r="470" spans="1:23" x14ac:dyDescent="0.2"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</row>
    <row r="471" spans="1:23" x14ac:dyDescent="0.2"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</row>
    <row r="472" spans="1:23" x14ac:dyDescent="0.2"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</row>
    <row r="473" spans="1:23" x14ac:dyDescent="0.2"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</row>
    <row r="474" spans="1:23" x14ac:dyDescent="0.2"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</row>
    <row r="475" spans="1:23" x14ac:dyDescent="0.2"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</row>
    <row r="476" spans="1:23" x14ac:dyDescent="0.2"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</row>
    <row r="477" spans="1:23" x14ac:dyDescent="0.2"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</row>
    <row r="478" spans="1:23" x14ac:dyDescent="0.2"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</row>
    <row r="479" spans="1:23" x14ac:dyDescent="0.2"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</row>
    <row r="480" spans="1:23" x14ac:dyDescent="0.2"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</row>
    <row r="481" spans="3:23" x14ac:dyDescent="0.2"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</row>
    <row r="482" spans="3:23" x14ac:dyDescent="0.2"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</row>
    <row r="483" spans="3:23" x14ac:dyDescent="0.2"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</row>
    <row r="484" spans="3:23" x14ac:dyDescent="0.2"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</row>
    <row r="485" spans="3:23" x14ac:dyDescent="0.2"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</row>
    <row r="486" spans="3:23" x14ac:dyDescent="0.2"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</row>
    <row r="487" spans="3:23" x14ac:dyDescent="0.2"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</row>
  </sheetData>
  <mergeCells count="334">
    <mergeCell ref="G20:G23"/>
    <mergeCell ref="J20:J23"/>
    <mergeCell ref="K20:K23"/>
    <mergeCell ref="P20:P23"/>
    <mergeCell ref="Q20:Q23"/>
    <mergeCell ref="H22:H23"/>
    <mergeCell ref="R22:R23"/>
    <mergeCell ref="M22:M23"/>
    <mergeCell ref="N15:N18"/>
    <mergeCell ref="P15:P18"/>
    <mergeCell ref="Q15:Q18"/>
    <mergeCell ref="E21:E23"/>
    <mergeCell ref="C25:C28"/>
    <mergeCell ref="D25:D28"/>
    <mergeCell ref="E25:E28"/>
    <mergeCell ref="I25:I28"/>
    <mergeCell ref="AD109:AD112"/>
    <mergeCell ref="AB60:AB63"/>
    <mergeCell ref="AC60:AC63"/>
    <mergeCell ref="C349:C350"/>
    <mergeCell ref="D295:D298"/>
    <mergeCell ref="E290:E293"/>
    <mergeCell ref="J300:J303"/>
    <mergeCell ref="N300:N303"/>
    <mergeCell ref="D310:D313"/>
    <mergeCell ref="C305:C308"/>
    <mergeCell ref="C310:C313"/>
    <mergeCell ref="M302:M303"/>
    <mergeCell ref="D275:D278"/>
    <mergeCell ref="C280:C283"/>
    <mergeCell ref="D280:D283"/>
    <mergeCell ref="C285:C288"/>
    <mergeCell ref="C290:C293"/>
    <mergeCell ref="E265:E268"/>
    <mergeCell ref="C265:C268"/>
    <mergeCell ref="N397:N400"/>
    <mergeCell ref="O397:O400"/>
    <mergeCell ref="C80:C82"/>
    <mergeCell ref="F139:F140"/>
    <mergeCell ref="D164:D165"/>
    <mergeCell ref="E216:E217"/>
    <mergeCell ref="E302:E303"/>
    <mergeCell ref="C297:C298"/>
    <mergeCell ref="I302:I303"/>
    <mergeCell ref="F392:F395"/>
    <mergeCell ref="H392:H395"/>
    <mergeCell ref="I392:I395"/>
    <mergeCell ref="J397:J400"/>
    <mergeCell ref="G397:G400"/>
    <mergeCell ref="F377:F380"/>
    <mergeCell ref="G377:G380"/>
    <mergeCell ref="I347:I350"/>
    <mergeCell ref="K347:K350"/>
    <mergeCell ref="L347:L350"/>
    <mergeCell ref="F352:F355"/>
    <mergeCell ref="E352:E355"/>
    <mergeCell ref="D352:D355"/>
    <mergeCell ref="D349:D350"/>
    <mergeCell ref="D357:D360"/>
    <mergeCell ref="C402:C405"/>
    <mergeCell ref="D382:D385"/>
    <mergeCell ref="C387:C390"/>
    <mergeCell ref="C392:C395"/>
    <mergeCell ref="D392:D395"/>
    <mergeCell ref="E392:E395"/>
    <mergeCell ref="E372:E375"/>
    <mergeCell ref="E377:E380"/>
    <mergeCell ref="D377:D380"/>
    <mergeCell ref="C377:C380"/>
    <mergeCell ref="D372:D375"/>
    <mergeCell ref="C372:C375"/>
    <mergeCell ref="H432:H435"/>
    <mergeCell ref="E437:E440"/>
    <mergeCell ref="D437:D440"/>
    <mergeCell ref="D442:D445"/>
    <mergeCell ref="E442:E445"/>
    <mergeCell ref="F442:F445"/>
    <mergeCell ref="G442:G445"/>
    <mergeCell ref="H442:H445"/>
    <mergeCell ref="F422:F425"/>
    <mergeCell ref="D422:D425"/>
    <mergeCell ref="D447:D450"/>
    <mergeCell ref="C447:C450"/>
    <mergeCell ref="C452:C455"/>
    <mergeCell ref="D452:D455"/>
    <mergeCell ref="E47:E48"/>
    <mergeCell ref="F47:F48"/>
    <mergeCell ref="E106:E107"/>
    <mergeCell ref="C106:C107"/>
    <mergeCell ref="D131:D132"/>
    <mergeCell ref="D159:D160"/>
    <mergeCell ref="C427:C430"/>
    <mergeCell ref="C432:C435"/>
    <mergeCell ref="D367:D370"/>
    <mergeCell ref="C342:C345"/>
    <mergeCell ref="D342:D345"/>
    <mergeCell ref="D432:D435"/>
    <mergeCell ref="F432:F435"/>
    <mergeCell ref="C407:C410"/>
    <mergeCell ref="D407:D410"/>
    <mergeCell ref="E407:E410"/>
    <mergeCell ref="D412:D415"/>
    <mergeCell ref="D417:D420"/>
    <mergeCell ref="C417:C420"/>
    <mergeCell ref="E417:E420"/>
    <mergeCell ref="C357:C360"/>
    <mergeCell ref="C362:C365"/>
    <mergeCell ref="D362:D365"/>
    <mergeCell ref="F332:F335"/>
    <mergeCell ref="E332:E335"/>
    <mergeCell ref="G332:G335"/>
    <mergeCell ref="H332:H335"/>
    <mergeCell ref="D337:D340"/>
    <mergeCell ref="C315:C318"/>
    <mergeCell ref="C322:C325"/>
    <mergeCell ref="C327:C330"/>
    <mergeCell ref="D327:D330"/>
    <mergeCell ref="D332:D335"/>
    <mergeCell ref="C332:C335"/>
    <mergeCell ref="C337:C340"/>
    <mergeCell ref="G265:G268"/>
    <mergeCell ref="H265:H268"/>
    <mergeCell ref="I265:I268"/>
    <mergeCell ref="G270:G273"/>
    <mergeCell ref="F270:F273"/>
    <mergeCell ref="D270:D273"/>
    <mergeCell ref="C270:C273"/>
    <mergeCell ref="D253:D256"/>
    <mergeCell ref="C253:C256"/>
    <mergeCell ref="C260:C263"/>
    <mergeCell ref="D260:D263"/>
    <mergeCell ref="E260:E263"/>
    <mergeCell ref="F229:F232"/>
    <mergeCell ref="G229:G232"/>
    <mergeCell ref="D238:D241"/>
    <mergeCell ref="C238:C241"/>
    <mergeCell ref="C243:C246"/>
    <mergeCell ref="C248:C251"/>
    <mergeCell ref="D248:D251"/>
    <mergeCell ref="C219:C222"/>
    <mergeCell ref="D219:D222"/>
    <mergeCell ref="E224:E227"/>
    <mergeCell ref="C224:C227"/>
    <mergeCell ref="C229:C232"/>
    <mergeCell ref="D229:D232"/>
    <mergeCell ref="H207:H210"/>
    <mergeCell ref="G207:G210"/>
    <mergeCell ref="F207:F210"/>
    <mergeCell ref="E207:E210"/>
    <mergeCell ref="D207:D210"/>
    <mergeCell ref="D214:D217"/>
    <mergeCell ref="C197:C200"/>
    <mergeCell ref="C202:C205"/>
    <mergeCell ref="D202:D205"/>
    <mergeCell ref="E202:E205"/>
    <mergeCell ref="F197:F200"/>
    <mergeCell ref="H202:H205"/>
    <mergeCell ref="F182:F185"/>
    <mergeCell ref="D182:D185"/>
    <mergeCell ref="C182:C185"/>
    <mergeCell ref="C187:C190"/>
    <mergeCell ref="C192:C195"/>
    <mergeCell ref="D192:D195"/>
    <mergeCell ref="J162:J165"/>
    <mergeCell ref="D167:D170"/>
    <mergeCell ref="C167:C170"/>
    <mergeCell ref="D172:D175"/>
    <mergeCell ref="D177:D180"/>
    <mergeCell ref="F177:F180"/>
    <mergeCell ref="C142:C145"/>
    <mergeCell ref="D142:D145"/>
    <mergeCell ref="C149:C152"/>
    <mergeCell ref="C154:C157"/>
    <mergeCell ref="C162:C165"/>
    <mergeCell ref="G162:G165"/>
    <mergeCell ref="M124:M127"/>
    <mergeCell ref="P124:P127"/>
    <mergeCell ref="S124:S127"/>
    <mergeCell ref="T124:T127"/>
    <mergeCell ref="U124:U127"/>
    <mergeCell ref="E134:E137"/>
    <mergeCell ref="G131:G132"/>
    <mergeCell ref="O126:O127"/>
    <mergeCell ref="R126:R127"/>
    <mergeCell ref="F124:F127"/>
    <mergeCell ref="E129:E132"/>
    <mergeCell ref="I129:I132"/>
    <mergeCell ref="H129:H132"/>
    <mergeCell ref="K124:K127"/>
    <mergeCell ref="L124:L127"/>
    <mergeCell ref="AF109:AF112"/>
    <mergeCell ref="AH109:AH112"/>
    <mergeCell ref="D114:D117"/>
    <mergeCell ref="D119:D122"/>
    <mergeCell ref="G119:G122"/>
    <mergeCell ref="H119:H122"/>
    <mergeCell ref="I119:I122"/>
    <mergeCell ref="K111:K112"/>
    <mergeCell ref="S109:S112"/>
    <mergeCell ref="T109:T112"/>
    <mergeCell ref="W109:W112"/>
    <mergeCell ref="V109:V112"/>
    <mergeCell ref="Z109:Z112"/>
    <mergeCell ref="AC109:AC112"/>
    <mergeCell ref="J109:J112"/>
    <mergeCell ref="L109:L112"/>
    <mergeCell ref="M109:M112"/>
    <mergeCell ref="N109:N112"/>
    <mergeCell ref="P109:P112"/>
    <mergeCell ref="Q109:Q112"/>
    <mergeCell ref="AB111:AB112"/>
    <mergeCell ref="AA111:AA112"/>
    <mergeCell ref="U111:U112"/>
    <mergeCell ref="R111:R112"/>
    <mergeCell ref="D104:D107"/>
    <mergeCell ref="C109:C112"/>
    <mergeCell ref="E109:E112"/>
    <mergeCell ref="F109:F112"/>
    <mergeCell ref="G109:G112"/>
    <mergeCell ref="I109:I112"/>
    <mergeCell ref="I106:I107"/>
    <mergeCell ref="AA104:AA107"/>
    <mergeCell ref="AC104:AC107"/>
    <mergeCell ref="AB106:AB107"/>
    <mergeCell ref="AE104:AE107"/>
    <mergeCell ref="H104:H107"/>
    <mergeCell ref="G104:G107"/>
    <mergeCell ref="J104:J107"/>
    <mergeCell ref="K104:K107"/>
    <mergeCell ref="O106:O107"/>
    <mergeCell ref="T106:T107"/>
    <mergeCell ref="V106:V107"/>
    <mergeCell ref="I99:I102"/>
    <mergeCell ref="Q104:Q107"/>
    <mergeCell ref="U104:U107"/>
    <mergeCell ref="X104:X107"/>
    <mergeCell ref="Y104:Y107"/>
    <mergeCell ref="Z104:Z107"/>
    <mergeCell ref="M101:M102"/>
    <mergeCell ref="AD106:AD107"/>
    <mergeCell ref="M79:M82"/>
    <mergeCell ref="N79:N82"/>
    <mergeCell ref="C84:C87"/>
    <mergeCell ref="D89:D92"/>
    <mergeCell ref="D94:D97"/>
    <mergeCell ref="C99:C102"/>
    <mergeCell ref="D99:D102"/>
    <mergeCell ref="E99:E102"/>
    <mergeCell ref="F99:F102"/>
    <mergeCell ref="G99:G102"/>
    <mergeCell ref="D72:D75"/>
    <mergeCell ref="D79:D82"/>
    <mergeCell ref="E79:E82"/>
    <mergeCell ref="F79:F82"/>
    <mergeCell ref="J79:J82"/>
    <mergeCell ref="K79:K82"/>
    <mergeCell ref="E67:E70"/>
    <mergeCell ref="F67:F70"/>
    <mergeCell ref="G67:G70"/>
    <mergeCell ref="H67:H70"/>
    <mergeCell ref="F72:F75"/>
    <mergeCell ref="E72:E75"/>
    <mergeCell ref="D69:D70"/>
    <mergeCell ref="AE60:AE63"/>
    <mergeCell ref="AG60:AG63"/>
    <mergeCell ref="AF60:AF63"/>
    <mergeCell ref="AJ60:AJ63"/>
    <mergeCell ref="AI60:AI63"/>
    <mergeCell ref="J60:J63"/>
    <mergeCell ref="K60:K63"/>
    <mergeCell ref="U60:U63"/>
    <mergeCell ref="T60:T63"/>
    <mergeCell ref="W60:W63"/>
    <mergeCell ref="Z60:Z63"/>
    <mergeCell ref="Y60:Y63"/>
    <mergeCell ref="L62:L63"/>
    <mergeCell ref="N62:N63"/>
    <mergeCell ref="R62:R63"/>
    <mergeCell ref="AH62:AH63"/>
    <mergeCell ref="Q62:Q63"/>
    <mergeCell ref="S62:S63"/>
    <mergeCell ref="AA62:AA63"/>
    <mergeCell ref="AD62:AD63"/>
    <mergeCell ref="L45:L48"/>
    <mergeCell ref="G50:G53"/>
    <mergeCell ref="F50:F53"/>
    <mergeCell ref="E50:E53"/>
    <mergeCell ref="D50:D53"/>
    <mergeCell ref="C50:C53"/>
    <mergeCell ref="G47:G48"/>
    <mergeCell ref="C45:C48"/>
    <mergeCell ref="D45:D48"/>
    <mergeCell ref="H45:H48"/>
    <mergeCell ref="I45:I48"/>
    <mergeCell ref="J45:J48"/>
    <mergeCell ref="K45:K48"/>
    <mergeCell ref="D40:D43"/>
    <mergeCell ref="E40:E43"/>
    <mergeCell ref="C55:C58"/>
    <mergeCell ref="C60:C63"/>
    <mergeCell ref="D60:D63"/>
    <mergeCell ref="E60:E63"/>
    <mergeCell ref="F60:F63"/>
    <mergeCell ref="H60:H63"/>
    <mergeCell ref="G62:G63"/>
    <mergeCell ref="G30:G33"/>
    <mergeCell ref="F30:F33"/>
    <mergeCell ref="E30:E33"/>
    <mergeCell ref="D30:D33"/>
    <mergeCell ref="C30:C33"/>
    <mergeCell ref="G35:G38"/>
    <mergeCell ref="H35:H38"/>
    <mergeCell ref="I35:I38"/>
    <mergeCell ref="D35:D38"/>
    <mergeCell ref="C35:C38"/>
    <mergeCell ref="F37:F38"/>
    <mergeCell ref="D2:D3"/>
    <mergeCell ref="F5:F8"/>
    <mergeCell ref="D5:D8"/>
    <mergeCell ref="E6:E8"/>
    <mergeCell ref="S15:S18"/>
    <mergeCell ref="U15:U18"/>
    <mergeCell ref="V15:V18"/>
    <mergeCell ref="C15:C18"/>
    <mergeCell ref="D15:D18"/>
    <mergeCell ref="E15:E18"/>
    <mergeCell ref="F15:F18"/>
    <mergeCell ref="G15:G18"/>
    <mergeCell ref="H15:H18"/>
    <mergeCell ref="J15:J18"/>
    <mergeCell ref="K15:K18"/>
    <mergeCell ref="L15:L18"/>
    <mergeCell ref="I15:I18"/>
    <mergeCell ref="F10:F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N6"/>
  <sheetViews>
    <sheetView tabSelected="1" workbookViewId="0">
      <selection activeCell="L22" sqref="L22"/>
    </sheetView>
  </sheetViews>
  <sheetFormatPr baseColWidth="10" defaultRowHeight="16" x14ac:dyDescent="0.2"/>
  <cols>
    <col min="2" max="2" width="17.6640625" bestFit="1" customWidth="1"/>
    <col min="3" max="3" width="19.6640625" customWidth="1"/>
    <col min="4" max="6" width="18.33203125" bestFit="1" customWidth="1"/>
    <col min="7" max="7" width="18" bestFit="1" customWidth="1"/>
    <col min="8" max="8" width="17" bestFit="1" customWidth="1"/>
    <col min="14" max="14" width="19.33203125" bestFit="1" customWidth="1"/>
  </cols>
  <sheetData>
    <row r="1" spans="1:14" x14ac:dyDescent="0.2">
      <c r="B1" s="1496">
        <v>2024</v>
      </c>
      <c r="C1" s="1496"/>
      <c r="D1" s="1496"/>
      <c r="E1" s="1496"/>
      <c r="F1" s="1496"/>
      <c r="G1" s="1496"/>
      <c r="H1" s="1496"/>
      <c r="I1" s="1496"/>
      <c r="J1" s="1496"/>
      <c r="K1" s="1496"/>
      <c r="L1" s="1496"/>
      <c r="M1" s="1496"/>
    </row>
    <row r="2" spans="1:14" x14ac:dyDescent="0.2">
      <c r="B2" t="s">
        <v>44</v>
      </c>
      <c r="C2" t="s">
        <v>45</v>
      </c>
      <c r="D2" t="s">
        <v>46</v>
      </c>
      <c r="E2" t="s">
        <v>48</v>
      </c>
      <c r="F2" t="s">
        <v>49</v>
      </c>
      <c r="G2" t="s">
        <v>50</v>
      </c>
      <c r="H2" t="s">
        <v>51</v>
      </c>
      <c r="I2" t="s">
        <v>52</v>
      </c>
      <c r="J2" t="s">
        <v>53</v>
      </c>
      <c r="K2" t="s">
        <v>54</v>
      </c>
      <c r="L2" t="s">
        <v>55</v>
      </c>
      <c r="M2" t="s">
        <v>56</v>
      </c>
      <c r="N2" s="21" t="s">
        <v>361</v>
      </c>
    </row>
    <row r="3" spans="1:14" x14ac:dyDescent="0.2">
      <c r="A3" t="s">
        <v>43</v>
      </c>
      <c r="B3" s="2">
        <v>1132080794721</v>
      </c>
      <c r="C3" s="4">
        <v>-2366312217119</v>
      </c>
      <c r="D3" s="4">
        <v>-7722196199347</v>
      </c>
      <c r="E3" s="4">
        <v>-2260925083236</v>
      </c>
      <c r="F3" s="1424">
        <v>-15664034734513</v>
      </c>
      <c r="G3" s="1422">
        <v>-13528996535473</v>
      </c>
      <c r="H3" s="1423">
        <v>-8849685402041</v>
      </c>
      <c r="I3" s="4"/>
      <c r="J3" s="4"/>
      <c r="K3" s="4"/>
      <c r="L3" s="4"/>
      <c r="M3" s="4"/>
      <c r="N3" s="4">
        <f>SUM(B3:M3)</f>
        <v>-49260069377008</v>
      </c>
    </row>
    <row r="4" spans="1:14" x14ac:dyDescent="0.2">
      <c r="A4" t="s">
        <v>360</v>
      </c>
      <c r="B4" s="2">
        <v>2480025786630</v>
      </c>
      <c r="C4" s="4">
        <v>-2133619999011</v>
      </c>
      <c r="D4" s="4">
        <v>-5251101879347</v>
      </c>
      <c r="E4" s="4">
        <v>1437671851339</v>
      </c>
      <c r="F4" s="4">
        <v>-9660445963577</v>
      </c>
      <c r="G4" s="4">
        <v>-10462469549044</v>
      </c>
      <c r="H4" s="4">
        <v>-4944941202041</v>
      </c>
      <c r="I4" s="4"/>
      <c r="J4" s="4"/>
      <c r="K4" s="4"/>
      <c r="L4" s="4"/>
      <c r="M4" s="4"/>
      <c r="N4" s="4">
        <f t="shared" ref="N4:N6" si="0">SUM(B4:M4)</f>
        <v>-28534880955051</v>
      </c>
    </row>
    <row r="5" spans="1:14" x14ac:dyDescent="0.2">
      <c r="A5" t="s">
        <v>47</v>
      </c>
      <c r="B5" s="2">
        <v>535714594655</v>
      </c>
      <c r="C5" s="4">
        <v>-3294901162400</v>
      </c>
      <c r="D5" s="4">
        <v>-995761819500</v>
      </c>
      <c r="E5" s="2">
        <v>382058080300</v>
      </c>
      <c r="F5" s="4">
        <v>-1311334202300</v>
      </c>
      <c r="G5" s="1420">
        <v>242922297900</v>
      </c>
      <c r="H5" s="1421">
        <v>369931004520</v>
      </c>
      <c r="I5" s="2"/>
      <c r="J5" s="2"/>
      <c r="K5" s="2"/>
      <c r="L5" s="2"/>
      <c r="M5" s="2"/>
      <c r="N5" s="4">
        <f t="shared" si="0"/>
        <v>-4071371206825</v>
      </c>
    </row>
    <row r="6" spans="1:14" x14ac:dyDescent="0.2">
      <c r="A6" t="s">
        <v>496</v>
      </c>
      <c r="B6" s="2">
        <v>1287982352100</v>
      </c>
      <c r="C6" s="4">
        <v>370677868900</v>
      </c>
      <c r="D6" s="4">
        <v>541365543000</v>
      </c>
      <c r="E6" s="1433">
        <v>1972277210300</v>
      </c>
      <c r="F6" s="1423">
        <v>1635469640820</v>
      </c>
      <c r="G6" s="1422">
        <v>400684699900</v>
      </c>
      <c r="H6" s="1424">
        <v>-148109233480</v>
      </c>
      <c r="N6" s="4">
        <f t="shared" si="0"/>
        <v>6060348081540</v>
      </c>
    </row>
  </sheetData>
  <mergeCells count="1">
    <mergeCell ref="B1:M1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11F7-78AD-5F44-B645-318ED3453B5B}">
  <sheetPr codeName="Sheet13"/>
  <dimension ref="A1:L31"/>
  <sheetViews>
    <sheetView workbookViewId="0">
      <selection activeCell="L30" sqref="L30"/>
    </sheetView>
  </sheetViews>
  <sheetFormatPr baseColWidth="10" defaultRowHeight="16" x14ac:dyDescent="0.2"/>
  <cols>
    <col min="1" max="1" width="18" bestFit="1" customWidth="1"/>
    <col min="2" max="2" width="20.6640625" customWidth="1"/>
    <col min="3" max="10" width="18.33203125" bestFit="1" customWidth="1"/>
    <col min="11" max="11" width="11" customWidth="1"/>
  </cols>
  <sheetData>
    <row r="1" spans="1:12" x14ac:dyDescent="0.2">
      <c r="A1" s="23" t="s">
        <v>399</v>
      </c>
      <c r="B1" s="30">
        <v>45200</v>
      </c>
      <c r="C1" s="30">
        <v>45231</v>
      </c>
      <c r="D1" s="30">
        <v>45261</v>
      </c>
      <c r="E1" s="30">
        <v>45292</v>
      </c>
      <c r="F1" s="30">
        <v>45323</v>
      </c>
      <c r="G1" s="30">
        <v>45352</v>
      </c>
      <c r="H1" s="30">
        <v>45383</v>
      </c>
      <c r="I1" s="30">
        <v>45413</v>
      </c>
      <c r="J1" s="30">
        <v>45444</v>
      </c>
      <c r="K1" s="30">
        <v>45474</v>
      </c>
      <c r="L1" s="30">
        <v>45505</v>
      </c>
    </row>
    <row r="2" spans="1:12" x14ac:dyDescent="0.2">
      <c r="A2" t="s">
        <v>115</v>
      </c>
      <c r="B2" s="5">
        <f>2075673282/14911151552</f>
        <v>0.13920274867849455</v>
      </c>
      <c r="C2" s="24">
        <f>2461715041/18167761943</f>
        <v>0.13549908066406019</v>
      </c>
      <c r="D2" s="25">
        <f>2235254069/15725804633</f>
        <v>0.14213924954335277</v>
      </c>
      <c r="E2" s="26">
        <f>4344729080/17350109294</f>
        <v>0.25041508421520381</v>
      </c>
      <c r="F2" s="32">
        <f>3758619412/14604749840</f>
        <v>0.25735595975124215</v>
      </c>
      <c r="G2" s="5">
        <f>4790666126/22708594656</f>
        <v>0.2109626860918152</v>
      </c>
      <c r="H2" s="5">
        <f>4227851146/17357974145</f>
        <v>0.24356823617103043</v>
      </c>
      <c r="I2" s="5">
        <f>4933926898/19391349135</f>
        <v>0.25443958868723654</v>
      </c>
      <c r="J2" s="5">
        <f>5305751362/18124606963</f>
        <v>0.29273745758080638</v>
      </c>
      <c r="K2" s="5">
        <f>3870278055/15636641832</f>
        <v>0.24751337893278158</v>
      </c>
    </row>
    <row r="3" spans="1:12" x14ac:dyDescent="0.2">
      <c r="A3" t="s">
        <v>400</v>
      </c>
      <c r="B3" s="5">
        <f>2148467105/14911151552</f>
        <v>0.14408458645917463</v>
      </c>
      <c r="C3" s="5">
        <f>3256966718/18167761943</f>
        <v>0.17927176325947525</v>
      </c>
      <c r="D3" s="5">
        <f>2420821124/15725804633</f>
        <v>0.15393941235413794</v>
      </c>
      <c r="E3" s="5">
        <f>1930896875/17350109294</f>
        <v>0.11129018510953941</v>
      </c>
      <c r="F3" s="5">
        <f>1734578728/14604749840</f>
        <v>0.11876812317930123</v>
      </c>
      <c r="G3" s="5">
        <f>3421031752/22708594656</f>
        <v>0.15064920589861799</v>
      </c>
      <c r="H3" s="27">
        <f>2772822657/17357974145</f>
        <v>0.15974344896686674</v>
      </c>
      <c r="I3" s="28">
        <f>2273346672/19391349135</f>
        <v>0.11723509572094556</v>
      </c>
      <c r="J3" s="29">
        <f>1528078554/18124606963</f>
        <v>8.4309610526697526E-2</v>
      </c>
      <c r="K3" s="1425">
        <f>1532971476/15636641832</f>
        <v>9.8037129229551823E-2</v>
      </c>
    </row>
    <row r="4" spans="1:12" x14ac:dyDescent="0.2">
      <c r="A4" t="s">
        <v>116</v>
      </c>
      <c r="B4" s="5">
        <f>2945964000/14911151552</f>
        <v>0.19756783972897549</v>
      </c>
      <c r="C4" s="5">
        <f>3329674118/18167761943</f>
        <v>0.18327376417891234</v>
      </c>
      <c r="D4" s="5">
        <f>2390494065/15725804633</f>
        <v>0.15201092222547644</v>
      </c>
      <c r="E4" s="5">
        <f>2361364640/17350109294</f>
        <v>0.13610085100827607</v>
      </c>
      <c r="F4" s="5">
        <f>2045537372/14604749840</f>
        <v>0.14005973360787125</v>
      </c>
      <c r="G4" s="27">
        <f>3791862054/22708594656</f>
        <v>0.16697915971643473</v>
      </c>
      <c r="H4" s="28">
        <f>2444151123/17357974145</f>
        <v>0.14080854727531916</v>
      </c>
      <c r="I4" s="29">
        <f>2202598955/19391349135</f>
        <v>0.11358667927980659</v>
      </c>
      <c r="J4" s="1411">
        <f>1764038022/18124606963</f>
        <v>9.7328346242274322E-2</v>
      </c>
      <c r="K4" s="31">
        <f>1464346074/15636641832</f>
        <v>9.3648373463620052E-2</v>
      </c>
    </row>
    <row r="5" spans="1:12" x14ac:dyDescent="0.2">
      <c r="A5" t="s">
        <v>401</v>
      </c>
      <c r="B5" s="5">
        <f>589117482/14911151552</f>
        <v>3.9508516826856542E-2</v>
      </c>
      <c r="C5" s="5">
        <f>510645057/18167761943</f>
        <v>2.8107207624258335E-2</v>
      </c>
      <c r="D5" s="5">
        <f>522072872/15725804633</f>
        <v>3.3198483904883953E-2</v>
      </c>
      <c r="E5" s="5">
        <f>417090020/17350109294</f>
        <v>2.4039619170827801E-2</v>
      </c>
      <c r="F5" s="5">
        <f>375312400/14604749840</f>
        <v>2.5697968408338039E-2</v>
      </c>
      <c r="G5" s="5">
        <f>746841704/22708594656</f>
        <v>3.2888063542173961E-2</v>
      </c>
      <c r="H5" s="5">
        <f>420390300/17357974145</f>
        <v>2.4218857367125084E-2</v>
      </c>
      <c r="I5" s="27">
        <f>509678017/19391349135</f>
        <v>2.6283783219604229E-2</v>
      </c>
      <c r="J5" s="28">
        <f>438044800/18124606963</f>
        <v>2.4168513054889134E-2</v>
      </c>
      <c r="K5" s="29">
        <f>363587817/15636641832</f>
        <v>2.3252295531635606E-2</v>
      </c>
    </row>
    <row r="6" spans="1:12" x14ac:dyDescent="0.2">
      <c r="A6" t="s">
        <v>120</v>
      </c>
      <c r="B6" s="5">
        <f>339838593/14911151552</f>
        <v>2.2790901951125177E-2</v>
      </c>
      <c r="C6" s="5">
        <f>417243511/18167761943</f>
        <v>2.2966148076415269E-2</v>
      </c>
      <c r="D6" s="5">
        <f>366808407/15725804633</f>
        <v>2.3325255245144443E-2</v>
      </c>
      <c r="E6" s="5">
        <f>404731320/17350109294</f>
        <v>2.3327306655063197E-2</v>
      </c>
      <c r="F6" s="5">
        <f>406146266/14604749840</f>
        <v>2.7809190191511009E-2</v>
      </c>
      <c r="G6" s="5">
        <f>813571720/22708594656</f>
        <v>3.5826599238057227E-2</v>
      </c>
      <c r="H6" s="5">
        <f>547737660/17357974145</f>
        <v>3.1555390935858546E-2</v>
      </c>
      <c r="I6" s="5">
        <f>681074927/19391349135</f>
        <v>3.5122616908109215E-2</v>
      </c>
      <c r="J6" s="5">
        <f>577979387/18124606963</f>
        <v>3.188920941457659E-2</v>
      </c>
      <c r="K6" s="5">
        <f>594406676/15636641832</f>
        <v>3.8013704117949514E-2</v>
      </c>
    </row>
    <row r="7" spans="1:12" x14ac:dyDescent="0.2">
      <c r="A7" t="s">
        <v>119</v>
      </c>
      <c r="B7" s="5">
        <f>717592996/14911151552</f>
        <v>4.8124586052091384E-2</v>
      </c>
      <c r="C7" s="5">
        <f>1013197971/18167761943</f>
        <v>5.5769003038394778E-2</v>
      </c>
      <c r="D7" s="5">
        <f>948430439/15725804633</f>
        <v>6.0310455403328293E-2</v>
      </c>
      <c r="E7" s="5">
        <f>960833148/17350109294</f>
        <v>5.53790833082691E-2</v>
      </c>
      <c r="F7" s="5">
        <f>711766424/14604749840</f>
        <v>4.8735269812741962E-2</v>
      </c>
      <c r="G7" s="5">
        <f>1090248644/22708594656</f>
        <v>4.8010396967120887E-2</v>
      </c>
      <c r="H7" s="24">
        <f>691793773/17357974145</f>
        <v>3.985452260851953E-2</v>
      </c>
      <c r="I7" s="25">
        <f>910925182/19391349135</f>
        <v>4.6975853802551835E-2</v>
      </c>
      <c r="J7" s="26">
        <f>966620606/18124606963</f>
        <v>5.333194854781028E-2</v>
      </c>
      <c r="K7" s="1412">
        <f>898515766/15636641832</f>
        <v>5.7462195249699317E-2</v>
      </c>
    </row>
    <row r="8" spans="1:12" x14ac:dyDescent="0.2">
      <c r="A8" t="s">
        <v>402</v>
      </c>
      <c r="B8" s="5">
        <f>353353020/14911151552</f>
        <v>2.3697232153247448E-2</v>
      </c>
      <c r="C8" s="5">
        <f>221117824/18167761943</f>
        <v>1.2170889551158845E-2</v>
      </c>
      <c r="D8" s="5">
        <f>162499426/15725804633</f>
        <v>1.0333298027816087E-2</v>
      </c>
      <c r="E8" s="5">
        <f>204953045/17350109294</f>
        <v>1.1812781206564312E-2</v>
      </c>
      <c r="F8" s="5">
        <f>229762300/14604749840</f>
        <v>1.5732025711985766E-2</v>
      </c>
      <c r="G8" s="5">
        <f>368857683/22708594656</f>
        <v>1.624308719177131E-2</v>
      </c>
      <c r="H8" s="24">
        <f>230892284/17357974145</f>
        <v>1.3301799050467475E-2</v>
      </c>
      <c r="I8" s="25">
        <f>381310650/19391349135</f>
        <v>1.9663956713138721E-2</v>
      </c>
      <c r="J8" s="26">
        <f>401784100/18124606963</f>
        <v>2.2167879326719278E-2</v>
      </c>
      <c r="K8" s="1412">
        <f>404745900/15636641832</f>
        <v>2.5884451683973315E-2</v>
      </c>
    </row>
    <row r="9" spans="1:12" x14ac:dyDescent="0.2">
      <c r="A9" t="s">
        <v>404</v>
      </c>
      <c r="B9" s="5">
        <f>311388802/14911151552</f>
        <v>2.088294796777343E-2</v>
      </c>
      <c r="C9" s="5">
        <f>266708902/18167761943</f>
        <v>1.4680338879206988E-2</v>
      </c>
      <c r="D9" s="5">
        <f>219601042/15725804633</f>
        <v>1.3964375567732515E-2</v>
      </c>
      <c r="E9" s="5">
        <f>258345346/17350109294</f>
        <v>1.4890127873104567E-2</v>
      </c>
      <c r="F9" s="5">
        <f>257685300/14604749840</f>
        <v>1.7643937953270687E-2</v>
      </c>
      <c r="G9" s="5">
        <f>399963600/22708594656</f>
        <v>1.7612873278105862E-2</v>
      </c>
      <c r="H9" s="24">
        <f>232425900/17357974145</f>
        <v>1.3390151296368348E-2</v>
      </c>
      <c r="I9" s="25">
        <f>555707672/19391349135</f>
        <v>2.8657504340272404E-2</v>
      </c>
      <c r="J9" s="26">
        <f>620048547/18124606963</f>
        <v>3.4210316850775399E-2</v>
      </c>
      <c r="K9" s="5">
        <f>449305926/15636641832</f>
        <v>2.8734170087627547E-2</v>
      </c>
    </row>
    <row r="10" spans="1:12" x14ac:dyDescent="0.2">
      <c r="A10" t="s">
        <v>121</v>
      </c>
      <c r="B10" s="5">
        <f>638305784/14911151552</f>
        <v>4.2807276270650299E-2</v>
      </c>
      <c r="C10" s="5">
        <f>509177867/18167761943</f>
        <v>2.8026449740893106E-2</v>
      </c>
      <c r="D10" s="5">
        <f>351708931/15725804633</f>
        <v>2.2365083326925748E-2</v>
      </c>
      <c r="E10" s="5">
        <f>365371968/17350109294</f>
        <v>2.1058770397852918E-2</v>
      </c>
      <c r="F10" s="5">
        <f>360736700/14604749840</f>
        <v>2.4699957476300053E-2</v>
      </c>
      <c r="G10" s="5">
        <f>552714500/22708594656</f>
        <v>2.4339441007810818E-2</v>
      </c>
      <c r="H10" s="5">
        <f>567202000/17357974145</f>
        <v>3.2676739535493764E-2</v>
      </c>
      <c r="I10" s="5">
        <f>652271521/19391349135</f>
        <v>3.3637242899345075E-2</v>
      </c>
      <c r="J10" s="5">
        <f>544515203/18124606963</f>
        <v>3.0042869570169779E-2</v>
      </c>
      <c r="K10" s="5">
        <f>522956887/15636641832</f>
        <v>3.3444322164480463E-2</v>
      </c>
    </row>
    <row r="11" spans="1:12" x14ac:dyDescent="0.2">
      <c r="A11" t="s">
        <v>125</v>
      </c>
      <c r="B11" s="5">
        <f>207240482/14911151552</f>
        <v>1.3898355286463659E-2</v>
      </c>
      <c r="C11" s="5">
        <f>127429621/18167761943</f>
        <v>7.0140516701947628E-3</v>
      </c>
      <c r="D11" s="5">
        <f>120404265/15725804633</f>
        <v>7.656477223895829E-3</v>
      </c>
      <c r="E11" s="5">
        <f>108550621/17350109294</f>
        <v>6.2564805305024146E-3</v>
      </c>
      <c r="F11" s="5">
        <f>118926700/14604749840</f>
        <v>8.1430152041549794E-3</v>
      </c>
      <c r="G11" s="5">
        <f>184367100/22708594656</f>
        <v>8.118824735430602E-3</v>
      </c>
      <c r="H11" s="24">
        <f>101327900/17357974145</f>
        <v>5.8375418210418126E-3</v>
      </c>
      <c r="I11" s="25">
        <f>133336200/19391349135</f>
        <v>6.8760661814570544E-3</v>
      </c>
      <c r="J11" s="26">
        <f>146849800/18124606963</f>
        <v>8.1022336263502238E-3</v>
      </c>
      <c r="K11" s="1412">
        <f>134964100/15636641832</f>
        <v>8.6312714360316997E-3</v>
      </c>
    </row>
    <row r="12" spans="1:12" x14ac:dyDescent="0.2">
      <c r="A12" t="s">
        <v>124</v>
      </c>
      <c r="B12" s="5">
        <f>119605663/14911151552</f>
        <v>8.0212224108175967E-3</v>
      </c>
      <c r="C12" s="5">
        <f>92037715/18167761943</f>
        <v>5.0659908077154182E-3</v>
      </c>
      <c r="D12" s="5">
        <f>86512654/15725804633</f>
        <v>5.5013181213288444E-3</v>
      </c>
      <c r="E12" s="5">
        <f>68445564/17350109294</f>
        <v>3.944964428764134E-3</v>
      </c>
      <c r="F12" s="5">
        <f>78870000/14604749840</f>
        <v>5.4002979074648768E-3</v>
      </c>
      <c r="G12" s="5">
        <f>149128413/22708594656</f>
        <v>6.5670472021304811E-3</v>
      </c>
      <c r="H12" s="24">
        <f>99030300/17357974145</f>
        <v>5.7051761439871644E-3</v>
      </c>
      <c r="I12" s="25">
        <f>276238400/19391349135</f>
        <v>1.4245445124878362E-2</v>
      </c>
      <c r="J12" s="26">
        <f>255257800/18124606963</f>
        <v>1.4083494363275811E-2</v>
      </c>
      <c r="K12" s="1412">
        <f>263210817/15636641832</f>
        <v>1.6832950439610736E-2</v>
      </c>
    </row>
    <row r="13" spans="1:12" x14ac:dyDescent="0.2">
      <c r="A13" t="s">
        <v>403</v>
      </c>
      <c r="B13" s="5">
        <f>53815115/14911151552</f>
        <v>3.6090515754151728E-3</v>
      </c>
      <c r="C13" s="5">
        <f>53842003/18167761943</f>
        <v>2.9636013048236361E-3</v>
      </c>
      <c r="D13" s="5">
        <f>39539479/15725804633</f>
        <v>2.5143056220492473E-3</v>
      </c>
      <c r="E13" s="5">
        <f>66765569/17350109294</f>
        <v>3.8481353557287858E-3</v>
      </c>
      <c r="F13" s="5">
        <f>53489200/14604749840</f>
        <v>3.6624523244829506E-3</v>
      </c>
      <c r="G13" s="5">
        <f>76728652/22708594656</f>
        <v>3.3788375354054318E-3</v>
      </c>
      <c r="H13" s="5">
        <f>56387900/17357974145</f>
        <v>3.2485300144454157E-3</v>
      </c>
      <c r="I13" s="5">
        <f>71304950/19391349135</f>
        <v>3.6771526057101235E-3</v>
      </c>
      <c r="J13" s="5">
        <f>87830600/18124606963</f>
        <v>4.8459312899473877E-3</v>
      </c>
      <c r="K13" s="5">
        <f>66198600/15636641832</f>
        <v>4.2335560736913606E-3</v>
      </c>
    </row>
    <row r="14" spans="1:12" x14ac:dyDescent="0.2">
      <c r="A14" t="s">
        <v>122</v>
      </c>
      <c r="B14" s="5">
        <f>1076783976/14911151552</f>
        <v>7.2213334580156774E-2</v>
      </c>
      <c r="C14" s="5">
        <f>1086751936/18167761943</f>
        <v>5.9817601056729126E-2</v>
      </c>
      <c r="D14" s="5">
        <f>841004789/15725804633</f>
        <v>5.3479285074875191E-2</v>
      </c>
      <c r="E14" s="27">
        <f>1092881652/17350109294</f>
        <v>6.298990014880998E-2</v>
      </c>
      <c r="F14" s="27">
        <f>885209160/14604749840</f>
        <v>6.0611045700732114E-2</v>
      </c>
      <c r="G14" s="27">
        <f>1379775477/22708594656</f>
        <v>6.0760055736669712E-2</v>
      </c>
      <c r="H14" s="28">
        <f>858318310/17357974145</f>
        <v>4.9448069390473214E-2</v>
      </c>
      <c r="I14" s="29">
        <f>799397600/19391349135</f>
        <v>4.1224444696173534E-2</v>
      </c>
      <c r="J14" s="1411">
        <f>688534815/18124606963</f>
        <v>3.7988951506953569E-2</v>
      </c>
      <c r="K14" s="31">
        <f>522572600/15636641832</f>
        <v>3.3419746107541337E-2</v>
      </c>
    </row>
    <row r="15" spans="1:12" x14ac:dyDescent="0.2">
      <c r="A15" t="s">
        <v>127</v>
      </c>
      <c r="B15" s="5">
        <f>364050596/14911151552</f>
        <v>2.441465333716434E-2</v>
      </c>
      <c r="C15" s="5">
        <f>515602557/18167761943</f>
        <v>2.8380081080854352E-2</v>
      </c>
      <c r="D15" s="5">
        <f>422909412/15725804633</f>
        <v>2.6892704180779454E-2</v>
      </c>
      <c r="E15" s="5">
        <f>469000395/17350109294</f>
        <v>2.7031552773110732E-2</v>
      </c>
      <c r="F15" s="5">
        <f>503855700/14604749840</f>
        <v>3.4499440628556498E-2</v>
      </c>
      <c r="G15" s="5">
        <f>758065264/22708594656</f>
        <v>3.338230636829418E-2</v>
      </c>
      <c r="H15" s="24">
        <f>560306280/17357974145</f>
        <v>3.227947428193384E-2</v>
      </c>
      <c r="I15" s="25">
        <f>1001589942/19391349135</f>
        <v>5.1651379954383972E-2</v>
      </c>
      <c r="J15" s="26">
        <f>1097304871/18124606963</f>
        <v>6.054227124704354E-2</v>
      </c>
      <c r="K15" s="5">
        <f>598000767/15636641832</f>
        <v>3.8243554685521174E-2</v>
      </c>
    </row>
    <row r="16" spans="1:12" x14ac:dyDescent="0.2">
      <c r="A16" t="s">
        <v>328</v>
      </c>
      <c r="B16" s="5">
        <f>48202551/14911151552</f>
        <v>3.2326511357558228E-3</v>
      </c>
      <c r="C16" s="5">
        <f>50278387/18167761943</f>
        <v>2.76745078220117E-3</v>
      </c>
      <c r="D16" s="5">
        <f>50843166/15725804633</f>
        <v>3.2331042631235261E-3</v>
      </c>
      <c r="E16" s="5">
        <f>49094264/17350109294</f>
        <v>2.8296227515395385E-3</v>
      </c>
      <c r="F16" s="27">
        <f>53751400/14604749840</f>
        <v>3.6804053878953672E-3</v>
      </c>
      <c r="G16" s="27">
        <f>75479643/22708594656</f>
        <v>3.3238359371594571E-3</v>
      </c>
      <c r="H16" s="28">
        <f>49593600/17357974145</f>
        <v>2.8571076086252576E-3</v>
      </c>
      <c r="I16" s="28">
        <f>56703606/19391349135</f>
        <v>2.9241702372143899E-3</v>
      </c>
      <c r="J16" s="28">
        <f>50421300/18124606963</f>
        <v>2.7819251530767663E-3</v>
      </c>
      <c r="K16" s="29">
        <f>31938124/15636641832</f>
        <v>2.0425181022333976E-3</v>
      </c>
    </row>
    <row r="17" spans="1:11" x14ac:dyDescent="0.2">
      <c r="A17" t="s">
        <v>407</v>
      </c>
      <c r="B17" s="5">
        <f>362368243/14911151552</f>
        <v>2.4301828181163939E-2</v>
      </c>
      <c r="C17" s="5">
        <f>696514019/18167761943</f>
        <v>3.8337909819892005E-2</v>
      </c>
      <c r="D17" s="5">
        <f>777890042/15725804633</f>
        <v>4.9465834032277591E-2</v>
      </c>
      <c r="E17" s="5">
        <f>529029910/17350109294</f>
        <v>3.0491445387202758E-2</v>
      </c>
      <c r="F17" s="5">
        <f>456673830/14604749840</f>
        <v>3.1268856707784592E-2</v>
      </c>
      <c r="G17" s="5">
        <f>656473400/22708594656</f>
        <v>2.8908587693098325E-2</v>
      </c>
      <c r="H17" s="5">
        <f>522076348/17357974145</f>
        <v>3.0077032241137724E-2</v>
      </c>
      <c r="I17" s="27">
        <f>738944900/19391349135</f>
        <v>3.8106935977252725E-2</v>
      </c>
      <c r="J17" s="28">
        <f>455506200/18124606963</f>
        <v>2.5131921532416186E-2</v>
      </c>
      <c r="K17" s="29">
        <f>365363440/15636641832</f>
        <v>2.3365850796191596E-2</v>
      </c>
    </row>
    <row r="18" spans="1:11" x14ac:dyDescent="0.2">
      <c r="A18" t="s">
        <v>329</v>
      </c>
      <c r="B18" s="5">
        <f>68420015/14911151552</f>
        <v>4.5885131514757475E-3</v>
      </c>
      <c r="C18" s="5">
        <f>86604581/18167761943</f>
        <v>4.766937241456346E-3</v>
      </c>
      <c r="D18" s="5">
        <f>65618796/15725804633</f>
        <v>4.1726828948581403E-3</v>
      </c>
      <c r="E18" s="5">
        <f>55928304/17350109294</f>
        <v>3.2235130656693371E-3</v>
      </c>
      <c r="F18" s="5">
        <f>97249900/14604749840</f>
        <v>6.6587857419952903E-3</v>
      </c>
      <c r="G18" s="5">
        <f>112849482/22708594656</f>
        <v>4.9694612858917379E-3</v>
      </c>
      <c r="H18" s="5">
        <f>104184000/17357974145</f>
        <v>6.0020829118477758E-3</v>
      </c>
      <c r="I18" s="27">
        <f>229620454/19391349135</f>
        <v>1.1841386197598365E-2</v>
      </c>
      <c r="J18" s="28">
        <f>207620699/18124606963</f>
        <v>1.1455183520604987E-2</v>
      </c>
      <c r="K18" s="29">
        <f>171426900/15636641832</f>
        <v>1.0963153203981375E-2</v>
      </c>
    </row>
    <row r="19" spans="1:11" x14ac:dyDescent="0.2">
      <c r="A19" t="s">
        <v>405</v>
      </c>
      <c r="B19" s="5">
        <f>99442287/14911151552</f>
        <v>6.6689877474058685E-3</v>
      </c>
      <c r="C19" s="5">
        <f>96046794/18167761943</f>
        <v>5.2866607511337753E-3</v>
      </c>
      <c r="D19" s="5">
        <f>99950523/15725804633</f>
        <v>6.3558288642514135E-3</v>
      </c>
      <c r="E19" s="5">
        <f>135462171/17350109294</f>
        <v>7.8075687423390132E-3</v>
      </c>
      <c r="F19" s="5">
        <f>167862119/14604749840</f>
        <v>1.1493666159228099E-2</v>
      </c>
      <c r="G19" s="24">
        <f>187035300/22708594656</f>
        <v>8.2363220988922823E-3</v>
      </c>
      <c r="H19" s="25">
        <f>165411197/17357974145</f>
        <v>9.5294068085501234E-3</v>
      </c>
      <c r="I19" s="26">
        <f>250720803/19391349135</f>
        <v>1.2929518274077529E-2</v>
      </c>
      <c r="J19" s="1412">
        <f>312145094/18124606963</f>
        <v>1.7222171749005116E-2</v>
      </c>
      <c r="K19" s="5">
        <f>240592004/15636641832</f>
        <v>1.5386424181414352E-2</v>
      </c>
    </row>
    <row r="20" spans="1:11" x14ac:dyDescent="0.2">
      <c r="A20" t="s">
        <v>406</v>
      </c>
      <c r="B20" s="5">
        <f>14972700/14911151552</f>
        <v>1.0041276790585462E-3</v>
      </c>
      <c r="C20" s="5">
        <f>19088919/18167761943</f>
        <v>1.0507028361495523E-3</v>
      </c>
      <c r="D20" s="5">
        <f>13020148/15725804633</f>
        <v>8.2794796856866179E-4</v>
      </c>
      <c r="E20" s="5">
        <f>16433527/17350109294</f>
        <v>9.4717138212397473E-4</v>
      </c>
      <c r="F20" s="5">
        <f>13150600/14604749840</f>
        <v>9.0043308814387747E-4</v>
      </c>
      <c r="G20" s="5">
        <f>25528300/22708594656</f>
        <v>1.1241690816501048E-3</v>
      </c>
      <c r="H20" s="24">
        <f>13018800/17357974145</f>
        <v>7.5001840026072927E-4</v>
      </c>
      <c r="I20" s="25">
        <f>35520500/19391349135</f>
        <v>1.8317704329240318E-3</v>
      </c>
      <c r="J20" s="26">
        <f>39692700/18124606963</f>
        <v>2.1899895584510942E-3</v>
      </c>
      <c r="K20" s="1412">
        <f>42544400/15636641832</f>
        <v>2.7208143831071157E-3</v>
      </c>
    </row>
    <row r="21" spans="1:11" x14ac:dyDescent="0.2">
      <c r="A21" t="s">
        <v>408</v>
      </c>
      <c r="B21" s="5">
        <f>29075922/14911151552</f>
        <v>1.9499447711065689E-3</v>
      </c>
      <c r="C21" s="5">
        <f>32316871/18167761943</f>
        <v>1.7788030854538812E-3</v>
      </c>
      <c r="D21" s="5">
        <f>32532500/15725804633</f>
        <v>2.0687335725722926E-3</v>
      </c>
      <c r="E21" s="5">
        <f>21715300/17350109294</f>
        <v>1.2515944212241686E-3</v>
      </c>
      <c r="F21" s="5">
        <f>15699000/14604749840</f>
        <v>1.0749242658715749E-3</v>
      </c>
      <c r="G21" s="24">
        <f>22427220/22708594656</f>
        <v>9.8760933204971994E-4</v>
      </c>
      <c r="H21" s="25">
        <f>23988900/17357974145</f>
        <v>1.3820103544116668E-3</v>
      </c>
      <c r="I21" s="26">
        <f>34107300/19391349135</f>
        <v>1.7588925743407282E-3</v>
      </c>
      <c r="J21" s="1412">
        <f>149281031/18124606963</f>
        <v>8.2363734179033959E-3</v>
      </c>
      <c r="K21" s="32">
        <f>161045270/15636641832</f>
        <v>1.0299223562851255E-2</v>
      </c>
    </row>
    <row r="22" spans="1:11" x14ac:dyDescent="0.2">
      <c r="A22" t="s">
        <v>410</v>
      </c>
      <c r="F22" s="5"/>
      <c r="J22" s="5"/>
    </row>
    <row r="23" spans="1:11" x14ac:dyDescent="0.2">
      <c r="A23" t="s">
        <v>411</v>
      </c>
      <c r="F23" s="5"/>
      <c r="J23" s="5"/>
    </row>
    <row r="24" spans="1:11" x14ac:dyDescent="0.2">
      <c r="A24" t="s">
        <v>412</v>
      </c>
      <c r="F24" s="5"/>
      <c r="J24" s="5"/>
    </row>
    <row r="25" spans="1:11" x14ac:dyDescent="0.2">
      <c r="A25" t="s">
        <v>409</v>
      </c>
      <c r="B25" s="5">
        <f>324806382/14911151552</f>
        <v>2.1782783232220212E-2</v>
      </c>
      <c r="C25" s="5">
        <f>373284094/18167761943</f>
        <v>2.0546509535470082E-2</v>
      </c>
      <c r="D25" s="5">
        <f>287313006/15725804633</f>
        <v>1.8270162494393744E-2</v>
      </c>
      <c r="E25" s="5">
        <f>339349338/17350109294</f>
        <v>1.9558916445405534E-2</v>
      </c>
      <c r="F25" s="5">
        <f>465489400/14604749840</f>
        <v>3.1872466498885269E-2</v>
      </c>
      <c r="G25" s="5">
        <f>585092400/22708594656</f>
        <v>2.5765240379831633E-2</v>
      </c>
      <c r="H25" s="5">
        <f>451554278/17357974145</f>
        <v>2.6014226903896567E-2</v>
      </c>
      <c r="I25" s="5">
        <f>492000172/19391349135</f>
        <v>2.5372147578528965E-2</v>
      </c>
      <c r="J25" s="5">
        <f>441269511/18124606963</f>
        <v>2.4346432002681107E-2</v>
      </c>
      <c r="K25" s="5">
        <f>533665400/15636641832</f>
        <v>3.4129156741818246E-2</v>
      </c>
    </row>
    <row r="31" spans="1:11" x14ac:dyDescent="0.2">
      <c r="B31" s="8"/>
      <c r="C31" s="8"/>
      <c r="D31" s="8"/>
      <c r="E31" s="8"/>
      <c r="F31" s="8"/>
      <c r="G31" s="8"/>
      <c r="H31" s="8"/>
      <c r="I31" s="8"/>
      <c r="J31" s="8"/>
      <c r="K3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VN30</vt:lpstr>
      <vt:lpstr>Intraday</vt:lpstr>
      <vt:lpstr>MoneyFlow</vt:lpstr>
      <vt:lpstr>NN_Mua</vt:lpstr>
      <vt:lpstr>NN_Ban</vt:lpstr>
      <vt:lpstr>TD_Mua</vt:lpstr>
      <vt:lpstr>TD_Ban</vt:lpstr>
      <vt:lpstr>Top_NN_Mua</vt:lpstr>
      <vt:lpstr>Top_NN_Ban</vt:lpstr>
      <vt:lpstr>Top_TD_Mua</vt:lpstr>
      <vt:lpstr>Top_TD_Ban</vt:lpstr>
      <vt:lpstr>2024</vt:lpstr>
      <vt:lpstr>Ty_Trong_Nganh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2024-08-12T10:31:03Z</dcterms:modified>
</cp:coreProperties>
</file>