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B791B73C-D3D1-674E-9C98-46AF8766C237}" xr6:coauthVersionLast="47" xr6:coauthVersionMax="47" xr10:uidLastSave="{00000000-0000-0000-0000-000000000000}"/>
  <bookViews>
    <workbookView xWindow="0" yWindow="760" windowWidth="30240" windowHeight="16800" xr2:uid="{4F6761C8-C7AD-6642-9EED-09E5A9408C33}"/>
  </bookViews>
  <sheets>
    <sheet name="Intraday" sheetId="1" r:id="rId1"/>
    <sheet name="MoneyFlow" sheetId="14" r:id="rId2"/>
    <sheet name="Statistic_F_Buy" sheetId="15" r:id="rId3"/>
    <sheet name="Statistic_F_Sell" sheetId="16" r:id="rId4"/>
    <sheet name="Statistic_P_Buy" sheetId="18" r:id="rId5"/>
    <sheet name="Statistic_P_Sell" sheetId="17" r:id="rId6"/>
    <sheet name="Foreign_Intraday" sheetId="22" r:id="rId7"/>
    <sheet name="Proprietary_Intraday" sheetId="23" r:id="rId8"/>
    <sheet name="2024" sheetId="12" r:id="rId9"/>
    <sheet name="Template" sheetId="13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1" l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3" i="1"/>
  <c r="N4" i="12"/>
  <c r="N5" i="12"/>
  <c r="N3" i="12"/>
  <c r="AB3" i="1"/>
  <c r="R3" i="1"/>
  <c r="P3" i="1"/>
  <c r="H6" i="1"/>
  <c r="H5" i="1" s="1"/>
  <c r="H4" i="1" s="1"/>
  <c r="H3" i="1" s="1"/>
  <c r="C3" i="1"/>
  <c r="T37" i="13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W122" i="1"/>
  <c r="R122" i="1"/>
  <c r="P122" i="1"/>
  <c r="H122" i="1"/>
  <c r="C122" i="1"/>
  <c r="W121" i="1"/>
  <c r="R121" i="1"/>
  <c r="P121" i="1"/>
  <c r="H121" i="1"/>
  <c r="C121" i="1"/>
  <c r="W120" i="1"/>
  <c r="R120" i="1"/>
  <c r="P120" i="1"/>
  <c r="H120" i="1"/>
  <c r="C120" i="1"/>
  <c r="W119" i="1"/>
  <c r="R119" i="1"/>
  <c r="P119" i="1"/>
  <c r="H119" i="1"/>
  <c r="C119" i="1"/>
  <c r="W118" i="1"/>
  <c r="R118" i="1"/>
  <c r="P118" i="1"/>
  <c r="H118" i="1"/>
  <c r="C118" i="1"/>
  <c r="W117" i="1"/>
  <c r="R117" i="1"/>
  <c r="P117" i="1"/>
  <c r="H117" i="1"/>
  <c r="C117" i="1"/>
  <c r="W116" i="1"/>
  <c r="R116" i="1"/>
  <c r="P116" i="1"/>
  <c r="H116" i="1"/>
  <c r="C116" i="1"/>
  <c r="W115" i="1"/>
  <c r="R115" i="1"/>
  <c r="P115" i="1"/>
  <c r="H115" i="1"/>
  <c r="C115" i="1"/>
  <c r="W114" i="1"/>
  <c r="R114" i="1"/>
  <c r="P114" i="1"/>
  <c r="H114" i="1"/>
  <c r="C114" i="1"/>
  <c r="W113" i="1"/>
  <c r="R113" i="1"/>
  <c r="P113" i="1"/>
  <c r="H113" i="1"/>
  <c r="C113" i="1"/>
  <c r="W112" i="1"/>
  <c r="W111" i="1" s="1"/>
  <c r="W110" i="1" s="1"/>
  <c r="W109" i="1" s="1"/>
  <c r="W108" i="1" s="1"/>
  <c r="W107" i="1" s="1"/>
  <c r="W106" i="1" s="1"/>
  <c r="W105" i="1" s="1"/>
  <c r="W104" i="1" s="1"/>
  <c r="W103" i="1" s="1"/>
  <c r="W102" i="1" s="1"/>
  <c r="W101" i="1" s="1"/>
  <c r="W100" i="1" s="1"/>
  <c r="W99" i="1" s="1"/>
  <c r="W98" i="1" s="1"/>
  <c r="W97" i="1" s="1"/>
  <c r="W96" i="1" s="1"/>
  <c r="W95" i="1" s="1"/>
  <c r="W94" i="1" s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W66" i="1" s="1"/>
  <c r="W65" i="1" s="1"/>
  <c r="W64" i="1" s="1"/>
  <c r="W63" i="1" s="1"/>
  <c r="W62" i="1" s="1"/>
  <c r="W61" i="1" s="1"/>
  <c r="W60" i="1" s="1"/>
  <c r="W59" i="1" s="1"/>
  <c r="W58" i="1" s="1"/>
  <c r="W57" i="1" s="1"/>
  <c r="W56" i="1" s="1"/>
  <c r="W55" i="1" s="1"/>
  <c r="W54" i="1" s="1"/>
  <c r="W53" i="1" s="1"/>
  <c r="W52" i="1" s="1"/>
  <c r="W51" i="1" s="1"/>
  <c r="W50" i="1" s="1"/>
  <c r="W49" i="1" s="1"/>
  <c r="W48" i="1" s="1"/>
  <c r="W47" i="1" s="1"/>
  <c r="W46" i="1" s="1"/>
  <c r="W45" i="1" s="1"/>
  <c r="W44" i="1" s="1"/>
  <c r="W43" i="1" s="1"/>
  <c r="W42" i="1" s="1"/>
  <c r="W41" i="1" s="1"/>
  <c r="W40" i="1" s="1"/>
  <c r="W39" i="1" s="1"/>
  <c r="W38" i="1" s="1"/>
  <c r="W37" i="1" s="1"/>
  <c r="W36" i="1" s="1"/>
  <c r="W35" i="1" s="1"/>
  <c r="W34" i="1" s="1"/>
  <c r="W33" i="1" s="1"/>
  <c r="W32" i="1" s="1"/>
  <c r="W31" i="1" s="1"/>
  <c r="W30" i="1" s="1"/>
  <c r="W29" i="1" s="1"/>
  <c r="W28" i="1" s="1"/>
  <c r="W27" i="1" s="1"/>
  <c r="W26" i="1" s="1"/>
  <c r="W25" i="1" s="1"/>
  <c r="W24" i="1" s="1"/>
  <c r="W23" i="1" s="1"/>
  <c r="W22" i="1" s="1"/>
  <c r="W21" i="1" s="1"/>
  <c r="W20" i="1" s="1"/>
  <c r="W19" i="1" s="1"/>
  <c r="W18" i="1" s="1"/>
  <c r="W17" i="1" s="1"/>
  <c r="W16" i="1" s="1"/>
  <c r="W15" i="1" s="1"/>
  <c r="W14" i="1" s="1"/>
  <c r="W13" i="1" s="1"/>
  <c r="W12" i="1" s="1"/>
  <c r="W11" i="1" s="1"/>
  <c r="W10" i="1" s="1"/>
  <c r="W9" i="1" s="1"/>
  <c r="W8" i="1" s="1"/>
  <c r="W7" i="1" s="1"/>
  <c r="W6" i="1" s="1"/>
  <c r="W5" i="1" s="1"/>
  <c r="W4" i="1" s="1"/>
  <c r="W3" i="1" s="1"/>
  <c r="R112" i="1"/>
  <c r="P112" i="1"/>
  <c r="H112" i="1"/>
  <c r="C112" i="1"/>
  <c r="R111" i="1"/>
  <c r="P111" i="1"/>
  <c r="H111" i="1"/>
  <c r="C111" i="1"/>
  <c r="R110" i="1"/>
  <c r="P110" i="1"/>
  <c r="H110" i="1"/>
  <c r="C110" i="1"/>
  <c r="R109" i="1"/>
  <c r="P109" i="1"/>
  <c r="H109" i="1"/>
  <c r="C109" i="1"/>
  <c r="AB108" i="1"/>
  <c r="R108" i="1"/>
  <c r="P108" i="1"/>
  <c r="H108" i="1"/>
  <c r="C108" i="1"/>
  <c r="AB107" i="1"/>
  <c r="R107" i="1"/>
  <c r="P107" i="1"/>
  <c r="H107" i="1"/>
  <c r="C107" i="1"/>
  <c r="AB106" i="1"/>
  <c r="R106" i="1"/>
  <c r="P106" i="1"/>
  <c r="H106" i="1"/>
  <c r="C106" i="1"/>
  <c r="AB105" i="1"/>
  <c r="R105" i="1"/>
  <c r="P105" i="1"/>
  <c r="H105" i="1"/>
  <c r="C105" i="1"/>
  <c r="AB104" i="1"/>
  <c r="R104" i="1"/>
  <c r="P104" i="1"/>
  <c r="H104" i="1"/>
  <c r="C104" i="1"/>
  <c r="AB103" i="1"/>
  <c r="R103" i="1"/>
  <c r="P103" i="1"/>
  <c r="H103" i="1"/>
  <c r="C103" i="1"/>
  <c r="AB102" i="1"/>
  <c r="R102" i="1"/>
  <c r="P102" i="1"/>
  <c r="H102" i="1"/>
  <c r="C102" i="1"/>
  <c r="AB101" i="1"/>
  <c r="R101" i="1"/>
  <c r="P101" i="1"/>
  <c r="H101" i="1"/>
  <c r="C101" i="1"/>
  <c r="AB100" i="1"/>
  <c r="R100" i="1"/>
  <c r="P100" i="1"/>
  <c r="H100" i="1"/>
  <c r="C100" i="1"/>
  <c r="AB99" i="1"/>
  <c r="R99" i="1"/>
  <c r="P99" i="1"/>
  <c r="H99" i="1"/>
  <c r="C99" i="1"/>
  <c r="AB98" i="1"/>
  <c r="R98" i="1"/>
  <c r="P98" i="1"/>
  <c r="H98" i="1"/>
  <c r="C98" i="1"/>
  <c r="AB97" i="1"/>
  <c r="R97" i="1"/>
  <c r="P97" i="1"/>
  <c r="H97" i="1"/>
  <c r="C97" i="1"/>
  <c r="AB96" i="1"/>
  <c r="R96" i="1"/>
  <c r="P96" i="1"/>
  <c r="H96" i="1"/>
  <c r="C96" i="1"/>
  <c r="AB95" i="1"/>
  <c r="R95" i="1"/>
  <c r="P95" i="1"/>
  <c r="H95" i="1"/>
  <c r="C95" i="1"/>
  <c r="AB94" i="1"/>
  <c r="R94" i="1"/>
  <c r="P94" i="1"/>
  <c r="H94" i="1"/>
  <c r="C94" i="1"/>
  <c r="AB93" i="1"/>
  <c r="R93" i="1"/>
  <c r="P93" i="1"/>
  <c r="H93" i="1"/>
  <c r="C93" i="1"/>
  <c r="AB92" i="1"/>
  <c r="R92" i="1"/>
  <c r="P92" i="1"/>
  <c r="H92" i="1"/>
  <c r="C92" i="1"/>
  <c r="AB91" i="1"/>
  <c r="R91" i="1"/>
  <c r="P91" i="1"/>
  <c r="H91" i="1"/>
  <c r="C91" i="1"/>
  <c r="AB90" i="1"/>
  <c r="R90" i="1"/>
  <c r="P90" i="1"/>
  <c r="H90" i="1"/>
  <c r="C90" i="1"/>
  <c r="AB89" i="1"/>
  <c r="R89" i="1"/>
  <c r="P89" i="1"/>
  <c r="H89" i="1"/>
  <c r="C89" i="1"/>
  <c r="AB88" i="1"/>
  <c r="R88" i="1"/>
  <c r="P88" i="1"/>
  <c r="H88" i="1"/>
  <c r="C88" i="1"/>
  <c r="AB87" i="1"/>
  <c r="R87" i="1"/>
  <c r="P87" i="1"/>
  <c r="H87" i="1"/>
  <c r="C87" i="1"/>
  <c r="AB86" i="1"/>
  <c r="R86" i="1"/>
  <c r="P86" i="1"/>
  <c r="H86" i="1"/>
  <c r="C86" i="1"/>
  <c r="AB85" i="1"/>
  <c r="R85" i="1"/>
  <c r="P85" i="1"/>
  <c r="H85" i="1"/>
  <c r="C85" i="1"/>
  <c r="AB84" i="1"/>
  <c r="R84" i="1"/>
  <c r="P84" i="1"/>
  <c r="H84" i="1"/>
  <c r="C84" i="1"/>
  <c r="AB83" i="1"/>
  <c r="R83" i="1"/>
  <c r="P83" i="1"/>
  <c r="H83" i="1"/>
  <c r="C83" i="1"/>
  <c r="AB82" i="1"/>
  <c r="R82" i="1"/>
  <c r="P82" i="1"/>
  <c r="H82" i="1"/>
  <c r="C82" i="1"/>
  <c r="AB81" i="1"/>
  <c r="R81" i="1"/>
  <c r="P81" i="1"/>
  <c r="H81" i="1"/>
  <c r="C81" i="1"/>
  <c r="AB80" i="1"/>
  <c r="R80" i="1"/>
  <c r="P80" i="1"/>
  <c r="H80" i="1"/>
  <c r="C80" i="1"/>
  <c r="AB79" i="1"/>
  <c r="R79" i="1"/>
  <c r="P79" i="1"/>
  <c r="H79" i="1"/>
  <c r="C79" i="1"/>
  <c r="AB78" i="1"/>
  <c r="R78" i="1"/>
  <c r="P78" i="1"/>
  <c r="H78" i="1"/>
  <c r="C78" i="1"/>
  <c r="AB77" i="1"/>
  <c r="R77" i="1"/>
  <c r="P77" i="1"/>
  <c r="H77" i="1"/>
  <c r="C77" i="1"/>
  <c r="AB76" i="1"/>
  <c r="R76" i="1"/>
  <c r="P76" i="1"/>
  <c r="H76" i="1"/>
  <c r="C76" i="1"/>
  <c r="AB75" i="1"/>
  <c r="R75" i="1"/>
  <c r="P75" i="1"/>
  <c r="H75" i="1"/>
  <c r="C75" i="1"/>
  <c r="AB74" i="1"/>
  <c r="R74" i="1"/>
  <c r="P74" i="1"/>
  <c r="H74" i="1"/>
  <c r="C74" i="1"/>
  <c r="AB73" i="1"/>
  <c r="R73" i="1"/>
  <c r="P73" i="1"/>
  <c r="H73" i="1"/>
  <c r="C73" i="1"/>
  <c r="AB72" i="1"/>
  <c r="R72" i="1"/>
  <c r="P72" i="1"/>
  <c r="H72" i="1"/>
  <c r="C72" i="1"/>
  <c r="AB71" i="1"/>
  <c r="R71" i="1"/>
  <c r="P71" i="1"/>
  <c r="H71" i="1"/>
  <c r="C71" i="1"/>
  <c r="AB70" i="1"/>
  <c r="R70" i="1"/>
  <c r="P70" i="1"/>
  <c r="H70" i="1"/>
  <c r="C70" i="1"/>
  <c r="AB69" i="1"/>
  <c r="R69" i="1"/>
  <c r="P69" i="1"/>
  <c r="H69" i="1"/>
  <c r="C69" i="1"/>
  <c r="AB68" i="1"/>
  <c r="R68" i="1"/>
  <c r="P68" i="1"/>
  <c r="H68" i="1"/>
  <c r="C68" i="1"/>
  <c r="AB67" i="1"/>
  <c r="R67" i="1"/>
  <c r="P67" i="1"/>
  <c r="H67" i="1"/>
  <c r="C67" i="1"/>
  <c r="AB66" i="1"/>
  <c r="R66" i="1"/>
  <c r="P66" i="1"/>
  <c r="H66" i="1"/>
  <c r="C66" i="1"/>
  <c r="AB65" i="1"/>
  <c r="R65" i="1"/>
  <c r="P65" i="1"/>
  <c r="H65" i="1"/>
  <c r="C65" i="1"/>
  <c r="AB64" i="1"/>
  <c r="R64" i="1"/>
  <c r="P64" i="1"/>
  <c r="H64" i="1"/>
  <c r="C64" i="1"/>
  <c r="AB63" i="1"/>
  <c r="R63" i="1"/>
  <c r="P63" i="1"/>
  <c r="H63" i="1"/>
  <c r="C63" i="1"/>
  <c r="AB62" i="1"/>
  <c r="R62" i="1"/>
  <c r="P62" i="1"/>
  <c r="H62" i="1"/>
  <c r="C62" i="1"/>
  <c r="AB61" i="1"/>
  <c r="R61" i="1"/>
  <c r="P61" i="1"/>
  <c r="H61" i="1"/>
  <c r="C61" i="1"/>
  <c r="AB60" i="1"/>
  <c r="R60" i="1"/>
  <c r="P60" i="1"/>
  <c r="H60" i="1"/>
  <c r="C60" i="1"/>
  <c r="AB59" i="1"/>
  <c r="R59" i="1"/>
  <c r="P59" i="1"/>
  <c r="H59" i="1"/>
  <c r="C59" i="1"/>
  <c r="AB58" i="1"/>
  <c r="R58" i="1"/>
  <c r="P58" i="1"/>
  <c r="H58" i="1"/>
  <c r="C58" i="1"/>
  <c r="AB57" i="1"/>
  <c r="R57" i="1"/>
  <c r="P57" i="1"/>
  <c r="H57" i="1"/>
  <c r="C57" i="1"/>
  <c r="AB56" i="1"/>
  <c r="R56" i="1"/>
  <c r="P56" i="1"/>
  <c r="H56" i="1"/>
  <c r="C56" i="1"/>
  <c r="AB55" i="1"/>
  <c r="R55" i="1"/>
  <c r="P55" i="1"/>
  <c r="H55" i="1"/>
  <c r="C55" i="1"/>
  <c r="AB54" i="1"/>
  <c r="R54" i="1"/>
  <c r="P54" i="1"/>
  <c r="H54" i="1"/>
  <c r="C54" i="1"/>
  <c r="AB53" i="1"/>
  <c r="R53" i="1"/>
  <c r="P53" i="1"/>
  <c r="H53" i="1"/>
  <c r="C53" i="1"/>
  <c r="AB52" i="1"/>
  <c r="R52" i="1"/>
  <c r="P52" i="1"/>
  <c r="H52" i="1"/>
  <c r="C52" i="1"/>
  <c r="AB51" i="1"/>
  <c r="R51" i="1"/>
  <c r="P51" i="1"/>
  <c r="H51" i="1"/>
  <c r="C51" i="1"/>
  <c r="AB50" i="1"/>
  <c r="R50" i="1"/>
  <c r="P50" i="1"/>
  <c r="H50" i="1"/>
  <c r="C50" i="1"/>
  <c r="AB49" i="1"/>
  <c r="R49" i="1"/>
  <c r="P49" i="1"/>
  <c r="H49" i="1"/>
  <c r="C49" i="1"/>
  <c r="AB48" i="1"/>
  <c r="R48" i="1"/>
  <c r="P48" i="1"/>
  <c r="H48" i="1"/>
  <c r="C48" i="1"/>
  <c r="AB47" i="1"/>
  <c r="R47" i="1"/>
  <c r="P47" i="1"/>
  <c r="H47" i="1"/>
  <c r="C47" i="1"/>
  <c r="AB46" i="1"/>
  <c r="R46" i="1"/>
  <c r="P46" i="1"/>
  <c r="H46" i="1"/>
  <c r="C46" i="1"/>
  <c r="AB45" i="1"/>
  <c r="R45" i="1"/>
  <c r="P45" i="1"/>
  <c r="H45" i="1"/>
  <c r="C45" i="1"/>
  <c r="AB44" i="1"/>
  <c r="R44" i="1"/>
  <c r="P44" i="1"/>
  <c r="H44" i="1"/>
  <c r="C44" i="1"/>
  <c r="AB43" i="1"/>
  <c r="R43" i="1"/>
  <c r="P43" i="1"/>
  <c r="H43" i="1"/>
  <c r="C43" i="1"/>
  <c r="AB42" i="1"/>
  <c r="R42" i="1"/>
  <c r="P42" i="1"/>
  <c r="H42" i="1"/>
  <c r="C42" i="1"/>
  <c r="AB41" i="1"/>
  <c r="R41" i="1"/>
  <c r="P41" i="1"/>
  <c r="H41" i="1"/>
  <c r="C41" i="1"/>
  <c r="AB40" i="1"/>
  <c r="R40" i="1"/>
  <c r="P40" i="1"/>
  <c r="H40" i="1"/>
  <c r="C40" i="1"/>
  <c r="AB39" i="1"/>
  <c r="R39" i="1"/>
  <c r="P39" i="1"/>
  <c r="H39" i="1"/>
  <c r="C39" i="1"/>
  <c r="AB38" i="1"/>
  <c r="R38" i="1"/>
  <c r="P38" i="1"/>
  <c r="H38" i="1"/>
  <c r="C38" i="1"/>
  <c r="AB37" i="1"/>
  <c r="R37" i="1"/>
  <c r="P37" i="1"/>
  <c r="H37" i="1"/>
  <c r="C37" i="1"/>
  <c r="AB36" i="1"/>
  <c r="R36" i="1"/>
  <c r="P36" i="1"/>
  <c r="H36" i="1"/>
  <c r="C36" i="1"/>
  <c r="AB35" i="1"/>
  <c r="R35" i="1"/>
  <c r="P35" i="1"/>
  <c r="H35" i="1"/>
  <c r="C35" i="1"/>
  <c r="AB34" i="1"/>
  <c r="R34" i="1"/>
  <c r="P34" i="1"/>
  <c r="H34" i="1"/>
  <c r="C34" i="1"/>
  <c r="AB33" i="1"/>
  <c r="R33" i="1"/>
  <c r="P33" i="1"/>
  <c r="H33" i="1"/>
  <c r="C33" i="1"/>
  <c r="AB32" i="1"/>
  <c r="R32" i="1"/>
  <c r="P32" i="1"/>
  <c r="H32" i="1"/>
  <c r="C32" i="1"/>
  <c r="AB31" i="1"/>
  <c r="R31" i="1"/>
  <c r="P31" i="1"/>
  <c r="H31" i="1"/>
  <c r="C31" i="1"/>
  <c r="AB30" i="1"/>
  <c r="R30" i="1"/>
  <c r="P30" i="1"/>
  <c r="H30" i="1"/>
  <c r="C30" i="1"/>
  <c r="AB29" i="1"/>
  <c r="R29" i="1"/>
  <c r="P29" i="1"/>
  <c r="H29" i="1"/>
  <c r="C29" i="1"/>
  <c r="AB28" i="1"/>
  <c r="R28" i="1"/>
  <c r="P28" i="1"/>
  <c r="H28" i="1"/>
  <c r="C28" i="1"/>
  <c r="AB27" i="1"/>
  <c r="R27" i="1"/>
  <c r="P27" i="1"/>
  <c r="H27" i="1"/>
  <c r="C27" i="1"/>
  <c r="AB26" i="1"/>
  <c r="R26" i="1"/>
  <c r="P26" i="1"/>
  <c r="H26" i="1"/>
  <c r="C26" i="1"/>
  <c r="AB25" i="1"/>
  <c r="R25" i="1"/>
  <c r="P25" i="1"/>
  <c r="H25" i="1"/>
  <c r="C25" i="1"/>
  <c r="AB24" i="1"/>
  <c r="R24" i="1"/>
  <c r="P24" i="1"/>
  <c r="H24" i="1"/>
  <c r="C24" i="1"/>
  <c r="AB23" i="1"/>
  <c r="R23" i="1"/>
  <c r="P23" i="1"/>
  <c r="H23" i="1"/>
  <c r="C23" i="1"/>
  <c r="AB22" i="1"/>
  <c r="R22" i="1"/>
  <c r="P22" i="1"/>
  <c r="H22" i="1"/>
  <c r="C22" i="1"/>
  <c r="AB21" i="1"/>
  <c r="R21" i="1"/>
  <c r="P21" i="1"/>
  <c r="H21" i="1"/>
  <c r="C21" i="1"/>
  <c r="AB20" i="1"/>
  <c r="R20" i="1"/>
  <c r="P20" i="1"/>
  <c r="H20" i="1"/>
  <c r="C20" i="1"/>
  <c r="AB19" i="1"/>
  <c r="R19" i="1"/>
  <c r="P19" i="1"/>
  <c r="H19" i="1"/>
  <c r="C19" i="1"/>
  <c r="AB18" i="1"/>
  <c r="R18" i="1"/>
  <c r="P18" i="1"/>
  <c r="H18" i="1"/>
  <c r="C18" i="1"/>
  <c r="AB17" i="1"/>
  <c r="R17" i="1"/>
  <c r="P17" i="1"/>
  <c r="H17" i="1"/>
  <c r="C17" i="1"/>
  <c r="AB16" i="1"/>
  <c r="R16" i="1"/>
  <c r="P16" i="1"/>
  <c r="H16" i="1"/>
  <c r="C16" i="1"/>
  <c r="AB15" i="1"/>
  <c r="R15" i="1"/>
  <c r="P15" i="1"/>
  <c r="H15" i="1"/>
  <c r="C15" i="1"/>
  <c r="AB14" i="1"/>
  <c r="R14" i="1"/>
  <c r="P14" i="1"/>
  <c r="H14" i="1"/>
  <c r="C14" i="1"/>
  <c r="AB13" i="1"/>
  <c r="R13" i="1"/>
  <c r="P13" i="1"/>
  <c r="H13" i="1"/>
  <c r="C13" i="1"/>
  <c r="AB12" i="1"/>
  <c r="R12" i="1"/>
  <c r="P12" i="1"/>
  <c r="H12" i="1"/>
  <c r="C12" i="1"/>
  <c r="AB11" i="1"/>
  <c r="R11" i="1"/>
  <c r="P11" i="1"/>
  <c r="H11" i="1"/>
  <c r="C11" i="1"/>
  <c r="AB10" i="1"/>
  <c r="R10" i="1"/>
  <c r="P10" i="1"/>
  <c r="H10" i="1"/>
  <c r="C10" i="1"/>
  <c r="AB9" i="1"/>
  <c r="R9" i="1"/>
  <c r="P9" i="1"/>
  <c r="H9" i="1"/>
  <c r="C9" i="1"/>
  <c r="AB8" i="1"/>
  <c r="R8" i="1"/>
  <c r="P8" i="1"/>
  <c r="H8" i="1"/>
  <c r="C8" i="1"/>
  <c r="AB7" i="1"/>
  <c r="R7" i="1"/>
  <c r="P7" i="1"/>
  <c r="H7" i="1"/>
  <c r="C7" i="1"/>
  <c r="AB6" i="1"/>
  <c r="R6" i="1"/>
  <c r="P6" i="1"/>
  <c r="C6" i="1"/>
  <c r="AB5" i="1"/>
  <c r="R5" i="1"/>
  <c r="P5" i="1"/>
  <c r="C5" i="1"/>
  <c r="AB4" i="1"/>
  <c r="R4" i="1"/>
  <c r="P4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tc={006943C3-A722-4E44-AC5A-244E0B17B415}</author>
    <author>tc={E052B674-5053-6149-979A-5F5C7B7D9F5D}</author>
    <author>tc={5E26DE02-5100-6644-855A-E9C54B3B21FB}</author>
  </authors>
  <commentList>
    <comment ref="A13" authorId="0" shapeId="0" xr:uid="{006943C3-A722-4E44-AC5A-244E0B17B415}">
      <text>
        <t>[Threaded comment]
Your version of Excel allows you to read this threaded comment; however, any edits to it will get removed if the file is opened in a newer version of Excel. Learn more: https://go.microsoft.com/fwlink/?linkid=870924
Comment:
    Cưa chân bàn</t>
      </text>
    </comment>
    <comment ref="A15" authorId="1" shapeId="0" xr:uid="{E052B674-5053-6149-979A-5F5C7B7D9F5D}">
      <text>
        <t>[Threaded comment]
Your version of Excel allows you to read this threaded comment; however, any edits to it will get removed if the file is opened in a newer version of Excel. Learn more: https://go.microsoft.com/fwlink/?linkid=870924
Comment:
    Bull trap</t>
      </text>
    </comment>
    <comment ref="O40" authorId="2" shapeId="0" xr:uid="{5E26DE02-5100-6644-855A-E9C54B3B21FB}">
      <text>
        <t>[Threaded comment]
Your version of Excel allows you to read this threaded comment; however, any edits to it will get removed if the file is opened in a newer version of Excel. Learn more: https://go.microsoft.com/fwlink/?linkid=870924
Comment:
    Áp lực tỉ giá. Tỉ giá lập đỉnh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tc={8375259F-1AEE-9043-9677-933EAA53528F}</author>
    <author>tc={46B08587-79A7-7745-B2DD-D77C2F816166}</author>
    <author>tc={FEA8D2DB-BE62-6C45-91A6-03762F9AD3D8}</author>
    <author>tc={8E363F63-18BC-D345-8A08-7AA808F5B0B9}</author>
    <author>tc={2C9B8D45-47FE-7542-965F-871496238751}</author>
    <author>tc={C9F2B7FA-1AF4-7B4B-B76A-5DA79150A537}</author>
    <author>tc={FDDD2D0E-523C-CB4E-993B-351005C55DCB}</author>
    <author>tc={A77DCDA6-C773-9249-A22D-BAFDBAFFEFBC}</author>
    <author>tc={4E7EB458-4149-1542-A005-36B204964054}</author>
    <author>tc={0024D084-3814-1445-AFFA-03B3522D6DD7}</author>
    <author>tc={2E6DF121-A91B-1740-9966-E41E78330CDE}</author>
    <author>tc={101E06BC-FFFB-6543-B741-A73C5DDC3D8E}</author>
    <author>tc={9EBFDE32-5693-1E44-84FB-173C68EC77FF}</author>
    <author>tc={B9CDF998-3F6C-024C-AF0A-77AD8B82E1CD}</author>
    <author>tc={3307DD59-5652-444C-AA35-26CCC19E3304}</author>
    <author>tc={9602EF0C-BBBD-4D48-8815-463914D8604D}</author>
    <author>tc={BAC63297-BB0B-0843-A86C-0B349156FFB4}</author>
    <author>tc={EF2E373C-24B9-0649-890E-871FF88285B0}</author>
    <author>tc={DCF5ECF6-A785-D844-BB0A-AC21E83AC10B}</author>
    <author>tc={24185B3F-1365-DC4E-95D4-721114BB049D}</author>
    <author>tc={B8C86A40-F444-EC4C-A42C-B1B93FEF16BE}</author>
    <author>tc={158640FF-865F-934D-9660-2922C5A1391A}</author>
    <author>tc={4FED1D24-5018-DF40-AFE5-4EC319368A52}</author>
    <author>tc={E457C49D-D82E-C84D-A5BD-FA8F93B9166E}</author>
    <author>tc={0DAB9DC4-B174-634F-835B-DFF3D9FC8BF2}</author>
    <author>tc={2E9E15B2-3EC5-BB42-BCBB-937F4EB7B834}</author>
    <author>tc={9D9BAB95-0BE1-4C45-B13A-0136AF24B3A4}</author>
    <author>tc={8A084FC6-AEC2-7842-9094-5D76B2435123}</author>
    <author>tc={1293EB94-5586-4B48-BD63-C4C35297997A}</author>
    <author>tc={B9D5862B-C8B6-A547-BA57-A774F7574821}</author>
    <author>tc={19E23772-153F-D043-9DCE-DE1158494CB3}</author>
    <author>tc={AFFBBEDB-6C2C-DD43-8DB2-6551FF49C9EB}</author>
    <author>tc={D97C1015-9938-5E47-8F95-9FB395366E99}</author>
  </authors>
  <commentList>
    <comment ref="B5" authorId="0" shapeId="0" xr:uid="{8375259F-1AEE-9043-9677-933EAA53528F}">
      <text>
        <t>[Threaded comment]
Your version of Excel allows you to read this threaded comment; however, any edits to it will get removed if the file is opened in a newer version of Excel. Learn more: https://go.microsoft.com/fwlink/?linkid=870924
Comment:
    Kéo BCM, GVR</t>
      </text>
    </comment>
    <comment ref="I7" authorId="1" shapeId="0" xr:uid="{46B08587-79A7-7745-B2DD-D77C2F816166}">
      <text>
        <t>[Threaded comment]
Your version of Excel allows you to read this threaded comment; however, any edits to it will get removed if the file is opened in a newer version of Excel. Learn more: https://go.microsoft.com/fwlink/?linkid=870924
Comment:
    Tin đồn bỏ triển khai hệ thống KRX</t>
      </text>
    </comment>
    <comment ref="AJ10" authorId="2" shapeId="0" xr:uid="{FEA8D2DB-BE62-6C45-91A6-03762F9AD3D8}">
      <text>
        <t>[Threaded comment]
Your version of Excel allows you to read this threaded comment; however, any edits to it will get removed if the file is opened in a newer version of Excel. Learn more: https://go.microsoft.com/fwlink/?linkid=870924
Comment:
    Khối ngoại bán ròng kỉ lục cổ phiếu VHC chỉ sau phiên 9/5/2024. Giá trị 69 tỉ</t>
      </text>
    </comment>
    <comment ref="AY10" authorId="3" shapeId="0" xr:uid="{8E363F63-18BC-D345-8A08-7AA808F5B0B9}">
      <text>
        <t>[Threaded comment]
Your version of Excel allows you to read this threaded comment; however, any edits to it will get removed if the file is opened in a newer version of Excel. Learn more: https://go.microsoft.com/fwlink/?linkid=870924
Comment:
    HAG</t>
      </text>
    </comment>
    <comment ref="R12" authorId="4" shapeId="0" xr:uid="{2C9B8D45-47FE-7542-965F-871496238751}">
      <text>
        <t>[Threaded comment]
Your version of Excel allows you to read this threaded comment; however, any edits to it will get removed if the file is opened in a newer version of Excel. Learn more: https://go.microsoft.com/fwlink/?linkid=870924
Comment:
    HSG,NKG</t>
      </text>
    </comment>
    <comment ref="AS13" authorId="5" shapeId="0" xr:uid="{C9F2B7FA-1AF4-7B4B-B76A-5DA79150A537}">
      <text>
        <t>[Threaded comment]
Your version of Excel allows you to read this threaded comment; however, any edits to it will get removed if the file is opened in a newer version of Excel. Learn more: https://go.microsoft.com/fwlink/?linkid=870924
Comment:
    NN bán ròng HDG với giá trị cao nhất 6 tháng gần nhất. 53 tỉ</t>
      </text>
    </comment>
    <comment ref="O16" authorId="6" shapeId="0" xr:uid="{FDDD2D0E-523C-CB4E-993B-351005C55DCB}">
      <text>
        <t>[Threaded comment]
Your version of Excel allows you to read this threaded comment; however, any edits to it will get removed if the file is opened in a newer version of Excel. Learn more: https://go.microsoft.com/fwlink/?linkid=870924
Comment:
    LHG, IJC</t>
      </text>
    </comment>
    <comment ref="AD17" authorId="7" shapeId="0" xr:uid="{A77DCDA6-C773-9249-A22D-BAFDBAFFEFBC}">
      <text>
        <t>[Threaded comment]
Your version of Excel allows you to read this threaded comment; however, any edits to it will get removed if the file is opened in a newer version of Excel. Learn more: https://go.microsoft.com/fwlink/?linkid=870924
Comment:
    VSC,HAH,VOS,GMD,DVP,PVT,SGP,VIP</t>
      </text>
    </comment>
    <comment ref="AJ17" authorId="8" shapeId="0" xr:uid="{4E7EB458-4149-1542-A005-36B204964054}">
      <text>
        <t>[Threaded comment]
Your version of Excel allows you to read this threaded comment; however, any edits to it will get removed if the file is opened in a newer version of Excel. Learn more: https://go.microsoft.com/fwlink/?linkid=870924
Comment:
    ANV,VHC,ACL,IDI</t>
      </text>
    </comment>
    <comment ref="AV18" authorId="9" shapeId="0" xr:uid="{0024D084-3814-1445-AFFA-03B3522D6DD7}">
      <text>
        <t>[Threaded comment]
Your version of Excel allows you to read this threaded comment; however, any edits to it will get removed if the file is opened in a newer version of Excel. Learn more: https://go.microsoft.com/fwlink/?linkid=870924
Comment:
    DCM,DPM,BFC</t>
      </text>
    </comment>
    <comment ref="AM20" authorId="10" shapeId="0" xr:uid="{2E6DF121-A91B-1740-9966-E41E78330CDE}">
      <text>
        <t>[Threaded comment]
Your version of Excel allows you to read this threaded comment; however, any edits to it will get removed if the file is opened in a newer version of Excel. Learn more: https://go.microsoft.com/fwlink/?linkid=870924
Comment:
    VCS,GDT</t>
      </text>
    </comment>
    <comment ref="R21" authorId="11" shapeId="0" xr:uid="{101E06BC-FFFB-6543-B741-A73C5DDC3D8E}">
      <text>
        <t>[Threaded comment]
Your version of Excel allows you to read this threaded comment; however, any edits to it will get removed if the file is opened in a newer version of Excel. Learn more: https://go.microsoft.com/fwlink/?linkid=870924
Comment:
    HSG</t>
      </text>
    </comment>
    <comment ref="AG23" authorId="12" shapeId="0" xr:uid="{9EBFDE32-5693-1E44-84FB-173C68EC77FF}">
      <text>
        <t>[Threaded comment]
Your version of Excel allows you to read this threaded comment; however, any edits to it will get removed if the file is opened in a newer version of Excel. Learn more: https://go.microsoft.com/fwlink/?linkid=870924
Comment:
    Tăng trưởng mạnh của nguyên vật liệu dệt may (tăng 33% trong tháng 5/2024 và hơn 20% trong 5 tháng đầu năm) báo hiệu đơn hàng dệt may sẽ tăng tốt trong nửa cuối năm 2024.</t>
      </text>
    </comment>
    <comment ref="AJ23" authorId="13" shapeId="0" xr:uid="{B9CDF998-3F6C-024C-AF0A-77AD8B82E1CD}">
      <text>
        <t>[Threaded comment]
Your version of Excel allows you to read this threaded comment; however, any edits to it will get removed if the file is opened in a newer version of Excel. Learn more: https://go.microsoft.com/fwlink/?linkid=870924
Comment:
    ANV</t>
      </text>
    </comment>
    <comment ref="AM25" authorId="14" shapeId="0" xr:uid="{3307DD59-5652-444C-AA35-26CCC19E3304}">
      <text>
        <t>[Threaded comment]
Your version of Excel allows you to read this threaded comment; however, any edits to it will get removed if the file is opened in a newer version of Excel. Learn more: https://go.microsoft.com/fwlink/?linkid=870924
Comment:
    Xuất khẩu gỗ và sản phẩm gỗ tăng 23,5% so với cùng kì</t>
      </text>
    </comment>
    <comment ref="O26" authorId="15" shapeId="0" xr:uid="{9602EF0C-BBBD-4D48-8815-463914D8604D}">
      <text>
        <t>[Threaded comment]
Your version of Excel allows you to read this threaded comment; however, any edits to it will get removed if the file is opened in a newer version of Excel. Learn more: https://go.microsoft.com/fwlink/?linkid=870924
Comment:
    SZC</t>
      </text>
    </comment>
    <comment ref="F29" authorId="16" shapeId="0" xr:uid="{BAC63297-BB0B-0843-A86C-0B349156FFB4}">
      <text>
        <t>[Threaded comment]
Your version of Excel allows you to read this threaded comment; however, any edits to it will get removed if the file is opened in a newer version of Excel. Learn more: https://go.microsoft.com/fwlink/?linkid=870924
Comment:
    tăng trưởng tín dụng chậm chỉ đạt hơn 2% trong 5 tháng đầu năm</t>
      </text>
    </comment>
    <comment ref="U29" authorId="17" shapeId="0" xr:uid="{EF2E373C-24B9-0649-890E-871FF88285B0}">
      <text>
        <t>[Threaded comment]
Your version of Excel allows you to read this threaded comment; however, any edits to it will get removed if the file is opened in a newer version of Excel. Learn more: https://go.microsoft.com/fwlink/?linkid=870924
Comment:
    Thoái vốn MSR -&gt; MSN</t>
      </text>
    </comment>
    <comment ref="AS29" authorId="18" shapeId="0" xr:uid="{DCF5ECF6-A785-D844-BB0A-AC21E83AC10B}">
      <text>
        <t>[Threaded comment]
Your version of Excel allows you to read this threaded comment; however, any edits to it will get removed if the file is opened in a newer version of Excel. Learn more: https://go.microsoft.com/fwlink/?linkid=870924
Comment:
    Tiêu thụ điện đạt kỉ lục</t>
      </text>
    </comment>
    <comment ref="AY30" authorId="19" shapeId="0" xr:uid="{24185B3F-1365-DC4E-95D4-721114BB049D}">
      <text>
        <t>[Threaded comment]
Your version of Excel allows you to read this threaded comment; however, any edits to it will get removed if the file is opened in a newer version of Excel. Learn more: https://go.microsoft.com/fwlink/?linkid=870924
Comment:
    NN bán kỉ lục HAG. GTGD 55 tỉ (ATH)</t>
      </text>
    </comment>
    <comment ref="AY33" authorId="20" shapeId="0" xr:uid="{B8C86A40-F444-EC4C-A42C-B1B93FEF16B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heo cao kỉ lục 5 năm</t>
      </text>
    </comment>
    <comment ref="F34" authorId="21" shapeId="0" xr:uid="{158640FF-865F-934D-9660-2922C5A1391A}">
      <text>
        <t>[Threaded comment]
Your version of Excel allows you to read this threaded comment; however, any edits to it will get removed if the file is opened in a newer version of Excel. Learn more: https://go.microsoft.com/fwlink/?linkid=870924
Comment:
    LPB</t>
      </text>
    </comment>
    <comment ref="R35" authorId="22" shapeId="0" xr:uid="{4FED1D24-5018-DF40-AFE5-4EC319368A52}">
      <text>
        <t>[Threaded comment]
Your version of Excel allows you to read this threaded comment; however, any edits to it will get removed if the file is opened in a newer version of Excel. Learn more: https://go.microsoft.com/fwlink/?linkid=870924
Comment:
    HPG</t>
      </text>
    </comment>
    <comment ref="AY37" authorId="23" shapeId="0" xr:uid="{E457C49D-D82E-C84D-A5BD-FA8F93B9166E}">
      <text>
        <t>[Threaded comment]
Your version of Excel allows you to read this threaded comment; however, any edits to it will get removed if the file is opened in a newer version of Excel. Learn more: https://go.microsoft.com/fwlink/?linkid=870924
Comment:
    BAF</t>
      </text>
    </comment>
    <comment ref="AY38" authorId="24" shapeId="0" xr:uid="{0DAB9DC4-B174-634F-835B-DFF3D9FC8BF2}">
      <text>
        <t>[Threaded comment]
Your version of Excel allows you to read this threaded comment; however, any edits to it will get removed if the file is opened in a newer version of Excel. Learn more: https://go.microsoft.com/fwlink/?linkid=870924
Comment:
    DBC</t>
      </text>
    </comment>
    <comment ref="AD39" authorId="25" shapeId="0" xr:uid="{2E9E15B2-3EC5-BB42-BCBB-937F4EB7B834}">
      <text>
        <t>[Threaded comment]
Your version of Excel allows you to read this threaded comment; however, any edits to it will get removed if the file is opened in a newer version of Excel. Learn more: https://go.microsoft.com/fwlink/?linkid=870924
Comment:
    PVT,VOS,SGP</t>
      </text>
    </comment>
    <comment ref="AJ39" authorId="26" shapeId="0" xr:uid="{9D9BAB95-0BE1-4C45-B13A-0136AF24B3A4}">
      <text>
        <t>[Threaded comment]
Your version of Excel allows you to read this threaded comment; however, any edits to it will get removed if the file is opened in a newer version of Excel. Learn more: https://go.microsoft.com/fwlink/?linkid=870924
Comment:
    Khối ngoại bán ròng kỉ lục cổ phiếu VHC. Giá trị 100 tỉ</t>
      </text>
    </comment>
    <comment ref="AG40" authorId="27" shapeId="0" xr:uid="{8A084FC6-AEC2-7842-9094-5D76B2435123}">
      <text>
        <t>[Threaded comment]
Your version of Excel allows you to read this threaded comment; however, any edits to it will get removed if the file is opened in a newer version of Excel. Learn more: https://go.microsoft.com/fwlink/?linkid=870924
Comment:
    STK,TCM,MSH,VGT,TNG</t>
      </text>
    </comment>
    <comment ref="U41" authorId="28" shapeId="0" xr:uid="{1293EB94-5586-4B48-BD63-C4C35297997A}">
      <text>
        <t>[Threaded comment]
Your version of Excel allows you to read this threaded comment; however, any edits to it will get removed if the file is opened in a newer version of Excel. Learn more: https://go.microsoft.com/fwlink/?linkid=870924
Comment:
    VNM,PNJ</t>
      </text>
    </comment>
    <comment ref="AG41" authorId="29" shapeId="0" xr:uid="{B9D5862B-C8B6-A547-BA57-A774F7574821}">
      <text>
        <t>[Threaded comment]
Your version of Excel allows you to read this threaded comment; however, any edits to it will get removed if the file is opened in a newer version of Excel. Learn more: https://go.microsoft.com/fwlink/?linkid=870924
Comment:
    TNG,VGT</t>
      </text>
    </comment>
    <comment ref="R42" authorId="30" shapeId="0" xr:uid="{19E23772-153F-D043-9DCE-DE1158494CB3}">
      <text>
        <t>[Threaded comment]
Your version of Excel allows you to read this threaded comment; however, any edits to it will get removed if the file is opened in a newer version of Excel. Learn more: https://go.microsoft.com/fwlink/?linkid=870924
Comment:
    HPG,VPG,NKG,HSG,VGS</t>
      </text>
    </comment>
    <comment ref="AD42" authorId="31" shapeId="0" xr:uid="{AFFBBEDB-6C2C-DD43-8DB2-6551FF49C9EB}">
      <text>
        <t>[Threaded comment]
Your version of Excel allows you to read this threaded comment; however, any edits to it will get removed if the file is opened in a newer version of Excel. Learn more: https://go.microsoft.com/fwlink/?linkid=870924
Comment:
    HAH,VOS,VIP</t>
      </text>
    </comment>
    <comment ref="F54" authorId="32" shapeId="0" xr:uid="{D97C1015-9938-5E47-8F95-9FB395366E99}">
      <text>
        <t>[Threaded comment]
Your version of Excel allows you to read this threaded comment; however, any edits to it will get removed if the file is opened in a newer version of Excel. Learn more: https://go.microsoft.com/fwlink/?linkid=870924
Comment:
    Bull trap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tc={DAAE6924-6F14-BD4A-BD6E-ECDAB60B368E}</author>
  </authors>
  <commentList>
    <comment ref="F3" authorId="0" shapeId="0" xr:uid="{DAAE6924-6F14-BD4A-BD6E-ECDAB60B368E}">
      <text>
        <t>[Threaded comment]
Your version of Excel allows you to read this threaded comment; however, any edits to it will get removed if the file is opened in a newer version of Excel. Learn more: https://go.microsoft.com/fwlink/?linkid=870924
Comment:
    Sau 23 tháng xuất siêu, Việt Nam đã nhập siêu trở lại trong tháng 5/2025 với con số 1 tỷ USD. =&gt; Áp lực tỉ giá. Tỉ giá lập đỉnh</t>
      </text>
    </comment>
  </commentList>
</comments>
</file>

<file path=xl/sharedStrings.xml><?xml version="1.0" encoding="utf-8"?>
<sst xmlns="http://schemas.openxmlformats.org/spreadsheetml/2006/main" count="8185" uniqueCount="445">
  <si>
    <t>VNINDEX</t>
  </si>
  <si>
    <t>SLCP tăng</t>
  </si>
  <si>
    <t>SLCP ko đổi</t>
  </si>
  <si>
    <t>SLCP giảm</t>
  </si>
  <si>
    <t>VN30</t>
  </si>
  <si>
    <t>SSI</t>
  </si>
  <si>
    <t>VND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</si>
  <si>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</si>
  <si>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</si>
  <si>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</si>
  <si>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</si>
  <si>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</si>
  <si>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</si>
  <si>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</si>
  <si>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</si>
  <si>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</si>
  <si>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</si>
  <si>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</si>
  <si>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</si>
  <si>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</si>
  <si>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</si>
  <si>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</si>
  <si>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</si>
  <si>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</si>
  <si>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</si>
  <si>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</si>
  <si>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</si>
  <si>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</si>
  <si>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</si>
  <si>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</si>
  <si>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</si>
  <si>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</si>
  <si>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</si>
  <si>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</si>
  <si>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</si>
  <si>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</si>
  <si>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</si>
  <si>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</si>
  <si>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</si>
  <si>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</si>
  <si>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</si>
  <si>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</si>
  <si>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</si>
  <si>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</si>
  <si>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</si>
  <si>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</si>
  <si>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</si>
  <si>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</si>
  <si>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</si>
  <si>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</si>
  <si>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</si>
  <si>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</si>
  <si>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</si>
  <si>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</si>
  <si>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</si>
  <si>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</si>
  <si>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</si>
  <si>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</si>
  <si>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</si>
  <si>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</si>
  <si>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</si>
  <si>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</si>
  <si>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</si>
  <si>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</si>
  <si>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</si>
  <si>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</si>
  <si>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</si>
  <si>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</si>
  <si>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</si>
  <si>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</si>
  <si>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</si>
  <si>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</si>
  <si>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</si>
  <si>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</si>
  <si>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</si>
  <si>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</si>
  <si>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</si>
  <si>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</si>
  <si>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</si>
  <si>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</si>
  <si>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</si>
  <si>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</si>
  <si>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</si>
  <si>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</si>
  <si>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</si>
  <si>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</si>
  <si>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</si>
  <si>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</si>
  <si>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</si>
  <si>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</si>
  <si>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</si>
  <si>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</si>
  <si>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</si>
  <si>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</si>
  <si>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</si>
  <si>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</si>
  <si>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</si>
  <si>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</si>
  <si>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</si>
  <si>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</si>
  <si>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</si>
  <si>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</si>
  <si>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DRC</t>
  </si>
  <si>
    <t>LAS</t>
  </si>
  <si>
    <t>HBC</t>
  </si>
  <si>
    <t>DDV</t>
  </si>
  <si>
    <t>VGS</t>
  </si>
  <si>
    <t>PTB</t>
  </si>
  <si>
    <t>HDC</t>
  </si>
  <si>
    <t>EVF</t>
  </si>
  <si>
    <t>SCR</t>
  </si>
  <si>
    <t>KBC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</si>
  <si>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</si>
  <si>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</si>
  <si>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</si>
  <si>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</si>
  <si>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</si>
  <si>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</si>
  <si>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</si>
  <si>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</si>
  <si>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</si>
  <si>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</si>
  <si>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</si>
  <si>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</si>
  <si>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</si>
  <si>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</si>
  <si>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</si>
  <si>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</si>
  <si>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</si>
  <si>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</si>
  <si>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</si>
  <si>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</si>
  <si>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</si>
  <si>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</si>
  <si>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</si>
  <si>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</si>
  <si>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</si>
  <si>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</si>
  <si>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</si>
  <si>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</si>
  <si>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</si>
  <si>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</si>
  <si>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</si>
  <si>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</si>
  <si>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</si>
  <si>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</si>
  <si>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</si>
  <si>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</si>
  <si>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</si>
  <si>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</si>
  <si>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</si>
  <si>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</si>
  <si>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</si>
  <si>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</si>
  <si>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</si>
  <si>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</si>
  <si>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</si>
  <si>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</si>
  <si>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</si>
  <si>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</si>
  <si>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</si>
  <si>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</si>
  <si>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</si>
  <si>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</si>
  <si>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</si>
  <si>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</si>
  <si>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</si>
  <si>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</si>
  <si>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</si>
  <si>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</si>
  <si>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</si>
  <si>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</si>
  <si>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</si>
  <si>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</si>
  <si>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</si>
  <si>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</si>
  <si>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Duration</t>
  </si>
  <si>
    <t>f</t>
  </si>
  <si>
    <t>SBT</t>
  </si>
  <si>
    <t>SCS</t>
  </si>
  <si>
    <t>STK</t>
  </si>
  <si>
    <t>PAN</t>
  </si>
  <si>
    <t>VHC</t>
  </si>
  <si>
    <t>IDI</t>
  </si>
  <si>
    <t>BCM</t>
  </si>
  <si>
    <t>FCN</t>
  </si>
  <si>
    <t>TTF</t>
  </si>
  <si>
    <t>ADS</t>
  </si>
  <si>
    <t>LHG</t>
  </si>
  <si>
    <t>GDT</t>
  </si>
  <si>
    <t>HT1</t>
  </si>
  <si>
    <t>26/02/2024</t>
  </si>
  <si>
    <t>REE</t>
  </si>
  <si>
    <t/>
  </si>
  <si>
    <t>27/02/2024</t>
  </si>
  <si>
    <t>ANV</t>
  </si>
  <si>
    <t>PDR</t>
  </si>
  <si>
    <t>28/02/2024</t>
  </si>
  <si>
    <t>DPR</t>
  </si>
  <si>
    <t>PVT</t>
  </si>
  <si>
    <t>ELC</t>
  </si>
  <si>
    <t>29/02/2024</t>
  </si>
  <si>
    <t>GVR</t>
  </si>
  <si>
    <t>POW</t>
  </si>
  <si>
    <t>FTS</t>
  </si>
  <si>
    <t>01/03/2024</t>
  </si>
  <si>
    <t>BVH</t>
  </si>
  <si>
    <t>GEE</t>
  </si>
  <si>
    <t>Top 10 Tự Doanh bán</t>
  </si>
  <si>
    <t>VSC</t>
  </si>
  <si>
    <t>04/03/2024</t>
  </si>
  <si>
    <t>HAX</t>
  </si>
  <si>
    <t>05/03/2024</t>
  </si>
  <si>
    <t>06/03/2024</t>
  </si>
  <si>
    <t>VGI</t>
  </si>
  <si>
    <t>PHR</t>
  </si>
  <si>
    <t>07/03/2024</t>
  </si>
  <si>
    <t>08/03/2024</t>
  </si>
  <si>
    <t>11/03/2024</t>
  </si>
  <si>
    <t>TNG</t>
  </si>
  <si>
    <t>12/03/2024</t>
  </si>
  <si>
    <t>13/03/2024</t>
  </si>
  <si>
    <t>14/03/2024</t>
  </si>
  <si>
    <t>15/03/2024</t>
  </si>
  <si>
    <t>DPG</t>
  </si>
  <si>
    <t>18/03/2024</t>
  </si>
  <si>
    <t>19/03/2024</t>
  </si>
  <si>
    <t>20/03/2024</t>
  </si>
  <si>
    <t>21/03/2024</t>
  </si>
  <si>
    <t>VJC</t>
  </si>
  <si>
    <t>22/03/2024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</si>
  <si>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</si>
  <si>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</si>
  <si>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</si>
  <si>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</si>
  <si>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</si>
  <si>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</si>
  <si>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</si>
  <si>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</si>
  <si>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</si>
  <si>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</si>
  <si>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</si>
  <si>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</si>
  <si>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10/04/2024</t>
  </si>
  <si>
    <t>11/04/2024</t>
  </si>
  <si>
    <t>12/04/2024</t>
  </si>
  <si>
    <t>15/04/2024</t>
  </si>
  <si>
    <t>16/04/2024</t>
  </si>
  <si>
    <t>17/04/2024</t>
  </si>
  <si>
    <t>19/04/2024</t>
  </si>
  <si>
    <t>22/04/2024</t>
  </si>
  <si>
    <t>23/04/2024</t>
  </si>
  <si>
    <t>24/04/2024</t>
  </si>
  <si>
    <t>25/04/2024</t>
  </si>
  <si>
    <t>26/04/2024</t>
  </si>
  <si>
    <t>02/05/2024</t>
  </si>
  <si>
    <t>03/05/2024</t>
  </si>
  <si>
    <t>06/05/2024</t>
  </si>
  <si>
    <t>07/05/2024</t>
  </si>
  <si>
    <t>08/05/2024</t>
  </si>
  <si>
    <t>09/05/2024</t>
  </si>
  <si>
    <t>Luỹ kế</t>
  </si>
  <si>
    <t>Luỹ kế (-Vin)</t>
  </si>
  <si>
    <t>GT M/B (-Vin)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</si>
  <si>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</si>
  <si>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</si>
  <si>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</si>
  <si>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</si>
  <si>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</si>
  <si>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</si>
  <si>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</si>
  <si>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</si>
  <si>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</si>
  <si>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</si>
  <si>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</si>
  <si>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</si>
  <si>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</si>
  <si>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</si>
  <si>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BMP</t>
  </si>
  <si>
    <t>NTL</t>
  </si>
  <si>
    <t>MCH</t>
  </si>
  <si>
    <t>KSB</t>
  </si>
  <si>
    <t>TIP</t>
  </si>
  <si>
    <t>FOX</t>
  </si>
  <si>
    <t>HVN</t>
  </si>
  <si>
    <t>VGT</t>
  </si>
  <si>
    <t>SZC</t>
  </si>
  <si>
    <t>KDC</t>
  </si>
  <si>
    <t>BCG</t>
  </si>
  <si>
    <t>NT2</t>
  </si>
  <si>
    <t>HAH</t>
  </si>
  <si>
    <t>PVP</t>
  </si>
  <si>
    <t>ACL</t>
  </si>
  <si>
    <t>PLC</t>
  </si>
  <si>
    <t>SEB</t>
  </si>
  <si>
    <t>SJS</t>
  </si>
  <si>
    <t>BCC</t>
  </si>
  <si>
    <t>OIL</t>
  </si>
  <si>
    <t>FMC</t>
  </si>
  <si>
    <t>APH</t>
  </si>
  <si>
    <t>PPC</t>
  </si>
  <si>
    <t>SGT</t>
  </si>
  <si>
    <t>PHP</t>
  </si>
  <si>
    <t>TTP</t>
  </si>
  <si>
    <t>DHA</t>
  </si>
  <si>
    <t>BED</t>
  </si>
  <si>
    <t>CTT</t>
  </si>
  <si>
    <t>D2D</t>
  </si>
  <si>
    <t>HOM</t>
  </si>
  <si>
    <t>SZL</t>
  </si>
  <si>
    <t>SAV</t>
  </si>
  <si>
    <t>BTS</t>
  </si>
  <si>
    <t>PAC</t>
  </si>
  <si>
    <t>TTA</t>
  </si>
  <si>
    <t>TCO</t>
  </si>
  <si>
    <t>CTR</t>
  </si>
  <si>
    <t>TIG</t>
  </si>
  <si>
    <t>VCS</t>
  </si>
  <si>
    <t>MSH</t>
  </si>
  <si>
    <t>INN</t>
  </si>
  <si>
    <t>ACV</t>
  </si>
  <si>
    <t>DHG</t>
  </si>
  <si>
    <t>CMG</t>
  </si>
  <si>
    <t>AGG</t>
  </si>
  <si>
    <t>HHV</t>
  </si>
  <si>
    <t>SIP</t>
  </si>
  <si>
    <t>NTC</t>
  </si>
  <si>
    <t>NAF</t>
  </si>
  <si>
    <t>BFC</t>
  </si>
  <si>
    <t>SGP</t>
  </si>
  <si>
    <t>C4G</t>
  </si>
  <si>
    <t>ABC</t>
  </si>
  <si>
    <t>HHS</t>
  </si>
  <si>
    <t>BMC</t>
  </si>
  <si>
    <t>LTG</t>
  </si>
  <si>
    <t>NTP</t>
  </si>
  <si>
    <t>PVC</t>
  </si>
  <si>
    <t>CTS</t>
  </si>
  <si>
    <t>QNS</t>
  </si>
  <si>
    <t>SAB</t>
  </si>
  <si>
    <t>BMI</t>
  </si>
  <si>
    <t>TMC</t>
  </si>
  <si>
    <t>CNG</t>
  </si>
  <si>
    <t>IDV</t>
  </si>
  <si>
    <t>VLB</t>
  </si>
  <si>
    <t>DGT</t>
  </si>
  <si>
    <t>CSM</t>
  </si>
  <si>
    <t>VIP</t>
  </si>
  <si>
    <t>CII</t>
  </si>
  <si>
    <t>PGV</t>
  </si>
  <si>
    <t>TV2</t>
  </si>
  <si>
    <t>CRE</t>
  </si>
  <si>
    <t>PAT</t>
  </si>
  <si>
    <t>HLD</t>
  </si>
  <si>
    <t>TDC</t>
  </si>
  <si>
    <t>BLI</t>
  </si>
  <si>
    <t>VN30 / VNI</t>
  </si>
  <si>
    <t>30/05/2024</t>
  </si>
  <si>
    <t>TLG</t>
  </si>
  <si>
    <t>Chăn nuôi</t>
  </si>
  <si>
    <t>Bảo hiểm</t>
  </si>
  <si>
    <t>Hàng không</t>
  </si>
  <si>
    <t>31/05/2024</t>
  </si>
  <si>
    <t>GIL</t>
  </si>
  <si>
    <t>DTD</t>
  </si>
  <si>
    <t>VPG</t>
  </si>
  <si>
    <t>SMC</t>
  </si>
  <si>
    <t>IJC</t>
  </si>
  <si>
    <t>DGW</t>
  </si>
  <si>
    <t>VPI</t>
  </si>
  <si>
    <t>ORS</t>
  </si>
  <si>
    <t>MFI</t>
  </si>
  <si>
    <t>AVG MFI</t>
  </si>
  <si>
    <t>03/06/2024</t>
  </si>
  <si>
    <t>EVE</t>
  </si>
  <si>
    <t>Order Book</t>
  </si>
  <si>
    <t xml:space="preserve">Strong Buy </t>
  </si>
  <si>
    <t>Strong Sell</t>
  </si>
  <si>
    <t>04/06/2024</t>
  </si>
  <si>
    <t>GEG</t>
  </si>
  <si>
    <t>KHG</t>
  </si>
  <si>
    <t>05/06/2024</t>
  </si>
  <si>
    <t>HNG</t>
  </si>
  <si>
    <t>06/06/2024</t>
  </si>
  <si>
    <t>CTD</t>
  </si>
  <si>
    <t>IMP</t>
  </si>
  <si>
    <t>SLS</t>
  </si>
  <si>
    <t>07/06/2024</t>
  </si>
  <si>
    <t>THG</t>
  </si>
  <si>
    <t>Gỗ, Đá</t>
  </si>
  <si>
    <t>Nhựa</t>
  </si>
  <si>
    <t>Công nghệ</t>
  </si>
  <si>
    <t>10/06/2024</t>
  </si>
  <si>
    <t>11/06/2024</t>
  </si>
  <si>
    <t>BSI</t>
  </si>
  <si>
    <t>GDA</t>
  </si>
  <si>
    <t>12/06/2024</t>
  </si>
  <si>
    <t>PET</t>
  </si>
  <si>
    <t>ACG</t>
  </si>
  <si>
    <t>BRC</t>
  </si>
  <si>
    <t>RAL</t>
  </si>
  <si>
    <t>LCG</t>
  </si>
  <si>
    <t>CMX</t>
  </si>
  <si>
    <t>SAM</t>
  </si>
  <si>
    <t>VPH</t>
  </si>
  <si>
    <t>13/06/2024</t>
  </si>
  <si>
    <t>VDS</t>
  </si>
  <si>
    <t>KOS</t>
  </si>
  <si>
    <t>TNH</t>
  </si>
  <si>
    <t>BCR</t>
  </si>
  <si>
    <t>14/06/2024</t>
  </si>
  <si>
    <t>HHC</t>
  </si>
  <si>
    <t>17/06/2024</t>
  </si>
  <si>
    <t>MIG</t>
  </si>
  <si>
    <t>18/06/2024</t>
  </si>
  <si>
    <t>AMV</t>
  </si>
  <si>
    <t>19/06/2024</t>
  </si>
  <si>
    <t>20/06/2024</t>
  </si>
  <si>
    <t>DVM</t>
  </si>
  <si>
    <t>VCP</t>
  </si>
  <si>
    <t>MHC</t>
  </si>
  <si>
    <t>21/06/2024</t>
  </si>
  <si>
    <t>LSS</t>
  </si>
  <si>
    <t>24/06/2024</t>
  </si>
  <si>
    <t>HQC</t>
  </si>
  <si>
    <t>SSB</t>
  </si>
  <si>
    <t>LAF</t>
  </si>
  <si>
    <t>Tỉ trọng</t>
  </si>
  <si>
    <t>KL Mua</t>
  </si>
  <si>
    <t>KL Bán</t>
  </si>
  <si>
    <t>25/06/2024</t>
  </si>
  <si>
    <t>26/06/2024</t>
  </si>
  <si>
    <t>27/06/2024</t>
  </si>
  <si>
    <t>DVP</t>
  </si>
  <si>
    <t>Dược</t>
  </si>
  <si>
    <t>Buy</t>
  </si>
  <si>
    <t>Sell</t>
  </si>
  <si>
    <t>18/01/2024</t>
  </si>
  <si>
    <t>NBB</t>
  </si>
  <si>
    <t>TDM</t>
  </si>
  <si>
    <t>28/06/2024</t>
  </si>
  <si>
    <t>L18</t>
  </si>
  <si>
    <t>NN -V</t>
  </si>
  <si>
    <t>SUM</t>
  </si>
  <si>
    <t>SLCP 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</si>
</sst>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0.0%"/>
    <numFmt numFmtId="165" formatCode="_(* #,##0.00_);_(* \(#,##0.00\);_(* &quot;-&quot;_);_(@_)"/>
  </numFmts>
  <fonts count="65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1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0"/>
      <name val="Calibri"/>
      <family val="2"/>
    </font>
    <font>
      <sz val="11"/>
      <color indexed="21"/>
      <name val="Calibri"/>
      <family val="2"/>
    </font>
    <font>
      <sz val="10"/>
      <color rgb="FF000000"/>
      <name val="Tahoma"/>
      <family val="2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437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FF8AD8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76D6FF"/>
        <bgColor indexed="64"/>
      </patternFill>
    </fill>
    <fill>
      <patternFill patternType="solid">
        <fgColor rgb="FF009051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586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6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5" borderId="0" xfId="0" applyFont="1" applyFill="1"/>
    <xf numFmtId="0" fontId="1" fillId="2" borderId="0" xfId="0" applyFont="1" applyFill="1"/>
    <xf numFmtId="14" fontId="0" fillId="4" borderId="0" xfId="0" applyNumberFormat="1" applyFill="1" applyAlignment="1">
      <alignment horizontal="right"/>
    </xf>
    <xf numFmtId="0" fontId="1" fillId="1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right"/>
    </xf>
    <xf numFmtId="2" fontId="0" fillId="0" borderId="0" xfId="0" applyNumberFormat="1"/>
    <xf numFmtId="165" fontId="0" fillId="0" borderId="0" xfId="1" applyNumberFormat="1" applyFont="1"/>
    <xf numFmtId="10" fontId="0" fillId="0" borderId="1" xfId="0" applyNumberFormat="1" applyBorder="1"/>
    <xf numFmtId="0" fontId="1" fillId="0" borderId="2" xfId="0" applyFont="1" applyBorder="1"/>
    <xf numFmtId="0" fontId="1" fillId="0" borderId="1" xfId="0" applyFont="1" applyBorder="1"/>
    <xf numFmtId="10" fontId="0" fillId="0" borderId="2" xfId="0" applyNumberFormat="1" applyBorder="1"/>
    <xf numFmtId="3" fontId="0" fillId="0" borderId="1" xfId="0" applyNumberFormat="1" applyBorder="1"/>
    <xf numFmtId="0" fontId="0" fillId="0" borderId="1" xfId="0" applyBorder="1"/>
    <xf numFmtId="0" fontId="0" fillId="0" borderId="2" xfId="0" applyBorder="1"/>
    <xf numFmtId="0" fontId="1" fillId="18" borderId="0" xfId="0" applyFont="1" applyFill="1"/>
    <xf numFmtId="0" fontId="0" fillId="0" borderId="0" xfId="0" applyAlignment="1">
      <alignment horizontal="right"/>
    </xf>
    <xf numFmtId="3" fontId="8" fillId="0" borderId="0" xfId="0" applyNumberFormat="1" applyFont="1"/>
    <xf numFmtId="3" fontId="9" fillId="0" borderId="0" xfId="0" applyNumberFormat="1" applyFont="1"/>
    <xf numFmtId="3" fontId="10" fillId="0" borderId="0" xfId="0" applyNumberFormat="1" applyFont="1"/>
    <xf numFmtId="3" fontId="11" fillId="0" borderId="0" xfId="0" applyNumberFormat="1" applyFont="1"/>
    <xf numFmtId="3" fontId="12" fillId="0" borderId="0" xfId="0" applyNumberFormat="1" applyFont="1"/>
    <xf numFmtId="3" fontId="13" fillId="0" borderId="0" xfId="0" applyNumberFormat="1" applyFont="1"/>
    <xf numFmtId="3" fontId="15" fillId="0" borderId="0" xfId="0" applyNumberFormat="1" applyFont="1"/>
    <xf numFmtId="3" fontId="16" fillId="0" borderId="0" xfId="0" applyNumberFormat="1" applyFont="1"/>
    <xf numFmtId="3" fontId="17" fillId="0" borderId="0" xfId="0" applyNumberFormat="1" applyFont="1"/>
    <xf numFmtId="3" fontId="18" fillId="0" borderId="0" xfId="0" applyNumberFormat="1" applyFont="1"/>
    <xf numFmtId="3" fontId="20" fillId="0" borderId="0" xfId="0" applyNumberFormat="1" applyFont="1"/>
    <xf numFmtId="3" fontId="21" fillId="0" borderId="0" xfId="0" applyNumberFormat="1" applyFont="1"/>
    <xf numFmtId="3" fontId="22" fillId="0" borderId="0" xfId="0" applyNumberFormat="1" applyFont="1"/>
    <xf numFmtId="3" fontId="23" fillId="0" borderId="0" xfId="0" applyNumberFormat="1" applyFont="1"/>
    <xf numFmtId="3" fontId="24" fillId="0" borderId="0" xfId="0" applyNumberFormat="1" applyFont="1"/>
    <xf numFmtId="3" fontId="25" fillId="0" borderId="0" xfId="0" applyNumberFormat="1" applyFont="1"/>
    <xf numFmtId="3" fontId="26" fillId="0" borderId="0" xfId="0" applyNumberFormat="1" applyFont="1"/>
    <xf numFmtId="3" fontId="27" fillId="0" borderId="0" xfId="0" applyNumberFormat="1" applyFont="1"/>
    <xf numFmtId="3" fontId="28" fillId="0" borderId="0" xfId="0" applyNumberFormat="1" applyFont="1"/>
    <xf numFmtId="3" fontId="29" fillId="0" borderId="0" xfId="0" applyNumberFormat="1" applyFont="1"/>
    <xf numFmtId="3" fontId="30" fillId="0" borderId="0" xfId="0" applyNumberFormat="1" applyFont="1"/>
    <xf numFmtId="3" fontId="31" fillId="0" borderId="0" xfId="0" applyNumberFormat="1" applyFont="1"/>
    <xf numFmtId="3" fontId="32" fillId="0" borderId="0" xfId="0" applyNumberFormat="1" applyFont="1"/>
    <xf numFmtId="3" fontId="33" fillId="0" borderId="0" xfId="0" applyNumberFormat="1" applyFont="1"/>
    <xf numFmtId="3" fontId="34" fillId="0" borderId="0" xfId="0" applyNumberFormat="1" applyFont="1"/>
    <xf numFmtId="3" fontId="35" fillId="0" borderId="0" xfId="0" applyNumberFormat="1" applyFont="1"/>
    <xf numFmtId="3" fontId="36" fillId="0" borderId="0" xfId="0" applyNumberFormat="1" applyFont="1"/>
    <xf numFmtId="3" fontId="37" fillId="0" borderId="0" xfId="0" applyNumberFormat="1" applyFont="1"/>
    <xf numFmtId="3" fontId="38" fillId="0" borderId="0" xfId="0" applyNumberFormat="1" applyFont="1"/>
    <xf numFmtId="3" fontId="39" fillId="0" borderId="0" xfId="0" applyNumberFormat="1" applyFont="1"/>
    <xf numFmtId="3" fontId="40" fillId="0" borderId="0" xfId="0" applyNumberFormat="1" applyFont="1"/>
    <xf numFmtId="3" fontId="41" fillId="0" borderId="0" xfId="0" applyNumberFormat="1" applyFont="1"/>
    <xf numFmtId="3" fontId="42" fillId="0" borderId="0" xfId="0" applyNumberFormat="1" applyFont="1"/>
    <xf numFmtId="3" fontId="43" fillId="0" borderId="0" xfId="0" applyNumberFormat="1" applyFont="1"/>
    <xf numFmtId="3" fontId="44" fillId="0" borderId="0" xfId="0" applyNumberFormat="1" applyFont="1"/>
    <xf numFmtId="3" fontId="45" fillId="0" borderId="0" xfId="0" applyNumberFormat="1" applyFont="1"/>
    <xf numFmtId="3" fontId="46" fillId="0" borderId="0" xfId="0" applyNumberFormat="1" applyFont="1"/>
    <xf numFmtId="3" fontId="47" fillId="0" borderId="0" xfId="0" applyNumberFormat="1" applyFont="1"/>
    <xf numFmtId="3" fontId="48" fillId="0" borderId="0" xfId="0" applyNumberFormat="1" applyFont="1"/>
    <xf numFmtId="3" fontId="49" fillId="0" borderId="0" xfId="0" applyNumberFormat="1" applyFont="1"/>
    <xf numFmtId="3" fontId="50" fillId="0" borderId="0" xfId="0" applyNumberFormat="1" applyFont="1"/>
    <xf numFmtId="3" fontId="51" fillId="0" borderId="0" xfId="0" applyNumberFormat="1" applyFont="1"/>
    <xf numFmtId="3" fontId="52" fillId="0" borderId="0" xfId="0" applyNumberFormat="1" applyFont="1"/>
    <xf numFmtId="3" fontId="53" fillId="0" borderId="0" xfId="0" applyNumberFormat="1" applyFont="1"/>
    <xf numFmtId="3" fontId="54" fillId="0" borderId="0" xfId="0" applyNumberFormat="1" applyFont="1"/>
    <xf numFmtId="3" fontId="55" fillId="0" borderId="0" xfId="0" applyNumberFormat="1" applyFont="1"/>
    <xf numFmtId="3" fontId="56" fillId="0" borderId="0" xfId="0" applyNumberFormat="1" applyFont="1"/>
    <xf numFmtId="3" fontId="57" fillId="0" borderId="0" xfId="0" applyNumberFormat="1" applyFont="1"/>
    <xf numFmtId="3" fontId="58" fillId="0" borderId="0" xfId="0" applyNumberFormat="1" applyFont="1"/>
    <xf numFmtId="3" fontId="59" fillId="0" borderId="0" xfId="0" applyNumberFormat="1" applyFont="1"/>
    <xf numFmtId="3" fontId="61" fillId="0" borderId="0" xfId="0" applyNumberFormat="1" applyFont="1"/>
    <xf numFmtId="3" fontId="63" fillId="0" borderId="0" xfId="0" applyNumberFormat="1" applyFont="1"/>
    <xf numFmtId="3" fontId="65" fillId="0" borderId="0" xfId="0" applyNumberFormat="1" applyFont="1"/>
    <xf numFmtId="3" fontId="66" fillId="0" borderId="0" xfId="0" applyNumberFormat="1" applyFont="1"/>
    <xf numFmtId="3" fontId="67" fillId="0" borderId="0" xfId="0" applyNumberFormat="1" applyFont="1"/>
    <xf numFmtId="3" fontId="68" fillId="0" borderId="0" xfId="0" applyNumberFormat="1" applyFont="1"/>
    <xf numFmtId="3" fontId="69" fillId="0" borderId="0" xfId="0" applyNumberFormat="1" applyFont="1"/>
    <xf numFmtId="3" fontId="70" fillId="0" borderId="0" xfId="0" applyNumberFormat="1" applyFont="1"/>
    <xf numFmtId="3" fontId="71" fillId="0" borderId="0" xfId="0" applyNumberFormat="1" applyFont="1"/>
    <xf numFmtId="3" fontId="72" fillId="0" borderId="0" xfId="0" applyNumberFormat="1" applyFont="1"/>
    <xf numFmtId="3" fontId="73" fillId="0" borderId="0" xfId="0" applyNumberFormat="1" applyFont="1"/>
    <xf numFmtId="3" fontId="74" fillId="0" borderId="0" xfId="0" applyNumberFormat="1" applyFont="1"/>
    <xf numFmtId="3" fontId="75" fillId="0" borderId="0" xfId="0" applyNumberFormat="1" applyFont="1"/>
    <xf numFmtId="3" fontId="76" fillId="0" borderId="0" xfId="0" applyNumberFormat="1" applyFont="1"/>
    <xf numFmtId="3" fontId="77" fillId="0" borderId="0" xfId="0" applyNumberFormat="1" applyFont="1"/>
    <xf numFmtId="3" fontId="78" fillId="0" borderId="0" xfId="0" applyNumberFormat="1" applyFont="1"/>
    <xf numFmtId="3" fontId="79" fillId="0" borderId="0" xfId="0" applyNumberFormat="1" applyFont="1"/>
    <xf numFmtId="3" fontId="80" fillId="0" borderId="0" xfId="0" applyNumberFormat="1" applyFont="1"/>
    <xf numFmtId="3" fontId="81" fillId="0" borderId="0" xfId="0" applyNumberFormat="1" applyFont="1"/>
    <xf numFmtId="3" fontId="82" fillId="0" borderId="0" xfId="0" applyNumberFormat="1" applyFont="1"/>
    <xf numFmtId="3" fontId="83" fillId="0" borderId="0" xfId="0" applyNumberFormat="1" applyFont="1"/>
    <xf numFmtId="3" fontId="84" fillId="0" borderId="0" xfId="0" applyNumberFormat="1" applyFont="1"/>
    <xf numFmtId="3" fontId="85" fillId="0" borderId="0" xfId="0" applyNumberFormat="1" applyFont="1"/>
    <xf numFmtId="3" fontId="86" fillId="0" borderId="0" xfId="0" applyNumberFormat="1" applyFont="1"/>
    <xf numFmtId="3" fontId="87" fillId="0" borderId="0" xfId="0" applyNumberFormat="1" applyFont="1"/>
    <xf numFmtId="3" fontId="88" fillId="0" borderId="0" xfId="0" applyNumberFormat="1" applyFont="1"/>
    <xf numFmtId="3" fontId="89" fillId="0" borderId="0" xfId="0" applyNumberFormat="1" applyFont="1"/>
    <xf numFmtId="3" fontId="90" fillId="0" borderId="0" xfId="0" applyNumberFormat="1" applyFont="1"/>
    <xf numFmtId="3" fontId="91" fillId="0" borderId="0" xfId="0" applyNumberFormat="1" applyFont="1"/>
    <xf numFmtId="3" fontId="92" fillId="0" borderId="0" xfId="0" applyNumberFormat="1" applyFont="1"/>
    <xf numFmtId="3" fontId="93" fillId="0" borderId="0" xfId="0" applyNumberFormat="1" applyFont="1"/>
    <xf numFmtId="3" fontId="94" fillId="0" borderId="0" xfId="0" applyNumberFormat="1" applyFont="1"/>
    <xf numFmtId="3" fontId="95" fillId="0" borderId="0" xfId="0" applyNumberFormat="1" applyFont="1"/>
    <xf numFmtId="3" fontId="96" fillId="0" borderId="0" xfId="0" applyNumberFormat="1" applyFont="1"/>
    <xf numFmtId="3" fontId="97" fillId="0" borderId="0" xfId="0" applyNumberFormat="1" applyFont="1"/>
    <xf numFmtId="3" fontId="98" fillId="0" borderId="0" xfId="0" applyNumberFormat="1" applyFont="1"/>
    <xf numFmtId="3" fontId="99" fillId="0" borderId="0" xfId="0" applyNumberFormat="1" applyFont="1"/>
    <xf numFmtId="3" fontId="100" fillId="0" borderId="0" xfId="0" applyNumberFormat="1" applyFont="1"/>
    <xf numFmtId="3" fontId="101" fillId="0" borderId="0" xfId="0" applyNumberFormat="1" applyFont="1"/>
    <xf numFmtId="3" fontId="102" fillId="0" borderId="0" xfId="0" applyNumberFormat="1" applyFont="1"/>
    <xf numFmtId="3" fontId="103" fillId="0" borderId="0" xfId="0" applyNumberFormat="1" applyFont="1"/>
    <xf numFmtId="3" fontId="104" fillId="0" borderId="0" xfId="0" applyNumberFormat="1" applyFont="1"/>
    <xf numFmtId="3" fontId="105" fillId="0" borderId="0" xfId="0" applyNumberFormat="1" applyFont="1"/>
    <xf numFmtId="3" fontId="106" fillId="0" borderId="0" xfId="0" applyNumberFormat="1" applyFont="1"/>
    <xf numFmtId="3" fontId="107" fillId="0" borderId="0" xfId="0" applyNumberFormat="1" applyFont="1"/>
    <xf numFmtId="3" fontId="108" fillId="0" borderId="0" xfId="0" applyNumberFormat="1" applyFont="1"/>
    <xf numFmtId="3" fontId="109" fillId="0" borderId="0" xfId="0" applyNumberFormat="1" applyFont="1"/>
    <xf numFmtId="3" fontId="110" fillId="0" borderId="0" xfId="0" applyNumberFormat="1" applyFont="1"/>
    <xf numFmtId="3" fontId="111" fillId="0" borderId="0" xfId="0" applyNumberFormat="1" applyFont="1"/>
    <xf numFmtId="3" fontId="112" fillId="0" borderId="0" xfId="0" applyNumberFormat="1" applyFont="1"/>
    <xf numFmtId="3" fontId="113" fillId="0" borderId="0" xfId="0" applyNumberFormat="1" applyFont="1"/>
    <xf numFmtId="3" fontId="114" fillId="0" borderId="0" xfId="0" applyNumberFormat="1" applyFont="1"/>
    <xf numFmtId="3" fontId="115" fillId="0" borderId="0" xfId="0" applyNumberFormat="1" applyFont="1"/>
    <xf numFmtId="3" fontId="116" fillId="0" borderId="0" xfId="0" applyNumberFormat="1" applyFont="1"/>
    <xf numFmtId="3" fontId="117" fillId="0" borderId="0" xfId="0" applyNumberFormat="1" applyFont="1"/>
    <xf numFmtId="3" fontId="118" fillId="0" borderId="0" xfId="0" applyNumberFormat="1" applyFont="1"/>
    <xf numFmtId="3" fontId="119" fillId="0" borderId="0" xfId="0" applyNumberFormat="1" applyFont="1"/>
    <xf numFmtId="3" fontId="120" fillId="0" borderId="0" xfId="0" applyNumberFormat="1" applyFont="1"/>
    <xf numFmtId="3" fontId="121" fillId="0" borderId="0" xfId="0" applyNumberFormat="1" applyFont="1"/>
    <xf numFmtId="3" fontId="122" fillId="0" borderId="0" xfId="0" applyNumberFormat="1" applyFont="1"/>
    <xf numFmtId="3" fontId="123" fillId="0" borderId="0" xfId="0" applyNumberFormat="1" applyFont="1"/>
    <xf numFmtId="3" fontId="124" fillId="0" borderId="0" xfId="0" applyNumberFormat="1" applyFont="1"/>
    <xf numFmtId="3" fontId="125" fillId="0" borderId="0" xfId="0" applyNumberFormat="1" applyFont="1"/>
    <xf numFmtId="3" fontId="126" fillId="0" borderId="0" xfId="0" applyNumberFormat="1" applyFont="1"/>
    <xf numFmtId="3" fontId="127" fillId="0" borderId="0" xfId="0" applyNumberFormat="1" applyFont="1"/>
    <xf numFmtId="3" fontId="128" fillId="0" borderId="0" xfId="0" applyNumberFormat="1" applyFont="1"/>
    <xf numFmtId="3" fontId="129" fillId="0" borderId="0" xfId="0" applyNumberFormat="1" applyFont="1"/>
    <xf numFmtId="3" fontId="130" fillId="0" borderId="0" xfId="0" applyNumberFormat="1" applyFont="1"/>
    <xf numFmtId="3" fontId="131" fillId="0" borderId="0" xfId="0" applyNumberFormat="1" applyFont="1"/>
    <xf numFmtId="3" fontId="132" fillId="0" borderId="0" xfId="0" applyNumberFormat="1" applyFont="1"/>
    <xf numFmtId="3" fontId="133" fillId="0" borderId="0" xfId="0" applyNumberFormat="1" applyFont="1"/>
    <xf numFmtId="3" fontId="134" fillId="0" borderId="0" xfId="0" applyNumberFormat="1" applyFont="1"/>
    <xf numFmtId="3" fontId="135" fillId="0" borderId="0" xfId="0" applyNumberFormat="1" applyFont="1"/>
    <xf numFmtId="3" fontId="136" fillId="0" borderId="0" xfId="0" applyNumberFormat="1" applyFont="1"/>
    <xf numFmtId="3" fontId="137" fillId="0" borderId="0" xfId="0" applyNumberFormat="1" applyFont="1"/>
    <xf numFmtId="3" fontId="138" fillId="0" borderId="0" xfId="0" applyNumberFormat="1" applyFont="1"/>
    <xf numFmtId="3" fontId="139" fillId="0" borderId="0" xfId="0" applyNumberFormat="1" applyFont="1"/>
    <xf numFmtId="3" fontId="140" fillId="0" borderId="0" xfId="0" applyNumberFormat="1" applyFont="1"/>
    <xf numFmtId="3" fontId="141" fillId="0" borderId="0" xfId="0" applyNumberFormat="1" applyFont="1"/>
    <xf numFmtId="3" fontId="142" fillId="0" borderId="0" xfId="0" applyNumberFormat="1" applyFont="1"/>
    <xf numFmtId="3" fontId="143" fillId="0" borderId="0" xfId="0" applyNumberFormat="1" applyFont="1"/>
    <xf numFmtId="3" fontId="144" fillId="0" borderId="0" xfId="0" applyNumberFormat="1" applyFont="1"/>
    <xf numFmtId="3" fontId="145" fillId="0" borderId="0" xfId="0" applyNumberFormat="1" applyFont="1"/>
    <xf numFmtId="3" fontId="146" fillId="0" borderId="0" xfId="0" applyNumberFormat="1" applyFont="1"/>
    <xf numFmtId="3" fontId="147" fillId="0" borderId="0" xfId="0" applyNumberFormat="1" applyFont="1"/>
    <xf numFmtId="3" fontId="148" fillId="0" borderId="0" xfId="0" applyNumberFormat="1" applyFont="1"/>
    <xf numFmtId="3" fontId="149" fillId="0" borderId="0" xfId="0" applyNumberFormat="1" applyFont="1"/>
    <xf numFmtId="3" fontId="150" fillId="0" borderId="0" xfId="0" applyNumberFormat="1" applyFont="1"/>
    <xf numFmtId="3" fontId="151" fillId="0" borderId="0" xfId="0" applyNumberFormat="1" applyFont="1"/>
    <xf numFmtId="3" fontId="152" fillId="0" borderId="0" xfId="0" applyNumberFormat="1" applyFont="1"/>
    <xf numFmtId="3" fontId="153" fillId="0" borderId="0" xfId="0" applyNumberFormat="1" applyFont="1"/>
    <xf numFmtId="3" fontId="154" fillId="0" borderId="0" xfId="0" applyNumberFormat="1" applyFont="1"/>
    <xf numFmtId="3" fontId="155" fillId="0" borderId="0" xfId="0" applyNumberFormat="1" applyFont="1"/>
    <xf numFmtId="3" fontId="156" fillId="0" borderId="0" xfId="0" applyNumberFormat="1" applyFont="1"/>
    <xf numFmtId="3" fontId="157" fillId="0" borderId="0" xfId="0" applyNumberFormat="1" applyFont="1"/>
    <xf numFmtId="3" fontId="158" fillId="0" borderId="0" xfId="0" applyNumberFormat="1" applyFont="1"/>
    <xf numFmtId="3" fontId="159" fillId="0" borderId="0" xfId="0" applyNumberFormat="1" applyFont="1"/>
    <xf numFmtId="3" fontId="160" fillId="0" borderId="0" xfId="0" applyNumberFormat="1" applyFont="1"/>
    <xf numFmtId="3" fontId="161" fillId="0" borderId="0" xfId="0" applyNumberFormat="1" applyFont="1"/>
    <xf numFmtId="3" fontId="162" fillId="0" borderId="0" xfId="0" applyNumberFormat="1" applyFont="1"/>
    <xf numFmtId="3" fontId="163" fillId="0" borderId="0" xfId="0" applyNumberFormat="1" applyFont="1"/>
    <xf numFmtId="3" fontId="164" fillId="0" borderId="0" xfId="0" applyNumberFormat="1" applyFont="1"/>
    <xf numFmtId="3" fontId="165" fillId="0" borderId="0" xfId="0" applyNumberFormat="1" applyFont="1"/>
    <xf numFmtId="3" fontId="166" fillId="0" borderId="0" xfId="0" applyNumberFormat="1" applyFont="1"/>
    <xf numFmtId="3" fontId="167" fillId="0" borderId="0" xfId="0" applyNumberFormat="1" applyFont="1"/>
    <xf numFmtId="3" fontId="168" fillId="0" borderId="0" xfId="0" applyNumberFormat="1" applyFont="1"/>
    <xf numFmtId="3" fontId="169" fillId="0" borderId="0" xfId="0" applyNumberFormat="1" applyFont="1"/>
    <xf numFmtId="3" fontId="170" fillId="0" borderId="0" xfId="0" applyNumberFormat="1" applyFont="1"/>
    <xf numFmtId="3" fontId="171" fillId="0" borderId="0" xfId="0" applyNumberFormat="1" applyFont="1"/>
    <xf numFmtId="3" fontId="172" fillId="0" borderId="0" xfId="0" applyNumberFormat="1" applyFont="1"/>
    <xf numFmtId="3" fontId="173" fillId="0" borderId="0" xfId="0" applyNumberFormat="1" applyFont="1"/>
    <xf numFmtId="3" fontId="174" fillId="0" borderId="0" xfId="0" applyNumberFormat="1" applyFont="1"/>
    <xf numFmtId="3" fontId="175" fillId="0" borderId="0" xfId="0" applyNumberFormat="1" applyFont="1"/>
    <xf numFmtId="3" fontId="176" fillId="0" borderId="0" xfId="0" applyNumberFormat="1" applyFont="1"/>
    <xf numFmtId="3" fontId="177" fillId="0" borderId="0" xfId="0" applyNumberFormat="1" applyFont="1"/>
    <xf numFmtId="3" fontId="178" fillId="0" borderId="0" xfId="0" applyNumberFormat="1" applyFont="1"/>
    <xf numFmtId="3" fontId="179" fillId="0" borderId="0" xfId="0" applyNumberFormat="1" applyFont="1"/>
    <xf numFmtId="3" fontId="180" fillId="0" borderId="0" xfId="0" applyNumberFormat="1" applyFont="1"/>
    <xf numFmtId="3" fontId="181" fillId="0" borderId="0" xfId="0" applyNumberFormat="1" applyFont="1"/>
    <xf numFmtId="3" fontId="182" fillId="0" borderId="0" xfId="0" applyNumberFormat="1" applyFont="1"/>
    <xf numFmtId="3" fontId="183" fillId="0" borderId="0" xfId="0" applyNumberFormat="1" applyFont="1"/>
    <xf numFmtId="3" fontId="184" fillId="0" borderId="0" xfId="0" applyNumberFormat="1" applyFont="1"/>
    <xf numFmtId="3" fontId="185" fillId="0" borderId="0" xfId="0" applyNumberFormat="1" applyFont="1"/>
    <xf numFmtId="3" fontId="186" fillId="0" borderId="0" xfId="0" applyNumberFormat="1" applyFont="1"/>
    <xf numFmtId="3" fontId="187" fillId="0" borderId="0" xfId="0" applyNumberFormat="1" applyFont="1"/>
    <xf numFmtId="3" fontId="188" fillId="0" borderId="0" xfId="0" applyNumberFormat="1" applyFont="1"/>
    <xf numFmtId="3" fontId="189" fillId="0" borderId="0" xfId="0" applyNumberFormat="1" applyFont="1"/>
    <xf numFmtId="3" fontId="190" fillId="0" borderId="0" xfId="0" applyNumberFormat="1" applyFont="1"/>
    <xf numFmtId="3" fontId="191" fillId="0" borderId="0" xfId="0" applyNumberFormat="1" applyFont="1"/>
    <xf numFmtId="3" fontId="192" fillId="0" borderId="0" xfId="0" applyNumberFormat="1" applyFont="1"/>
    <xf numFmtId="3" fontId="193" fillId="0" borderId="0" xfId="0" applyNumberFormat="1" applyFont="1"/>
    <xf numFmtId="3" fontId="194" fillId="0" borderId="0" xfId="0" applyNumberFormat="1" applyFont="1"/>
    <xf numFmtId="3" fontId="195" fillId="0" borderId="0" xfId="0" applyNumberFormat="1" applyFont="1"/>
    <xf numFmtId="3" fontId="196" fillId="0" borderId="0" xfId="0" applyNumberFormat="1" applyFont="1"/>
    <xf numFmtId="3" fontId="197" fillId="0" borderId="0" xfId="0" applyNumberFormat="1" applyFont="1"/>
    <xf numFmtId="3" fontId="198" fillId="0" borderId="0" xfId="0" applyNumberFormat="1" applyFont="1"/>
    <xf numFmtId="3" fontId="199" fillId="0" borderId="0" xfId="0" applyNumberFormat="1" applyFont="1"/>
    <xf numFmtId="3" fontId="200" fillId="0" borderId="0" xfId="0" applyNumberFormat="1" applyFont="1"/>
    <xf numFmtId="3" fontId="201" fillId="0" borderId="0" xfId="0" applyNumberFormat="1" applyFont="1"/>
    <xf numFmtId="3" fontId="202" fillId="0" borderId="0" xfId="0" applyNumberFormat="1" applyFont="1"/>
    <xf numFmtId="3" fontId="203" fillId="0" borderId="0" xfId="0" applyNumberFormat="1" applyFont="1"/>
    <xf numFmtId="3" fontId="204" fillId="0" borderId="0" xfId="0" applyNumberFormat="1" applyFont="1"/>
    <xf numFmtId="3" fontId="205" fillId="0" borderId="0" xfId="0" applyNumberFormat="1" applyFont="1"/>
    <xf numFmtId="3" fontId="206" fillId="0" borderId="0" xfId="0" applyNumberFormat="1" applyFont="1"/>
    <xf numFmtId="3" fontId="207" fillId="0" borderId="0" xfId="0" applyNumberFormat="1" applyFont="1"/>
    <xf numFmtId="3" fontId="208" fillId="0" borderId="0" xfId="0" applyNumberFormat="1" applyFont="1"/>
    <xf numFmtId="3" fontId="209" fillId="0" borderId="0" xfId="0" applyNumberFormat="1" applyFont="1"/>
    <xf numFmtId="3" fontId="210" fillId="0" borderId="0" xfId="0" applyNumberFormat="1" applyFont="1"/>
    <xf numFmtId="3" fontId="211" fillId="0" borderId="0" xfId="0" applyNumberFormat="1" applyFont="1"/>
    <xf numFmtId="3" fontId="212" fillId="0" borderId="0" xfId="0" applyNumberFormat="1" applyFont="1"/>
    <xf numFmtId="3" fontId="213" fillId="0" borderId="0" xfId="0" applyNumberFormat="1" applyFont="1"/>
    <xf numFmtId="3" fontId="214" fillId="0" borderId="0" xfId="0" applyNumberFormat="1" applyFont="1"/>
    <xf numFmtId="3" fontId="215" fillId="0" borderId="0" xfId="0" applyNumberFormat="1" applyFont="1"/>
    <xf numFmtId="3" fontId="216" fillId="0" borderId="0" xfId="0" applyNumberFormat="1" applyFont="1"/>
    <xf numFmtId="3" fontId="217" fillId="0" borderId="0" xfId="0" applyNumberFormat="1" applyFont="1"/>
    <xf numFmtId="3" fontId="218" fillId="0" borderId="0" xfId="0" applyNumberFormat="1" applyFont="1"/>
    <xf numFmtId="3" fontId="219" fillId="0" borderId="0" xfId="0" applyNumberFormat="1" applyFont="1"/>
    <xf numFmtId="3" fontId="220" fillId="0" borderId="0" xfId="0" applyNumberFormat="1" applyFont="1"/>
    <xf numFmtId="3" fontId="221" fillId="0" borderId="0" xfId="0" applyNumberFormat="1" applyFont="1"/>
    <xf numFmtId="3" fontId="222" fillId="0" borderId="0" xfId="0" applyNumberFormat="1" applyFont="1"/>
    <xf numFmtId="3" fontId="223" fillId="0" borderId="0" xfId="0" applyNumberFormat="1" applyFont="1"/>
    <xf numFmtId="3" fontId="224" fillId="0" borderId="0" xfId="0" applyNumberFormat="1" applyFont="1"/>
    <xf numFmtId="3" fontId="225" fillId="0" borderId="0" xfId="0" applyNumberFormat="1" applyFont="1"/>
    <xf numFmtId="3" fontId="226" fillId="0" borderId="0" xfId="0" applyNumberFormat="1" applyFont="1"/>
    <xf numFmtId="3" fontId="227" fillId="0" borderId="0" xfId="0" applyNumberFormat="1" applyFont="1"/>
    <xf numFmtId="3" fontId="228" fillId="0" borderId="0" xfId="0" applyNumberFormat="1" applyFont="1"/>
    <xf numFmtId="3" fontId="229" fillId="0" borderId="0" xfId="0" applyNumberFormat="1" applyFont="1"/>
    <xf numFmtId="3" fontId="230" fillId="0" borderId="0" xfId="0" applyNumberFormat="1" applyFont="1"/>
    <xf numFmtId="3" fontId="231" fillId="0" borderId="0" xfId="0" applyNumberFormat="1" applyFont="1"/>
    <xf numFmtId="3" fontId="232" fillId="0" borderId="0" xfId="0" applyNumberFormat="1" applyFont="1"/>
    <xf numFmtId="3" fontId="233" fillId="0" borderId="0" xfId="0" applyNumberFormat="1" applyFont="1"/>
    <xf numFmtId="3" fontId="234" fillId="0" borderId="0" xfId="0" applyNumberFormat="1" applyFont="1"/>
    <xf numFmtId="3" fontId="235" fillId="0" borderId="0" xfId="0" applyNumberFormat="1" applyFont="1"/>
    <xf numFmtId="3" fontId="236" fillId="0" borderId="0" xfId="0" applyNumberFormat="1" applyFont="1"/>
    <xf numFmtId="3" fontId="237" fillId="0" borderId="0" xfId="0" applyNumberFormat="1" applyFont="1"/>
    <xf numFmtId="3" fontId="238" fillId="0" borderId="0" xfId="0" applyNumberFormat="1" applyFont="1"/>
    <xf numFmtId="3" fontId="239" fillId="0" borderId="0" xfId="0" applyNumberFormat="1" applyFont="1"/>
    <xf numFmtId="3" fontId="240" fillId="0" borderId="0" xfId="0" applyNumberFormat="1" applyFont="1"/>
    <xf numFmtId="3" fontId="241" fillId="0" borderId="0" xfId="0" applyNumberFormat="1" applyFont="1"/>
    <xf numFmtId="3" fontId="242" fillId="0" borderId="0" xfId="0" applyNumberFormat="1" applyFont="1"/>
    <xf numFmtId="3" fontId="243" fillId="0" borderId="0" xfId="0" applyNumberFormat="1" applyFont="1"/>
    <xf numFmtId="3" fontId="244" fillId="0" borderId="0" xfId="0" applyNumberFormat="1" applyFont="1"/>
    <xf numFmtId="3" fontId="245" fillId="0" borderId="0" xfId="0" applyNumberFormat="1" applyFont="1"/>
    <xf numFmtId="3" fontId="246" fillId="0" borderId="0" xfId="0" applyNumberFormat="1" applyFont="1"/>
    <xf numFmtId="3" fontId="247" fillId="0" borderId="0" xfId="0" applyNumberFormat="1" applyFont="1"/>
    <xf numFmtId="3" fontId="248" fillId="0" borderId="0" xfId="0" applyNumberFormat="1" applyFont="1"/>
    <xf numFmtId="3" fontId="249" fillId="0" borderId="0" xfId="0" applyNumberFormat="1" applyFont="1"/>
    <xf numFmtId="3" fontId="250" fillId="0" borderId="0" xfId="0" applyNumberFormat="1" applyFont="1"/>
    <xf numFmtId="3" fontId="251" fillId="0" borderId="0" xfId="0" applyNumberFormat="1" applyFont="1"/>
    <xf numFmtId="3" fontId="252" fillId="0" borderId="0" xfId="0" applyNumberFormat="1" applyFont="1"/>
    <xf numFmtId="3" fontId="253" fillId="0" borderId="0" xfId="0" applyNumberFormat="1" applyFont="1"/>
    <xf numFmtId="3" fontId="254" fillId="0" borderId="0" xfId="0" applyNumberFormat="1" applyFont="1"/>
    <xf numFmtId="3" fontId="255" fillId="0" borderId="0" xfId="0" applyNumberFormat="1" applyFont="1"/>
    <xf numFmtId="3" fontId="256" fillId="0" borderId="0" xfId="0" applyNumberFormat="1" applyFont="1"/>
    <xf numFmtId="3" fontId="257" fillId="0" borderId="0" xfId="0" applyNumberFormat="1" applyFont="1"/>
    <xf numFmtId="3" fontId="258" fillId="0" borderId="0" xfId="0" applyNumberFormat="1" applyFont="1"/>
    <xf numFmtId="3" fontId="259" fillId="0" borderId="0" xfId="0" applyNumberFormat="1" applyFont="1"/>
    <xf numFmtId="3" fontId="260" fillId="0" borderId="0" xfId="0" applyNumberFormat="1" applyFont="1"/>
    <xf numFmtId="3" fontId="261" fillId="0" borderId="0" xfId="0" applyNumberFormat="1" applyFont="1"/>
    <xf numFmtId="3" fontId="262" fillId="0" borderId="0" xfId="0" applyNumberFormat="1" applyFont="1"/>
    <xf numFmtId="3" fontId="263" fillId="0" borderId="0" xfId="0" applyNumberFormat="1" applyFont="1"/>
    <xf numFmtId="3" fontId="264" fillId="0" borderId="0" xfId="0" applyNumberFormat="1" applyFont="1"/>
    <xf numFmtId="3" fontId="265" fillId="0" borderId="0" xfId="0" applyNumberFormat="1" applyFont="1"/>
    <xf numFmtId="3" fontId="266" fillId="0" borderId="0" xfId="0" applyNumberFormat="1" applyFont="1"/>
    <xf numFmtId="3" fontId="267" fillId="0" borderId="0" xfId="0" applyNumberFormat="1" applyFont="1"/>
    <xf numFmtId="3" fontId="268" fillId="0" borderId="0" xfId="0" applyNumberFormat="1" applyFont="1"/>
    <xf numFmtId="3" fontId="269" fillId="0" borderId="0" xfId="0" applyNumberFormat="1" applyFont="1"/>
    <xf numFmtId="3" fontId="270" fillId="0" borderId="0" xfId="0" applyNumberFormat="1" applyFont="1"/>
    <xf numFmtId="3" fontId="271" fillId="0" borderId="0" xfId="0" applyNumberFormat="1" applyFont="1"/>
    <xf numFmtId="3" fontId="272" fillId="0" borderId="0" xfId="0" applyNumberFormat="1" applyFont="1"/>
    <xf numFmtId="3" fontId="273" fillId="0" borderId="0" xfId="0" applyNumberFormat="1" applyFont="1"/>
    <xf numFmtId="3" fontId="274" fillId="0" borderId="0" xfId="0" applyNumberFormat="1" applyFont="1"/>
    <xf numFmtId="3" fontId="275" fillId="0" borderId="0" xfId="0" applyNumberFormat="1" applyFont="1"/>
    <xf numFmtId="3" fontId="276" fillId="0" borderId="0" xfId="0" applyNumberFormat="1" applyFont="1"/>
    <xf numFmtId="3" fontId="277" fillId="0" borderId="0" xfId="0" applyNumberFormat="1" applyFont="1"/>
    <xf numFmtId="3" fontId="278" fillId="0" borderId="0" xfId="0" applyNumberFormat="1" applyFont="1"/>
    <xf numFmtId="3" fontId="279" fillId="0" borderId="0" xfId="0" applyNumberFormat="1" applyFont="1"/>
    <xf numFmtId="3" fontId="280" fillId="0" borderId="0" xfId="0" applyNumberFormat="1" applyFont="1"/>
    <xf numFmtId="3" fontId="281" fillId="0" borderId="0" xfId="0" applyNumberFormat="1" applyFont="1"/>
    <xf numFmtId="3" fontId="282" fillId="0" borderId="0" xfId="0" applyNumberFormat="1" applyFont="1"/>
    <xf numFmtId="3" fontId="283" fillId="0" borderId="0" xfId="0" applyNumberFormat="1" applyFont="1"/>
    <xf numFmtId="3" fontId="284" fillId="0" borderId="0" xfId="0" applyNumberFormat="1" applyFont="1"/>
    <xf numFmtId="3" fontId="285" fillId="0" borderId="0" xfId="0" applyNumberFormat="1" applyFont="1"/>
    <xf numFmtId="3" fontId="286" fillId="0" borderId="0" xfId="0" applyNumberFormat="1" applyFont="1"/>
    <xf numFmtId="3" fontId="287" fillId="0" borderId="0" xfId="0" applyNumberFormat="1" applyFont="1"/>
    <xf numFmtId="3" fontId="288" fillId="0" borderId="0" xfId="0" applyNumberFormat="1" applyFont="1"/>
    <xf numFmtId="3" fontId="289" fillId="0" borderId="0" xfId="0" applyNumberFormat="1" applyFont="1"/>
    <xf numFmtId="3" fontId="290" fillId="0" borderId="0" xfId="0" applyNumberFormat="1" applyFont="1"/>
    <xf numFmtId="3" fontId="291" fillId="0" borderId="0" xfId="0" applyNumberFormat="1" applyFont="1"/>
    <xf numFmtId="3" fontId="292" fillId="0" borderId="0" xfId="0" applyNumberFormat="1" applyFont="1"/>
    <xf numFmtId="3" fontId="293" fillId="0" borderId="0" xfId="0" applyNumberFormat="1" applyFont="1"/>
    <xf numFmtId="3" fontId="294" fillId="0" borderId="0" xfId="0" applyNumberFormat="1" applyFont="1"/>
    <xf numFmtId="3" fontId="295" fillId="0" borderId="0" xfId="0" applyNumberFormat="1" applyFont="1"/>
    <xf numFmtId="3" fontId="296" fillId="0" borderId="0" xfId="0" applyNumberFormat="1" applyFont="1"/>
    <xf numFmtId="3" fontId="297" fillId="0" borderId="0" xfId="0" applyNumberFormat="1" applyFont="1"/>
    <xf numFmtId="3" fontId="298" fillId="0" borderId="0" xfId="0" applyNumberFormat="1" applyFont="1"/>
    <xf numFmtId="3" fontId="299" fillId="0" borderId="0" xfId="0" applyNumberFormat="1" applyFont="1"/>
    <xf numFmtId="3" fontId="300" fillId="0" borderId="0" xfId="0" applyNumberFormat="1" applyFont="1"/>
    <xf numFmtId="3" fontId="301" fillId="0" borderId="0" xfId="0" applyNumberFormat="1" applyFont="1"/>
    <xf numFmtId="3" fontId="302" fillId="0" borderId="0" xfId="0" applyNumberFormat="1" applyFont="1"/>
    <xf numFmtId="3" fontId="303" fillId="0" borderId="0" xfId="0" applyNumberFormat="1" applyFont="1"/>
    <xf numFmtId="3" fontId="304" fillId="0" borderId="0" xfId="0" applyNumberFormat="1" applyFont="1"/>
    <xf numFmtId="3" fontId="305" fillId="0" borderId="0" xfId="0" applyNumberFormat="1" applyFont="1"/>
    <xf numFmtId="3" fontId="306" fillId="0" borderId="0" xfId="0" applyNumberFormat="1" applyFont="1"/>
    <xf numFmtId="3" fontId="307" fillId="0" borderId="0" xfId="0" applyNumberFormat="1" applyFont="1"/>
    <xf numFmtId="3" fontId="308" fillId="0" borderId="0" xfId="0" applyNumberFormat="1" applyFont="1"/>
    <xf numFmtId="3" fontId="309" fillId="0" borderId="0" xfId="0" applyNumberFormat="1" applyFont="1"/>
    <xf numFmtId="3" fontId="310" fillId="0" borderId="0" xfId="0" applyNumberFormat="1" applyFont="1"/>
    <xf numFmtId="3" fontId="312" fillId="0" borderId="0" xfId="0" applyNumberFormat="1" applyFont="1"/>
    <xf numFmtId="3" fontId="313" fillId="0" borderId="0" xfId="0" applyNumberFormat="1" applyFont="1"/>
    <xf numFmtId="3" fontId="314" fillId="0" borderId="0" xfId="0" applyNumberFormat="1" applyFont="1"/>
    <xf numFmtId="3" fontId="315" fillId="0" borderId="0" xfId="0" applyNumberFormat="1" applyFont="1"/>
    <xf numFmtId="3" fontId="316" fillId="0" borderId="0" xfId="0" applyNumberFormat="1" applyFont="1"/>
    <xf numFmtId="3" fontId="317" fillId="0" borderId="0" xfId="0" applyNumberFormat="1" applyFont="1"/>
    <xf numFmtId="3" fontId="318" fillId="0" borderId="0" xfId="0" applyNumberFormat="1" applyFont="1"/>
    <xf numFmtId="3" fontId="319" fillId="0" borderId="0" xfId="0" applyNumberFormat="1" applyFont="1"/>
    <xf numFmtId="3" fontId="320" fillId="0" borderId="0" xfId="0" applyNumberFormat="1" applyFont="1"/>
    <xf numFmtId="3" fontId="321" fillId="0" borderId="0" xfId="0" applyNumberFormat="1" applyFont="1"/>
    <xf numFmtId="3" fontId="322" fillId="0" borderId="0" xfId="0" applyNumberFormat="1" applyFont="1"/>
    <xf numFmtId="3" fontId="323" fillId="0" borderId="0" xfId="0" applyNumberFormat="1" applyFont="1"/>
    <xf numFmtId="3" fontId="324" fillId="0" borderId="0" xfId="0" applyNumberFormat="1" applyFont="1"/>
    <xf numFmtId="3" fontId="325" fillId="0" borderId="0" xfId="0" applyNumberFormat="1" applyFont="1"/>
    <xf numFmtId="3" fontId="326" fillId="0" borderId="0" xfId="0" applyNumberFormat="1" applyFont="1"/>
    <xf numFmtId="3" fontId="327" fillId="0" borderId="0" xfId="0" applyNumberFormat="1" applyFont="1"/>
    <xf numFmtId="3" fontId="328" fillId="0" borderId="0" xfId="0" applyNumberFormat="1" applyFont="1"/>
    <xf numFmtId="3" fontId="329" fillId="0" borderId="0" xfId="0" applyNumberFormat="1" applyFont="1"/>
    <xf numFmtId="3" fontId="330" fillId="0" borderId="0" xfId="0" applyNumberFormat="1" applyFont="1"/>
    <xf numFmtId="3" fontId="331" fillId="0" borderId="0" xfId="0" applyNumberFormat="1" applyFont="1"/>
    <xf numFmtId="3" fontId="332" fillId="0" borderId="0" xfId="0" applyNumberFormat="1" applyFont="1"/>
    <xf numFmtId="3" fontId="333" fillId="0" borderId="0" xfId="0" applyNumberFormat="1" applyFont="1"/>
    <xf numFmtId="3" fontId="334" fillId="0" borderId="0" xfId="0" applyNumberFormat="1" applyFont="1"/>
    <xf numFmtId="3" fontId="335" fillId="0" borderId="0" xfId="0" applyNumberFormat="1" applyFont="1"/>
    <xf numFmtId="3" fontId="336" fillId="0" borderId="0" xfId="0" applyNumberFormat="1" applyFont="1"/>
    <xf numFmtId="3" fontId="337" fillId="0" borderId="0" xfId="0" applyNumberFormat="1" applyFont="1"/>
    <xf numFmtId="3" fontId="338" fillId="0" borderId="0" xfId="0" applyNumberFormat="1" applyFont="1"/>
    <xf numFmtId="3" fontId="339" fillId="0" borderId="0" xfId="0" applyNumberFormat="1" applyFont="1"/>
    <xf numFmtId="3" fontId="340" fillId="0" borderId="0" xfId="0" applyNumberFormat="1" applyFont="1"/>
    <xf numFmtId="3" fontId="341" fillId="0" borderId="0" xfId="0" applyNumberFormat="1" applyFont="1"/>
    <xf numFmtId="3" fontId="342" fillId="0" borderId="0" xfId="0" applyNumberFormat="1" applyFont="1"/>
    <xf numFmtId="3" fontId="343" fillId="0" borderId="0" xfId="0" applyNumberFormat="1" applyFont="1"/>
    <xf numFmtId="3" fontId="344" fillId="0" borderId="0" xfId="0" applyNumberFormat="1" applyFont="1"/>
    <xf numFmtId="3" fontId="345" fillId="0" borderId="0" xfId="0" applyNumberFormat="1" applyFont="1"/>
    <xf numFmtId="3" fontId="346" fillId="0" borderId="0" xfId="0" applyNumberFormat="1" applyFont="1"/>
    <xf numFmtId="3" fontId="347" fillId="0" borderId="0" xfId="0" applyNumberFormat="1" applyFont="1"/>
    <xf numFmtId="3" fontId="348" fillId="0" borderId="0" xfId="0" applyNumberFormat="1" applyFont="1"/>
    <xf numFmtId="3" fontId="349" fillId="0" borderId="0" xfId="0" applyNumberFormat="1" applyFont="1"/>
    <xf numFmtId="3" fontId="350" fillId="0" borderId="0" xfId="0" applyNumberFormat="1" applyFont="1"/>
    <xf numFmtId="3" fontId="351" fillId="0" borderId="0" xfId="0" applyNumberFormat="1" applyFont="1"/>
    <xf numFmtId="3" fontId="352" fillId="0" borderId="0" xfId="0" applyNumberFormat="1" applyFont="1"/>
    <xf numFmtId="3" fontId="353" fillId="0" borderId="0" xfId="0" applyNumberFormat="1" applyFont="1"/>
    <xf numFmtId="3" fontId="354" fillId="0" borderId="0" xfId="0" applyNumberFormat="1" applyFont="1"/>
    <xf numFmtId="3" fontId="355" fillId="0" borderId="0" xfId="0" applyNumberFormat="1" applyFont="1"/>
    <xf numFmtId="3" fontId="356" fillId="0" borderId="0" xfId="0" applyNumberFormat="1" applyFont="1"/>
    <xf numFmtId="3" fontId="357" fillId="0" borderId="0" xfId="0" applyNumberFormat="1" applyFont="1"/>
    <xf numFmtId="3" fontId="358" fillId="0" borderId="0" xfId="0" applyNumberFormat="1" applyFont="1"/>
    <xf numFmtId="3" fontId="359" fillId="0" borderId="0" xfId="0" applyNumberFormat="1" applyFont="1"/>
    <xf numFmtId="3" fontId="360" fillId="0" borderId="0" xfId="0" applyNumberFormat="1" applyFont="1"/>
    <xf numFmtId="3" fontId="361" fillId="0" borderId="0" xfId="0" applyNumberFormat="1" applyFont="1"/>
    <xf numFmtId="3" fontId="362" fillId="0" borderId="0" xfId="0" applyNumberFormat="1" applyFont="1"/>
    <xf numFmtId="3" fontId="363" fillId="0" borderId="0" xfId="0" applyNumberFormat="1" applyFont="1"/>
    <xf numFmtId="3" fontId="364" fillId="0" borderId="0" xfId="0" applyNumberFormat="1" applyFont="1"/>
    <xf numFmtId="3" fontId="365" fillId="0" borderId="0" xfId="0" applyNumberFormat="1" applyFont="1"/>
    <xf numFmtId="3" fontId="366" fillId="0" borderId="0" xfId="0" applyNumberFormat="1" applyFont="1"/>
    <xf numFmtId="3" fontId="367" fillId="0" borderId="0" xfId="0" applyNumberFormat="1" applyFont="1"/>
    <xf numFmtId="3" fontId="368" fillId="0" borderId="0" xfId="0" applyNumberFormat="1" applyFont="1"/>
    <xf numFmtId="3" fontId="369" fillId="0" borderId="0" xfId="0" applyNumberFormat="1" applyFont="1"/>
    <xf numFmtId="3" fontId="370" fillId="0" borderId="0" xfId="0" applyNumberFormat="1" applyFont="1"/>
    <xf numFmtId="3" fontId="371" fillId="0" borderId="0" xfId="0" applyNumberFormat="1" applyFont="1"/>
    <xf numFmtId="3" fontId="372" fillId="0" borderId="0" xfId="0" applyNumberFormat="1" applyFont="1"/>
    <xf numFmtId="3" fontId="373" fillId="0" borderId="0" xfId="0" applyNumberFormat="1" applyFont="1"/>
    <xf numFmtId="3" fontId="374" fillId="0" borderId="0" xfId="0" applyNumberFormat="1" applyFont="1"/>
    <xf numFmtId="3" fontId="375" fillId="0" borderId="0" xfId="0" applyNumberFormat="1" applyFont="1"/>
    <xf numFmtId="3" fontId="376" fillId="0" borderId="0" xfId="0" applyNumberFormat="1" applyFont="1"/>
    <xf numFmtId="3" fontId="377" fillId="0" borderId="0" xfId="0" applyNumberFormat="1" applyFont="1"/>
    <xf numFmtId="3" fontId="378" fillId="0" borderId="0" xfId="0" applyNumberFormat="1" applyFont="1"/>
    <xf numFmtId="3" fontId="379" fillId="0" borderId="0" xfId="0" applyNumberFormat="1" applyFont="1"/>
    <xf numFmtId="3" fontId="380" fillId="0" borderId="0" xfId="0" applyNumberFormat="1" applyFont="1"/>
    <xf numFmtId="3" fontId="381" fillId="0" borderId="0" xfId="0" applyNumberFormat="1" applyFont="1"/>
    <xf numFmtId="3" fontId="382" fillId="0" borderId="0" xfId="0" applyNumberFormat="1" applyFont="1"/>
    <xf numFmtId="3" fontId="383" fillId="0" borderId="0" xfId="0" applyNumberFormat="1" applyFont="1"/>
    <xf numFmtId="3" fontId="384" fillId="0" borderId="0" xfId="0" applyNumberFormat="1" applyFont="1"/>
    <xf numFmtId="3" fontId="385" fillId="0" borderId="0" xfId="0" applyNumberFormat="1" applyFont="1"/>
    <xf numFmtId="3" fontId="386" fillId="0" borderId="0" xfId="0" applyNumberFormat="1" applyFont="1"/>
    <xf numFmtId="3" fontId="387" fillId="0" borderId="0" xfId="0" applyNumberFormat="1" applyFont="1"/>
    <xf numFmtId="3" fontId="388" fillId="0" borderId="0" xfId="0" applyNumberFormat="1" applyFont="1"/>
    <xf numFmtId="3" fontId="389" fillId="0" borderId="0" xfId="0" applyNumberFormat="1" applyFont="1"/>
    <xf numFmtId="3" fontId="390" fillId="0" borderId="0" xfId="0" applyNumberFormat="1" applyFont="1"/>
    <xf numFmtId="3" fontId="391" fillId="0" borderId="0" xfId="0" applyNumberFormat="1" applyFont="1"/>
    <xf numFmtId="3" fontId="392" fillId="0" borderId="0" xfId="0" applyNumberFormat="1" applyFont="1"/>
    <xf numFmtId="3" fontId="393" fillId="0" borderId="0" xfId="0" applyNumberFormat="1" applyFont="1"/>
    <xf numFmtId="3" fontId="394" fillId="0" borderId="0" xfId="0" applyNumberFormat="1" applyFont="1"/>
    <xf numFmtId="3" fontId="395" fillId="0" borderId="0" xfId="0" applyNumberFormat="1" applyFont="1"/>
    <xf numFmtId="3" fontId="396" fillId="0" borderId="0" xfId="0" applyNumberFormat="1" applyFont="1"/>
    <xf numFmtId="3" fontId="397" fillId="0" borderId="0" xfId="0" applyNumberFormat="1" applyFont="1"/>
    <xf numFmtId="3" fontId="398" fillId="0" borderId="0" xfId="0" applyNumberFormat="1" applyFont="1"/>
    <xf numFmtId="3" fontId="399" fillId="0" borderId="0" xfId="0" applyNumberFormat="1" applyFont="1"/>
    <xf numFmtId="3" fontId="400" fillId="0" borderId="0" xfId="0" applyNumberFormat="1" applyFont="1"/>
    <xf numFmtId="3" fontId="401" fillId="0" borderId="0" xfId="0" applyNumberFormat="1" applyFont="1"/>
    <xf numFmtId="3" fontId="402" fillId="0" borderId="0" xfId="0" applyNumberFormat="1" applyFont="1"/>
    <xf numFmtId="3" fontId="403" fillId="0" borderId="0" xfId="0" applyNumberFormat="1" applyFont="1"/>
    <xf numFmtId="3" fontId="404" fillId="0" borderId="0" xfId="0" applyNumberFormat="1" applyFont="1"/>
    <xf numFmtId="3" fontId="405" fillId="0" borderId="0" xfId="0" applyNumberFormat="1" applyFont="1"/>
    <xf numFmtId="3" fontId="406" fillId="0" borderId="0" xfId="0" applyNumberFormat="1" applyFont="1"/>
    <xf numFmtId="3" fontId="407" fillId="0" borderId="0" xfId="0" applyNumberFormat="1" applyFont="1"/>
    <xf numFmtId="3" fontId="408" fillId="0" borderId="0" xfId="0" applyNumberFormat="1" applyFont="1"/>
    <xf numFmtId="3" fontId="409" fillId="0" borderId="0" xfId="0" applyNumberFormat="1" applyFont="1"/>
    <xf numFmtId="3" fontId="410" fillId="0" borderId="0" xfId="0" applyNumberFormat="1" applyFont="1"/>
    <xf numFmtId="3" fontId="411" fillId="0" borderId="0" xfId="0" applyNumberFormat="1" applyFont="1"/>
    <xf numFmtId="3" fontId="412" fillId="0" borderId="0" xfId="0" applyNumberFormat="1" applyFont="1"/>
    <xf numFmtId="3" fontId="413" fillId="0" borderId="0" xfId="0" applyNumberFormat="1" applyFont="1"/>
    <xf numFmtId="3" fontId="414" fillId="0" borderId="0" xfId="0" applyNumberFormat="1" applyFont="1"/>
    <xf numFmtId="3" fontId="415" fillId="0" borderId="0" xfId="0" applyNumberFormat="1" applyFont="1"/>
    <xf numFmtId="3" fontId="416" fillId="0" borderId="0" xfId="0" applyNumberFormat="1" applyFont="1"/>
    <xf numFmtId="3" fontId="417" fillId="0" borderId="0" xfId="0" applyNumberFormat="1" applyFont="1"/>
    <xf numFmtId="3" fontId="418" fillId="0" borderId="0" xfId="0" applyNumberFormat="1" applyFont="1"/>
    <xf numFmtId="3" fontId="419" fillId="0" borderId="0" xfId="0" applyNumberFormat="1" applyFont="1"/>
    <xf numFmtId="3" fontId="420" fillId="0" borderId="0" xfId="0" applyNumberFormat="1" applyFont="1"/>
    <xf numFmtId="3" fontId="421" fillId="0" borderId="0" xfId="0" applyNumberFormat="1" applyFont="1"/>
    <xf numFmtId="3" fontId="422" fillId="0" borderId="0" xfId="0" applyNumberFormat="1" applyFont="1"/>
    <xf numFmtId="3" fontId="423" fillId="0" borderId="0" xfId="0" applyNumberFormat="1" applyFont="1"/>
    <xf numFmtId="3" fontId="424" fillId="0" borderId="0" xfId="0" applyNumberFormat="1" applyFont="1"/>
    <xf numFmtId="3" fontId="425" fillId="0" borderId="0" xfId="0" applyNumberFormat="1" applyFont="1"/>
    <xf numFmtId="3" fontId="426" fillId="0" borderId="0" xfId="0" applyNumberFormat="1" applyFont="1"/>
    <xf numFmtId="3" fontId="427" fillId="0" borderId="0" xfId="0" applyNumberFormat="1" applyFont="1"/>
    <xf numFmtId="3" fontId="428" fillId="0" borderId="0" xfId="0" applyNumberFormat="1" applyFont="1"/>
    <xf numFmtId="3" fontId="429" fillId="0" borderId="0" xfId="0" applyNumberFormat="1" applyFont="1"/>
    <xf numFmtId="3" fontId="430" fillId="0" borderId="0" xfId="0" applyNumberFormat="1" applyFont="1"/>
    <xf numFmtId="3" fontId="431" fillId="0" borderId="0" xfId="0" applyNumberFormat="1" applyFont="1"/>
    <xf numFmtId="3" fontId="432" fillId="0" borderId="0" xfId="0" applyNumberFormat="1" applyFont="1"/>
    <xf numFmtId="3" fontId="433" fillId="0" borderId="0" xfId="0" applyNumberFormat="1" applyFont="1"/>
    <xf numFmtId="3" fontId="434" fillId="0" borderId="0" xfId="0" applyNumberFormat="1" applyFont="1"/>
    <xf numFmtId="3" fontId="436" fillId="0" borderId="0" xfId="0" applyNumberFormat="1" applyFont="1"/>
    <xf numFmtId="3" fontId="437" fillId="0" borderId="0" xfId="0" applyNumberFormat="1" applyFont="1"/>
    <xf numFmtId="3" fontId="438" fillId="0" borderId="0" xfId="0" applyNumberFormat="1" applyFont="1"/>
    <xf numFmtId="3" fontId="439" fillId="0" borderId="0" xfId="0" applyNumberFormat="1" applyFont="1"/>
    <xf numFmtId="3" fontId="440" fillId="0" borderId="0" xfId="0" applyNumberFormat="1" applyFont="1"/>
    <xf numFmtId="3" fontId="441" fillId="0" borderId="0" xfId="0" applyNumberFormat="1" applyFont="1"/>
    <xf numFmtId="3" fontId="442" fillId="0" borderId="0" xfId="0" applyNumberFormat="1" applyFont="1"/>
    <xf numFmtId="3" fontId="443" fillId="0" borderId="0" xfId="0" applyNumberFormat="1" applyFont="1"/>
    <xf numFmtId="3" fontId="444" fillId="0" borderId="0" xfId="0" applyNumberFormat="1" applyFont="1"/>
    <xf numFmtId="3" fontId="445" fillId="0" borderId="0" xfId="0" applyNumberFormat="1" applyFont="1"/>
    <xf numFmtId="3" fontId="446" fillId="0" borderId="0" xfId="0" applyNumberFormat="1" applyFont="1"/>
    <xf numFmtId="3" fontId="447" fillId="0" borderId="0" xfId="0" applyNumberFormat="1" applyFont="1"/>
    <xf numFmtId="3" fontId="448" fillId="0" borderId="0" xfId="0" applyNumberFormat="1" applyFont="1"/>
    <xf numFmtId="3" fontId="449" fillId="0" borderId="0" xfId="0" applyNumberFormat="1" applyFont="1"/>
    <xf numFmtId="3" fontId="450" fillId="0" borderId="0" xfId="0" applyNumberFormat="1" applyFont="1"/>
    <xf numFmtId="3" fontId="451" fillId="0" borderId="0" xfId="0" applyNumberFormat="1" applyFont="1"/>
    <xf numFmtId="3" fontId="452" fillId="0" borderId="0" xfId="0" applyNumberFormat="1" applyFont="1"/>
    <xf numFmtId="3" fontId="453" fillId="0" borderId="0" xfId="0" applyNumberFormat="1" applyFont="1"/>
    <xf numFmtId="3" fontId="454" fillId="0" borderId="0" xfId="0" applyNumberFormat="1" applyFont="1"/>
    <xf numFmtId="3" fontId="455" fillId="0" borderId="0" xfId="0" applyNumberFormat="1" applyFont="1"/>
    <xf numFmtId="3" fontId="456" fillId="0" borderId="0" xfId="0" applyNumberFormat="1" applyFont="1"/>
    <xf numFmtId="3" fontId="457" fillId="0" borderId="0" xfId="0" applyNumberFormat="1" applyFont="1"/>
    <xf numFmtId="3" fontId="458" fillId="0" borderId="0" xfId="0" applyNumberFormat="1" applyFont="1"/>
    <xf numFmtId="3" fontId="459" fillId="0" borderId="0" xfId="0" applyNumberFormat="1" applyFont="1"/>
    <xf numFmtId="3" fontId="460" fillId="0" borderId="0" xfId="0" applyNumberFormat="1" applyFont="1"/>
    <xf numFmtId="3" fontId="461" fillId="0" borderId="0" xfId="0" applyNumberFormat="1" applyFont="1"/>
    <xf numFmtId="3" fontId="462" fillId="0" borderId="0" xfId="0" applyNumberFormat="1" applyFont="1"/>
    <xf numFmtId="3" fontId="463" fillId="0" borderId="0" xfId="0" applyNumberFormat="1" applyFont="1"/>
    <xf numFmtId="3" fontId="465" fillId="0" borderId="0" xfId="0" applyNumberFormat="1" applyFont="1"/>
    <xf numFmtId="3" fontId="466" fillId="0" borderId="0" xfId="0" applyNumberFormat="1" applyFont="1"/>
    <xf numFmtId="3" fontId="467" fillId="0" borderId="0" xfId="0" applyNumberFormat="1" applyFont="1"/>
    <xf numFmtId="3" fontId="472" fillId="0" borderId="0" xfId="0" applyNumberFormat="1" applyFont="1"/>
    <xf numFmtId="3" fontId="473" fillId="0" borderId="0" xfId="0" applyNumberFormat="1" applyFont="1"/>
    <xf numFmtId="3" fontId="474" fillId="0" borderId="0" xfId="0" applyNumberFormat="1" applyFont="1"/>
    <xf numFmtId="3" fontId="475" fillId="0" borderId="0" xfId="0" applyNumberFormat="1" applyFont="1"/>
    <xf numFmtId="3" fontId="476" fillId="0" borderId="0" xfId="0" applyNumberFormat="1" applyFont="1"/>
    <xf numFmtId="3" fontId="478" fillId="0" borderId="0" xfId="0" applyNumberFormat="1" applyFont="1"/>
    <xf numFmtId="3" fontId="479" fillId="0" borderId="0" xfId="0" applyNumberFormat="1" applyFont="1"/>
    <xf numFmtId="3" fontId="480" fillId="0" borderId="0" xfId="0" applyNumberFormat="1" applyFont="1"/>
    <xf numFmtId="3" fontId="481" fillId="0" borderId="0" xfId="0" applyNumberFormat="1" applyFont="1"/>
    <xf numFmtId="3" fontId="482" fillId="0" borderId="0" xfId="0" applyNumberFormat="1" applyFont="1"/>
    <xf numFmtId="3" fontId="483" fillId="0" borderId="0" xfId="0" applyNumberFormat="1" applyFont="1"/>
    <xf numFmtId="3" fontId="484" fillId="0" borderId="0" xfId="0" applyNumberFormat="1" applyFont="1"/>
    <xf numFmtId="3" fontId="485" fillId="0" borderId="0" xfId="0" applyNumberFormat="1" applyFont="1"/>
    <xf numFmtId="3" fontId="486" fillId="0" borderId="0" xfId="0" applyNumberFormat="1" applyFont="1"/>
    <xf numFmtId="3" fontId="487" fillId="0" borderId="0" xfId="0" applyNumberFormat="1" applyFont="1"/>
    <xf numFmtId="3" fontId="488" fillId="0" borderId="0" xfId="0" applyNumberFormat="1" applyFont="1"/>
    <xf numFmtId="3" fontId="489" fillId="0" borderId="0" xfId="0" applyNumberFormat="1" applyFont="1"/>
    <xf numFmtId="3" fontId="490" fillId="0" borderId="0" xfId="0" applyNumberFormat="1" applyFont="1"/>
    <xf numFmtId="3" fontId="491" fillId="0" borderId="0" xfId="0" applyNumberFormat="1" applyFont="1"/>
    <xf numFmtId="3" fontId="492" fillId="0" borderId="0" xfId="0" applyNumberFormat="1" applyFont="1"/>
    <xf numFmtId="3" fontId="493" fillId="0" borderId="0" xfId="0" applyNumberFormat="1" applyFont="1"/>
    <xf numFmtId="3" fontId="495" fillId="0" borderId="0" xfId="0" applyNumberFormat="1" applyFont="1"/>
    <xf numFmtId="3" fontId="496" fillId="0" borderId="0" xfId="0" applyNumberFormat="1" applyFont="1"/>
    <xf numFmtId="3" fontId="497" fillId="0" borderId="0" xfId="0" applyNumberFormat="1" applyFont="1"/>
    <xf numFmtId="3" fontId="498" fillId="0" borderId="0" xfId="0" applyNumberFormat="1" applyFont="1"/>
    <xf numFmtId="3" fontId="499" fillId="0" borderId="0" xfId="0" applyNumberFormat="1" applyFont="1"/>
    <xf numFmtId="3" fontId="500" fillId="0" borderId="0" xfId="0" applyNumberFormat="1" applyFont="1"/>
    <xf numFmtId="3" fontId="501" fillId="0" borderId="0" xfId="0" applyNumberFormat="1" applyFont="1"/>
    <xf numFmtId="3" fontId="502" fillId="0" borderId="0" xfId="0" applyNumberFormat="1" applyFont="1"/>
    <xf numFmtId="3" fontId="504" fillId="0" borderId="0" xfId="0" applyNumberFormat="1" applyFont="1"/>
    <xf numFmtId="3" fontId="505" fillId="0" borderId="0" xfId="0" applyNumberFormat="1" applyFont="1"/>
    <xf numFmtId="3" fontId="506" fillId="0" borderId="0" xfId="0" applyNumberFormat="1" applyFont="1"/>
    <xf numFmtId="3" fontId="507" fillId="0" borderId="0" xfId="0" applyNumberFormat="1" applyFont="1"/>
    <xf numFmtId="3" fontId="508" fillId="0" borderId="0" xfId="0" applyNumberFormat="1" applyFont="1"/>
    <xf numFmtId="3" fontId="509" fillId="0" borderId="0" xfId="0" applyNumberFormat="1" applyFont="1"/>
    <xf numFmtId="3" fontId="510" fillId="0" borderId="0" xfId="0" applyNumberFormat="1" applyFont="1"/>
    <xf numFmtId="3" fontId="511" fillId="0" borderId="0" xfId="0" applyNumberFormat="1" applyFont="1"/>
    <xf numFmtId="3" fontId="512" fillId="0" borderId="0" xfId="0" applyNumberFormat="1" applyFont="1"/>
    <xf numFmtId="3" fontId="513" fillId="0" borderId="0" xfId="0" applyNumberFormat="1" applyFont="1"/>
    <xf numFmtId="3" fontId="514" fillId="0" borderId="0" xfId="0" applyNumberFormat="1" applyFont="1"/>
    <xf numFmtId="3" fontId="515" fillId="0" borderId="0" xfId="0" applyNumberFormat="1" applyFont="1"/>
    <xf numFmtId="3" fontId="516" fillId="0" borderId="0" xfId="0" applyNumberFormat="1" applyFont="1"/>
    <xf numFmtId="3" fontId="517" fillId="0" borderId="0" xfId="0" applyNumberFormat="1" applyFont="1"/>
    <xf numFmtId="3" fontId="518" fillId="0" borderId="0" xfId="0" applyNumberFormat="1" applyFont="1"/>
    <xf numFmtId="3" fontId="519" fillId="0" borderId="0" xfId="0" applyNumberFormat="1" applyFont="1"/>
    <xf numFmtId="3" fontId="520" fillId="0" borderId="0" xfId="0" applyNumberFormat="1" applyFont="1"/>
    <xf numFmtId="3" fontId="521" fillId="0" borderId="0" xfId="0" applyNumberFormat="1" applyFont="1"/>
    <xf numFmtId="3" fontId="522" fillId="0" borderId="0" xfId="0" applyNumberFormat="1" applyFont="1"/>
    <xf numFmtId="3" fontId="523" fillId="0" borderId="0" xfId="0" applyNumberFormat="1" applyFont="1"/>
    <xf numFmtId="3" fontId="524" fillId="0" borderId="0" xfId="0" applyNumberFormat="1" applyFont="1"/>
    <xf numFmtId="3" fontId="525" fillId="0" borderId="0" xfId="0" applyNumberFormat="1" applyFont="1"/>
    <xf numFmtId="3" fontId="526" fillId="0" borderId="0" xfId="0" applyNumberFormat="1" applyFont="1"/>
    <xf numFmtId="3" fontId="527" fillId="0" borderId="0" xfId="0" applyNumberFormat="1" applyFont="1"/>
    <xf numFmtId="3" fontId="528" fillId="0" borderId="0" xfId="0" applyNumberFormat="1" applyFont="1"/>
    <xf numFmtId="3" fontId="529" fillId="0" borderId="0" xfId="0" applyNumberFormat="1" applyFont="1"/>
    <xf numFmtId="3" fontId="531" fillId="0" borderId="0" xfId="0" applyNumberFormat="1" applyFont="1"/>
    <xf numFmtId="3" fontId="533" fillId="0" borderId="0" xfId="0" applyNumberFormat="1" applyFont="1"/>
    <xf numFmtId="3" fontId="534" fillId="0" borderId="0" xfId="0" applyNumberFormat="1" applyFont="1"/>
    <xf numFmtId="3" fontId="535" fillId="0" borderId="0" xfId="0" applyNumberFormat="1" applyFont="1"/>
    <xf numFmtId="3" fontId="536" fillId="0" borderId="0" xfId="0" applyNumberFormat="1" applyFont="1"/>
    <xf numFmtId="3" fontId="537" fillId="0" borderId="0" xfId="0" applyNumberFormat="1" applyFont="1"/>
    <xf numFmtId="3" fontId="538" fillId="0" borderId="0" xfId="0" applyNumberFormat="1" applyFont="1"/>
    <xf numFmtId="3" fontId="539" fillId="0" borderId="0" xfId="0" applyNumberFormat="1" applyFont="1"/>
    <xf numFmtId="3" fontId="540" fillId="0" borderId="0" xfId="0" applyNumberFormat="1" applyFont="1"/>
    <xf numFmtId="3" fontId="541" fillId="0" borderId="0" xfId="0" applyNumberFormat="1" applyFont="1"/>
    <xf numFmtId="3" fontId="542" fillId="0" borderId="0" xfId="0" applyNumberFormat="1" applyFont="1"/>
    <xf numFmtId="3" fontId="543" fillId="0" borderId="0" xfId="0" applyNumberFormat="1" applyFont="1"/>
    <xf numFmtId="3" fontId="544" fillId="0" borderId="0" xfId="0" applyNumberFormat="1" applyFont="1"/>
    <xf numFmtId="3" fontId="545" fillId="0" borderId="0" xfId="0" applyNumberFormat="1" applyFont="1"/>
    <xf numFmtId="3" fontId="546" fillId="0" borderId="0" xfId="0" applyNumberFormat="1" applyFont="1"/>
    <xf numFmtId="3" fontId="547" fillId="0" borderId="0" xfId="0" applyNumberFormat="1" applyFont="1"/>
    <xf numFmtId="3" fontId="548" fillId="0" borderId="0" xfId="0" applyNumberFormat="1" applyFont="1"/>
    <xf numFmtId="3" fontId="549" fillId="0" borderId="0" xfId="0" applyNumberFormat="1" applyFont="1"/>
    <xf numFmtId="3" fontId="550" fillId="0" borderId="0" xfId="0" applyNumberFormat="1" applyFont="1"/>
    <xf numFmtId="3" fontId="551" fillId="0" borderId="0" xfId="0" applyNumberFormat="1" applyFont="1"/>
    <xf numFmtId="3" fontId="552" fillId="0" borderId="0" xfId="0" applyNumberFormat="1" applyFont="1"/>
    <xf numFmtId="3" fontId="553" fillId="0" borderId="0" xfId="0" applyNumberFormat="1" applyFont="1"/>
    <xf numFmtId="3" fontId="554" fillId="0" borderId="0" xfId="0" applyNumberFormat="1" applyFont="1"/>
    <xf numFmtId="3" fontId="555" fillId="0" borderId="0" xfId="0" applyNumberFormat="1" applyFont="1"/>
    <xf numFmtId="3" fontId="556" fillId="0" borderId="0" xfId="0" applyNumberFormat="1" applyFont="1"/>
    <xf numFmtId="3" fontId="557" fillId="0" borderId="0" xfId="0" applyNumberFormat="1" applyFont="1"/>
    <xf numFmtId="3" fontId="559" fillId="0" borderId="0" xfId="0" applyNumberFormat="1" applyFont="1"/>
    <xf numFmtId="3" fontId="560" fillId="0" borderId="0" xfId="0" applyNumberFormat="1" applyFont="1"/>
    <xf numFmtId="3" fontId="561" fillId="0" borderId="0" xfId="0" applyNumberFormat="1" applyFont="1"/>
    <xf numFmtId="3" fontId="562" fillId="0" borderId="0" xfId="0" applyNumberFormat="1" applyFont="1"/>
    <xf numFmtId="3" fontId="563" fillId="0" borderId="0" xfId="0" applyNumberFormat="1" applyFont="1"/>
    <xf numFmtId="3" fontId="564" fillId="0" borderId="0" xfId="0" applyNumberFormat="1" applyFont="1"/>
    <xf numFmtId="3" fontId="565" fillId="0" borderId="0" xfId="0" applyNumberFormat="1" applyFont="1"/>
    <xf numFmtId="3" fontId="566" fillId="0" borderId="0" xfId="0" applyNumberFormat="1" applyFont="1"/>
    <xf numFmtId="3" fontId="567" fillId="0" borderId="0" xfId="0" applyNumberFormat="1" applyFont="1"/>
    <xf numFmtId="3" fontId="568" fillId="0" borderId="0" xfId="0" applyNumberFormat="1" applyFont="1"/>
    <xf numFmtId="3" fontId="569" fillId="0" borderId="0" xfId="0" applyNumberFormat="1" applyFont="1"/>
    <xf numFmtId="3" fontId="570" fillId="0" borderId="0" xfId="0" applyNumberFormat="1" applyFont="1"/>
    <xf numFmtId="3" fontId="571" fillId="0" borderId="0" xfId="0" applyNumberFormat="1" applyFont="1"/>
    <xf numFmtId="3" fontId="572" fillId="0" borderId="0" xfId="0" applyNumberFormat="1" applyFont="1"/>
    <xf numFmtId="3" fontId="573" fillId="0" borderId="0" xfId="0" applyNumberFormat="1" applyFont="1"/>
    <xf numFmtId="3" fontId="574" fillId="0" borderId="0" xfId="0" applyNumberFormat="1" applyFont="1"/>
    <xf numFmtId="3" fontId="575" fillId="0" borderId="0" xfId="0" applyNumberFormat="1" applyFont="1"/>
    <xf numFmtId="3" fontId="576" fillId="0" borderId="0" xfId="0" applyNumberFormat="1" applyFont="1"/>
    <xf numFmtId="3" fontId="577" fillId="0" borderId="0" xfId="0" applyNumberFormat="1" applyFont="1"/>
    <xf numFmtId="3" fontId="578" fillId="0" borderId="0" xfId="0" applyNumberFormat="1" applyFont="1"/>
    <xf numFmtId="3" fontId="579" fillId="0" borderId="0" xfId="0" applyNumberFormat="1" applyFont="1"/>
    <xf numFmtId="3" fontId="580" fillId="0" borderId="0" xfId="0" applyNumberFormat="1" applyFont="1"/>
    <xf numFmtId="3" fontId="581" fillId="0" borderId="0" xfId="0" applyNumberFormat="1" applyFont="1"/>
    <xf numFmtId="3" fontId="582" fillId="0" borderId="0" xfId="0" applyNumberFormat="1" applyFont="1"/>
    <xf numFmtId="3" fontId="583" fillId="0" borderId="0" xfId="0" applyNumberFormat="1" applyFont="1"/>
    <xf numFmtId="3" fontId="584" fillId="0" borderId="0" xfId="0" applyNumberFormat="1" applyFont="1"/>
    <xf numFmtId="3" fontId="585" fillId="0" borderId="0" xfId="0" applyNumberFormat="1" applyFont="1"/>
    <xf numFmtId="3" fontId="586" fillId="0" borderId="0" xfId="0" applyNumberFormat="1" applyFont="1"/>
    <xf numFmtId="3" fontId="587" fillId="0" borderId="0" xfId="0" applyNumberFormat="1" applyFont="1"/>
    <xf numFmtId="3" fontId="588" fillId="0" borderId="0" xfId="0" applyNumberFormat="1" applyFont="1"/>
    <xf numFmtId="3" fontId="589" fillId="0" borderId="0" xfId="0" applyNumberFormat="1" applyFont="1"/>
    <xf numFmtId="3" fontId="590" fillId="0" borderId="0" xfId="0" applyNumberFormat="1" applyFont="1"/>
    <xf numFmtId="3" fontId="591" fillId="0" borderId="0" xfId="0" applyNumberFormat="1" applyFont="1"/>
    <xf numFmtId="3" fontId="592" fillId="0" borderId="0" xfId="0" applyNumberFormat="1" applyFont="1"/>
    <xf numFmtId="3" fontId="593" fillId="0" borderId="0" xfId="0" applyNumberFormat="1" applyFont="1"/>
    <xf numFmtId="3" fontId="594" fillId="0" borderId="0" xfId="0" applyNumberFormat="1" applyFont="1"/>
    <xf numFmtId="3" fontId="595" fillId="0" borderId="0" xfId="0" applyNumberFormat="1" applyFont="1"/>
    <xf numFmtId="3" fontId="596" fillId="0" borderId="0" xfId="0" applyNumberFormat="1" applyFont="1"/>
    <xf numFmtId="3" fontId="597" fillId="0" borderId="0" xfId="0" applyNumberFormat="1" applyFont="1"/>
    <xf numFmtId="3" fontId="598" fillId="0" borderId="0" xfId="0" applyNumberFormat="1" applyFont="1"/>
    <xf numFmtId="3" fontId="599" fillId="0" borderId="0" xfId="0" applyNumberFormat="1" applyFont="1"/>
    <xf numFmtId="3" fontId="600" fillId="0" borderId="0" xfId="0" applyNumberFormat="1" applyFont="1"/>
    <xf numFmtId="3" fontId="601" fillId="0" borderId="0" xfId="0" applyNumberFormat="1" applyFont="1"/>
    <xf numFmtId="3" fontId="602" fillId="0" borderId="0" xfId="0" applyNumberFormat="1" applyFont="1"/>
    <xf numFmtId="3" fontId="603" fillId="0" borderId="0" xfId="0" applyNumberFormat="1" applyFont="1"/>
    <xf numFmtId="3" fontId="604" fillId="0" borderId="0" xfId="0" applyNumberFormat="1" applyFont="1"/>
    <xf numFmtId="3" fontId="605" fillId="0" borderId="0" xfId="0" applyNumberFormat="1" applyFont="1"/>
    <xf numFmtId="3" fontId="606" fillId="0" borderId="0" xfId="0" applyNumberFormat="1" applyFont="1"/>
    <xf numFmtId="3" fontId="607" fillId="0" borderId="0" xfId="0" applyNumberFormat="1" applyFont="1"/>
    <xf numFmtId="3" fontId="609" fillId="0" borderId="0" xfId="0" applyNumberFormat="1" applyFont="1"/>
    <xf numFmtId="3" fontId="610" fillId="0" borderId="0" xfId="0" applyNumberFormat="1" applyFont="1"/>
    <xf numFmtId="3" fontId="611" fillId="0" borderId="0" xfId="0" applyNumberFormat="1" applyFont="1"/>
    <xf numFmtId="3" fontId="612" fillId="0" borderId="0" xfId="0" applyNumberFormat="1" applyFont="1"/>
    <xf numFmtId="3" fontId="613" fillId="0" borderId="0" xfId="0" applyNumberFormat="1" applyFont="1"/>
    <xf numFmtId="3" fontId="614" fillId="0" borderId="0" xfId="0" applyNumberFormat="1" applyFont="1"/>
    <xf numFmtId="3" fontId="615" fillId="0" borderId="0" xfId="0" applyNumberFormat="1" applyFont="1"/>
    <xf numFmtId="3" fontId="616" fillId="0" borderId="0" xfId="0" applyNumberFormat="1" applyFont="1"/>
    <xf numFmtId="3" fontId="617" fillId="0" borderId="0" xfId="0" applyNumberFormat="1" applyFont="1"/>
    <xf numFmtId="3" fontId="618" fillId="0" borderId="0" xfId="0" applyNumberFormat="1" applyFont="1"/>
    <xf numFmtId="3" fontId="620" fillId="0" borderId="0" xfId="0" applyNumberFormat="1" applyFont="1"/>
    <xf numFmtId="3" fontId="621" fillId="0" borderId="0" xfId="0" applyNumberFormat="1" applyFont="1"/>
    <xf numFmtId="3" fontId="622" fillId="0" borderId="0" xfId="0" applyNumberFormat="1" applyFont="1"/>
    <xf numFmtId="3" fontId="623" fillId="0" borderId="0" xfId="0" applyNumberFormat="1" applyFont="1"/>
    <xf numFmtId="3" fontId="624" fillId="0" borderId="0" xfId="0" applyNumberFormat="1" applyFont="1"/>
    <xf numFmtId="3" fontId="625" fillId="0" borderId="0" xfId="0" applyNumberFormat="1" applyFont="1"/>
    <xf numFmtId="3" fontId="626" fillId="0" borderId="0" xfId="0" applyNumberFormat="1" applyFont="1"/>
    <xf numFmtId="3" fontId="627" fillId="0" borderId="0" xfId="0" applyNumberFormat="1" applyFont="1"/>
    <xf numFmtId="3" fontId="628" fillId="0" borderId="0" xfId="0" applyNumberFormat="1" applyFont="1"/>
    <xf numFmtId="3" fontId="629" fillId="0" borderId="0" xfId="0" applyNumberFormat="1" applyFont="1"/>
    <xf numFmtId="3" fontId="630" fillId="0" borderId="0" xfId="0" applyNumberFormat="1" applyFont="1"/>
    <xf numFmtId="3" fontId="631" fillId="0" borderId="0" xfId="0" applyNumberFormat="1" applyFont="1"/>
    <xf numFmtId="3" fontId="632" fillId="0" borderId="0" xfId="0" applyNumberFormat="1" applyFont="1"/>
    <xf numFmtId="3" fontId="633" fillId="0" borderId="0" xfId="0" applyNumberFormat="1" applyFont="1"/>
    <xf numFmtId="3" fontId="634" fillId="0" borderId="0" xfId="0" applyNumberFormat="1" applyFont="1"/>
    <xf numFmtId="3" fontId="635" fillId="0" borderId="0" xfId="0" applyNumberFormat="1" applyFont="1"/>
    <xf numFmtId="3" fontId="636" fillId="0" borderId="0" xfId="0" applyNumberFormat="1" applyFont="1"/>
    <xf numFmtId="3" fontId="637" fillId="0" borderId="0" xfId="0" applyNumberFormat="1" applyFont="1"/>
    <xf numFmtId="3" fontId="638" fillId="0" borderId="0" xfId="0" applyNumberFormat="1" applyFont="1"/>
    <xf numFmtId="3" fontId="639" fillId="0" borderId="0" xfId="0" applyNumberFormat="1" applyFont="1"/>
    <xf numFmtId="3" fontId="640" fillId="0" borderId="0" xfId="0" applyNumberFormat="1" applyFont="1"/>
    <xf numFmtId="3" fontId="641" fillId="0" borderId="0" xfId="0" applyNumberFormat="1" applyFont="1"/>
    <xf numFmtId="3" fontId="642" fillId="0" borderId="0" xfId="0" applyNumberFormat="1" applyFont="1"/>
    <xf numFmtId="3" fontId="643" fillId="0" borderId="0" xfId="0" applyNumberFormat="1" applyFont="1"/>
    <xf numFmtId="3" fontId="644" fillId="0" borderId="0" xfId="0" applyNumberFormat="1" applyFont="1"/>
    <xf numFmtId="3" fontId="645" fillId="0" borderId="0" xfId="0" applyNumberFormat="1" applyFont="1"/>
    <xf numFmtId="3" fontId="646" fillId="0" borderId="0" xfId="0" applyNumberFormat="1" applyFont="1"/>
    <xf numFmtId="3" fontId="647" fillId="0" borderId="0" xfId="0" applyNumberFormat="1" applyFont="1"/>
    <xf numFmtId="3" fontId="648" fillId="0" borderId="0" xfId="0" applyNumberFormat="1" applyFont="1"/>
    <xf numFmtId="3" fontId="649" fillId="0" borderId="0" xfId="0" applyNumberFormat="1" applyFont="1"/>
    <xf numFmtId="3" fontId="650" fillId="0" borderId="0" xfId="0" applyNumberFormat="1" applyFont="1"/>
    <xf numFmtId="3" fontId="651" fillId="0" borderId="0" xfId="0" applyNumberFormat="1" applyFont="1"/>
    <xf numFmtId="3" fontId="652" fillId="0" borderId="0" xfId="0" applyNumberFormat="1" applyFont="1"/>
    <xf numFmtId="3" fontId="653" fillId="0" borderId="0" xfId="0" applyNumberFormat="1" applyFont="1"/>
    <xf numFmtId="3" fontId="654" fillId="0" borderId="0" xfId="0" applyNumberFormat="1" applyFont="1"/>
    <xf numFmtId="3" fontId="655" fillId="0" borderId="0" xfId="0" applyNumberFormat="1" applyFont="1"/>
    <xf numFmtId="3" fontId="656" fillId="0" borderId="0" xfId="0" applyNumberFormat="1" applyFont="1"/>
    <xf numFmtId="0" fontId="0" fillId="38" borderId="0" xfId="0" applyFill="1"/>
    <xf numFmtId="3" fontId="0" fillId="0" borderId="0" xfId="0" applyNumberFormat="1" applyAlignment="1">
      <alignment horizontal="right"/>
    </xf>
    <xf numFmtId="0" fontId="0" fillId="21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" fillId="29" borderId="2" xfId="0" applyFont="1" applyFill="1" applyBorder="1" applyAlignment="1">
      <alignment horizontal="center"/>
    </xf>
    <xf numFmtId="0" fontId="1" fillId="29" borderId="0" xfId="0" applyFont="1" applyFill="1" applyAlignment="1">
      <alignment horizontal="center"/>
    </xf>
    <xf numFmtId="0" fontId="1" fillId="29" borderId="1" xfId="0" applyFont="1" applyFill="1" applyBorder="1" applyAlignment="1">
      <alignment horizontal="center"/>
    </xf>
    <xf numFmtId="0" fontId="1" fillId="30" borderId="2" xfId="0" applyFont="1" applyFill="1" applyBorder="1" applyAlignment="1">
      <alignment horizontal="center"/>
    </xf>
    <xf numFmtId="0" fontId="1" fillId="30" borderId="0" xfId="0" applyFont="1" applyFill="1" applyAlignment="1">
      <alignment horizontal="center"/>
    </xf>
    <xf numFmtId="0" fontId="1" fillId="30" borderId="1" xfId="0" applyFont="1" applyFill="1" applyBorder="1" applyAlignment="1">
      <alignment horizontal="center"/>
    </xf>
    <xf numFmtId="0" fontId="1" fillId="36" borderId="2" xfId="0" applyFont="1" applyFill="1" applyBorder="1" applyAlignment="1">
      <alignment horizontal="center"/>
    </xf>
    <xf numFmtId="0" fontId="1" fillId="36" borderId="0" xfId="0" applyFont="1" applyFill="1" applyAlignment="1">
      <alignment horizontal="center"/>
    </xf>
    <xf numFmtId="0" fontId="1" fillId="36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31" borderId="2" xfId="0" applyFont="1" applyFill="1" applyBorder="1" applyAlignment="1">
      <alignment horizontal="center"/>
    </xf>
    <xf numFmtId="0" fontId="1" fillId="31" borderId="0" xfId="0" applyFont="1" applyFill="1" applyAlignment="1">
      <alignment horizontal="center"/>
    </xf>
    <xf numFmtId="0" fontId="1" fillId="31" borderId="1" xfId="0" applyFont="1" applyFill="1" applyBorder="1" applyAlignment="1">
      <alignment horizontal="center"/>
    </xf>
    <xf numFmtId="0" fontId="1" fillId="32" borderId="2" xfId="0" applyFont="1" applyFill="1" applyBorder="1" applyAlignment="1">
      <alignment horizontal="center"/>
    </xf>
    <xf numFmtId="0" fontId="1" fillId="32" borderId="0" xfId="0" applyFont="1" applyFill="1" applyAlignment="1">
      <alignment horizontal="center"/>
    </xf>
    <xf numFmtId="0" fontId="1" fillId="32" borderId="1" xfId="0" applyFont="1" applyFill="1" applyBorder="1" applyAlignment="1">
      <alignment horizontal="center"/>
    </xf>
    <xf numFmtId="0" fontId="1" fillId="33" borderId="2" xfId="0" applyFont="1" applyFill="1" applyBorder="1" applyAlignment="1">
      <alignment horizontal="center"/>
    </xf>
    <xf numFmtId="0" fontId="1" fillId="33" borderId="0" xfId="0" applyFont="1" applyFill="1" applyAlignment="1">
      <alignment horizontal="center"/>
    </xf>
    <xf numFmtId="0" fontId="1" fillId="33" borderId="1" xfId="0" applyFont="1" applyFill="1" applyBorder="1" applyAlignment="1">
      <alignment horizontal="center"/>
    </xf>
    <xf numFmtId="0" fontId="1" fillId="34" borderId="2" xfId="0" applyFont="1" applyFill="1" applyBorder="1" applyAlignment="1">
      <alignment horizontal="center"/>
    </xf>
    <xf numFmtId="0" fontId="1" fillId="34" borderId="0" xfId="0" applyFont="1" applyFill="1" applyAlignment="1">
      <alignment horizontal="center"/>
    </xf>
    <xf numFmtId="0" fontId="1" fillId="34" borderId="1" xfId="0" applyFont="1" applyFill="1" applyBorder="1" applyAlignment="1">
      <alignment horizontal="center"/>
    </xf>
    <xf numFmtId="0" fontId="1" fillId="35" borderId="2" xfId="0" applyFont="1" applyFill="1" applyBorder="1" applyAlignment="1">
      <alignment horizontal="center"/>
    </xf>
    <xf numFmtId="0" fontId="1" fillId="35" borderId="0" xfId="0" applyFont="1" applyFill="1" applyAlignment="1">
      <alignment horizontal="center"/>
    </xf>
    <xf numFmtId="0" fontId="1" fillId="35" borderId="1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" fillId="23" borderId="0" xfId="0" applyFont="1" applyFill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4" borderId="2" xfId="0" applyFont="1" applyFill="1" applyBorder="1" applyAlignment="1">
      <alignment horizontal="center"/>
    </xf>
    <xf numFmtId="0" fontId="1" fillId="24" borderId="0" xfId="0" applyFont="1" applyFill="1" applyAlignment="1">
      <alignment horizontal="center"/>
    </xf>
    <xf numFmtId="0" fontId="1" fillId="24" borderId="1" xfId="0" applyFont="1" applyFill="1" applyBorder="1" applyAlignment="1">
      <alignment horizontal="center"/>
    </xf>
    <xf numFmtId="0" fontId="1" fillId="25" borderId="2" xfId="0" applyFont="1" applyFill="1" applyBorder="1" applyAlignment="1">
      <alignment horizontal="center"/>
    </xf>
    <xf numFmtId="0" fontId="1" fillId="25" borderId="0" xfId="0" applyFont="1" applyFill="1" applyAlignment="1">
      <alignment horizontal="center"/>
    </xf>
    <xf numFmtId="0" fontId="1" fillId="25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22" borderId="0" xfId="0" applyFont="1" applyFill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6" borderId="2" xfId="0" applyFont="1" applyFill="1" applyBorder="1" applyAlignment="1">
      <alignment horizontal="center"/>
    </xf>
    <xf numFmtId="0" fontId="1" fillId="26" borderId="0" xfId="0" applyFont="1" applyFill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1" fillId="27" borderId="2" xfId="0" applyFont="1" applyFill="1" applyBorder="1" applyAlignment="1">
      <alignment horizontal="center"/>
    </xf>
    <xf numFmtId="0" fontId="1" fillId="27" borderId="0" xfId="0" applyFont="1" applyFill="1" applyAlignment="1">
      <alignment horizontal="center"/>
    </xf>
    <xf numFmtId="0" fontId="1" fillId="27" borderId="1" xfId="0" applyFont="1" applyFill="1" applyBorder="1" applyAlignment="1">
      <alignment horizontal="center"/>
    </xf>
    <xf numFmtId="0" fontId="1" fillId="28" borderId="2" xfId="0" applyFont="1" applyFill="1" applyBorder="1" applyAlignment="1">
      <alignment horizontal="center"/>
    </xf>
    <xf numFmtId="0" fontId="1" fillId="28" borderId="0" xfId="0" applyFont="1" applyFill="1" applyAlignment="1">
      <alignment horizontal="center"/>
    </xf>
    <xf numFmtId="0" fontId="1" fillId="28" borderId="1" xfId="0" applyFon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37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14" fontId="0" fillId="0" borderId="0" xfId="0" applyNumberFormat="1" applyAlignment="1">
      <alignment horizontal="right"/>
    </xf>
    <xf numFmtId="0" fontId="0" fillId="17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39" borderId="0" xfId="0" applyFill="1" applyAlignment="1">
      <alignment horizontal="right"/>
    </xf>
    <xf numFmtId="3" fontId="0" fillId="39" borderId="0" xfId="0" applyNumberFormat="1" applyFill="1"/>
    <xf numFmtId="3" fontId="619" fillId="39" borderId="0" xfId="0" applyNumberFormat="1" applyFont="1" applyFill="1"/>
    <xf numFmtId="3" fontId="608" fillId="39" borderId="0" xfId="0" applyNumberFormat="1" applyFont="1" applyFill="1"/>
    <xf numFmtId="3" fontId="503" fillId="39" borderId="0" xfId="0" applyNumberFormat="1" applyFont="1" applyFill="1"/>
    <xf numFmtId="3" fontId="494" fillId="39" borderId="0" xfId="0" applyNumberFormat="1" applyFont="1" applyFill="1"/>
    <xf numFmtId="0" fontId="0" fillId="2" borderId="0" xfId="0" applyFill="1" applyAlignment="1">
      <alignment horizontal="right"/>
    </xf>
    <xf numFmtId="3" fontId="0" fillId="2" borderId="0" xfId="0" applyNumberFormat="1" applyFill="1"/>
    <xf numFmtId="3" fontId="14" fillId="2" borderId="0" xfId="0" applyNumberFormat="1" applyFont="1" applyFill="1"/>
    <xf numFmtId="3" fontId="7" fillId="2" borderId="0" xfId="0" applyNumberFormat="1" applyFont="1" applyFill="1"/>
    <xf numFmtId="3" fontId="532" fillId="2" borderId="0" xfId="0" applyNumberFormat="1" applyFont="1" applyFill="1"/>
    <xf numFmtId="3" fontId="530" fillId="2" borderId="0" xfId="0" applyNumberFormat="1" applyFont="1" applyFill="1"/>
    <xf numFmtId="3" fontId="477" fillId="2" borderId="0" xfId="0" applyNumberFormat="1" applyFont="1" applyFill="1"/>
    <xf numFmtId="3" fontId="64" fillId="2" borderId="0" xfId="0" applyNumberFormat="1" applyFont="1" applyFill="1"/>
    <xf numFmtId="3" fontId="62" fillId="2" borderId="0" xfId="0" applyNumberFormat="1" applyFont="1" applyFill="1"/>
    <xf numFmtId="3" fontId="558" fillId="39" borderId="0" xfId="0" applyNumberFormat="1" applyFont="1" applyFill="1"/>
    <xf numFmtId="3" fontId="471" fillId="2" borderId="0" xfId="0" applyNumberFormat="1" applyFont="1" applyFill="1"/>
    <xf numFmtId="3" fontId="468" fillId="2" borderId="0" xfId="0" applyNumberFormat="1" applyFont="1" applyFill="1"/>
    <xf numFmtId="3" fontId="435" fillId="2" borderId="0" xfId="0" applyNumberFormat="1" applyFont="1" applyFill="1"/>
    <xf numFmtId="3" fontId="311" fillId="2" borderId="0" xfId="0" applyNumberFormat="1" applyFont="1" applyFill="1"/>
    <xf numFmtId="3" fontId="60" fillId="2" borderId="0" xfId="0" applyNumberFormat="1" applyFont="1" applyFill="1"/>
    <xf numFmtId="3" fontId="19" fillId="2" borderId="0" xfId="0" applyNumberFormat="1" applyFont="1" applyFill="1"/>
    <xf numFmtId="3" fontId="469" fillId="2" borderId="0" xfId="0" applyNumberFormat="1" applyFont="1" applyFill="1"/>
    <xf numFmtId="3" fontId="464" fillId="2" borderId="0" xfId="0" applyNumberFormat="1" applyFont="1" applyFill="1"/>
    <xf numFmtId="3" fontId="470" fillId="39" borderId="0" xfId="0" applyNumberFormat="1" applyFont="1" applyFill="1"/>
  </cellXfs>
  <cellStyles count="3">
    <cellStyle name="Comma [0]" xfId="1" builtinId="6"/>
    <cellStyle name="Normal" xfId="0" builtinId="0"/>
    <cellStyle name="Percent" xfId="2" builtinId="5"/>
  </cellStyles>
  <dxfs count="30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860"/>
      <color rgb="FFFF2600"/>
      <color rgb="FFFF7E79"/>
      <color rgb="FFD5FC79"/>
      <color rgb="FF797979"/>
      <color rgb="FFFFD579"/>
      <color rgb="FF009051"/>
      <color rgb="FF76D6FF"/>
      <color rgb="FFFF9300"/>
      <color rgb="FF94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LSS"/>
      <sheetName val="SLS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  <row r="202">
          <cell r="A202" t="str">
            <v>IDI</v>
          </cell>
          <cell r="B202">
            <v>2276446</v>
          </cell>
          <cell r="C202">
            <v>3435970</v>
          </cell>
          <cell r="D202">
            <v>227644608</v>
          </cell>
          <cell r="E202">
            <v>7221240</v>
          </cell>
          <cell r="F202">
            <v>72300</v>
          </cell>
        </row>
        <row r="203">
          <cell r="A203" t="str">
            <v>TDM</v>
          </cell>
          <cell r="B203">
            <v>1000000</v>
          </cell>
          <cell r="C203">
            <v>2036640</v>
          </cell>
          <cell r="D203">
            <v>100000000</v>
          </cell>
          <cell r="E203">
            <v>532570</v>
          </cell>
          <cell r="F203">
            <v>283450</v>
          </cell>
        </row>
        <row r="204">
          <cell r="B204"/>
          <cell r="C204"/>
          <cell r="D204"/>
          <cell r="E204"/>
          <cell r="F204"/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34700</v>
          </cell>
        </row>
        <row r="42">
          <cell r="A42" t="str">
            <v>VND</v>
          </cell>
          <cell r="B42">
            <v>17800</v>
          </cell>
        </row>
        <row r="43">
          <cell r="A43" t="str">
            <v>HCM</v>
          </cell>
          <cell r="B43">
            <v>28850</v>
          </cell>
        </row>
        <row r="44">
          <cell r="A44" t="str">
            <v>VCI</v>
          </cell>
          <cell r="B44">
            <v>47500</v>
          </cell>
        </row>
        <row r="45">
          <cell r="A45" t="str">
            <v>MBS</v>
          </cell>
          <cell r="B45">
            <v>33000</v>
          </cell>
        </row>
        <row r="46">
          <cell r="A46" t="str">
            <v>FTS</v>
          </cell>
          <cell r="B46">
            <v>45500</v>
          </cell>
        </row>
        <row r="47">
          <cell r="A47" t="str">
            <v>VIX</v>
          </cell>
          <cell r="B47">
            <v>18000</v>
          </cell>
        </row>
        <row r="48">
          <cell r="A48" t="str">
            <v>SHS</v>
          </cell>
          <cell r="B48">
            <v>18200</v>
          </cell>
        </row>
        <row r="49">
          <cell r="A49" t="str">
            <v>BSI</v>
          </cell>
          <cell r="B49">
            <v>58000</v>
          </cell>
        </row>
        <row r="50">
          <cell r="A50" t="str">
            <v>VCB</v>
          </cell>
          <cell r="B50">
            <v>87200</v>
          </cell>
        </row>
        <row r="51">
          <cell r="A51" t="str">
            <v>STB</v>
          </cell>
          <cell r="B51">
            <v>27850</v>
          </cell>
        </row>
        <row r="52">
          <cell r="A52" t="str">
            <v>CTG</v>
          </cell>
          <cell r="B52">
            <v>31900</v>
          </cell>
        </row>
        <row r="53">
          <cell r="A53" t="str">
            <v>MBB</v>
          </cell>
          <cell r="B53">
            <v>21750</v>
          </cell>
        </row>
        <row r="54">
          <cell r="A54" t="str">
            <v>TCB</v>
          </cell>
          <cell r="B54">
            <v>47000</v>
          </cell>
        </row>
        <row r="55">
          <cell r="A55" t="str">
            <v>ACB</v>
          </cell>
          <cell r="B55">
            <v>24650</v>
          </cell>
        </row>
        <row r="56">
          <cell r="A56" t="str">
            <v>VPB</v>
          </cell>
          <cell r="B56">
            <v>18000</v>
          </cell>
        </row>
        <row r="57">
          <cell r="A57" t="str">
            <v>VIB</v>
          </cell>
          <cell r="B57">
            <v>21750</v>
          </cell>
        </row>
        <row r="58">
          <cell r="A58" t="str">
            <v>LPB</v>
          </cell>
          <cell r="B58">
            <v>25800</v>
          </cell>
        </row>
        <row r="59">
          <cell r="A59" t="str">
            <v>MSB</v>
          </cell>
          <cell r="B59">
            <v>14300</v>
          </cell>
        </row>
        <row r="60">
          <cell r="A60" t="str">
            <v>HDB</v>
          </cell>
          <cell r="B60">
            <v>23250</v>
          </cell>
        </row>
        <row r="61">
          <cell r="A61" t="str">
            <v>TPB</v>
          </cell>
          <cell r="B61">
            <v>17650</v>
          </cell>
        </row>
        <row r="62">
          <cell r="A62" t="str">
            <v>EIB</v>
          </cell>
          <cell r="B62">
            <v>19950</v>
          </cell>
        </row>
        <row r="63">
          <cell r="A63" t="str">
            <v>PDR</v>
          </cell>
          <cell r="B63">
            <v>25200</v>
          </cell>
        </row>
        <row r="64">
          <cell r="A64" t="str">
            <v>DXG</v>
          </cell>
          <cell r="B64">
            <v>16800</v>
          </cell>
        </row>
        <row r="65">
          <cell r="A65" t="str">
            <v>NVL</v>
          </cell>
          <cell r="B65">
            <v>14450</v>
          </cell>
        </row>
        <row r="66">
          <cell r="A66" t="str">
            <v>VHM</v>
          </cell>
          <cell r="B66">
            <v>38850</v>
          </cell>
        </row>
        <row r="67">
          <cell r="A67" t="str">
            <v>NLG</v>
          </cell>
          <cell r="B67">
            <v>44000</v>
          </cell>
        </row>
        <row r="68">
          <cell r="A68" t="str">
            <v>KDH</v>
          </cell>
          <cell r="B68">
            <v>36200</v>
          </cell>
        </row>
        <row r="69">
          <cell r="A69" t="str">
            <v>DIG</v>
          </cell>
          <cell r="B69">
            <v>27750</v>
          </cell>
        </row>
        <row r="70">
          <cell r="A70" t="str">
            <v>CEO</v>
          </cell>
          <cell r="B70">
            <v>18800</v>
          </cell>
        </row>
        <row r="71">
          <cell r="A71" t="str">
            <v>HDC</v>
          </cell>
          <cell r="B71">
            <v>31700</v>
          </cell>
        </row>
        <row r="72">
          <cell r="A72" t="str">
            <v>NTL</v>
          </cell>
          <cell r="B72">
            <v>45750</v>
          </cell>
        </row>
        <row r="73">
          <cell r="A73" t="str">
            <v>CTD</v>
          </cell>
          <cell r="B73">
            <v>72500</v>
          </cell>
        </row>
        <row r="74">
          <cell r="A74" t="str">
            <v>VCG</v>
          </cell>
          <cell r="B74">
            <v>23000</v>
          </cell>
        </row>
        <row r="75">
          <cell r="A75" t="str">
            <v>FCN</v>
          </cell>
          <cell r="B75">
            <v>15250</v>
          </cell>
        </row>
        <row r="76">
          <cell r="A76" t="str">
            <v>HHV</v>
          </cell>
          <cell r="B76">
            <v>13200</v>
          </cell>
        </row>
        <row r="77">
          <cell r="A77" t="str">
            <v>CTR</v>
          </cell>
          <cell r="B77">
            <v>131500</v>
          </cell>
        </row>
        <row r="78">
          <cell r="A78" t="str">
            <v>THG</v>
          </cell>
          <cell r="B78">
            <v>43800</v>
          </cell>
        </row>
        <row r="79">
          <cell r="A79" t="str">
            <v>C4G</v>
          </cell>
          <cell r="B79">
            <v>10400</v>
          </cell>
        </row>
        <row r="80">
          <cell r="A80" t="str">
            <v>DTD</v>
          </cell>
          <cell r="B80">
            <v>32400</v>
          </cell>
        </row>
        <row r="81">
          <cell r="A81" t="str">
            <v>KBC</v>
          </cell>
          <cell r="B81">
            <v>31400</v>
          </cell>
        </row>
        <row r="82">
          <cell r="A82" t="str">
            <v>IDC</v>
          </cell>
          <cell r="B82">
            <v>63800</v>
          </cell>
        </row>
        <row r="83">
          <cell r="A83" t="str">
            <v>SZC</v>
          </cell>
          <cell r="B83">
            <v>42500</v>
          </cell>
        </row>
        <row r="84">
          <cell r="A84" t="str">
            <v>VGC</v>
          </cell>
          <cell r="B84">
            <v>54900</v>
          </cell>
        </row>
        <row r="85">
          <cell r="A85" t="str">
            <v>PHR</v>
          </cell>
          <cell r="B85">
            <v>62100</v>
          </cell>
        </row>
        <row r="86">
          <cell r="A86" t="str">
            <v>LHG</v>
          </cell>
          <cell r="B86">
            <v>35150</v>
          </cell>
        </row>
        <row r="87">
          <cell r="A87" t="str">
            <v>DPR</v>
          </cell>
          <cell r="B87">
            <v>42500</v>
          </cell>
        </row>
        <row r="88">
          <cell r="A88" t="str">
            <v>NTC</v>
          </cell>
          <cell r="B88">
            <v>212300</v>
          </cell>
        </row>
        <row r="89">
          <cell r="A89" t="str">
            <v>GVR</v>
          </cell>
          <cell r="B89">
            <v>35150</v>
          </cell>
        </row>
        <row r="90">
          <cell r="A90" t="str">
            <v>BCM</v>
          </cell>
          <cell r="B90">
            <v>60800</v>
          </cell>
        </row>
        <row r="91">
          <cell r="A91" t="str">
            <v>MWG</v>
          </cell>
          <cell r="B91">
            <v>63600</v>
          </cell>
        </row>
        <row r="92">
          <cell r="A92" t="str">
            <v>FRT</v>
          </cell>
          <cell r="B92">
            <v>170500</v>
          </cell>
        </row>
        <row r="93">
          <cell r="A93" t="str">
            <v>DGW</v>
          </cell>
          <cell r="B93">
            <v>65000</v>
          </cell>
        </row>
        <row r="94">
          <cell r="A94" t="str">
            <v>PET</v>
          </cell>
          <cell r="B94">
            <v>30200</v>
          </cell>
        </row>
        <row r="95">
          <cell r="A95" t="str">
            <v>VNM</v>
          </cell>
          <cell r="B95">
            <v>65400</v>
          </cell>
        </row>
        <row r="96">
          <cell r="A96" t="str">
            <v>VRE</v>
          </cell>
          <cell r="B96">
            <v>21750</v>
          </cell>
        </row>
        <row r="97">
          <cell r="A97" t="str">
            <v>PNJ</v>
          </cell>
          <cell r="B97">
            <v>93900</v>
          </cell>
        </row>
        <row r="98">
          <cell r="A98" t="str">
            <v>DGC</v>
          </cell>
          <cell r="B98">
            <v>126000</v>
          </cell>
        </row>
        <row r="99">
          <cell r="A99" t="str">
            <v>CSV</v>
          </cell>
          <cell r="B99">
            <v>68300</v>
          </cell>
        </row>
        <row r="100">
          <cell r="A100" t="str">
            <v>LAS</v>
          </cell>
          <cell r="B100">
            <v>22600</v>
          </cell>
        </row>
        <row r="101">
          <cell r="A101" t="str">
            <v>DDV</v>
          </cell>
          <cell r="B101">
            <v>19100</v>
          </cell>
        </row>
        <row r="102">
          <cell r="A102" t="str">
            <v>GMD</v>
          </cell>
          <cell r="B102">
            <v>83800</v>
          </cell>
        </row>
        <row r="103">
          <cell r="A103" t="str">
            <v>HAH</v>
          </cell>
          <cell r="B103">
            <v>42650</v>
          </cell>
        </row>
        <row r="104">
          <cell r="A104" t="str">
            <v>VOS</v>
          </cell>
          <cell r="B104">
            <v>15800</v>
          </cell>
        </row>
        <row r="105">
          <cell r="A105" t="str">
            <v>VSC</v>
          </cell>
          <cell r="B105">
            <v>22050</v>
          </cell>
        </row>
        <row r="106">
          <cell r="A106" t="str">
            <v>VTP</v>
          </cell>
          <cell r="B106">
            <v>78000</v>
          </cell>
        </row>
        <row r="107">
          <cell r="A107" t="str">
            <v>VHC</v>
          </cell>
          <cell r="B107">
            <v>74000</v>
          </cell>
        </row>
        <row r="108">
          <cell r="A108" t="str">
            <v>ANV</v>
          </cell>
          <cell r="B108">
            <v>33800</v>
          </cell>
        </row>
        <row r="109">
          <cell r="A109" t="str">
            <v>FMC</v>
          </cell>
          <cell r="B109">
            <v>50500</v>
          </cell>
        </row>
        <row r="110">
          <cell r="A110" t="str">
            <v>IDI</v>
          </cell>
          <cell r="B110">
            <v>12200</v>
          </cell>
        </row>
        <row r="111">
          <cell r="A111" t="str">
            <v>PC1</v>
          </cell>
          <cell r="B111">
            <v>28350</v>
          </cell>
        </row>
        <row r="112">
          <cell r="A112" t="str">
            <v>TV2</v>
          </cell>
          <cell r="B112">
            <v>46800</v>
          </cell>
        </row>
        <row r="113">
          <cell r="A113" t="str">
            <v>NT2</v>
          </cell>
          <cell r="B113">
            <v>23050</v>
          </cell>
        </row>
        <row r="114">
          <cell r="A114" t="str">
            <v>QTP</v>
          </cell>
          <cell r="B114">
            <v>17400</v>
          </cell>
        </row>
        <row r="115">
          <cell r="A115" t="str">
            <v>GEG</v>
          </cell>
          <cell r="B115">
            <v>13950</v>
          </cell>
        </row>
        <row r="116">
          <cell r="A116" t="str">
            <v>HPG</v>
          </cell>
          <cell r="B116">
            <v>28600</v>
          </cell>
        </row>
        <row r="117">
          <cell r="A117" t="str">
            <v>NKG</v>
          </cell>
          <cell r="B117">
            <v>24400</v>
          </cell>
        </row>
        <row r="118">
          <cell r="A118" t="str">
            <v>HSG</v>
          </cell>
          <cell r="B118">
            <v>21800</v>
          </cell>
        </row>
        <row r="119">
          <cell r="A119" t="str">
            <v>BSR</v>
          </cell>
          <cell r="B119">
            <v>22800</v>
          </cell>
        </row>
        <row r="120">
          <cell r="A120" t="str">
            <v>PVD</v>
          </cell>
          <cell r="B120">
            <v>31650</v>
          </cell>
        </row>
        <row r="121">
          <cell r="A121" t="str">
            <v>PVS</v>
          </cell>
          <cell r="B121">
            <v>43400</v>
          </cell>
        </row>
        <row r="122">
          <cell r="A122" t="str">
            <v>PVT</v>
          </cell>
          <cell r="B122">
            <v>30200</v>
          </cell>
        </row>
        <row r="123">
          <cell r="A123" t="str">
            <v>PLX</v>
          </cell>
          <cell r="B123">
            <v>41000</v>
          </cell>
        </row>
        <row r="124">
          <cell r="A124" t="str">
            <v>GAS</v>
          </cell>
          <cell r="B124">
            <v>80100</v>
          </cell>
        </row>
        <row r="125">
          <cell r="A125" t="str">
            <v>KSB</v>
          </cell>
          <cell r="B125">
            <v>22550</v>
          </cell>
        </row>
        <row r="126">
          <cell r="A126" t="str">
            <v>DHA</v>
          </cell>
          <cell r="B126">
            <v>44800</v>
          </cell>
        </row>
        <row r="127">
          <cell r="A127" t="str">
            <v>VLB</v>
          </cell>
          <cell r="B127">
            <v>33100</v>
          </cell>
        </row>
        <row r="128">
          <cell r="A128" t="str">
            <v>HT1</v>
          </cell>
          <cell r="B128">
            <v>12150</v>
          </cell>
        </row>
        <row r="129">
          <cell r="A129" t="str">
            <v>BMP</v>
          </cell>
          <cell r="B129">
            <v>108100</v>
          </cell>
        </row>
        <row r="130">
          <cell r="A130" t="str">
            <v>NTP</v>
          </cell>
          <cell r="B130">
            <v>55500</v>
          </cell>
        </row>
        <row r="131">
          <cell r="A131" t="str">
            <v>DCM</v>
          </cell>
          <cell r="B131">
            <v>37550</v>
          </cell>
        </row>
        <row r="132">
          <cell r="A132" t="str">
            <v>DPM</v>
          </cell>
          <cell r="B132">
            <v>36000</v>
          </cell>
        </row>
        <row r="133">
          <cell r="A133" t="str">
            <v>PAN</v>
          </cell>
          <cell r="B133">
            <v>23450</v>
          </cell>
        </row>
        <row r="134">
          <cell r="A134" t="str">
            <v>LTG</v>
          </cell>
          <cell r="B134">
            <v>23600</v>
          </cell>
        </row>
        <row r="135">
          <cell r="A135" t="str">
            <v>PTB</v>
          </cell>
          <cell r="B135">
            <v>72300</v>
          </cell>
        </row>
        <row r="136">
          <cell r="A136" t="str">
            <v>VCS</v>
          </cell>
          <cell r="B136">
            <v>69300</v>
          </cell>
        </row>
        <row r="137">
          <cell r="A137" t="str">
            <v>DBC</v>
          </cell>
          <cell r="B137">
            <v>35550</v>
          </cell>
        </row>
        <row r="138">
          <cell r="A138" t="str">
            <v>HAG</v>
          </cell>
          <cell r="B138">
            <v>14500</v>
          </cell>
        </row>
        <row r="139">
          <cell r="A139" t="str">
            <v>BAF</v>
          </cell>
          <cell r="B139">
            <v>22850</v>
          </cell>
        </row>
        <row r="140">
          <cell r="A140" t="str">
            <v>TNG</v>
          </cell>
          <cell r="B140">
            <v>26600</v>
          </cell>
        </row>
        <row r="141">
          <cell r="A141" t="str">
            <v>VGT</v>
          </cell>
          <cell r="B141">
            <v>16000</v>
          </cell>
        </row>
        <row r="142">
          <cell r="A142" t="str">
            <v>STK</v>
          </cell>
          <cell r="B142">
            <v>29750</v>
          </cell>
        </row>
        <row r="143">
          <cell r="A143" t="str">
            <v>MSH</v>
          </cell>
          <cell r="B143">
            <v>49700</v>
          </cell>
        </row>
        <row r="144">
          <cell r="A144" t="str">
            <v>ADS</v>
          </cell>
          <cell r="B144">
            <v>14600</v>
          </cell>
        </row>
        <row r="145">
          <cell r="A145" t="str">
            <v>GIL</v>
          </cell>
          <cell r="B145">
            <v>36700</v>
          </cell>
        </row>
        <row r="146">
          <cell r="A146" t="str">
            <v>QNS</v>
          </cell>
          <cell r="B146">
            <v>49700</v>
          </cell>
        </row>
        <row r="147">
          <cell r="A147" t="str">
            <v>SBT</v>
          </cell>
          <cell r="B147">
            <v>11750</v>
          </cell>
        </row>
        <row r="148">
          <cell r="A148" t="str">
            <v>LSS</v>
          </cell>
          <cell r="B148">
            <v>12400</v>
          </cell>
        </row>
        <row r="149">
          <cell r="A149" t="str">
            <v>SLS</v>
          </cell>
          <cell r="B149">
            <v>168900</v>
          </cell>
        </row>
        <row r="150">
          <cell r="A150" t="str">
            <v>DHG</v>
          </cell>
          <cell r="B150">
            <v>123400</v>
          </cell>
        </row>
        <row r="151">
          <cell r="A151" t="str">
            <v>IMP</v>
          </cell>
          <cell r="B151">
            <v>68100</v>
          </cell>
        </row>
        <row r="152">
          <cell r="A152" t="str">
            <v>AMV</v>
          </cell>
          <cell r="B152">
            <v>3700</v>
          </cell>
        </row>
        <row r="153">
          <cell r="A153" t="str">
            <v>FPT</v>
          </cell>
          <cell r="B153">
            <v>134600</v>
          </cell>
        </row>
        <row r="154">
          <cell r="A154" t="str">
            <v>HAX</v>
          </cell>
          <cell r="B154">
            <v>15950</v>
          </cell>
        </row>
        <row r="155">
          <cell r="A155" t="str">
            <v>VEA</v>
          </cell>
          <cell r="B155">
            <v>44000</v>
          </cell>
        </row>
        <row r="156">
          <cell r="A156" t="str">
            <v>HUT</v>
          </cell>
          <cell r="B156">
            <v>19200</v>
          </cell>
        </row>
        <row r="157">
          <cell r="A157" t="str">
            <v>DHC</v>
          </cell>
          <cell r="B157">
            <v>42700</v>
          </cell>
        </row>
        <row r="158">
          <cell r="A158" t="str">
            <v>DRC</v>
          </cell>
          <cell r="B158">
            <v>33450</v>
          </cell>
        </row>
        <row r="159">
          <cell r="A159" t="str">
            <v>REE</v>
          </cell>
          <cell r="B159">
            <v>62300</v>
          </cell>
        </row>
        <row r="160">
          <cell r="A160" t="str">
            <v>HDG</v>
          </cell>
          <cell r="B160">
            <v>33850</v>
          </cell>
        </row>
        <row r="161">
          <cell r="A161" t="str">
            <v>GEX</v>
          </cell>
          <cell r="B161">
            <v>23300</v>
          </cell>
        </row>
        <row r="162">
          <cell r="A162" t="str">
            <v>MSN</v>
          </cell>
          <cell r="B162">
            <v>76600</v>
          </cell>
        </row>
        <row r="163">
          <cell r="A163" t="str">
            <v>VIC</v>
          </cell>
          <cell r="B163">
            <v>43550</v>
          </cell>
        </row>
        <row r="164">
          <cell r="A164" t="str">
            <v>VGS</v>
          </cell>
          <cell r="B164">
            <v>36700</v>
          </cell>
        </row>
        <row r="165">
          <cell r="A165" t="str">
            <v>SMC</v>
          </cell>
          <cell r="B165">
            <v>14150</v>
          </cell>
        </row>
        <row r="166">
          <cell r="A166" t="str">
            <v>BFC</v>
          </cell>
          <cell r="B166">
            <v>38000</v>
          </cell>
        </row>
        <row r="167">
          <cell r="A167" t="str">
            <v>BCG</v>
          </cell>
          <cell r="B167">
            <v>9590</v>
          </cell>
        </row>
        <row r="168">
          <cell r="A168" t="str">
            <v>MIG</v>
          </cell>
          <cell r="B168">
            <v>20900</v>
          </cell>
        </row>
        <row r="169">
          <cell r="A169" t="str">
            <v>HQC</v>
          </cell>
          <cell r="B169">
            <v>4230</v>
          </cell>
        </row>
        <row r="170">
          <cell r="A170" t="str">
            <v>SCR</v>
          </cell>
          <cell r="B170">
            <v>7200</v>
          </cell>
        </row>
        <row r="171">
          <cell r="A171" t="str">
            <v>DXS</v>
          </cell>
          <cell r="B171">
            <v>8300</v>
          </cell>
        </row>
        <row r="172">
          <cell r="A172" t="str">
            <v>HBC</v>
          </cell>
          <cell r="B172">
            <v>8150</v>
          </cell>
        </row>
        <row r="173">
          <cell r="A173" t="str">
            <v>ACL</v>
          </cell>
          <cell r="B173">
            <v>12550</v>
          </cell>
        </row>
        <row r="174">
          <cell r="A174" t="str">
            <v>TTF</v>
          </cell>
          <cell r="B174">
            <v>4180</v>
          </cell>
        </row>
        <row r="175">
          <cell r="A175" t="str">
            <v>LCG</v>
          </cell>
          <cell r="B175">
            <v>12000</v>
          </cell>
        </row>
        <row r="176">
          <cell r="A176" t="str">
            <v>FIT</v>
          </cell>
          <cell r="B176">
            <v>4750</v>
          </cell>
        </row>
        <row r="177">
          <cell r="A177" t="str">
            <v>PSH</v>
          </cell>
          <cell r="B177">
            <v>7190</v>
          </cell>
        </row>
        <row r="178">
          <cell r="A178" t="str">
            <v>HHS</v>
          </cell>
          <cell r="B178">
            <v>10300</v>
          </cell>
        </row>
        <row r="179">
          <cell r="A179" t="str">
            <v>CRE</v>
          </cell>
          <cell r="B179">
            <v>8080</v>
          </cell>
        </row>
        <row r="180">
          <cell r="A180" t="str">
            <v>SIP</v>
          </cell>
          <cell r="B180">
            <v>89700</v>
          </cell>
        </row>
        <row r="181">
          <cell r="A181" t="str">
            <v>TIG</v>
          </cell>
          <cell r="B181">
            <v>14200</v>
          </cell>
        </row>
        <row r="182">
          <cell r="A182" t="str">
            <v>BVH</v>
          </cell>
          <cell r="B182">
            <v>44850</v>
          </cell>
        </row>
        <row r="183">
          <cell r="A183" t="str">
            <v>CTS</v>
          </cell>
          <cell r="B183">
            <v>42500</v>
          </cell>
        </row>
        <row r="184">
          <cell r="A184" t="str">
            <v>IJC</v>
          </cell>
          <cell r="B184">
            <v>14750</v>
          </cell>
        </row>
        <row r="185">
          <cell r="A185" t="str">
            <v>EVF</v>
          </cell>
          <cell r="B185">
            <v>15850</v>
          </cell>
        </row>
        <row r="186">
          <cell r="A186" t="str">
            <v>BCC</v>
          </cell>
          <cell r="B186">
            <v>8300</v>
          </cell>
        </row>
        <row r="187">
          <cell r="A187" t="str">
            <v>EVE</v>
          </cell>
          <cell r="B187">
            <v>14200</v>
          </cell>
        </row>
        <row r="188">
          <cell r="A188" t="str">
            <v>SGP</v>
          </cell>
          <cell r="B188">
            <v>22500</v>
          </cell>
        </row>
        <row r="189">
          <cell r="A189" t="str">
            <v>DVP</v>
          </cell>
          <cell r="B189">
            <v>76000</v>
          </cell>
        </row>
        <row r="190">
          <cell r="A190" t="str">
            <v>PLC</v>
          </cell>
          <cell r="B190">
            <v>29900</v>
          </cell>
        </row>
        <row r="191">
          <cell r="A191" t="str">
            <v>GDT</v>
          </cell>
          <cell r="B191">
            <v>28600</v>
          </cell>
        </row>
        <row r="192">
          <cell r="A192" t="str">
            <v>VPG</v>
          </cell>
          <cell r="B192">
            <v>16100</v>
          </cell>
        </row>
        <row r="193">
          <cell r="A193" t="str">
            <v>OIL</v>
          </cell>
          <cell r="B193">
            <v>10900</v>
          </cell>
        </row>
        <row r="194">
          <cell r="A194" t="str">
            <v>VGI</v>
          </cell>
          <cell r="B194">
            <v>87300</v>
          </cell>
        </row>
        <row r="195">
          <cell r="A195" t="str">
            <v>MCH</v>
          </cell>
          <cell r="B195">
            <v>196000</v>
          </cell>
        </row>
        <row r="196">
          <cell r="A196" t="str">
            <v>ORS</v>
          </cell>
          <cell r="B196">
            <v>16250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58100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12200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8900</v>
          </cell>
        </row>
        <row r="206">
          <cell r="A206" t="str">
            <v>TCH</v>
          </cell>
          <cell r="B206">
            <v>19700</v>
          </cell>
        </row>
        <row r="207">
          <cell r="A207" t="str">
            <v>AAA</v>
          </cell>
          <cell r="B207">
            <v>11850</v>
          </cell>
        </row>
        <row r="208">
          <cell r="A208" t="str">
            <v>BWE</v>
          </cell>
          <cell r="B208">
            <v>43000</v>
          </cell>
        </row>
        <row r="209">
          <cell r="A209" t="str">
            <v>NAB</v>
          </cell>
          <cell r="B209">
            <v>0</v>
          </cell>
        </row>
        <row r="210">
          <cell r="A210" t="str">
            <v>TDM</v>
          </cell>
          <cell r="B210">
            <v>51300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rung Nguyen Hoang" id="{4D585C85-B6D3-4248-BA15-75BF0C3C200B}" userId="S::trung.nguyenhoang@v-key.com::dfad774c-056e-46a2-a607-719a6211cee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3" dT="2024-06-24T14:17:09.37" personId="{4D585C85-B6D3-4248-BA15-75BF0C3C200B}" id="{006943C3-A722-4E44-AC5A-244E0B17B415}">
    <text>Cưa chân bàn</text>
  </threadedComment>
  <threadedComment ref="A15" dT="2024-06-24T14:16:36.63" personId="{4D585C85-B6D3-4248-BA15-75BF0C3C200B}" id="{E052B674-5053-6149-979A-5F5C7B7D9F5D}">
    <text>Bull trap</text>
  </threadedComment>
  <threadedComment ref="O40" dT="2024-06-02T05:58:31.37" personId="{4D585C85-B6D3-4248-BA15-75BF0C3C200B}" id="{5E26DE02-5100-6644-855A-E9C54B3B21FB}">
    <text>Áp lực tỉ giá. Tỉ giá lập đỉnh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5" dT="2024-06-27T02:17:06.71" personId="{4D585C85-B6D3-4248-BA15-75BF0C3C200B}" id="{8375259F-1AEE-9043-9677-933EAA53528F}">
    <text>Kéo BCM, GVR</text>
  </threadedComment>
  <threadedComment ref="I7" dT="2024-06-25T04:01:19.08" personId="{4D585C85-B6D3-4248-BA15-75BF0C3C200B}" id="{46B08587-79A7-7745-B2DD-D77C2F816166}">
    <text>Tin đồn bỏ triển khai hệ thống KRX</text>
  </threadedComment>
  <threadedComment ref="AJ10" dT="2024-06-24T22:01:28.17" personId="{4D585C85-B6D3-4248-BA15-75BF0C3C200B}" id="{FEA8D2DB-BE62-6C45-91A6-03762F9AD3D8}">
    <text>Khối ngoại bán ròng kỉ lục cổ phiếu VHC chỉ sau phiên 9/5/2024. Giá trị 69 tỉ</text>
  </threadedComment>
  <threadedComment ref="AY10" dT="2024-06-29T10:27:03.62" personId="{4D585C85-B6D3-4248-BA15-75BF0C3C200B}" id="{8E363F63-18BC-D345-8A08-7AA808F5B0B9}">
    <text>HAG</text>
  </threadedComment>
  <threadedComment ref="R12" dT="2024-06-29T08:56:23.08" personId="{4D585C85-B6D3-4248-BA15-75BF0C3C200B}" id="{2C9B8D45-47FE-7542-965F-871496238751}">
    <text>HSG,NKG</text>
  </threadedComment>
  <threadedComment ref="AS13" dT="2024-06-24T22:07:43.56" personId="{4D585C85-B6D3-4248-BA15-75BF0C3C200B}" id="{C9F2B7FA-1AF4-7B4B-B76A-5DA79150A537}">
    <text>NN bán ròng HDG với giá trị cao nhất 6 tháng gần nhất. 53 tỉ</text>
  </threadedComment>
  <threadedComment ref="O16" dT="2024-06-29T08:46:35.86" personId="{4D585C85-B6D3-4248-BA15-75BF0C3C200B}" id="{FDDD2D0E-523C-CB4E-993B-351005C55DCB}">
    <text>LHG, IJC</text>
  </threadedComment>
  <threadedComment ref="AD17" dT="2024-06-29T09:12:29.70" personId="{4D585C85-B6D3-4248-BA15-75BF0C3C200B}" id="{A77DCDA6-C773-9249-A22D-BAFDBAFFEFBC}">
    <text>VSC,HAH,VOS,GMD,DVP,PVT,SGP,VIP</text>
  </threadedComment>
  <threadedComment ref="AJ17" dT="2024-06-29T09:29:14.46" personId="{4D585C85-B6D3-4248-BA15-75BF0C3C200B}" id="{4E7EB458-4149-1542-A005-36B204964054}">
    <text>ANV,VHC,ACL,IDI</text>
  </threadedComment>
  <threadedComment ref="AV18" dT="2024-06-29T09:22:10.52" personId="{4D585C85-B6D3-4248-BA15-75BF0C3C200B}" id="{0024D084-3814-1445-AFFA-03B3522D6DD7}">
    <text>DCM,DPM,BFC</text>
  </threadedComment>
  <threadedComment ref="AM20" dT="2024-06-29T09:19:10.58" personId="{4D585C85-B6D3-4248-BA15-75BF0C3C200B}" id="{2E6DF121-A91B-1740-9966-E41E78330CDE}">
    <text>VCS,GDT</text>
  </threadedComment>
  <threadedComment ref="R21" dT="2024-06-29T08:54:07.41" personId="{4D585C85-B6D3-4248-BA15-75BF0C3C200B}" id="{101E06BC-FFFB-6543-B741-A73C5DDC3D8E}">
    <text>HSG</text>
  </threadedComment>
  <threadedComment ref="AG23" dT="2024-06-04T03:04:41.80" personId="{4D585C85-B6D3-4248-BA15-75BF0C3C200B}" id="{9EBFDE32-5693-1E44-84FB-173C68EC77FF}">
    <text>Tăng trưởng mạnh của nguyên vật liệu dệt may (tăng 33% trong tháng 5/2024 và hơn 20% trong 5 tháng đầu năm) báo hiệu đơn hàng dệt may sẽ tăng tốt trong nửa cuối năm 2024.</text>
  </threadedComment>
  <threadedComment ref="AJ23" dT="2024-06-29T09:28:00.21" personId="{4D585C85-B6D3-4248-BA15-75BF0C3C200B}" id="{B9CDF998-3F6C-024C-AF0A-77AD8B82E1CD}">
    <text>ANV</text>
  </threadedComment>
  <threadedComment ref="AM25" dT="2024-06-02T06:00:28.20" personId="{4D585C85-B6D3-4248-BA15-75BF0C3C200B}" id="{3307DD59-5652-444C-AA35-26CCC19E3304}">
    <text>Xuất khẩu gỗ và sản phẩm gỗ tăng 23,5% so với cùng kì</text>
  </threadedComment>
  <threadedComment ref="O26" dT="2024-06-29T08:45:10.89" personId="{4D585C85-B6D3-4248-BA15-75BF0C3C200B}" id="{9602EF0C-BBBD-4D48-8815-463914D8604D}">
    <text>SZC</text>
  </threadedComment>
  <threadedComment ref="F29" dT="2024-06-06T12:58:06.28" personId="{4D585C85-B6D3-4248-BA15-75BF0C3C200B}" id="{BAC63297-BB0B-0843-A86C-0B349156FFB4}">
    <text>tăng trưởng tín dụng chậm chỉ đạt hơn 2% trong 5 tháng đầu năm</text>
  </threadedComment>
  <threadedComment ref="U29" dT="2024-05-31T02:24:10.57" personId="{4D585C85-B6D3-4248-BA15-75BF0C3C200B}" id="{EF2E373C-24B9-0649-890E-871FF88285B0}">
    <text>Thoái vốn MSR -&gt; MSN</text>
  </threadedComment>
  <threadedComment ref="AS29" dT="2024-05-31T02:25:36.14" personId="{4D585C85-B6D3-4248-BA15-75BF0C3C200B}" id="{DCF5ECF6-A785-D844-BB0A-AC21E83AC10B}">
    <text>Tiêu thụ điện đạt kỉ lục</text>
  </threadedComment>
  <threadedComment ref="AY30" dT="2024-06-24T22:14:19.62" personId="{4D585C85-B6D3-4248-BA15-75BF0C3C200B}" id="{24185B3F-1365-DC4E-95D4-721114BB049D}">
    <text>NN bán kỉ lục HAG. GTGD 55 tỉ (ATH)</text>
  </threadedComment>
  <threadedComment ref="AY33" dT="2024-05-31T02:55:24.19" personId="{4D585C85-B6D3-4248-BA15-75BF0C3C200B}" id="{B8C86A40-F444-EC4C-A42C-B1B93FEF16BE}">
    <text>giá heo cao kỉ lục 5 năm</text>
  </threadedComment>
  <threadedComment ref="F34" dT="2024-06-29T08:45:35.50" personId="{4D585C85-B6D3-4248-BA15-75BF0C3C200B}" id="{158640FF-865F-934D-9660-2922C5A1391A}">
    <text>LPB</text>
  </threadedComment>
  <threadedComment ref="R35" dT="2024-06-29T08:53:23.30" personId="{4D585C85-B6D3-4248-BA15-75BF0C3C200B}" id="{4FED1D24-5018-DF40-AFE5-4EC319368A52}">
    <text>HPG</text>
  </threadedComment>
  <threadedComment ref="AY37" dT="2024-06-29T10:26:30.37" personId="{4D585C85-B6D3-4248-BA15-75BF0C3C200B}" id="{E457C49D-D82E-C84D-A5BD-FA8F93B9166E}">
    <text>BAF</text>
  </threadedComment>
  <threadedComment ref="AY38" dT="2024-06-29T10:26:19.55" personId="{4D585C85-B6D3-4248-BA15-75BF0C3C200B}" id="{0DAB9DC4-B174-634F-835B-DFF3D9FC8BF2}">
    <text>DBC</text>
  </threadedComment>
  <threadedComment ref="AD39" dT="2024-06-29T09:11:08.26" personId="{4D585C85-B6D3-4248-BA15-75BF0C3C200B}" id="{2E9E15B2-3EC5-BB42-BCBB-937F4EB7B834}">
    <text>PVT,VOS,SGP</text>
  </threadedComment>
  <threadedComment ref="AJ39" dT="2024-06-24T22:01:02.61" personId="{4D585C85-B6D3-4248-BA15-75BF0C3C200B}" id="{9D9BAB95-0BE1-4C45-B13A-0136AF24B3A4}">
    <text>Khối ngoại bán ròng kỉ lục cổ phiếu VHC. Giá trị 100 tỉ</text>
  </threadedComment>
  <threadedComment ref="AG40" dT="2024-06-29T10:20:44.57" personId="{4D585C85-B6D3-4248-BA15-75BF0C3C200B}" id="{8A084FC6-AEC2-7842-9094-5D76B2435123}">
    <text>STK,TCM,MSH,VGT,TNG</text>
  </threadedComment>
  <threadedComment ref="U41" dT="2024-06-29T09:02:43.11" personId="{4D585C85-B6D3-4248-BA15-75BF0C3C200B}" id="{1293EB94-5586-4B48-BD63-C4C35297997A}">
    <text>VNM,PNJ</text>
  </threadedComment>
  <threadedComment ref="AG41" dT="2024-06-29T10:20:00.24" personId="{4D585C85-B6D3-4248-BA15-75BF0C3C200B}" id="{B9D5862B-C8B6-A547-BA57-A774F7574821}">
    <text>TNG,VGT</text>
  </threadedComment>
  <threadedComment ref="R42" dT="2024-06-29T08:52:25.34" personId="{4D585C85-B6D3-4248-BA15-75BF0C3C200B}" id="{19E23772-153F-D043-9DCE-DE1158494CB3}">
    <text>HPG,VPG,NKG,HSG,VGS</text>
  </threadedComment>
  <threadedComment ref="AD42" dT="2024-06-29T09:10:01.68" personId="{4D585C85-B6D3-4248-BA15-75BF0C3C200B}" id="{AFFBBEDB-6C2C-DD43-8DB2-6551FF49C9EB}">
    <text>HAH,VOS,VIP</text>
  </threadedComment>
  <threadedComment ref="F54" dT="2024-06-30T05:12:29.58" personId="{4D585C85-B6D3-4248-BA15-75BF0C3C200B}" id="{D97C1015-9938-5E47-8F95-9FB395366E99}">
    <text>Bull trap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3" dT="2024-06-02T06:14:11.56" personId="{4D585C85-B6D3-4248-BA15-75BF0C3C200B}" id="{DAAE6924-6F14-BD4A-BD6E-ECDAB60B368E}">
    <text>Sau 23 tháng xuất siêu, Việt Nam đã nhập siêu trở lại trong tháng 5/2025 với con số 1 tỷ USD. =&gt; Áp lực tỉ giá. Tỉ giá lập đỉnh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AB138"/>
  <sheetViews>
    <sheetView tabSelected="1" topLeftCell="A36" workbookViewId="0">
      <pane xSplit="1" topLeftCell="B1" activePane="topRight" state="frozen"/>
      <selection pane="topRight" activeCell="A48" sqref="A48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8" width="19.33203125" customWidth="1"/>
    <col min="19" max="19" width="10.83203125" customWidth="1"/>
    <col min="20" max="20" width="12" customWidth="1"/>
    <col min="21" max="21" width="10.83203125" customWidth="1"/>
    <col min="22" max="22" width="22.33203125" customWidth="1"/>
    <col min="23" max="23" width="17.83203125" customWidth="1"/>
  </cols>
  <sheetData>
    <row r="1" spans="1:28" x14ac:dyDescent="0.2">
      <c r="A1" s="3"/>
      <c r="B1" s="678" t="s">
        <v>0</v>
      </c>
      <c r="C1" s="678"/>
      <c r="D1" s="678"/>
      <c r="E1" s="678"/>
      <c r="F1" s="678"/>
      <c r="G1" s="679" t="s">
        <v>4</v>
      </c>
      <c r="H1" s="679"/>
      <c r="I1" s="679"/>
      <c r="J1" s="679"/>
      <c r="K1" s="679"/>
      <c r="L1" s="680" t="s">
        <v>84</v>
      </c>
      <c r="M1" s="680"/>
      <c r="N1" s="680"/>
      <c r="O1" s="680"/>
      <c r="P1" s="680"/>
      <c r="Q1" s="30"/>
      <c r="R1" s="30"/>
      <c r="S1" s="681" t="s">
        <v>85</v>
      </c>
      <c r="T1" s="681"/>
      <c r="U1" s="681"/>
      <c r="V1" s="681"/>
      <c r="W1" s="681"/>
      <c r="X1" s="682" t="s">
        <v>375</v>
      </c>
      <c r="Y1" s="682"/>
      <c r="AA1" s="677" t="s">
        <v>371</v>
      </c>
      <c r="AB1" s="677"/>
    </row>
    <row r="2" spans="1:28" x14ac:dyDescent="0.2">
      <c r="A2" s="33" t="s">
        <v>117</v>
      </c>
      <c r="B2" s="33" t="s">
        <v>114</v>
      </c>
      <c r="C2" s="33" t="s">
        <v>118</v>
      </c>
      <c r="D2" s="32" t="s">
        <v>1</v>
      </c>
      <c r="E2" s="32" t="s">
        <v>2</v>
      </c>
      <c r="F2" s="32" t="s">
        <v>3</v>
      </c>
      <c r="G2" s="33" t="s">
        <v>114</v>
      </c>
      <c r="H2" s="33" t="s">
        <v>118</v>
      </c>
      <c r="I2" s="32" t="s">
        <v>1</v>
      </c>
      <c r="J2" s="32" t="s">
        <v>2</v>
      </c>
      <c r="K2" s="32" t="s">
        <v>3</v>
      </c>
      <c r="L2" s="32" t="s">
        <v>112</v>
      </c>
      <c r="M2" s="32" t="s">
        <v>444</v>
      </c>
      <c r="N2" s="32" t="s">
        <v>113</v>
      </c>
      <c r="O2" s="32" t="s">
        <v>115</v>
      </c>
      <c r="P2" s="31" t="s">
        <v>261</v>
      </c>
      <c r="Q2" s="31" t="s">
        <v>263</v>
      </c>
      <c r="R2" s="31" t="s">
        <v>262</v>
      </c>
      <c r="S2" s="32" t="s">
        <v>112</v>
      </c>
      <c r="T2" s="32" t="s">
        <v>444</v>
      </c>
      <c r="U2" s="32" t="s">
        <v>113</v>
      </c>
      <c r="V2" s="32" t="s">
        <v>115</v>
      </c>
      <c r="W2" s="32" t="s">
        <v>116</v>
      </c>
      <c r="X2" s="32" t="s">
        <v>376</v>
      </c>
      <c r="Y2" s="32" t="s">
        <v>377</v>
      </c>
      <c r="Z2" s="32" t="s">
        <v>356</v>
      </c>
      <c r="AA2" s="32" t="s">
        <v>371</v>
      </c>
      <c r="AB2" s="32" t="s">
        <v>372</v>
      </c>
    </row>
    <row r="3" spans="1:28" x14ac:dyDescent="0.2">
      <c r="A3" s="25" t="s">
        <v>440</v>
      </c>
      <c r="B3" s="26">
        <v>-1.0700000000000001E-2</v>
      </c>
      <c r="C3" s="23">
        <f t="shared" ref="C3:C31" si="0">B3+C4</f>
        <v>0.10120000000000005</v>
      </c>
      <c r="D3" s="17">
        <v>79</v>
      </c>
      <c r="E3" s="17">
        <v>61</v>
      </c>
      <c r="F3" s="17">
        <v>355</v>
      </c>
      <c r="G3" s="26">
        <v>-8.3000000000000001E-3</v>
      </c>
      <c r="H3" s="23">
        <f t="shared" ref="H3:H66" si="1">G3+H4</f>
        <v>0.12840000000000007</v>
      </c>
      <c r="I3" s="17">
        <v>9</v>
      </c>
      <c r="J3" s="17">
        <v>3</v>
      </c>
      <c r="K3" s="17">
        <v>18</v>
      </c>
      <c r="L3" s="17">
        <v>66</v>
      </c>
      <c r="N3" s="17">
        <v>92</v>
      </c>
      <c r="O3" s="17">
        <v>-873986247922</v>
      </c>
      <c r="P3" s="16">
        <f t="shared" ref="P3:P56" si="2">O3+P4</f>
        <v>-40468803923335</v>
      </c>
      <c r="Q3" s="17">
        <v>-781119277922</v>
      </c>
      <c r="R3" s="16">
        <f t="shared" ref="R3:R102" si="3">Q3+R4</f>
        <v>-23589939753010</v>
      </c>
      <c r="S3" s="17">
        <v>73</v>
      </c>
      <c r="T3" s="17">
        <f>S3+U3</f>
        <v>105</v>
      </c>
      <c r="U3" s="17">
        <v>32</v>
      </c>
      <c r="V3" s="17">
        <v>408640926800</v>
      </c>
      <c r="W3" s="17">
        <f t="shared" ref="W3:W65" si="4">V3+W4</f>
        <v>1789824708500</v>
      </c>
      <c r="X3" s="17">
        <v>13</v>
      </c>
      <c r="Y3" s="17">
        <v>147</v>
      </c>
      <c r="Z3" s="26">
        <v>0.33380000000000004</v>
      </c>
      <c r="AA3" s="34">
        <v>45.81</v>
      </c>
      <c r="AB3" s="36">
        <f t="shared" ref="AB3:AB86" si="5">AVERAGE(AA4:AA17)</f>
        <v>56.186428571428578</v>
      </c>
    </row>
    <row r="4" spans="1:28" x14ac:dyDescent="0.2">
      <c r="A4" s="25" t="s">
        <v>432</v>
      </c>
      <c r="B4" s="26">
        <v>-1.7000000000000001E-3</v>
      </c>
      <c r="C4" s="23">
        <f t="shared" si="0"/>
        <v>0.11190000000000005</v>
      </c>
      <c r="D4" s="17">
        <v>175</v>
      </c>
      <c r="E4" s="17">
        <v>93</v>
      </c>
      <c r="F4" s="17">
        <v>214</v>
      </c>
      <c r="G4" s="26">
        <v>-1.8E-3</v>
      </c>
      <c r="H4" s="23">
        <f t="shared" si="1"/>
        <v>0.13670000000000007</v>
      </c>
      <c r="I4" s="17">
        <v>10</v>
      </c>
      <c r="J4" s="17">
        <v>5</v>
      </c>
      <c r="K4" s="17">
        <v>15</v>
      </c>
      <c r="L4" s="17">
        <v>72</v>
      </c>
      <c r="N4" s="17">
        <v>87</v>
      </c>
      <c r="O4" s="17">
        <v>-273416916018</v>
      </c>
      <c r="P4" s="16">
        <f t="shared" si="2"/>
        <v>-39594817675413</v>
      </c>
      <c r="Q4" s="17">
        <v>-209201656018</v>
      </c>
      <c r="R4" s="16">
        <f t="shared" si="3"/>
        <v>-22808820475088</v>
      </c>
      <c r="S4" s="17">
        <v>56</v>
      </c>
      <c r="T4" s="17">
        <f t="shared" ref="T4:T67" si="6">S4+U4</f>
        <v>102</v>
      </c>
      <c r="U4" s="17">
        <v>46</v>
      </c>
      <c r="V4" s="17">
        <v>-749818713600</v>
      </c>
      <c r="W4" s="17">
        <f t="shared" si="4"/>
        <v>1381183781700</v>
      </c>
      <c r="X4" s="17">
        <v>53</v>
      </c>
      <c r="Y4" s="17">
        <v>98</v>
      </c>
      <c r="Z4" s="26">
        <v>0.3422</v>
      </c>
      <c r="AA4" s="34">
        <v>52.63</v>
      </c>
      <c r="AB4" s="36">
        <f t="shared" si="5"/>
        <v>55.685000000000002</v>
      </c>
    </row>
    <row r="5" spans="1:28" x14ac:dyDescent="0.2">
      <c r="A5" s="25" t="s">
        <v>431</v>
      </c>
      <c r="B5" s="26">
        <v>3.7000000000000002E-3</v>
      </c>
      <c r="C5" s="23">
        <f t="shared" si="0"/>
        <v>0.11360000000000005</v>
      </c>
      <c r="D5" s="17">
        <v>190</v>
      </c>
      <c r="E5" s="17">
        <v>76</v>
      </c>
      <c r="F5" s="17">
        <v>216</v>
      </c>
      <c r="G5" s="26">
        <v>1.9E-3</v>
      </c>
      <c r="H5" s="23">
        <f t="shared" si="1"/>
        <v>0.13850000000000007</v>
      </c>
      <c r="I5" s="17">
        <v>12</v>
      </c>
      <c r="J5" s="17">
        <v>6</v>
      </c>
      <c r="K5" s="17">
        <v>12</v>
      </c>
      <c r="L5" s="17">
        <v>72</v>
      </c>
      <c r="N5" s="17">
        <v>86</v>
      </c>
      <c r="O5" s="17">
        <v>-380867819227</v>
      </c>
      <c r="P5" s="16">
        <f t="shared" si="2"/>
        <v>-39321400759395</v>
      </c>
      <c r="Q5" s="17">
        <v>-287492999227</v>
      </c>
      <c r="R5" s="16">
        <f t="shared" si="3"/>
        <v>-22599618819070</v>
      </c>
      <c r="S5" s="17">
        <v>21</v>
      </c>
      <c r="T5" s="17">
        <f t="shared" si="6"/>
        <v>79</v>
      </c>
      <c r="U5" s="17">
        <v>58</v>
      </c>
      <c r="V5" s="17">
        <v>-463094806400</v>
      </c>
      <c r="W5" s="17">
        <f t="shared" si="4"/>
        <v>2131002495300</v>
      </c>
      <c r="X5" s="17">
        <v>46</v>
      </c>
      <c r="Y5" s="17">
        <v>99</v>
      </c>
      <c r="Z5" s="26">
        <v>0.41070000000000001</v>
      </c>
      <c r="AA5" s="34">
        <v>53.28</v>
      </c>
      <c r="AB5" s="36">
        <f t="shared" si="5"/>
        <v>55.25</v>
      </c>
    </row>
    <row r="6" spans="1:28" x14ac:dyDescent="0.2">
      <c r="A6" s="25" t="s">
        <v>430</v>
      </c>
      <c r="B6" s="26">
        <v>1.9E-3</v>
      </c>
      <c r="C6" s="23">
        <f t="shared" si="0"/>
        <v>0.10990000000000005</v>
      </c>
      <c r="D6" s="17">
        <v>238</v>
      </c>
      <c r="E6" s="17">
        <v>81</v>
      </c>
      <c r="F6" s="17">
        <v>161</v>
      </c>
      <c r="G6" s="26">
        <v>-8.0000000000000004E-4</v>
      </c>
      <c r="H6" s="23">
        <f t="shared" si="1"/>
        <v>0.13660000000000005</v>
      </c>
      <c r="I6" s="17">
        <v>14</v>
      </c>
      <c r="J6" s="17">
        <v>7</v>
      </c>
      <c r="K6" s="17">
        <v>9</v>
      </c>
      <c r="L6" s="17">
        <v>96</v>
      </c>
      <c r="N6" s="17">
        <v>68</v>
      </c>
      <c r="O6" s="17">
        <v>-139689858393</v>
      </c>
      <c r="P6" s="16">
        <f t="shared" si="2"/>
        <v>-38940532940168</v>
      </c>
      <c r="Q6" s="17">
        <v>-62800828393</v>
      </c>
      <c r="R6" s="16">
        <f t="shared" si="3"/>
        <v>-22312125819843</v>
      </c>
      <c r="S6" s="17">
        <v>53</v>
      </c>
      <c r="T6" s="17">
        <f t="shared" si="6"/>
        <v>87</v>
      </c>
      <c r="U6" s="17">
        <v>34</v>
      </c>
      <c r="V6" s="17">
        <v>154719732400</v>
      </c>
      <c r="W6" s="17">
        <f t="shared" si="4"/>
        <v>2594097301700</v>
      </c>
      <c r="X6" s="17">
        <v>47</v>
      </c>
      <c r="Y6" s="17">
        <v>98</v>
      </c>
      <c r="Z6" s="26">
        <v>0.3044</v>
      </c>
      <c r="AA6" s="34">
        <v>46.95</v>
      </c>
      <c r="AB6" s="36">
        <f t="shared" si="5"/>
        <v>55.749285714285733</v>
      </c>
    </row>
    <row r="7" spans="1:28" x14ac:dyDescent="0.2">
      <c r="A7" s="29" t="s">
        <v>423</v>
      </c>
      <c r="B7" s="26">
        <v>-2.18E-2</v>
      </c>
      <c r="C7" s="23">
        <f t="shared" si="0"/>
        <v>0.10800000000000005</v>
      </c>
      <c r="D7" s="17">
        <v>74</v>
      </c>
      <c r="E7" s="17">
        <v>50</v>
      </c>
      <c r="F7" s="17">
        <v>378</v>
      </c>
      <c r="G7" s="26">
        <v>-2.2799999999999997E-2</v>
      </c>
      <c r="H7" s="23">
        <f t="shared" si="1"/>
        <v>0.13740000000000005</v>
      </c>
      <c r="I7" s="17">
        <v>1</v>
      </c>
      <c r="J7" s="17">
        <v>1</v>
      </c>
      <c r="K7" s="17">
        <v>28</v>
      </c>
      <c r="L7" s="17">
        <v>62</v>
      </c>
      <c r="N7" s="17">
        <v>102</v>
      </c>
      <c r="O7" s="17">
        <v>-946853949943</v>
      </c>
      <c r="P7" s="16">
        <f t="shared" si="2"/>
        <v>-38800843081775</v>
      </c>
      <c r="Q7" s="17">
        <v>-853795899943</v>
      </c>
      <c r="R7" s="16">
        <f t="shared" si="3"/>
        <v>-22249324991450</v>
      </c>
      <c r="S7" s="17">
        <v>105</v>
      </c>
      <c r="T7" s="17">
        <f t="shared" si="6"/>
        <v>124</v>
      </c>
      <c r="U7" s="17">
        <v>19</v>
      </c>
      <c r="V7" s="17">
        <v>385156935000</v>
      </c>
      <c r="W7" s="17">
        <f t="shared" si="4"/>
        <v>2439377569300</v>
      </c>
      <c r="X7" s="17">
        <v>3</v>
      </c>
      <c r="Y7" s="17">
        <v>146</v>
      </c>
      <c r="Z7" s="26">
        <v>0.33710000000000001</v>
      </c>
      <c r="AA7" s="34">
        <v>53.01</v>
      </c>
      <c r="AB7" s="36">
        <f t="shared" si="5"/>
        <v>55.812142857142859</v>
      </c>
    </row>
    <row r="8" spans="1:28" x14ac:dyDescent="0.2">
      <c r="A8" s="29" t="s">
        <v>421</v>
      </c>
      <c r="B8" s="26">
        <v>-2.0000000000000001E-4</v>
      </c>
      <c r="C8" s="23">
        <f t="shared" si="0"/>
        <v>0.12980000000000005</v>
      </c>
      <c r="D8" s="17">
        <v>185</v>
      </c>
      <c r="E8" s="17">
        <v>78</v>
      </c>
      <c r="F8" s="17">
        <v>234</v>
      </c>
      <c r="G8" s="26">
        <v>-1.8E-3</v>
      </c>
      <c r="H8" s="23">
        <f t="shared" si="1"/>
        <v>0.16020000000000004</v>
      </c>
      <c r="I8" s="17">
        <v>7</v>
      </c>
      <c r="J8" s="17">
        <v>5</v>
      </c>
      <c r="K8" s="17">
        <v>18</v>
      </c>
      <c r="L8" s="17">
        <v>61</v>
      </c>
      <c r="N8" s="17">
        <v>103</v>
      </c>
      <c r="O8" s="17">
        <v>-908732956254</v>
      </c>
      <c r="P8" s="16">
        <f t="shared" si="2"/>
        <v>-37853989131832</v>
      </c>
      <c r="Q8" s="17">
        <v>-817450946254</v>
      </c>
      <c r="R8" s="16">
        <f t="shared" si="3"/>
        <v>-21395529091507</v>
      </c>
      <c r="S8" s="17">
        <v>58</v>
      </c>
      <c r="T8" s="17">
        <f t="shared" si="6"/>
        <v>114</v>
      </c>
      <c r="U8" s="17">
        <v>56</v>
      </c>
      <c r="V8" s="17">
        <v>-539793060700</v>
      </c>
      <c r="W8" s="17">
        <f t="shared" si="4"/>
        <v>2054220634300</v>
      </c>
      <c r="X8" s="17">
        <v>33</v>
      </c>
      <c r="Y8" s="17">
        <v>98</v>
      </c>
      <c r="Z8" s="26">
        <v>0.32250000000000001</v>
      </c>
      <c r="AA8" s="34">
        <v>61.6</v>
      </c>
      <c r="AB8" s="36">
        <f t="shared" si="5"/>
        <v>55.24785714285715</v>
      </c>
    </row>
    <row r="9" spans="1:28" x14ac:dyDescent="0.2">
      <c r="A9" s="29" t="s">
        <v>417</v>
      </c>
      <c r="B9" s="26">
        <v>2E-3</v>
      </c>
      <c r="C9" s="23">
        <f t="shared" si="0"/>
        <v>0.13000000000000006</v>
      </c>
      <c r="D9" s="17">
        <v>189</v>
      </c>
      <c r="E9" s="17">
        <v>72</v>
      </c>
      <c r="F9" s="17">
        <v>242</v>
      </c>
      <c r="G9" s="26">
        <v>6.1999999999999998E-3</v>
      </c>
      <c r="H9" s="23">
        <f t="shared" si="1"/>
        <v>0.16200000000000003</v>
      </c>
      <c r="I9" s="17">
        <v>12</v>
      </c>
      <c r="J9" s="17">
        <v>4</v>
      </c>
      <c r="K9" s="17">
        <v>14</v>
      </c>
      <c r="L9" s="17">
        <v>59</v>
      </c>
      <c r="N9" s="17">
        <v>99</v>
      </c>
      <c r="O9" s="17">
        <v>-859964332133</v>
      </c>
      <c r="P9" s="16">
        <f t="shared" si="2"/>
        <v>-36945256175578</v>
      </c>
      <c r="Q9" s="17">
        <v>-631697332133</v>
      </c>
      <c r="R9" s="16">
        <f t="shared" si="3"/>
        <v>-20578078145253</v>
      </c>
      <c r="S9" s="17">
        <v>76</v>
      </c>
      <c r="T9" s="17">
        <f t="shared" si="6"/>
        <v>121</v>
      </c>
      <c r="U9" s="17">
        <v>45</v>
      </c>
      <c r="V9" s="17">
        <v>498396180200</v>
      </c>
      <c r="W9" s="17">
        <f t="shared" si="4"/>
        <v>2594013695000</v>
      </c>
      <c r="X9" s="17">
        <v>31</v>
      </c>
      <c r="Y9" s="17">
        <v>102</v>
      </c>
      <c r="Z9" s="26">
        <v>0.37909999999999999</v>
      </c>
      <c r="AA9" s="34">
        <v>62.37</v>
      </c>
      <c r="AB9" s="36">
        <f t="shared" si="5"/>
        <v>54.50714285714286</v>
      </c>
    </row>
    <row r="10" spans="1:28" x14ac:dyDescent="0.2">
      <c r="A10" s="29" t="s">
        <v>416</v>
      </c>
      <c r="B10" s="26">
        <v>2.0000000000000001E-4</v>
      </c>
      <c r="C10" s="23">
        <f t="shared" si="0"/>
        <v>0.12800000000000006</v>
      </c>
      <c r="D10" s="17">
        <v>184</v>
      </c>
      <c r="E10" s="17">
        <v>71</v>
      </c>
      <c r="F10" s="17">
        <v>246</v>
      </c>
      <c r="G10" s="26">
        <v>3.3E-3</v>
      </c>
      <c r="H10" s="23">
        <f t="shared" si="1"/>
        <v>0.15580000000000002</v>
      </c>
      <c r="I10" s="17">
        <v>14</v>
      </c>
      <c r="J10" s="17">
        <v>2</v>
      </c>
      <c r="K10" s="17">
        <v>14</v>
      </c>
      <c r="L10" s="17">
        <v>57</v>
      </c>
      <c r="N10" s="17">
        <v>103</v>
      </c>
      <c r="O10" s="17">
        <v>-1341279266321</v>
      </c>
      <c r="P10" s="16">
        <f t="shared" si="2"/>
        <v>-36085291843445</v>
      </c>
      <c r="Q10" s="17">
        <v>-1119976676321</v>
      </c>
      <c r="R10" s="16">
        <f t="shared" si="3"/>
        <v>-19946380813120</v>
      </c>
      <c r="S10" s="17">
        <v>58</v>
      </c>
      <c r="T10" s="17">
        <f t="shared" si="6"/>
        <v>113</v>
      </c>
      <c r="U10" s="17">
        <v>55</v>
      </c>
      <c r="V10" s="17">
        <v>-156358667800</v>
      </c>
      <c r="W10" s="17">
        <f t="shared" si="4"/>
        <v>2095617514800</v>
      </c>
      <c r="X10" s="17">
        <v>32</v>
      </c>
      <c r="Y10" s="17">
        <v>102</v>
      </c>
      <c r="Z10" s="26">
        <v>0.33779999999999999</v>
      </c>
      <c r="AA10" s="34">
        <v>61.66</v>
      </c>
      <c r="AB10" s="36">
        <f t="shared" si="5"/>
        <v>53.452857142857148</v>
      </c>
    </row>
    <row r="11" spans="1:28" x14ac:dyDescent="0.2">
      <c r="A11" s="29" t="s">
        <v>414</v>
      </c>
      <c r="B11" s="26">
        <v>3.7000000000000002E-3</v>
      </c>
      <c r="C11" s="23">
        <f t="shared" si="0"/>
        <v>0.12780000000000005</v>
      </c>
      <c r="D11" s="17">
        <v>269</v>
      </c>
      <c r="E11" s="17">
        <v>72</v>
      </c>
      <c r="F11" s="17">
        <v>151</v>
      </c>
      <c r="G11" s="26">
        <v>1E-4</v>
      </c>
      <c r="H11" s="23">
        <f t="shared" si="1"/>
        <v>0.15250000000000002</v>
      </c>
      <c r="I11" s="17">
        <v>14</v>
      </c>
      <c r="J11" s="17">
        <v>8</v>
      </c>
      <c r="K11" s="17">
        <v>8</v>
      </c>
      <c r="L11" s="17">
        <v>78</v>
      </c>
      <c r="N11" s="17">
        <v>82</v>
      </c>
      <c r="O11" s="17">
        <v>-551492559059</v>
      </c>
      <c r="P11" s="16">
        <f t="shared" si="2"/>
        <v>-34744012577124</v>
      </c>
      <c r="Q11" s="17">
        <v>-451037189059</v>
      </c>
      <c r="R11" s="16">
        <f t="shared" si="3"/>
        <v>-18826404136799</v>
      </c>
      <c r="S11" s="17">
        <v>96</v>
      </c>
      <c r="T11" s="17">
        <f t="shared" si="6"/>
        <v>125</v>
      </c>
      <c r="U11" s="17">
        <v>29</v>
      </c>
      <c r="V11" s="17">
        <v>117094580000</v>
      </c>
      <c r="W11" s="17">
        <f t="shared" si="4"/>
        <v>2251976182600</v>
      </c>
      <c r="X11" s="17">
        <v>46</v>
      </c>
      <c r="Y11" s="17">
        <v>86</v>
      </c>
      <c r="Z11" s="26">
        <v>0.36570000000000003</v>
      </c>
      <c r="AA11" s="34">
        <v>60.67</v>
      </c>
      <c r="AB11" s="36">
        <f t="shared" si="5"/>
        <v>52.555000000000007</v>
      </c>
    </row>
    <row r="12" spans="1:28" x14ac:dyDescent="0.2">
      <c r="A12" s="29" t="s">
        <v>412</v>
      </c>
      <c r="B12" s="26">
        <v>-4.0000000000000001E-3</v>
      </c>
      <c r="C12" s="23">
        <f t="shared" si="0"/>
        <v>0.12410000000000004</v>
      </c>
      <c r="D12" s="17">
        <v>169</v>
      </c>
      <c r="E12" s="17">
        <v>60</v>
      </c>
      <c r="F12" s="17">
        <v>275</v>
      </c>
      <c r="G12" s="26">
        <v>-5.1000000000000004E-3</v>
      </c>
      <c r="H12" s="23">
        <f t="shared" si="1"/>
        <v>0.15240000000000004</v>
      </c>
      <c r="I12" s="17">
        <v>8</v>
      </c>
      <c r="J12" s="17">
        <v>2</v>
      </c>
      <c r="K12" s="17">
        <v>20</v>
      </c>
      <c r="L12" s="17">
        <v>72</v>
      </c>
      <c r="N12" s="17">
        <v>84</v>
      </c>
      <c r="O12" s="17">
        <v>-641845392508</v>
      </c>
      <c r="P12" s="16">
        <f t="shared" si="2"/>
        <v>-34192520018065</v>
      </c>
      <c r="Q12" s="17">
        <v>-438358712508</v>
      </c>
      <c r="R12" s="16">
        <f t="shared" si="3"/>
        <v>-18375366947740</v>
      </c>
      <c r="S12" s="17">
        <v>63</v>
      </c>
      <c r="T12" s="17">
        <f t="shared" si="6"/>
        <v>123</v>
      </c>
      <c r="U12" s="17">
        <v>60</v>
      </c>
      <c r="V12" s="17">
        <v>-25244863000</v>
      </c>
      <c r="W12" s="17">
        <f t="shared" si="4"/>
        <v>2134881602600</v>
      </c>
      <c r="X12" s="17">
        <v>23</v>
      </c>
      <c r="Y12" s="17">
        <v>117</v>
      </c>
      <c r="Z12" s="26">
        <v>0.33679999999999999</v>
      </c>
      <c r="AA12" s="34">
        <v>53.44</v>
      </c>
      <c r="AB12" s="36">
        <f t="shared" si="5"/>
        <v>52.71642857142858</v>
      </c>
    </row>
    <row r="13" spans="1:28" x14ac:dyDescent="0.2">
      <c r="A13" s="29" t="s">
        <v>410</v>
      </c>
      <c r="B13" s="26">
        <v>-1.66E-2</v>
      </c>
      <c r="C13" s="23">
        <f t="shared" si="0"/>
        <v>0.12810000000000005</v>
      </c>
      <c r="D13" s="17">
        <v>89</v>
      </c>
      <c r="E13" s="17">
        <v>52</v>
      </c>
      <c r="F13" s="17">
        <v>366</v>
      </c>
      <c r="G13" s="26">
        <v>-1.3000000000000001E-2</v>
      </c>
      <c r="H13" s="23">
        <f t="shared" si="1"/>
        <v>0.15750000000000003</v>
      </c>
      <c r="I13" s="17">
        <v>2</v>
      </c>
      <c r="J13" s="17">
        <v>0</v>
      </c>
      <c r="K13" s="17">
        <v>28</v>
      </c>
      <c r="L13" s="17">
        <v>83</v>
      </c>
      <c r="N13" s="17">
        <v>79</v>
      </c>
      <c r="O13" s="17">
        <v>-506865617150</v>
      </c>
      <c r="P13" s="16">
        <f t="shared" si="2"/>
        <v>-33550674625557</v>
      </c>
      <c r="Q13" s="17">
        <v>-241856477150</v>
      </c>
      <c r="R13" s="16">
        <f t="shared" si="3"/>
        <v>-17937008235232</v>
      </c>
      <c r="S13" s="17">
        <v>51</v>
      </c>
      <c r="T13" s="17">
        <f t="shared" si="6"/>
        <v>118</v>
      </c>
      <c r="U13" s="17">
        <v>67</v>
      </c>
      <c r="V13" s="17">
        <v>59101620000</v>
      </c>
      <c r="W13" s="17">
        <f t="shared" si="4"/>
        <v>2160126465600</v>
      </c>
      <c r="X13" s="17">
        <v>15</v>
      </c>
      <c r="Y13" s="17">
        <v>119</v>
      </c>
      <c r="Z13" s="26">
        <v>0.3236</v>
      </c>
      <c r="AA13" s="34">
        <v>60.06</v>
      </c>
      <c r="AB13" s="36">
        <f t="shared" si="5"/>
        <v>51.883571428571429</v>
      </c>
    </row>
    <row r="14" spans="1:28" x14ac:dyDescent="0.2">
      <c r="A14" s="25" t="s">
        <v>405</v>
      </c>
      <c r="B14" s="26">
        <v>1E-3</v>
      </c>
      <c r="C14" s="23">
        <f t="shared" si="0"/>
        <v>0.14470000000000005</v>
      </c>
      <c r="D14" s="17">
        <v>246</v>
      </c>
      <c r="E14" s="17">
        <v>77</v>
      </c>
      <c r="F14" s="17">
        <v>187</v>
      </c>
      <c r="G14" s="26">
        <v>1.5E-3</v>
      </c>
      <c r="H14" s="23">
        <f t="shared" si="1"/>
        <v>0.17050000000000004</v>
      </c>
      <c r="I14" s="17">
        <v>14</v>
      </c>
      <c r="J14" s="17">
        <v>1</v>
      </c>
      <c r="K14" s="17">
        <v>15</v>
      </c>
      <c r="L14" s="17">
        <v>63</v>
      </c>
      <c r="N14" s="17">
        <v>97</v>
      </c>
      <c r="O14" s="17">
        <v>-1297211550404</v>
      </c>
      <c r="P14" s="16">
        <f t="shared" si="2"/>
        <v>-33043809008407</v>
      </c>
      <c r="Q14" s="17">
        <v>-988720860404</v>
      </c>
      <c r="R14" s="16">
        <f t="shared" si="3"/>
        <v>-17695151758082</v>
      </c>
      <c r="S14" s="17">
        <v>53</v>
      </c>
      <c r="T14" s="17">
        <f t="shared" si="6"/>
        <v>125</v>
      </c>
      <c r="U14" s="17">
        <v>72</v>
      </c>
      <c r="V14" s="17">
        <v>448671054000</v>
      </c>
      <c r="W14" s="17">
        <f t="shared" si="4"/>
        <v>2101024845600</v>
      </c>
      <c r="X14" s="17">
        <v>49</v>
      </c>
      <c r="Y14" s="17">
        <v>87</v>
      </c>
      <c r="Z14" s="26">
        <v>0.42060000000000003</v>
      </c>
      <c r="AA14" s="34">
        <v>62.37</v>
      </c>
      <c r="AB14" s="36">
        <f t="shared" si="5"/>
        <v>51.25714285714286</v>
      </c>
    </row>
    <row r="15" spans="1:28" x14ac:dyDescent="0.2">
      <c r="A15" s="29" t="s">
        <v>396</v>
      </c>
      <c r="B15" s="26">
        <v>1.23E-2</v>
      </c>
      <c r="C15" s="23">
        <f t="shared" si="0"/>
        <v>0.14370000000000005</v>
      </c>
      <c r="D15" s="17">
        <v>313</v>
      </c>
      <c r="E15" s="17">
        <v>64</v>
      </c>
      <c r="F15" s="17">
        <v>124</v>
      </c>
      <c r="G15" s="26">
        <v>1.8000000000000002E-2</v>
      </c>
      <c r="H15" s="23">
        <f t="shared" si="1"/>
        <v>0.16900000000000004</v>
      </c>
      <c r="I15" s="17">
        <v>26</v>
      </c>
      <c r="J15" s="17">
        <v>0</v>
      </c>
      <c r="K15" s="17">
        <v>4</v>
      </c>
      <c r="L15" s="17">
        <v>84</v>
      </c>
      <c r="N15" s="17">
        <v>71</v>
      </c>
      <c r="O15" s="17">
        <v>-516329099742</v>
      </c>
      <c r="P15" s="16">
        <f t="shared" si="2"/>
        <v>-31746597458003</v>
      </c>
      <c r="Q15" s="17">
        <v>-208621209742</v>
      </c>
      <c r="R15" s="16">
        <f t="shared" si="3"/>
        <v>-16706430897678</v>
      </c>
      <c r="S15" s="17">
        <v>83</v>
      </c>
      <c r="T15" s="17">
        <f t="shared" si="6"/>
        <v>172</v>
      </c>
      <c r="U15" s="17">
        <v>89</v>
      </c>
      <c r="V15" s="17">
        <v>-275395484000</v>
      </c>
      <c r="W15" s="17">
        <f t="shared" si="4"/>
        <v>1652353791600</v>
      </c>
      <c r="X15" s="17">
        <v>59</v>
      </c>
      <c r="Y15" s="17">
        <v>71</v>
      </c>
      <c r="Z15" s="26">
        <v>0.37780000000000002</v>
      </c>
      <c r="AA15" s="34">
        <v>52.89</v>
      </c>
      <c r="AB15" s="36">
        <f t="shared" si="5"/>
        <v>51.986428571428576</v>
      </c>
    </row>
    <row r="16" spans="1:28" x14ac:dyDescent="0.2">
      <c r="A16" s="25" t="s">
        <v>393</v>
      </c>
      <c r="B16" s="26">
        <v>-4.8999999999999998E-3</v>
      </c>
      <c r="C16" s="23">
        <f t="shared" si="0"/>
        <v>0.13140000000000004</v>
      </c>
      <c r="D16" s="17">
        <v>146</v>
      </c>
      <c r="E16" s="17">
        <v>63</v>
      </c>
      <c r="F16" s="17">
        <v>301</v>
      </c>
      <c r="G16" s="26">
        <v>-2.0999999999999999E-3</v>
      </c>
      <c r="H16" s="23">
        <f t="shared" si="1"/>
        <v>0.15100000000000005</v>
      </c>
      <c r="I16" s="17">
        <v>8</v>
      </c>
      <c r="J16" s="17">
        <v>1</v>
      </c>
      <c r="K16" s="17">
        <v>21</v>
      </c>
      <c r="L16" s="17">
        <v>52</v>
      </c>
      <c r="N16" s="17">
        <v>106</v>
      </c>
      <c r="O16" s="17">
        <v>-1644237074045</v>
      </c>
      <c r="P16" s="16">
        <f t="shared" si="2"/>
        <v>-31230268358261</v>
      </c>
      <c r="Q16" s="17">
        <v>-1297986124045</v>
      </c>
      <c r="R16" s="16">
        <f t="shared" si="3"/>
        <v>-16497809687936</v>
      </c>
      <c r="S16" s="17">
        <v>67</v>
      </c>
      <c r="T16" s="17">
        <f t="shared" si="6"/>
        <v>131</v>
      </c>
      <c r="U16" s="17">
        <v>64</v>
      </c>
      <c r="V16" s="17">
        <v>33764961000</v>
      </c>
      <c r="W16" s="17">
        <f t="shared" si="4"/>
        <v>1927749275600</v>
      </c>
      <c r="X16" s="17">
        <v>21</v>
      </c>
      <c r="Y16" s="17">
        <v>113</v>
      </c>
      <c r="Z16" s="26">
        <v>0.30130000000000001</v>
      </c>
      <c r="AA16" s="34">
        <v>53.11</v>
      </c>
      <c r="AB16" s="36">
        <f t="shared" si="5"/>
        <v>52.614285714285714</v>
      </c>
    </row>
    <row r="17" spans="1:28" x14ac:dyDescent="0.2">
      <c r="A17" s="25" t="s">
        <v>392</v>
      </c>
      <c r="B17" s="26">
        <v>2.3999999999999998E-3</v>
      </c>
      <c r="C17" s="23">
        <f t="shared" si="0"/>
        <v>0.13630000000000003</v>
      </c>
      <c r="D17" s="17">
        <v>243</v>
      </c>
      <c r="E17" s="17">
        <v>64</v>
      </c>
      <c r="F17" s="17">
        <v>193</v>
      </c>
      <c r="G17" s="26">
        <v>2.3E-3</v>
      </c>
      <c r="H17" s="23">
        <f t="shared" si="1"/>
        <v>0.15310000000000004</v>
      </c>
      <c r="I17" s="17">
        <v>11</v>
      </c>
      <c r="J17" s="17">
        <v>4</v>
      </c>
      <c r="K17" s="17">
        <v>15</v>
      </c>
      <c r="L17" s="17">
        <v>64</v>
      </c>
      <c r="N17" s="17">
        <v>91</v>
      </c>
      <c r="O17" s="17">
        <v>-1017766878513</v>
      </c>
      <c r="P17" s="16">
        <f t="shared" si="2"/>
        <v>-29586031284216</v>
      </c>
      <c r="Q17" s="17">
        <v>-924410698513</v>
      </c>
      <c r="R17" s="16">
        <f t="shared" si="3"/>
        <v>-15199823563891</v>
      </c>
      <c r="S17" s="17">
        <v>84</v>
      </c>
      <c r="T17" s="17">
        <f t="shared" si="6"/>
        <v>128</v>
      </c>
      <c r="U17" s="17">
        <v>44</v>
      </c>
      <c r="V17" s="17">
        <v>7797164000</v>
      </c>
      <c r="W17" s="17">
        <f t="shared" si="4"/>
        <v>1893984314600</v>
      </c>
      <c r="X17" s="17">
        <v>49</v>
      </c>
      <c r="Y17" s="17">
        <v>80</v>
      </c>
      <c r="Z17" s="26">
        <v>0.29649999999999999</v>
      </c>
      <c r="AA17" s="34">
        <v>52.57</v>
      </c>
      <c r="AB17" s="36">
        <f t="shared" si="5"/>
        <v>53.852142857142852</v>
      </c>
    </row>
    <row r="18" spans="1:28" x14ac:dyDescent="0.2">
      <c r="A18" s="25" t="s">
        <v>387</v>
      </c>
      <c r="B18" s="26">
        <v>3.0999999999999999E-3</v>
      </c>
      <c r="C18" s="23">
        <f t="shared" si="0"/>
        <v>0.13390000000000002</v>
      </c>
      <c r="D18" s="17">
        <v>235</v>
      </c>
      <c r="E18" s="17">
        <v>88</v>
      </c>
      <c r="F18" s="17">
        <v>178</v>
      </c>
      <c r="G18" s="26">
        <v>4.4000000000000003E-3</v>
      </c>
      <c r="H18" s="23">
        <f t="shared" si="1"/>
        <v>0.15080000000000005</v>
      </c>
      <c r="I18" s="17">
        <v>13</v>
      </c>
      <c r="J18" s="17">
        <v>5</v>
      </c>
      <c r="K18" s="17">
        <v>12</v>
      </c>
      <c r="L18" s="17">
        <v>58</v>
      </c>
      <c r="N18" s="17">
        <v>99</v>
      </c>
      <c r="O18" s="17">
        <v>-479637557159</v>
      </c>
      <c r="P18" s="16">
        <f t="shared" si="2"/>
        <v>-28568264405703</v>
      </c>
      <c r="Q18" s="17">
        <v>-398306427159</v>
      </c>
      <c r="R18" s="16">
        <f t="shared" si="3"/>
        <v>-14275412865378</v>
      </c>
      <c r="S18" s="17">
        <v>79</v>
      </c>
      <c r="T18" s="17">
        <f t="shared" si="6"/>
        <v>105</v>
      </c>
      <c r="U18" s="17">
        <v>26</v>
      </c>
      <c r="V18" s="17">
        <v>138487672500</v>
      </c>
      <c r="W18" s="17">
        <f t="shared" si="4"/>
        <v>1886187150600</v>
      </c>
      <c r="X18" s="17">
        <v>43</v>
      </c>
      <c r="Y18" s="17">
        <v>94</v>
      </c>
      <c r="Z18" s="26">
        <v>0.27350000000000002</v>
      </c>
      <c r="AA18" s="34">
        <v>45.61</v>
      </c>
      <c r="AB18" s="36">
        <f t="shared" si="5"/>
        <v>56.201428571428565</v>
      </c>
    </row>
    <row r="19" spans="1:28" x14ac:dyDescent="0.2">
      <c r="A19" s="25" t="s">
        <v>383</v>
      </c>
      <c r="B19" s="26">
        <v>-5.9999999999999995E-4</v>
      </c>
      <c r="C19" s="23">
        <f t="shared" si="0"/>
        <v>0.13080000000000003</v>
      </c>
      <c r="D19" s="17">
        <v>200</v>
      </c>
      <c r="E19" s="17">
        <v>80</v>
      </c>
      <c r="F19" s="17">
        <v>224</v>
      </c>
      <c r="G19" s="26">
        <v>2E-3</v>
      </c>
      <c r="H19" s="23">
        <f t="shared" si="1"/>
        <v>0.14640000000000006</v>
      </c>
      <c r="I19" s="17">
        <v>12</v>
      </c>
      <c r="J19" s="17">
        <v>8</v>
      </c>
      <c r="K19" s="17">
        <v>10</v>
      </c>
      <c r="L19" s="17">
        <v>64</v>
      </c>
      <c r="N19" s="17">
        <v>94</v>
      </c>
      <c r="O19" s="17">
        <v>-843540496215</v>
      </c>
      <c r="P19" s="16">
        <f t="shared" si="2"/>
        <v>-28088626848544</v>
      </c>
      <c r="Q19" s="17">
        <v>-730565939786</v>
      </c>
      <c r="R19" s="16">
        <f t="shared" si="3"/>
        <v>-13877106438219</v>
      </c>
      <c r="S19" s="17">
        <v>23</v>
      </c>
      <c r="T19" s="17">
        <f t="shared" si="6"/>
        <v>50</v>
      </c>
      <c r="U19" s="17">
        <v>27</v>
      </c>
      <c r="V19" s="17">
        <v>-201234044000</v>
      </c>
      <c r="W19" s="17">
        <f t="shared" si="4"/>
        <v>1747699478100</v>
      </c>
      <c r="X19" s="17">
        <v>19</v>
      </c>
      <c r="Y19" s="17">
        <v>117</v>
      </c>
      <c r="Z19" s="26">
        <v>0.3422</v>
      </c>
      <c r="AA19" s="34">
        <v>47.19</v>
      </c>
      <c r="AB19" s="36">
        <f t="shared" si="5"/>
        <v>58.359285714285711</v>
      </c>
    </row>
    <row r="20" spans="1:28" x14ac:dyDescent="0.2">
      <c r="A20" s="25" t="s">
        <v>381</v>
      </c>
      <c r="B20" s="26">
        <v>5.9999999999999995E-4</v>
      </c>
      <c r="C20" s="23">
        <f t="shared" si="0"/>
        <v>0.13140000000000002</v>
      </c>
      <c r="D20" s="17">
        <v>189</v>
      </c>
      <c r="E20" s="17">
        <v>81</v>
      </c>
      <c r="F20" s="17">
        <v>236</v>
      </c>
      <c r="G20" s="26">
        <v>-1E-3</v>
      </c>
      <c r="H20" s="23">
        <f t="shared" si="1"/>
        <v>0.14440000000000006</v>
      </c>
      <c r="I20" s="17">
        <v>13</v>
      </c>
      <c r="J20" s="17">
        <v>3</v>
      </c>
      <c r="K20" s="17">
        <v>14</v>
      </c>
      <c r="L20" s="17">
        <v>69</v>
      </c>
      <c r="N20" s="17">
        <v>90</v>
      </c>
      <c r="O20" s="17">
        <v>-2466513956</v>
      </c>
      <c r="P20" s="16">
        <f t="shared" si="2"/>
        <v>-27245086352329</v>
      </c>
      <c r="Q20" s="17">
        <v>103494916044</v>
      </c>
      <c r="R20" s="16">
        <f t="shared" si="3"/>
        <v>-13146540498433</v>
      </c>
      <c r="S20" s="17">
        <v>80</v>
      </c>
      <c r="T20" s="17">
        <f t="shared" si="6"/>
        <v>140</v>
      </c>
      <c r="U20" s="17">
        <v>60</v>
      </c>
      <c r="V20" s="17">
        <v>426648759000</v>
      </c>
      <c r="W20" s="17">
        <f t="shared" si="4"/>
        <v>1948933522100</v>
      </c>
      <c r="X20" s="17">
        <v>32</v>
      </c>
      <c r="Y20" s="17">
        <v>87</v>
      </c>
      <c r="Z20" s="26">
        <v>0.29449999999999998</v>
      </c>
      <c r="AA20" s="34">
        <v>53.94</v>
      </c>
      <c r="AB20" s="36">
        <f t="shared" si="5"/>
        <v>59.992142857142859</v>
      </c>
    </row>
    <row r="21" spans="1:28" x14ac:dyDescent="0.2">
      <c r="A21" s="25" t="s">
        <v>378</v>
      </c>
      <c r="B21" s="26">
        <v>2.5999999999999999E-3</v>
      </c>
      <c r="C21" s="23">
        <f t="shared" si="0"/>
        <v>0.13080000000000003</v>
      </c>
      <c r="D21" s="17">
        <v>202</v>
      </c>
      <c r="E21" s="17">
        <v>74</v>
      </c>
      <c r="F21" s="17">
        <v>224</v>
      </c>
      <c r="G21" s="26">
        <v>2.5000000000000001E-3</v>
      </c>
      <c r="H21" s="23">
        <f t="shared" si="1"/>
        <v>0.14540000000000006</v>
      </c>
      <c r="I21" s="17">
        <v>16</v>
      </c>
      <c r="J21" s="17">
        <v>3</v>
      </c>
      <c r="K21" s="17">
        <v>11</v>
      </c>
      <c r="L21" s="17">
        <v>63</v>
      </c>
      <c r="N21" s="17">
        <v>90</v>
      </c>
      <c r="O21" s="17">
        <v>-10071639121</v>
      </c>
      <c r="P21" s="16">
        <f t="shared" si="2"/>
        <v>-27242619838373</v>
      </c>
      <c r="Q21" s="17">
        <v>104272070879</v>
      </c>
      <c r="R21" s="16">
        <f t="shared" si="3"/>
        <v>-13250035414477</v>
      </c>
      <c r="S21" s="17">
        <v>59</v>
      </c>
      <c r="T21" s="17">
        <f t="shared" si="6"/>
        <v>137</v>
      </c>
      <c r="U21" s="17">
        <v>78</v>
      </c>
      <c r="V21" s="17">
        <v>-224372432600</v>
      </c>
      <c r="W21" s="17">
        <f t="shared" si="4"/>
        <v>1522284763100</v>
      </c>
      <c r="X21" s="17">
        <v>31</v>
      </c>
      <c r="Y21" s="17">
        <v>74</v>
      </c>
      <c r="Z21" s="26">
        <v>0.2923</v>
      </c>
      <c r="AA21" s="34">
        <v>53.89</v>
      </c>
      <c r="AB21" s="36">
        <f t="shared" si="5"/>
        <v>61.064285714285703</v>
      </c>
    </row>
    <row r="22" spans="1:28" x14ac:dyDescent="0.2">
      <c r="A22" s="25" t="s">
        <v>373</v>
      </c>
      <c r="B22" s="26">
        <v>1.4499999999999999E-2</v>
      </c>
      <c r="C22" s="23">
        <f t="shared" si="0"/>
        <v>0.12820000000000004</v>
      </c>
      <c r="D22" s="17">
        <v>367</v>
      </c>
      <c r="E22" s="17">
        <v>44</v>
      </c>
      <c r="F22" s="17">
        <v>96</v>
      </c>
      <c r="G22" s="26">
        <v>1.7100000000000001E-2</v>
      </c>
      <c r="H22" s="23">
        <f t="shared" si="1"/>
        <v>0.14290000000000005</v>
      </c>
      <c r="I22" s="17">
        <v>29</v>
      </c>
      <c r="J22" s="17">
        <v>0</v>
      </c>
      <c r="K22" s="17">
        <v>1</v>
      </c>
      <c r="L22" s="17">
        <v>70</v>
      </c>
      <c r="N22" s="17">
        <v>89</v>
      </c>
      <c r="O22" s="17">
        <v>-292740811390</v>
      </c>
      <c r="P22" s="16">
        <f t="shared" si="2"/>
        <v>-27232548199252</v>
      </c>
      <c r="Q22" s="17">
        <v>-226837281390</v>
      </c>
      <c r="R22" s="16">
        <f t="shared" si="3"/>
        <v>-13354307485356</v>
      </c>
      <c r="S22" s="17">
        <v>93</v>
      </c>
      <c r="T22" s="17">
        <f t="shared" si="6"/>
        <v>125</v>
      </c>
      <c r="U22" s="17">
        <v>32</v>
      </c>
      <c r="V22" s="17">
        <v>199754785100</v>
      </c>
      <c r="W22" s="17">
        <f t="shared" si="4"/>
        <v>1746657195700</v>
      </c>
      <c r="X22" s="17">
        <v>61</v>
      </c>
      <c r="Y22" s="17">
        <v>51</v>
      </c>
      <c r="Z22" s="26">
        <v>0.30380000000000001</v>
      </c>
      <c r="AA22" s="34">
        <v>53.7</v>
      </c>
      <c r="AB22" s="36">
        <f t="shared" si="5"/>
        <v>62.092857142857142</v>
      </c>
    </row>
    <row r="23" spans="1:28" x14ac:dyDescent="0.2">
      <c r="A23" s="25" t="s">
        <v>362</v>
      </c>
      <c r="B23" s="26">
        <v>-3.5999999999999999E-3</v>
      </c>
      <c r="C23" s="23">
        <f t="shared" si="0"/>
        <v>0.11370000000000004</v>
      </c>
      <c r="D23" s="17">
        <v>198</v>
      </c>
      <c r="E23" s="17">
        <v>71</v>
      </c>
      <c r="F23" s="17">
        <v>222</v>
      </c>
      <c r="G23" s="26">
        <v>-2.5999999999999999E-3</v>
      </c>
      <c r="H23" s="23">
        <f t="shared" si="1"/>
        <v>0.12580000000000005</v>
      </c>
      <c r="I23" s="17">
        <v>9</v>
      </c>
      <c r="J23" s="17">
        <v>3</v>
      </c>
      <c r="K23" s="17">
        <v>18</v>
      </c>
      <c r="L23" s="17">
        <v>65</v>
      </c>
      <c r="N23" s="17">
        <v>89</v>
      </c>
      <c r="O23" s="17">
        <v>-1468396534533</v>
      </c>
      <c r="P23" s="16">
        <f t="shared" si="2"/>
        <v>-26939807387862</v>
      </c>
      <c r="Q23" s="17">
        <v>-693380894533</v>
      </c>
      <c r="R23" s="16">
        <f t="shared" si="3"/>
        <v>-13127470203966</v>
      </c>
      <c r="S23" s="17">
        <v>94</v>
      </c>
      <c r="T23" s="17">
        <f t="shared" si="6"/>
        <v>119</v>
      </c>
      <c r="U23" s="17">
        <v>25</v>
      </c>
      <c r="V23" s="17">
        <v>221078835900</v>
      </c>
      <c r="W23" s="17">
        <f t="shared" si="4"/>
        <v>1546902410600</v>
      </c>
      <c r="X23" s="17">
        <v>26</v>
      </c>
      <c r="Y23" s="17">
        <v>72</v>
      </c>
      <c r="Z23" s="26">
        <v>0.24</v>
      </c>
      <c r="AA23" s="34">
        <v>52</v>
      </c>
      <c r="AB23" s="36">
        <f t="shared" si="5"/>
        <v>62.578571428571422</v>
      </c>
    </row>
    <row r="24" spans="1:28" x14ac:dyDescent="0.2">
      <c r="A24" s="25" t="s">
        <v>357</v>
      </c>
      <c r="B24" s="26">
        <v>-5.0000000000000001E-3</v>
      </c>
      <c r="C24" s="23">
        <f t="shared" si="0"/>
        <v>0.11730000000000004</v>
      </c>
      <c r="D24" s="17">
        <v>156</v>
      </c>
      <c r="E24" s="17">
        <v>70</v>
      </c>
      <c r="F24" s="17">
        <v>277</v>
      </c>
      <c r="G24" s="26">
        <v>-3.7000000000000002E-3</v>
      </c>
      <c r="H24" s="23">
        <f t="shared" si="1"/>
        <v>0.12840000000000004</v>
      </c>
      <c r="I24" s="17">
        <v>8</v>
      </c>
      <c r="J24" s="17">
        <v>1</v>
      </c>
      <c r="K24" s="17">
        <v>21</v>
      </c>
      <c r="L24" s="17">
        <v>62</v>
      </c>
      <c r="N24" s="17">
        <v>91</v>
      </c>
      <c r="O24" s="17">
        <v>-1289304741442</v>
      </c>
      <c r="P24" s="16">
        <f t="shared" si="2"/>
        <v>-25471410853329</v>
      </c>
      <c r="Q24" s="17">
        <v>-1128229321442</v>
      </c>
      <c r="R24" s="16">
        <f t="shared" si="3"/>
        <v>-12434089309433</v>
      </c>
      <c r="S24" s="17">
        <v>66</v>
      </c>
      <c r="T24" s="17">
        <f t="shared" si="6"/>
        <v>118</v>
      </c>
      <c r="U24" s="17">
        <v>52</v>
      </c>
      <c r="V24" s="17">
        <v>-114918320200</v>
      </c>
      <c r="W24" s="17">
        <f t="shared" si="4"/>
        <v>1325823574700</v>
      </c>
      <c r="X24" s="17">
        <v>18</v>
      </c>
      <c r="Y24" s="17">
        <v>86</v>
      </c>
      <c r="Z24" s="26">
        <v>0.27779999999999999</v>
      </c>
      <c r="AA24" s="34">
        <v>46.9</v>
      </c>
      <c r="AB24" s="36">
        <f t="shared" si="5"/>
        <v>63.407142857142851</v>
      </c>
    </row>
    <row r="25" spans="1:28" x14ac:dyDescent="0.2">
      <c r="A25" s="25" t="s">
        <v>277</v>
      </c>
      <c r="B25" s="26">
        <v>-7.0999999999999995E-3</v>
      </c>
      <c r="C25" s="23">
        <f t="shared" si="0"/>
        <v>0.12230000000000005</v>
      </c>
      <c r="D25" s="17">
        <v>182</v>
      </c>
      <c r="E25" s="17">
        <v>61</v>
      </c>
      <c r="F25" s="17">
        <v>260</v>
      </c>
      <c r="G25" s="26">
        <v>-1.21E-2</v>
      </c>
      <c r="H25" s="23">
        <f t="shared" si="1"/>
        <v>0.13210000000000005</v>
      </c>
      <c r="I25" s="17">
        <v>2</v>
      </c>
      <c r="J25" s="17">
        <v>1</v>
      </c>
      <c r="K25" s="17">
        <v>27</v>
      </c>
      <c r="L25" s="17">
        <v>59</v>
      </c>
      <c r="N25" s="17">
        <v>99</v>
      </c>
      <c r="O25" s="17">
        <v>-1571802171474</v>
      </c>
      <c r="P25" s="16">
        <f t="shared" si="2"/>
        <v>-24182106111887</v>
      </c>
      <c r="Q25" s="17">
        <v>-1414772149117</v>
      </c>
      <c r="R25" s="16">
        <f t="shared" si="3"/>
        <v>-11305859987991</v>
      </c>
      <c r="S25" s="17">
        <v>33</v>
      </c>
      <c r="T25" s="17">
        <f t="shared" si="6"/>
        <v>128</v>
      </c>
      <c r="U25" s="17">
        <v>95</v>
      </c>
      <c r="V25" s="17">
        <v>4843661500</v>
      </c>
      <c r="W25" s="17">
        <f t="shared" si="4"/>
        <v>1440741894900</v>
      </c>
      <c r="X25" s="17">
        <v>17</v>
      </c>
      <c r="Y25" s="17">
        <v>97</v>
      </c>
      <c r="Z25" s="26">
        <v>0.27260000000000001</v>
      </c>
      <c r="AA25" s="34">
        <v>48.1</v>
      </c>
      <c r="AB25" s="36">
        <f t="shared" si="5"/>
        <v>63.907142857142851</v>
      </c>
    </row>
    <row r="26" spans="1:28" x14ac:dyDescent="0.2">
      <c r="A26" s="29" t="s">
        <v>276</v>
      </c>
      <c r="B26" s="26">
        <v>1.11E-2</v>
      </c>
      <c r="C26" s="23">
        <f t="shared" si="0"/>
        <v>0.12940000000000004</v>
      </c>
      <c r="D26" s="17">
        <v>342</v>
      </c>
      <c r="E26" s="17">
        <v>69</v>
      </c>
      <c r="F26" s="17">
        <v>87</v>
      </c>
      <c r="G26" s="26">
        <v>1.1599999999999999E-2</v>
      </c>
      <c r="H26" s="23">
        <f t="shared" si="1"/>
        <v>0.14420000000000005</v>
      </c>
      <c r="I26" s="17">
        <v>27</v>
      </c>
      <c r="J26" s="17">
        <v>2</v>
      </c>
      <c r="K26" s="17">
        <v>1</v>
      </c>
      <c r="L26" s="17">
        <v>60</v>
      </c>
      <c r="N26" s="17">
        <v>97</v>
      </c>
      <c r="O26" s="17">
        <v>-1123498507299</v>
      </c>
      <c r="P26" s="16">
        <f t="shared" si="2"/>
        <v>-22610303940413</v>
      </c>
      <c r="Q26" s="17">
        <v>-1013343867299</v>
      </c>
      <c r="R26" s="16">
        <f t="shared" si="3"/>
        <v>-9891087838874</v>
      </c>
      <c r="S26" s="17">
        <v>27</v>
      </c>
      <c r="T26" s="17">
        <f t="shared" si="6"/>
        <v>121</v>
      </c>
      <c r="U26" s="17">
        <v>94</v>
      </c>
      <c r="V26" s="17">
        <v>-42027359300</v>
      </c>
      <c r="W26" s="17">
        <f t="shared" si="4"/>
        <v>1435898233400</v>
      </c>
      <c r="X26" s="17">
        <v>43</v>
      </c>
      <c r="Y26" s="17">
        <v>45</v>
      </c>
      <c r="Z26" s="26">
        <v>0.31309999999999999</v>
      </c>
      <c r="AA26" s="34">
        <v>55.7</v>
      </c>
      <c r="AB26" s="36">
        <f t="shared" si="5"/>
        <v>63.135714285714279</v>
      </c>
    </row>
    <row r="27" spans="1:28" x14ac:dyDescent="0.2">
      <c r="A27" s="25" t="s">
        <v>275</v>
      </c>
      <c r="B27" s="26">
        <v>4.5999999999999999E-3</v>
      </c>
      <c r="C27" s="23">
        <f t="shared" si="0"/>
        <v>0.11830000000000004</v>
      </c>
      <c r="D27" s="17">
        <v>233</v>
      </c>
      <c r="E27" s="17">
        <v>67</v>
      </c>
      <c r="F27" s="17">
        <v>198</v>
      </c>
      <c r="G27" s="26">
        <v>1.1000000000000001E-3</v>
      </c>
      <c r="H27" s="23">
        <f t="shared" si="1"/>
        <v>0.13260000000000005</v>
      </c>
      <c r="I27" s="17">
        <v>14</v>
      </c>
      <c r="J27" s="17">
        <v>9</v>
      </c>
      <c r="K27" s="17">
        <v>7</v>
      </c>
      <c r="L27" s="17">
        <v>76</v>
      </c>
      <c r="N27" s="17">
        <v>79</v>
      </c>
      <c r="O27" s="17">
        <v>-541464853119</v>
      </c>
      <c r="P27" s="16">
        <f t="shared" si="2"/>
        <v>-21486805433114</v>
      </c>
      <c r="Q27" s="17">
        <v>-444544883119</v>
      </c>
      <c r="R27" s="16">
        <f t="shared" si="3"/>
        <v>-8877743971575</v>
      </c>
      <c r="S27" s="17">
        <v>31</v>
      </c>
      <c r="T27" s="17">
        <f t="shared" si="6"/>
        <v>74</v>
      </c>
      <c r="U27" s="17">
        <v>43</v>
      </c>
      <c r="V27" s="17">
        <v>102712591100</v>
      </c>
      <c r="W27" s="17">
        <f t="shared" si="4"/>
        <v>1477925592700</v>
      </c>
      <c r="X27" s="17">
        <v>27</v>
      </c>
      <c r="Y27" s="17">
        <v>69</v>
      </c>
      <c r="Z27" s="26">
        <v>0.35409999999999997</v>
      </c>
      <c r="AA27" s="34">
        <v>48.4</v>
      </c>
      <c r="AB27" s="36">
        <f t="shared" si="5"/>
        <v>63.407142857142858</v>
      </c>
    </row>
    <row r="28" spans="1:28" x14ac:dyDescent="0.2">
      <c r="A28" s="25" t="s">
        <v>274</v>
      </c>
      <c r="B28" s="26">
        <v>-1.49E-2</v>
      </c>
      <c r="C28" s="23">
        <f t="shared" si="0"/>
        <v>0.11370000000000005</v>
      </c>
      <c r="D28" s="17">
        <v>93</v>
      </c>
      <c r="E28" s="17">
        <v>43</v>
      </c>
      <c r="F28" s="17">
        <v>364</v>
      </c>
      <c r="G28" s="26">
        <v>-1.6299999999999999E-2</v>
      </c>
      <c r="H28" s="23">
        <f t="shared" si="1"/>
        <v>0.13150000000000006</v>
      </c>
      <c r="I28" s="17">
        <v>4</v>
      </c>
      <c r="J28" s="17">
        <v>1</v>
      </c>
      <c r="K28" s="17">
        <v>25</v>
      </c>
      <c r="L28" s="17">
        <v>55</v>
      </c>
      <c r="N28" s="17">
        <v>101</v>
      </c>
      <c r="O28" s="17">
        <v>-1544441754511</v>
      </c>
      <c r="P28" s="16">
        <f t="shared" si="2"/>
        <v>-20945340579995</v>
      </c>
      <c r="Q28" s="17">
        <v>-1342954434511</v>
      </c>
      <c r="R28" s="16">
        <f t="shared" si="3"/>
        <v>-8433199088456</v>
      </c>
      <c r="S28" s="17">
        <v>30</v>
      </c>
      <c r="T28" s="17">
        <f t="shared" si="6"/>
        <v>118</v>
      </c>
      <c r="U28" s="17">
        <v>88</v>
      </c>
      <c r="V28" s="17">
        <v>-569067642600</v>
      </c>
      <c r="W28" s="17">
        <f t="shared" si="4"/>
        <v>1375213001600</v>
      </c>
      <c r="X28" s="17">
        <v>8</v>
      </c>
      <c r="Y28" s="17">
        <v>107</v>
      </c>
      <c r="Z28" s="26">
        <v>0.31290000000000001</v>
      </c>
      <c r="AA28" s="34">
        <v>53.6</v>
      </c>
      <c r="AB28" s="36">
        <f t="shared" si="5"/>
        <v>62.878571428571433</v>
      </c>
    </row>
    <row r="29" spans="1:28" x14ac:dyDescent="0.2">
      <c r="A29" s="25" t="s">
        <v>273</v>
      </c>
      <c r="B29" s="26">
        <v>1.11E-2</v>
      </c>
      <c r="C29" s="23">
        <f t="shared" si="0"/>
        <v>0.12860000000000005</v>
      </c>
      <c r="D29" s="17">
        <v>278</v>
      </c>
      <c r="E29" s="17">
        <v>65</v>
      </c>
      <c r="F29" s="17">
        <v>152</v>
      </c>
      <c r="G29" s="26">
        <v>1.03E-2</v>
      </c>
      <c r="H29" s="23">
        <f t="shared" si="1"/>
        <v>0.14780000000000007</v>
      </c>
      <c r="I29" s="17">
        <v>25</v>
      </c>
      <c r="J29" s="17">
        <v>0</v>
      </c>
      <c r="K29" s="17">
        <v>5</v>
      </c>
      <c r="L29" s="17">
        <v>75</v>
      </c>
      <c r="N29" s="17">
        <v>79</v>
      </c>
      <c r="O29" s="17">
        <v>-17033728865</v>
      </c>
      <c r="P29" s="16">
        <f t="shared" si="2"/>
        <v>-19400898825484</v>
      </c>
      <c r="Q29" s="17">
        <v>108293651135</v>
      </c>
      <c r="R29" s="16">
        <f t="shared" si="3"/>
        <v>-7090244653945</v>
      </c>
      <c r="S29" s="17">
        <v>68</v>
      </c>
      <c r="T29" s="17">
        <f t="shared" si="6"/>
        <v>129</v>
      </c>
      <c r="U29" s="17">
        <v>61</v>
      </c>
      <c r="V29" s="17">
        <v>276623923000</v>
      </c>
      <c r="W29" s="17">
        <f t="shared" si="4"/>
        <v>1944280644200</v>
      </c>
      <c r="X29" s="17">
        <v>47</v>
      </c>
      <c r="Y29" s="17">
        <v>55</v>
      </c>
      <c r="Z29" s="26">
        <v>0.27429999999999999</v>
      </c>
      <c r="AA29" s="34">
        <v>63.1</v>
      </c>
      <c r="AB29" s="36">
        <f t="shared" si="5"/>
        <v>61.671428571428585</v>
      </c>
    </row>
    <row r="30" spans="1:28" x14ac:dyDescent="0.2">
      <c r="A30" s="25" t="s">
        <v>272</v>
      </c>
      <c r="B30" s="26">
        <v>-8.0000000000000002E-3</v>
      </c>
      <c r="C30" s="23">
        <f t="shared" si="0"/>
        <v>0.11750000000000005</v>
      </c>
      <c r="D30" s="17">
        <v>173</v>
      </c>
      <c r="E30" s="17">
        <v>50</v>
      </c>
      <c r="F30" s="17">
        <v>291</v>
      </c>
      <c r="G30" s="26">
        <v>-1.3100000000000001E-2</v>
      </c>
      <c r="H30" s="23">
        <f t="shared" si="1"/>
        <v>0.13750000000000007</v>
      </c>
      <c r="I30" s="17">
        <v>5</v>
      </c>
      <c r="J30" s="17">
        <v>1</v>
      </c>
      <c r="K30" s="17">
        <v>24</v>
      </c>
      <c r="L30" s="17">
        <v>56</v>
      </c>
      <c r="N30" s="17">
        <v>97</v>
      </c>
      <c r="O30" s="17">
        <v>-832906295905</v>
      </c>
      <c r="P30" s="16">
        <f t="shared" si="2"/>
        <v>-19383865096619</v>
      </c>
      <c r="Q30" s="17">
        <v>-536208135905</v>
      </c>
      <c r="R30" s="16">
        <f t="shared" si="3"/>
        <v>-7198538305080</v>
      </c>
      <c r="S30" s="17">
        <v>47</v>
      </c>
      <c r="T30" s="17">
        <f t="shared" si="6"/>
        <v>122</v>
      </c>
      <c r="U30" s="17">
        <v>75</v>
      </c>
      <c r="V30" s="17">
        <v>-147473676400</v>
      </c>
      <c r="W30" s="17">
        <f t="shared" si="4"/>
        <v>1667656721200</v>
      </c>
      <c r="X30" s="17">
        <v>13</v>
      </c>
      <c r="Y30" s="17">
        <v>94</v>
      </c>
      <c r="Z30" s="26">
        <v>0.32100000000000001</v>
      </c>
      <c r="AA30" s="34">
        <v>61.9</v>
      </c>
      <c r="AB30" s="36">
        <f t="shared" si="5"/>
        <v>60.585714285714303</v>
      </c>
    </row>
    <row r="31" spans="1:28" x14ac:dyDescent="0.2">
      <c r="A31" s="25" t="s">
        <v>271</v>
      </c>
      <c r="B31" s="26">
        <v>-2.9999999999999997E-4</v>
      </c>
      <c r="C31" s="23">
        <f t="shared" si="0"/>
        <v>0.12550000000000006</v>
      </c>
      <c r="D31" s="17">
        <v>207</v>
      </c>
      <c r="E31" s="17">
        <v>66</v>
      </c>
      <c r="F31" s="17">
        <v>236</v>
      </c>
      <c r="G31" s="26">
        <v>-3.0000000000000001E-3</v>
      </c>
      <c r="H31" s="23">
        <f t="shared" si="1"/>
        <v>0.15060000000000007</v>
      </c>
      <c r="I31" s="17">
        <v>11</v>
      </c>
      <c r="J31" s="17">
        <v>3</v>
      </c>
      <c r="K31" s="17">
        <v>16</v>
      </c>
      <c r="L31" s="17">
        <v>56</v>
      </c>
      <c r="N31" s="17">
        <v>99</v>
      </c>
      <c r="O31" s="17">
        <v>-1043894995967</v>
      </c>
      <c r="P31" s="16">
        <f t="shared" si="2"/>
        <v>-18550958800714</v>
      </c>
      <c r="Q31" s="17">
        <v>-816928505967</v>
      </c>
      <c r="R31" s="16">
        <f t="shared" si="3"/>
        <v>-6662330169175</v>
      </c>
      <c r="S31" s="17">
        <v>28</v>
      </c>
      <c r="T31" s="17">
        <f t="shared" si="6"/>
        <v>104</v>
      </c>
      <c r="U31" s="17">
        <v>76</v>
      </c>
      <c r="V31" s="17">
        <v>-249925910000</v>
      </c>
      <c r="W31" s="17">
        <f t="shared" si="4"/>
        <v>1815130397600</v>
      </c>
      <c r="X31" s="17">
        <v>26</v>
      </c>
      <c r="Y31" s="17">
        <v>79</v>
      </c>
      <c r="Z31" s="26">
        <v>0.28289999999999998</v>
      </c>
      <c r="AA31" s="34">
        <v>69.900000000000006</v>
      </c>
      <c r="AB31" s="36">
        <f t="shared" si="5"/>
        <v>58.45000000000001</v>
      </c>
    </row>
    <row r="32" spans="1:28" x14ac:dyDescent="0.2">
      <c r="A32" s="25" t="s">
        <v>270</v>
      </c>
      <c r="B32" s="26">
        <v>3.4999999999999996E-3</v>
      </c>
      <c r="C32" s="23">
        <f t="shared" ref="C32:C66" si="7">B32+C33</f>
        <v>0.12580000000000005</v>
      </c>
      <c r="D32" s="17">
        <v>264</v>
      </c>
      <c r="E32" s="17">
        <v>69</v>
      </c>
      <c r="F32" s="17">
        <v>174</v>
      </c>
      <c r="G32" s="26">
        <v>1.8E-3</v>
      </c>
      <c r="H32" s="23">
        <f t="shared" si="1"/>
        <v>0.15360000000000007</v>
      </c>
      <c r="I32" s="17">
        <v>18</v>
      </c>
      <c r="J32" s="17">
        <v>2</v>
      </c>
      <c r="K32" s="17">
        <v>10</v>
      </c>
      <c r="L32" s="17">
        <v>57</v>
      </c>
      <c r="N32" s="17">
        <v>104</v>
      </c>
      <c r="O32" s="17">
        <v>-1062064421941</v>
      </c>
      <c r="P32" s="16">
        <f t="shared" si="2"/>
        <v>-17507063804747</v>
      </c>
      <c r="Q32" s="17">
        <v>-805759411941</v>
      </c>
      <c r="R32" s="16">
        <f t="shared" si="3"/>
        <v>-5845401663208</v>
      </c>
      <c r="S32" s="17">
        <v>29</v>
      </c>
      <c r="T32" s="17">
        <f t="shared" si="6"/>
        <v>112</v>
      </c>
      <c r="U32" s="17">
        <v>83</v>
      </c>
      <c r="V32" s="17">
        <v>-76906320000</v>
      </c>
      <c r="W32" s="17">
        <f t="shared" si="4"/>
        <v>2065056307600</v>
      </c>
      <c r="X32" s="17">
        <v>28</v>
      </c>
      <c r="Y32" s="17">
        <v>73</v>
      </c>
      <c r="Z32" s="26">
        <v>0.35810000000000003</v>
      </c>
      <c r="AA32" s="34">
        <v>78.5</v>
      </c>
      <c r="AB32" s="36">
        <f t="shared" si="5"/>
        <v>55.20714285714287</v>
      </c>
    </row>
    <row r="33" spans="1:28" x14ac:dyDescent="0.2">
      <c r="A33" s="25" t="s">
        <v>269</v>
      </c>
      <c r="B33" s="26">
        <v>3.4000000000000002E-3</v>
      </c>
      <c r="C33" s="23">
        <f t="shared" si="7"/>
        <v>0.12230000000000005</v>
      </c>
      <c r="D33" s="17">
        <v>234</v>
      </c>
      <c r="E33" s="17">
        <v>96</v>
      </c>
      <c r="F33" s="17">
        <v>176</v>
      </c>
      <c r="G33" s="26">
        <v>1.4000000000000002E-3</v>
      </c>
      <c r="H33" s="23">
        <f t="shared" si="1"/>
        <v>0.15180000000000007</v>
      </c>
      <c r="I33" s="17">
        <v>14</v>
      </c>
      <c r="J33" s="17">
        <v>4</v>
      </c>
      <c r="K33" s="17">
        <v>12</v>
      </c>
      <c r="L33" s="17">
        <v>58</v>
      </c>
      <c r="N33" s="17">
        <v>91</v>
      </c>
      <c r="O33" s="17">
        <v>-729563407349</v>
      </c>
      <c r="P33" s="16">
        <f t="shared" si="2"/>
        <v>-16444999382806</v>
      </c>
      <c r="Q33" s="17">
        <v>-528245777349</v>
      </c>
      <c r="R33" s="16">
        <f t="shared" si="3"/>
        <v>-5039642251267</v>
      </c>
      <c r="S33" s="17">
        <v>80</v>
      </c>
      <c r="T33" s="17">
        <f t="shared" si="6"/>
        <v>129</v>
      </c>
      <c r="U33" s="17">
        <v>49</v>
      </c>
      <c r="V33" s="17">
        <v>14372474400</v>
      </c>
      <c r="W33" s="17">
        <f t="shared" si="4"/>
        <v>2141962627600</v>
      </c>
      <c r="X33" s="17">
        <v>42</v>
      </c>
      <c r="Y33" s="17">
        <v>60</v>
      </c>
      <c r="Z33" s="26">
        <v>0.32990000000000003</v>
      </c>
      <c r="AA33" s="34">
        <v>77.400000000000006</v>
      </c>
      <c r="AB33" s="36">
        <f t="shared" si="5"/>
        <v>51.692857142857157</v>
      </c>
    </row>
    <row r="34" spans="1:28" x14ac:dyDescent="0.2">
      <c r="A34" s="25" t="s">
        <v>268</v>
      </c>
      <c r="B34" s="26">
        <v>1.15E-2</v>
      </c>
      <c r="C34" s="23">
        <f t="shared" si="7"/>
        <v>0.11890000000000005</v>
      </c>
      <c r="D34" s="17">
        <v>300</v>
      </c>
      <c r="E34" s="17">
        <v>80</v>
      </c>
      <c r="F34" s="17">
        <v>129</v>
      </c>
      <c r="G34" s="26">
        <v>1.4199999999999999E-2</v>
      </c>
      <c r="H34" s="23">
        <f t="shared" si="1"/>
        <v>0.15040000000000006</v>
      </c>
      <c r="I34" s="17">
        <v>24</v>
      </c>
      <c r="J34" s="17">
        <v>2</v>
      </c>
      <c r="K34" s="17">
        <v>4</v>
      </c>
      <c r="L34" s="17">
        <v>73</v>
      </c>
      <c r="N34" s="17">
        <v>80</v>
      </c>
      <c r="O34" s="17">
        <v>32368370542</v>
      </c>
      <c r="P34" s="16">
        <f t="shared" si="2"/>
        <v>-15715435975457</v>
      </c>
      <c r="Q34" s="17">
        <v>230062114038</v>
      </c>
      <c r="R34" s="16">
        <f t="shared" si="3"/>
        <v>-4511396473918</v>
      </c>
      <c r="S34" s="17">
        <v>94</v>
      </c>
      <c r="T34" s="17">
        <f t="shared" si="6"/>
        <v>129</v>
      </c>
      <c r="U34" s="17">
        <v>35</v>
      </c>
      <c r="V34" s="17">
        <v>874837329800</v>
      </c>
      <c r="W34" s="17">
        <f t="shared" si="4"/>
        <v>2127590153200</v>
      </c>
      <c r="X34" s="17">
        <v>42</v>
      </c>
      <c r="Y34" s="17">
        <v>53</v>
      </c>
      <c r="Z34" s="26">
        <v>0.35920000000000002</v>
      </c>
      <c r="AA34" s="34">
        <v>76.8</v>
      </c>
      <c r="AB34" s="36">
        <f t="shared" si="5"/>
        <v>47.771428571428579</v>
      </c>
    </row>
    <row r="35" spans="1:28" x14ac:dyDescent="0.2">
      <c r="A35" s="25" t="s">
        <v>267</v>
      </c>
      <c r="B35" s="26">
        <v>8.8999999999999999E-3</v>
      </c>
      <c r="C35" s="23">
        <f t="shared" si="7"/>
        <v>0.10740000000000005</v>
      </c>
      <c r="D35" s="17">
        <v>290</v>
      </c>
      <c r="E35" s="17">
        <v>94</v>
      </c>
      <c r="F35" s="17">
        <v>126</v>
      </c>
      <c r="G35" s="26">
        <v>9.8999999999999991E-3</v>
      </c>
      <c r="H35" s="23">
        <f t="shared" si="1"/>
        <v>0.13620000000000007</v>
      </c>
      <c r="I35" s="17">
        <v>26</v>
      </c>
      <c r="J35" s="17">
        <v>1</v>
      </c>
      <c r="K35" s="17">
        <v>3</v>
      </c>
      <c r="L35" s="17">
        <v>84</v>
      </c>
      <c r="N35" s="17">
        <v>70</v>
      </c>
      <c r="O35" s="17">
        <v>362048739182</v>
      </c>
      <c r="P35" s="16">
        <f t="shared" si="2"/>
        <v>-15747804345999</v>
      </c>
      <c r="Q35" s="17">
        <v>538514859182</v>
      </c>
      <c r="R35" s="16">
        <f t="shared" si="3"/>
        <v>-4741458587956</v>
      </c>
      <c r="S35" s="17">
        <v>64</v>
      </c>
      <c r="T35" s="17">
        <f t="shared" si="6"/>
        <v>126</v>
      </c>
      <c r="U35" s="17">
        <v>62</v>
      </c>
      <c r="V35" s="17">
        <v>328742906000</v>
      </c>
      <c r="W35" s="17">
        <f t="shared" si="4"/>
        <v>1252752823400</v>
      </c>
      <c r="X35" s="17">
        <v>53</v>
      </c>
      <c r="Y35" s="17">
        <v>38</v>
      </c>
      <c r="Z35" s="26">
        <v>0.28309999999999996</v>
      </c>
      <c r="AA35" s="34">
        <v>68.900000000000006</v>
      </c>
      <c r="AB35" s="36">
        <f t="shared" si="5"/>
        <v>44.964285714285715</v>
      </c>
    </row>
    <row r="36" spans="1:28" x14ac:dyDescent="0.2">
      <c r="A36" s="25" t="s">
        <v>266</v>
      </c>
      <c r="B36" s="26">
        <v>2.5000000000000001E-3</v>
      </c>
      <c r="C36" s="23">
        <f t="shared" si="7"/>
        <v>9.8500000000000046E-2</v>
      </c>
      <c r="D36" s="17">
        <v>226</v>
      </c>
      <c r="E36" s="17">
        <v>79</v>
      </c>
      <c r="F36" s="17">
        <v>201</v>
      </c>
      <c r="G36" s="26">
        <v>3.8E-3</v>
      </c>
      <c r="H36" s="23">
        <f t="shared" si="1"/>
        <v>0.12630000000000008</v>
      </c>
      <c r="I36" s="17">
        <v>13</v>
      </c>
      <c r="J36" s="17">
        <v>6</v>
      </c>
      <c r="K36" s="17">
        <v>11</v>
      </c>
      <c r="L36" s="17">
        <v>57</v>
      </c>
      <c r="N36" s="17">
        <v>98</v>
      </c>
      <c r="O36" s="17">
        <v>-814936271811</v>
      </c>
      <c r="P36" s="16">
        <f t="shared" si="2"/>
        <v>-16109853085181</v>
      </c>
      <c r="Q36" s="17">
        <v>-567614491131</v>
      </c>
      <c r="R36" s="16">
        <f t="shared" si="3"/>
        <v>-5279973447138</v>
      </c>
      <c r="S36" s="17">
        <v>86</v>
      </c>
      <c r="T36" s="17">
        <f t="shared" si="6"/>
        <v>128</v>
      </c>
      <c r="U36" s="17">
        <v>42</v>
      </c>
      <c r="V36" s="17">
        <v>14393880900</v>
      </c>
      <c r="W36" s="17">
        <f t="shared" si="4"/>
        <v>924009917400</v>
      </c>
      <c r="X36" s="17">
        <v>25</v>
      </c>
      <c r="Y36" s="17">
        <v>74</v>
      </c>
      <c r="Z36" s="26">
        <v>0.32780000000000004</v>
      </c>
      <c r="AA36" s="34">
        <v>68.099999999999994</v>
      </c>
      <c r="AB36" s="36">
        <f t="shared" si="5"/>
        <v>41.842857142857142</v>
      </c>
    </row>
    <row r="37" spans="1:28" x14ac:dyDescent="0.2">
      <c r="A37" s="25" t="s">
        <v>265</v>
      </c>
      <c r="B37" s="26">
        <v>-3.5999999999999999E-3</v>
      </c>
      <c r="C37" s="23">
        <f t="shared" si="7"/>
        <v>9.6000000000000044E-2</v>
      </c>
      <c r="D37" s="17">
        <v>203</v>
      </c>
      <c r="E37" s="17">
        <v>72</v>
      </c>
      <c r="F37" s="17">
        <v>233</v>
      </c>
      <c r="G37" s="26">
        <v>-3.9000000000000003E-3</v>
      </c>
      <c r="H37" s="23">
        <f t="shared" si="1"/>
        <v>0.12250000000000007</v>
      </c>
      <c r="I37" s="17">
        <v>7</v>
      </c>
      <c r="J37" s="17">
        <v>4</v>
      </c>
      <c r="K37" s="17">
        <v>19</v>
      </c>
      <c r="L37" s="17">
        <v>37</v>
      </c>
      <c r="N37" s="17">
        <v>115</v>
      </c>
      <c r="O37" s="17">
        <v>-953063368068</v>
      </c>
      <c r="P37" s="16">
        <f t="shared" si="2"/>
        <v>-15294916813370</v>
      </c>
      <c r="Q37" s="17">
        <v>-800011531308</v>
      </c>
      <c r="R37" s="16">
        <f t="shared" si="3"/>
        <v>-4712358956007</v>
      </c>
      <c r="S37" s="17">
        <v>88</v>
      </c>
      <c r="T37" s="17">
        <f t="shared" si="6"/>
        <v>135</v>
      </c>
      <c r="U37" s="17">
        <v>47</v>
      </c>
      <c r="V37" s="17">
        <v>274821510800</v>
      </c>
      <c r="W37" s="17">
        <f t="shared" si="4"/>
        <v>909616036500</v>
      </c>
      <c r="X37" s="17">
        <v>13</v>
      </c>
      <c r="Y37" s="17">
        <v>93</v>
      </c>
      <c r="Z37" s="26">
        <v>0.26789999999999997</v>
      </c>
      <c r="AA37" s="34">
        <v>58.8</v>
      </c>
      <c r="AB37" s="36">
        <f t="shared" si="5"/>
        <v>39.407142857142858</v>
      </c>
    </row>
    <row r="38" spans="1:28" x14ac:dyDescent="0.2">
      <c r="A38" s="25" t="s">
        <v>264</v>
      </c>
      <c r="B38" s="26">
        <v>-3.2000000000000002E-3</v>
      </c>
      <c r="C38" s="23">
        <f t="shared" si="7"/>
        <v>9.960000000000005E-2</v>
      </c>
      <c r="D38" s="17">
        <v>165</v>
      </c>
      <c r="E38" s="17">
        <v>75</v>
      </c>
      <c r="F38" s="17">
        <v>261</v>
      </c>
      <c r="G38" s="26">
        <v>-3.0999999999999999E-3</v>
      </c>
      <c r="H38" s="23">
        <f t="shared" si="1"/>
        <v>0.12640000000000007</v>
      </c>
      <c r="I38" s="17">
        <v>4</v>
      </c>
      <c r="J38" s="17">
        <v>4</v>
      </c>
      <c r="K38" s="17">
        <v>22</v>
      </c>
      <c r="L38" s="17">
        <v>54</v>
      </c>
      <c r="N38" s="17">
        <v>97</v>
      </c>
      <c r="O38" s="17">
        <v>-451995489585</v>
      </c>
      <c r="P38" s="16">
        <f t="shared" si="2"/>
        <v>-14341853445302</v>
      </c>
      <c r="Q38" s="17">
        <v>-202618239585</v>
      </c>
      <c r="R38" s="16">
        <f t="shared" si="3"/>
        <v>-3912347424699</v>
      </c>
      <c r="S38" s="17">
        <v>46</v>
      </c>
      <c r="T38" s="17">
        <f t="shared" si="6"/>
        <v>124</v>
      </c>
      <c r="U38" s="17">
        <v>78</v>
      </c>
      <c r="V38" s="17">
        <v>4244747500</v>
      </c>
      <c r="W38" s="17">
        <f t="shared" si="4"/>
        <v>634794525700</v>
      </c>
      <c r="X38" s="17">
        <v>18</v>
      </c>
      <c r="Y38" s="17">
        <v>81</v>
      </c>
      <c r="Z38" s="26">
        <v>0.27310000000000001</v>
      </c>
      <c r="AA38" s="34">
        <v>58.5</v>
      </c>
      <c r="AB38" s="36">
        <f t="shared" si="5"/>
        <v>37.449999999999996</v>
      </c>
    </row>
    <row r="39" spans="1:28" x14ac:dyDescent="0.2">
      <c r="A39" s="25" t="s">
        <v>260</v>
      </c>
      <c r="B39" s="26">
        <v>-1.5E-3</v>
      </c>
      <c r="C39" s="23">
        <f t="shared" si="7"/>
        <v>0.10280000000000004</v>
      </c>
      <c r="D39" s="17">
        <v>201</v>
      </c>
      <c r="E39" s="17">
        <v>67</v>
      </c>
      <c r="F39" s="17">
        <v>241</v>
      </c>
      <c r="G39" s="26">
        <v>-2.5999999999999999E-3</v>
      </c>
      <c r="H39" s="23">
        <f t="shared" si="1"/>
        <v>0.12950000000000006</v>
      </c>
      <c r="I39" s="17">
        <v>13</v>
      </c>
      <c r="J39" s="17">
        <v>1</v>
      </c>
      <c r="K39" s="17">
        <v>16</v>
      </c>
      <c r="L39" s="17">
        <v>47</v>
      </c>
      <c r="N39" s="17">
        <v>107</v>
      </c>
      <c r="O39" s="17">
        <v>-1879599889815</v>
      </c>
      <c r="P39" s="16">
        <f t="shared" si="2"/>
        <v>-13889857955717</v>
      </c>
      <c r="Q39" s="17">
        <v>-602761419815</v>
      </c>
      <c r="R39" s="16">
        <f t="shared" si="3"/>
        <v>-3709729185114</v>
      </c>
      <c r="S39" s="17">
        <v>40</v>
      </c>
      <c r="T39" s="17">
        <f t="shared" si="6"/>
        <v>123</v>
      </c>
      <c r="U39" s="17">
        <v>83</v>
      </c>
      <c r="V39" s="17">
        <v>123593195000</v>
      </c>
      <c r="W39" s="17">
        <f t="shared" si="4"/>
        <v>630549778200</v>
      </c>
      <c r="X39" s="17">
        <v>25</v>
      </c>
      <c r="Y39" s="17">
        <v>74</v>
      </c>
      <c r="Z39" s="26">
        <v>0.32159999999999994</v>
      </c>
      <c r="AA39" s="34">
        <v>55.1</v>
      </c>
      <c r="AB39" s="36">
        <f t="shared" si="5"/>
        <v>36.271428571428572</v>
      </c>
    </row>
    <row r="40" spans="1:28" x14ac:dyDescent="0.2">
      <c r="A40" s="25" t="s">
        <v>259</v>
      </c>
      <c r="B40" s="26">
        <v>1.5E-3</v>
      </c>
      <c r="C40" s="23">
        <f t="shared" si="7"/>
        <v>0.10430000000000005</v>
      </c>
      <c r="D40" s="17">
        <v>204</v>
      </c>
      <c r="E40" s="17">
        <v>68</v>
      </c>
      <c r="F40" s="17">
        <v>233</v>
      </c>
      <c r="G40" s="26">
        <v>0</v>
      </c>
      <c r="H40" s="23">
        <f t="shared" si="1"/>
        <v>0.13210000000000005</v>
      </c>
      <c r="I40" s="17">
        <v>12</v>
      </c>
      <c r="J40" s="17">
        <v>1</v>
      </c>
      <c r="K40" s="17">
        <v>17</v>
      </c>
      <c r="L40" s="17">
        <v>68</v>
      </c>
      <c r="N40" s="17">
        <v>79</v>
      </c>
      <c r="O40" s="17">
        <v>-1210365193381</v>
      </c>
      <c r="P40" s="16">
        <f t="shared" si="2"/>
        <v>-12010258065902</v>
      </c>
      <c r="Q40" s="17">
        <v>-257760403381</v>
      </c>
      <c r="R40" s="16">
        <f t="shared" si="3"/>
        <v>-3106967765299</v>
      </c>
      <c r="S40" s="17">
        <v>23</v>
      </c>
      <c r="T40" s="17">
        <f t="shared" si="6"/>
        <v>96</v>
      </c>
      <c r="U40" s="17">
        <v>73</v>
      </c>
      <c r="V40" s="17">
        <v>-171936744500</v>
      </c>
      <c r="W40" s="17">
        <f t="shared" si="4"/>
        <v>506956583200</v>
      </c>
      <c r="X40" s="17">
        <v>28</v>
      </c>
      <c r="Y40" s="17">
        <v>60</v>
      </c>
      <c r="Z40" s="26">
        <v>0.33340000000000003</v>
      </c>
      <c r="AA40" s="34">
        <v>44.9</v>
      </c>
      <c r="AB40" s="36">
        <f t="shared" si="5"/>
        <v>36.478571428571435</v>
      </c>
    </row>
    <row r="41" spans="1:28" x14ac:dyDescent="0.2">
      <c r="A41" s="25" t="s">
        <v>258</v>
      </c>
      <c r="B41" s="26">
        <v>5.6999999999999993E-3</v>
      </c>
      <c r="C41" s="23">
        <f t="shared" si="7"/>
        <v>0.10280000000000004</v>
      </c>
      <c r="D41" s="17">
        <v>251</v>
      </c>
      <c r="E41" s="17">
        <v>75</v>
      </c>
      <c r="F41" s="17">
        <v>178</v>
      </c>
      <c r="G41" s="26">
        <v>8.0000000000000002E-3</v>
      </c>
      <c r="H41" s="23">
        <f t="shared" si="1"/>
        <v>0.13210000000000005</v>
      </c>
      <c r="I41" s="17">
        <v>16</v>
      </c>
      <c r="J41" s="17">
        <v>4</v>
      </c>
      <c r="K41" s="17">
        <v>10</v>
      </c>
      <c r="L41" s="17">
        <v>72</v>
      </c>
      <c r="N41" s="17">
        <v>79</v>
      </c>
      <c r="O41" s="17">
        <v>173427725507</v>
      </c>
      <c r="P41" s="16">
        <f t="shared" si="2"/>
        <v>-10799892872521</v>
      </c>
      <c r="Q41" s="17">
        <v>258894715507</v>
      </c>
      <c r="R41" s="16">
        <f t="shared" si="3"/>
        <v>-2849207361918</v>
      </c>
      <c r="S41" s="17">
        <v>24</v>
      </c>
      <c r="T41" s="17">
        <f t="shared" si="6"/>
        <v>98</v>
      </c>
      <c r="U41" s="17">
        <v>74</v>
      </c>
      <c r="V41" s="17">
        <v>-388877549000</v>
      </c>
      <c r="W41" s="17">
        <f t="shared" si="4"/>
        <v>678893327700</v>
      </c>
      <c r="X41" s="17">
        <v>35</v>
      </c>
      <c r="Y41" s="17">
        <v>60</v>
      </c>
      <c r="Z41" s="26">
        <v>0.30199999999999999</v>
      </c>
      <c r="AA41" s="34">
        <v>52.2</v>
      </c>
      <c r="AB41" s="36">
        <f t="shared" si="5"/>
        <v>35.628571428571433</v>
      </c>
    </row>
    <row r="42" spans="1:28" x14ac:dyDescent="0.2">
      <c r="A42" s="25" t="s">
        <v>257</v>
      </c>
      <c r="B42" s="26">
        <v>1.6799999999999999E-2</v>
      </c>
      <c r="C42" s="23">
        <f t="shared" si="7"/>
        <v>9.7100000000000047E-2</v>
      </c>
      <c r="D42" s="17">
        <v>390</v>
      </c>
      <c r="E42" s="17">
        <v>49</v>
      </c>
      <c r="F42" s="17">
        <v>76</v>
      </c>
      <c r="G42" s="26">
        <v>1.5100000000000001E-2</v>
      </c>
      <c r="H42" s="23">
        <f t="shared" si="1"/>
        <v>0.12410000000000004</v>
      </c>
      <c r="I42" s="17">
        <v>28</v>
      </c>
      <c r="J42" s="17">
        <v>0</v>
      </c>
      <c r="K42" s="17">
        <v>2</v>
      </c>
      <c r="L42" s="17">
        <v>106</v>
      </c>
      <c r="N42" s="17">
        <v>47</v>
      </c>
      <c r="O42" s="17">
        <v>399132308544</v>
      </c>
      <c r="P42" s="16">
        <f t="shared" si="2"/>
        <v>-10973320598028</v>
      </c>
      <c r="Q42" s="17">
        <v>457610068544</v>
      </c>
      <c r="R42" s="16">
        <f t="shared" si="3"/>
        <v>-3108102077425</v>
      </c>
      <c r="S42" s="17">
        <v>63</v>
      </c>
      <c r="T42" s="17">
        <f t="shared" si="6"/>
        <v>122</v>
      </c>
      <c r="U42" s="17">
        <v>59</v>
      </c>
      <c r="V42" s="17">
        <v>-35186925000</v>
      </c>
      <c r="W42" s="17">
        <f t="shared" si="4"/>
        <v>1067770876700</v>
      </c>
      <c r="X42" s="17">
        <v>74</v>
      </c>
      <c r="Y42" s="17">
        <v>17</v>
      </c>
      <c r="Z42" s="26">
        <v>0.33860000000000001</v>
      </c>
      <c r="AA42" s="34">
        <v>46.2</v>
      </c>
      <c r="AB42" s="36">
        <f t="shared" si="5"/>
        <v>35.728571428571435</v>
      </c>
    </row>
    <row r="43" spans="1:28" x14ac:dyDescent="0.2">
      <c r="A43" s="25" t="s">
        <v>256</v>
      </c>
      <c r="B43" s="26">
        <v>3.8E-3</v>
      </c>
      <c r="C43" s="23">
        <f t="shared" si="7"/>
        <v>8.0300000000000052E-2</v>
      </c>
      <c r="D43" s="17">
        <v>223</v>
      </c>
      <c r="E43" s="17">
        <v>80</v>
      </c>
      <c r="F43" s="17">
        <v>200</v>
      </c>
      <c r="G43" s="26">
        <v>6.7000000000000002E-3</v>
      </c>
      <c r="H43" s="23">
        <f t="shared" si="1"/>
        <v>0.10900000000000004</v>
      </c>
      <c r="I43" s="17">
        <v>16</v>
      </c>
      <c r="J43" s="17">
        <v>2</v>
      </c>
      <c r="K43" s="17">
        <v>12</v>
      </c>
      <c r="L43" s="17">
        <v>68</v>
      </c>
      <c r="N43" s="17">
        <v>81</v>
      </c>
      <c r="O43" s="17">
        <v>669134180118</v>
      </c>
      <c r="P43" s="16">
        <f t="shared" si="2"/>
        <v>-11372452906572</v>
      </c>
      <c r="Q43" s="17">
        <v>659286400118</v>
      </c>
      <c r="R43" s="16">
        <f t="shared" si="3"/>
        <v>-3565712145969</v>
      </c>
      <c r="S43" s="17">
        <v>65</v>
      </c>
      <c r="T43" s="17">
        <f t="shared" si="6"/>
        <v>114</v>
      </c>
      <c r="U43" s="17">
        <v>49</v>
      </c>
      <c r="V43" s="17">
        <v>754198712000</v>
      </c>
      <c r="W43" s="17">
        <f t="shared" si="4"/>
        <v>1102957801700</v>
      </c>
      <c r="X43" s="17">
        <v>22</v>
      </c>
      <c r="Y43" s="17">
        <v>75</v>
      </c>
      <c r="Z43" s="26">
        <v>0.34420000000000001</v>
      </c>
      <c r="AA43" s="34">
        <v>46.2</v>
      </c>
      <c r="AB43" s="36">
        <f t="shared" si="5"/>
        <v>35.992857142857147</v>
      </c>
    </row>
    <row r="44" spans="1:28" x14ac:dyDescent="0.2">
      <c r="A44" s="25" t="s">
        <v>255</v>
      </c>
      <c r="B44" s="26">
        <v>5.6999999999999993E-3</v>
      </c>
      <c r="C44" s="23">
        <f t="shared" si="7"/>
        <v>7.6500000000000054E-2</v>
      </c>
      <c r="D44" s="17">
        <v>268</v>
      </c>
      <c r="E44" s="17">
        <v>75</v>
      </c>
      <c r="F44" s="17">
        <v>194</v>
      </c>
      <c r="G44" s="26">
        <v>5.4000000000000003E-3</v>
      </c>
      <c r="H44" s="23">
        <f t="shared" si="1"/>
        <v>0.10230000000000004</v>
      </c>
      <c r="I44" s="17">
        <v>19</v>
      </c>
      <c r="J44" s="17">
        <v>2</v>
      </c>
      <c r="K44" s="17">
        <v>9</v>
      </c>
      <c r="L44" s="17">
        <v>51</v>
      </c>
      <c r="N44" s="17">
        <v>100</v>
      </c>
      <c r="O44" s="17">
        <v>-765818575698</v>
      </c>
      <c r="P44" s="16">
        <f t="shared" si="2"/>
        <v>-12041587086690</v>
      </c>
      <c r="Q44" s="17">
        <v>-757974305698</v>
      </c>
      <c r="R44" s="16">
        <f t="shared" si="3"/>
        <v>-4224998546087</v>
      </c>
      <c r="S44" s="17">
        <v>24</v>
      </c>
      <c r="T44" s="17">
        <f t="shared" si="6"/>
        <v>108</v>
      </c>
      <c r="U44" s="17">
        <v>84</v>
      </c>
      <c r="V44" s="17">
        <v>-81207616000</v>
      </c>
      <c r="W44" s="17">
        <f t="shared" si="4"/>
        <v>348759089700</v>
      </c>
      <c r="X44" s="17">
        <v>44</v>
      </c>
      <c r="Y44" s="17">
        <v>53</v>
      </c>
      <c r="Z44" s="26">
        <v>0.31579999999999997</v>
      </c>
      <c r="AA44" s="34">
        <v>46.7</v>
      </c>
      <c r="AB44" s="36">
        <f t="shared" si="5"/>
        <v>36.264285714285712</v>
      </c>
    </row>
    <row r="45" spans="1:28" x14ac:dyDescent="0.2">
      <c r="A45" s="25" t="s">
        <v>254</v>
      </c>
      <c r="B45" s="26">
        <v>3.8E-3</v>
      </c>
      <c r="C45" s="23">
        <f t="shared" si="7"/>
        <v>7.0800000000000057E-2</v>
      </c>
      <c r="D45" s="17">
        <v>209</v>
      </c>
      <c r="E45" s="17">
        <v>97</v>
      </c>
      <c r="F45" s="17">
        <v>227</v>
      </c>
      <c r="G45" s="26">
        <v>5.5000000000000005E-3</v>
      </c>
      <c r="H45" s="23">
        <f t="shared" si="1"/>
        <v>9.6900000000000042E-2</v>
      </c>
      <c r="I45" s="17">
        <v>13</v>
      </c>
      <c r="J45" s="17">
        <v>4</v>
      </c>
      <c r="K45" s="17">
        <v>13</v>
      </c>
      <c r="L45" s="17">
        <v>65</v>
      </c>
      <c r="N45" s="17">
        <v>86</v>
      </c>
      <c r="O45" s="17">
        <v>380910339440</v>
      </c>
      <c r="P45" s="16">
        <f t="shared" si="2"/>
        <v>-11275768510992</v>
      </c>
      <c r="Q45" s="17">
        <v>394211429440</v>
      </c>
      <c r="R45" s="16">
        <f t="shared" si="3"/>
        <v>-3467024240389</v>
      </c>
      <c r="S45" s="17">
        <v>60</v>
      </c>
      <c r="T45" s="17">
        <f t="shared" si="6"/>
        <v>114</v>
      </c>
      <c r="U45" s="17">
        <v>54</v>
      </c>
      <c r="V45" s="17">
        <v>-192756717000</v>
      </c>
      <c r="W45" s="17">
        <f t="shared" si="4"/>
        <v>429966705700</v>
      </c>
      <c r="X45" s="17">
        <v>32</v>
      </c>
      <c r="Y45" s="17">
        <v>55</v>
      </c>
      <c r="Z45" s="26">
        <v>0.3306</v>
      </c>
      <c r="AA45" s="34">
        <v>40</v>
      </c>
      <c r="AB45" s="36">
        <f t="shared" si="5"/>
        <v>37.035714285714285</v>
      </c>
    </row>
    <row r="46" spans="1:28" x14ac:dyDescent="0.2">
      <c r="A46" s="25" t="s">
        <v>253</v>
      </c>
      <c r="B46" s="26">
        <v>-5.0000000000000001E-4</v>
      </c>
      <c r="C46" s="23">
        <f t="shared" si="7"/>
        <v>6.700000000000006E-2</v>
      </c>
      <c r="D46" s="17">
        <v>166</v>
      </c>
      <c r="E46" s="17">
        <v>74</v>
      </c>
      <c r="F46" s="17">
        <v>293</v>
      </c>
      <c r="G46" s="26">
        <v>1.2999999999999999E-3</v>
      </c>
      <c r="H46" s="23">
        <f t="shared" si="1"/>
        <v>9.1400000000000037E-2</v>
      </c>
      <c r="I46" s="17">
        <v>11</v>
      </c>
      <c r="J46" s="17">
        <v>3</v>
      </c>
      <c r="K46" s="17">
        <v>16</v>
      </c>
      <c r="L46" s="17">
        <v>50</v>
      </c>
      <c r="N46" s="17">
        <v>97</v>
      </c>
      <c r="O46" s="17">
        <v>-32986544486</v>
      </c>
      <c r="P46" s="16">
        <f t="shared" si="2"/>
        <v>-11656678850432</v>
      </c>
      <c r="Q46" s="17">
        <v>-9209174486</v>
      </c>
      <c r="R46" s="16">
        <f t="shared" si="3"/>
        <v>-3861235669829</v>
      </c>
      <c r="S46" s="17">
        <v>36</v>
      </c>
      <c r="T46" s="17">
        <f t="shared" si="6"/>
        <v>110</v>
      </c>
      <c r="U46" s="17">
        <v>74</v>
      </c>
      <c r="V46" s="17">
        <v>-780172394000</v>
      </c>
      <c r="W46" s="17">
        <f t="shared" si="4"/>
        <v>622723422700</v>
      </c>
      <c r="X46" s="17">
        <v>17</v>
      </c>
      <c r="Y46" s="17">
        <v>73</v>
      </c>
      <c r="Z46" s="26">
        <v>0.30990000000000001</v>
      </c>
      <c r="AA46" s="34">
        <v>33.1</v>
      </c>
      <c r="AB46" s="36">
        <f t="shared" si="5"/>
        <v>38.15</v>
      </c>
    </row>
    <row r="47" spans="1:28" x14ac:dyDescent="0.2">
      <c r="A47" s="25" t="s">
        <v>252</v>
      </c>
      <c r="B47" s="26">
        <v>2.4E-2</v>
      </c>
      <c r="C47" s="23">
        <f t="shared" si="7"/>
        <v>6.750000000000006E-2</v>
      </c>
      <c r="D47" s="17">
        <v>435</v>
      </c>
      <c r="E47" s="17">
        <v>39</v>
      </c>
      <c r="F47" s="17">
        <v>69</v>
      </c>
      <c r="G47" s="26">
        <v>2.6499999999999999E-2</v>
      </c>
      <c r="H47" s="23">
        <f t="shared" si="1"/>
        <v>9.0100000000000041E-2</v>
      </c>
      <c r="I47" s="17">
        <v>0</v>
      </c>
      <c r="J47" s="17">
        <v>0</v>
      </c>
      <c r="K47" s="17">
        <v>30</v>
      </c>
      <c r="L47" s="17">
        <v>95</v>
      </c>
      <c r="N47" s="17">
        <v>60</v>
      </c>
      <c r="O47" s="17">
        <v>728228976764</v>
      </c>
      <c r="P47" s="16">
        <f t="shared" si="2"/>
        <v>-11623692305946</v>
      </c>
      <c r="Q47" s="17">
        <v>817989986764</v>
      </c>
      <c r="R47" s="16">
        <f t="shared" si="3"/>
        <v>-3852026495343</v>
      </c>
      <c r="S47" s="17">
        <v>85</v>
      </c>
      <c r="T47" s="17">
        <f t="shared" si="6"/>
        <v>126</v>
      </c>
      <c r="U47" s="17">
        <v>41</v>
      </c>
      <c r="V47" s="17">
        <v>67957973000</v>
      </c>
      <c r="W47" s="17">
        <f t="shared" si="4"/>
        <v>1402895816700</v>
      </c>
      <c r="X47" s="17">
        <v>91</v>
      </c>
      <c r="Y47" s="17">
        <v>7</v>
      </c>
      <c r="Z47" s="26">
        <v>0.3422</v>
      </c>
      <c r="AA47" s="34">
        <v>28.2</v>
      </c>
      <c r="AB47" s="36">
        <f t="shared" si="5"/>
        <v>39.600000000000009</v>
      </c>
    </row>
    <row r="48" spans="1:28" x14ac:dyDescent="0.2">
      <c r="A48" s="29" t="s">
        <v>251</v>
      </c>
      <c r="B48" s="26">
        <v>-1.0800000000000001E-2</v>
      </c>
      <c r="C48" s="23">
        <f t="shared" si="7"/>
        <v>4.3500000000000053E-2</v>
      </c>
      <c r="D48" s="17">
        <v>117</v>
      </c>
      <c r="E48" s="17">
        <v>57</v>
      </c>
      <c r="F48" s="17">
        <v>360</v>
      </c>
      <c r="G48" s="26">
        <v>-5.1999999999999998E-3</v>
      </c>
      <c r="H48" s="23">
        <f t="shared" si="1"/>
        <v>6.3600000000000045E-2</v>
      </c>
      <c r="I48" s="17">
        <v>6</v>
      </c>
      <c r="J48" s="17">
        <v>0</v>
      </c>
      <c r="K48" s="17">
        <v>24</v>
      </c>
      <c r="L48" s="17">
        <v>59</v>
      </c>
      <c r="N48" s="17">
        <v>89</v>
      </c>
      <c r="O48" s="17">
        <v>-229636012587</v>
      </c>
      <c r="P48" s="16">
        <f t="shared" si="2"/>
        <v>-12351921282710</v>
      </c>
      <c r="Q48" s="17">
        <v>-36087142587</v>
      </c>
      <c r="R48" s="16">
        <f t="shared" si="3"/>
        <v>-4670016482107</v>
      </c>
      <c r="S48" s="17">
        <v>66</v>
      </c>
      <c r="T48" s="17">
        <f t="shared" si="6"/>
        <v>118</v>
      </c>
      <c r="U48" s="17">
        <v>52</v>
      </c>
      <c r="V48" s="17">
        <v>-879317305000</v>
      </c>
      <c r="W48" s="17">
        <f t="shared" si="4"/>
        <v>1334937843700</v>
      </c>
      <c r="X48" s="17">
        <v>4</v>
      </c>
      <c r="Y48" s="17">
        <v>100</v>
      </c>
      <c r="Z48" s="26">
        <v>0.35149999999999998</v>
      </c>
      <c r="AA48" s="34">
        <v>21.9</v>
      </c>
      <c r="AB48" s="36">
        <f t="shared" si="5"/>
        <v>42</v>
      </c>
    </row>
    <row r="49" spans="1:28" x14ac:dyDescent="0.2">
      <c r="A49" s="29" t="s">
        <v>250</v>
      </c>
      <c r="B49" s="26">
        <v>1.3100000000000001E-2</v>
      </c>
      <c r="C49" s="23">
        <f t="shared" si="7"/>
        <v>5.430000000000005E-2</v>
      </c>
      <c r="D49" s="17">
        <v>374</v>
      </c>
      <c r="E49" s="17">
        <v>59</v>
      </c>
      <c r="F49" s="17">
        <v>114</v>
      </c>
      <c r="G49" s="26">
        <v>1.06E-2</v>
      </c>
      <c r="H49" s="23">
        <f t="shared" si="1"/>
        <v>6.8800000000000042E-2</v>
      </c>
      <c r="I49" s="17">
        <v>23</v>
      </c>
      <c r="J49" s="17">
        <v>3</v>
      </c>
      <c r="K49" s="17">
        <v>4</v>
      </c>
      <c r="L49" s="17">
        <v>74</v>
      </c>
      <c r="N49" s="17">
        <v>74</v>
      </c>
      <c r="O49" s="17">
        <v>195855790572</v>
      </c>
      <c r="P49" s="16">
        <f t="shared" si="2"/>
        <v>-12122285270123</v>
      </c>
      <c r="Q49" s="17">
        <v>269840720572</v>
      </c>
      <c r="R49" s="16">
        <f t="shared" si="3"/>
        <v>-4633929339520</v>
      </c>
      <c r="S49" s="17">
        <v>78</v>
      </c>
      <c r="T49" s="17">
        <f t="shared" si="6"/>
        <v>117</v>
      </c>
      <c r="U49" s="17">
        <v>39</v>
      </c>
      <c r="V49" s="17">
        <v>299192099000</v>
      </c>
      <c r="W49" s="17">
        <f t="shared" si="4"/>
        <v>2214255148700</v>
      </c>
      <c r="X49" s="17">
        <v>50</v>
      </c>
      <c r="Y49" s="17">
        <v>41</v>
      </c>
      <c r="Z49" s="26">
        <v>0.34460000000000002</v>
      </c>
      <c r="AA49" s="34">
        <v>29.6</v>
      </c>
      <c r="AB49" s="36">
        <f t="shared" si="5"/>
        <v>43.821428571428569</v>
      </c>
    </row>
    <row r="50" spans="1:28" x14ac:dyDescent="0.2">
      <c r="A50" s="29" t="s">
        <v>249</v>
      </c>
      <c r="B50" s="26">
        <v>-1.52E-2</v>
      </c>
      <c r="C50" s="23">
        <f t="shared" si="7"/>
        <v>4.1200000000000049E-2</v>
      </c>
      <c r="D50" s="17">
        <v>90</v>
      </c>
      <c r="E50" s="17">
        <v>54</v>
      </c>
      <c r="F50" s="17">
        <v>405</v>
      </c>
      <c r="G50" s="26">
        <v>-1.38E-2</v>
      </c>
      <c r="H50" s="23">
        <f t="shared" si="1"/>
        <v>5.8200000000000036E-2</v>
      </c>
      <c r="I50" s="17">
        <v>2</v>
      </c>
      <c r="J50" s="17">
        <v>3</v>
      </c>
      <c r="K50" s="17">
        <v>25</v>
      </c>
      <c r="L50" s="17">
        <v>89</v>
      </c>
      <c r="N50" s="17">
        <v>59</v>
      </c>
      <c r="O50" s="17">
        <v>662537876864</v>
      </c>
      <c r="P50" s="16">
        <f t="shared" si="2"/>
        <v>-12318141060695</v>
      </c>
      <c r="Q50" s="17">
        <v>790046126864</v>
      </c>
      <c r="R50" s="16">
        <f t="shared" si="3"/>
        <v>-4903770060092</v>
      </c>
      <c r="S50" s="17">
        <v>112</v>
      </c>
      <c r="T50" s="17">
        <f t="shared" si="6"/>
        <v>122</v>
      </c>
      <c r="U50" s="17">
        <v>10</v>
      </c>
      <c r="V50" s="17">
        <v>565767842000</v>
      </c>
      <c r="W50" s="17">
        <f t="shared" si="4"/>
        <v>1915063049700</v>
      </c>
      <c r="X50" s="17">
        <v>6</v>
      </c>
      <c r="Y50" s="17">
        <v>93</v>
      </c>
      <c r="Z50" s="26">
        <v>0.2959</v>
      </c>
      <c r="AA50" s="34">
        <v>24.4</v>
      </c>
      <c r="AB50" s="36">
        <f t="shared" si="5"/>
        <v>46.45</v>
      </c>
    </row>
    <row r="51" spans="1:28" x14ac:dyDescent="0.2">
      <c r="A51" s="25" t="s">
        <v>248</v>
      </c>
      <c r="B51" s="26">
        <v>-1.8600000000000002E-2</v>
      </c>
      <c r="C51" s="23">
        <f t="shared" si="7"/>
        <v>5.6400000000000047E-2</v>
      </c>
      <c r="D51" s="17">
        <v>137</v>
      </c>
      <c r="E51" s="17">
        <v>57</v>
      </c>
      <c r="F51" s="17">
        <v>348</v>
      </c>
      <c r="G51" s="26">
        <v>-1.78E-2</v>
      </c>
      <c r="H51" s="23">
        <f t="shared" si="1"/>
        <v>7.2000000000000036E-2</v>
      </c>
      <c r="I51" s="17">
        <v>4</v>
      </c>
      <c r="J51" s="17">
        <v>0</v>
      </c>
      <c r="K51" s="17">
        <v>26</v>
      </c>
      <c r="L51" s="17">
        <v>50</v>
      </c>
      <c r="N51" s="17">
        <v>95</v>
      </c>
      <c r="O51" s="17">
        <v>-565429370147</v>
      </c>
      <c r="P51" s="16">
        <f t="shared" si="2"/>
        <v>-12980678937559</v>
      </c>
      <c r="Q51" s="17">
        <v>-302694770147</v>
      </c>
      <c r="R51" s="16">
        <f t="shared" si="3"/>
        <v>-5693816186956</v>
      </c>
      <c r="S51" s="17">
        <v>94</v>
      </c>
      <c r="T51" s="17">
        <f t="shared" si="6"/>
        <v>131</v>
      </c>
      <c r="U51" s="17">
        <v>37</v>
      </c>
      <c r="V51" s="17">
        <v>-235182578000</v>
      </c>
      <c r="W51" s="17">
        <f t="shared" si="4"/>
        <v>1349295207700</v>
      </c>
      <c r="X51" s="17">
        <v>9</v>
      </c>
      <c r="Y51" s="17">
        <v>95</v>
      </c>
      <c r="Z51" s="26">
        <v>0.30099999999999999</v>
      </c>
      <c r="AA51" s="34">
        <v>24.7</v>
      </c>
      <c r="AB51" s="36">
        <f t="shared" si="5"/>
        <v>49.028571428571425</v>
      </c>
    </row>
    <row r="52" spans="1:28" x14ac:dyDescent="0.2">
      <c r="A52" s="25" t="s">
        <v>247</v>
      </c>
      <c r="B52" s="26">
        <v>-8.0000000000000004E-4</v>
      </c>
      <c r="C52" s="23">
        <f t="shared" si="7"/>
        <v>7.5000000000000053E-2</v>
      </c>
      <c r="D52" s="17">
        <v>140</v>
      </c>
      <c r="E52" s="17">
        <v>58</v>
      </c>
      <c r="F52" s="17">
        <v>361</v>
      </c>
      <c r="G52" s="26">
        <v>3.9000000000000003E-3</v>
      </c>
      <c r="H52" s="23">
        <f t="shared" si="1"/>
        <v>8.9800000000000033E-2</v>
      </c>
      <c r="I52" s="17">
        <v>14</v>
      </c>
      <c r="J52" s="17">
        <v>3</v>
      </c>
      <c r="K52" s="17">
        <v>13</v>
      </c>
      <c r="L52" s="17">
        <v>95</v>
      </c>
      <c r="N52" s="17">
        <v>57</v>
      </c>
      <c r="O52" s="17">
        <v>155661052869</v>
      </c>
      <c r="P52" s="16">
        <f t="shared" si="2"/>
        <v>-12415249567412</v>
      </c>
      <c r="Q52" s="17">
        <v>474887862869</v>
      </c>
      <c r="R52" s="16">
        <f t="shared" si="3"/>
        <v>-5391121416809</v>
      </c>
      <c r="S52" s="17">
        <v>116</v>
      </c>
      <c r="T52" s="17">
        <f t="shared" si="6"/>
        <v>127</v>
      </c>
      <c r="U52" s="17">
        <v>11</v>
      </c>
      <c r="V52" s="17">
        <v>1473200456000</v>
      </c>
      <c r="W52" s="17">
        <f t="shared" si="4"/>
        <v>1584477785700</v>
      </c>
      <c r="X52" s="17">
        <v>9</v>
      </c>
      <c r="Y52" s="17">
        <v>93</v>
      </c>
      <c r="Z52" s="26">
        <v>0.30790000000000001</v>
      </c>
      <c r="AA52" s="34">
        <v>31.1</v>
      </c>
      <c r="AB52" s="36">
        <f t="shared" si="5"/>
        <v>50.578571428571429</v>
      </c>
    </row>
    <row r="53" spans="1:28" x14ac:dyDescent="0.2">
      <c r="A53" s="25" t="s">
        <v>246</v>
      </c>
      <c r="B53" s="26">
        <v>-4.7E-2</v>
      </c>
      <c r="C53" s="23">
        <f t="shared" si="7"/>
        <v>7.5800000000000048E-2</v>
      </c>
      <c r="D53" s="17">
        <v>40</v>
      </c>
      <c r="E53" s="17">
        <v>30</v>
      </c>
      <c r="F53" s="17">
        <v>475</v>
      </c>
      <c r="G53" s="26">
        <v>-4.4199999999999996E-2</v>
      </c>
      <c r="H53" s="23">
        <f t="shared" si="1"/>
        <v>8.5900000000000032E-2</v>
      </c>
      <c r="I53" s="17">
        <v>1</v>
      </c>
      <c r="J53" s="17">
        <v>0</v>
      </c>
      <c r="K53" s="17">
        <v>29</v>
      </c>
      <c r="L53" s="17">
        <v>58</v>
      </c>
      <c r="N53" s="17">
        <v>91</v>
      </c>
      <c r="O53" s="17">
        <v>-1292132480945</v>
      </c>
      <c r="P53" s="16">
        <f t="shared" si="2"/>
        <v>-12570910620281</v>
      </c>
      <c r="Q53" s="17">
        <v>-921029630945</v>
      </c>
      <c r="R53" s="16">
        <f t="shared" si="3"/>
        <v>-5866009279678</v>
      </c>
      <c r="S53" s="17">
        <v>105</v>
      </c>
      <c r="T53" s="17">
        <f t="shared" si="6"/>
        <v>124</v>
      </c>
      <c r="U53" s="17">
        <v>19</v>
      </c>
      <c r="V53" s="17">
        <v>734317894000</v>
      </c>
      <c r="W53" s="17">
        <f t="shared" si="4"/>
        <v>111277329700</v>
      </c>
      <c r="X53" s="17">
        <v>0</v>
      </c>
      <c r="Y53" s="17">
        <v>117</v>
      </c>
      <c r="Z53" s="26">
        <v>0.36979999999999996</v>
      </c>
      <c r="AA53" s="34">
        <v>38.6</v>
      </c>
      <c r="AB53" s="36">
        <f t="shared" si="5"/>
        <v>51.635714285714279</v>
      </c>
    </row>
    <row r="54" spans="1:28" x14ac:dyDescent="0.2">
      <c r="A54" s="25" t="s">
        <v>245</v>
      </c>
      <c r="B54" s="26">
        <v>1.46E-2</v>
      </c>
      <c r="C54" s="23">
        <f t="shared" si="7"/>
        <v>0.12280000000000005</v>
      </c>
      <c r="D54" s="17">
        <v>317</v>
      </c>
      <c r="E54" s="17">
        <v>55</v>
      </c>
      <c r="F54" s="17">
        <v>143</v>
      </c>
      <c r="G54" s="26">
        <v>1.7299999999999999E-2</v>
      </c>
      <c r="H54" s="23">
        <f t="shared" si="1"/>
        <v>0.13010000000000002</v>
      </c>
      <c r="I54" s="17">
        <v>29</v>
      </c>
      <c r="J54" s="17">
        <v>0</v>
      </c>
      <c r="K54" s="17">
        <v>1</v>
      </c>
      <c r="L54" s="17">
        <v>48</v>
      </c>
      <c r="N54" s="17">
        <v>96</v>
      </c>
      <c r="O54" s="17">
        <v>-723406590932</v>
      </c>
      <c r="P54" s="16">
        <f t="shared" si="2"/>
        <v>-11278778139336</v>
      </c>
      <c r="Q54" s="17">
        <v>-449950830932</v>
      </c>
      <c r="R54" s="16">
        <f t="shared" si="3"/>
        <v>-4944979648733</v>
      </c>
      <c r="S54" s="17">
        <v>50</v>
      </c>
      <c r="T54" s="17">
        <f t="shared" si="6"/>
        <v>124</v>
      </c>
      <c r="U54" s="17">
        <v>74</v>
      </c>
      <c r="V54" s="17">
        <v>103627150000</v>
      </c>
      <c r="W54" s="17">
        <f t="shared" si="4"/>
        <v>-623040564300</v>
      </c>
      <c r="X54" s="17">
        <v>49</v>
      </c>
      <c r="Y54" s="17">
        <v>38</v>
      </c>
      <c r="Z54" s="26">
        <v>0.49909999999999999</v>
      </c>
      <c r="AA54" s="34">
        <v>47.8</v>
      </c>
      <c r="AB54" s="36">
        <f t="shared" si="5"/>
        <v>51.571428571428562</v>
      </c>
    </row>
    <row r="55" spans="1:28" x14ac:dyDescent="0.2">
      <c r="A55" s="25" t="s">
        <v>244</v>
      </c>
      <c r="B55" s="26">
        <v>-2.9999999999999997E-4</v>
      </c>
      <c r="C55" s="23">
        <f t="shared" si="7"/>
        <v>0.10820000000000005</v>
      </c>
      <c r="D55" s="17">
        <v>150</v>
      </c>
      <c r="E55" s="17">
        <v>84</v>
      </c>
      <c r="F55" s="17">
        <v>308</v>
      </c>
      <c r="G55" s="26">
        <v>-8.0000000000000004E-4</v>
      </c>
      <c r="H55" s="23">
        <f t="shared" si="1"/>
        <v>0.11280000000000003</v>
      </c>
      <c r="I55" s="17">
        <v>11</v>
      </c>
      <c r="J55" s="17">
        <v>3</v>
      </c>
      <c r="K55" s="17">
        <v>16</v>
      </c>
      <c r="L55" s="17">
        <v>75</v>
      </c>
      <c r="N55" s="17">
        <v>72</v>
      </c>
      <c r="O55" s="17">
        <v>134160890989</v>
      </c>
      <c r="P55" s="16">
        <f t="shared" si="2"/>
        <v>-10555371548404</v>
      </c>
      <c r="Q55" s="17">
        <v>461707860989</v>
      </c>
      <c r="R55" s="16">
        <f t="shared" si="3"/>
        <v>-4495028817801</v>
      </c>
      <c r="S55" s="17">
        <v>45</v>
      </c>
      <c r="T55" s="17">
        <f t="shared" si="6"/>
        <v>125</v>
      </c>
      <c r="U55" s="17">
        <v>80</v>
      </c>
      <c r="V55" s="17">
        <v>484293033000</v>
      </c>
      <c r="W55" s="17">
        <f t="shared" si="4"/>
        <v>-726667714300</v>
      </c>
      <c r="X55" s="17">
        <v>28</v>
      </c>
      <c r="Y55" s="17">
        <v>60</v>
      </c>
      <c r="Z55" s="26">
        <v>0.26150000000000001</v>
      </c>
      <c r="AA55" s="34">
        <v>40.299999999999997</v>
      </c>
      <c r="AB55" s="36">
        <f t="shared" si="5"/>
        <v>52.55</v>
      </c>
    </row>
    <row r="56" spans="1:28" x14ac:dyDescent="0.2">
      <c r="A56" s="25" t="s">
        <v>243</v>
      </c>
      <c r="B56" s="26">
        <v>-3.4000000000000002E-3</v>
      </c>
      <c r="C56" s="23">
        <f t="shared" si="7"/>
        <v>0.10850000000000004</v>
      </c>
      <c r="D56" s="17">
        <v>177</v>
      </c>
      <c r="E56" s="17">
        <v>85</v>
      </c>
      <c r="F56" s="17">
        <v>275</v>
      </c>
      <c r="G56" s="26">
        <v>-2.3999999999999998E-3</v>
      </c>
      <c r="H56" s="23">
        <f t="shared" si="1"/>
        <v>0.11360000000000002</v>
      </c>
      <c r="I56" s="17">
        <v>7</v>
      </c>
      <c r="J56" s="17">
        <v>5</v>
      </c>
      <c r="K56" s="17">
        <v>18</v>
      </c>
      <c r="L56" s="17">
        <v>55</v>
      </c>
      <c r="N56" s="17">
        <v>90</v>
      </c>
      <c r="O56" s="17">
        <v>-473523929796</v>
      </c>
      <c r="P56" s="16">
        <f t="shared" si="2"/>
        <v>-10689532439393</v>
      </c>
      <c r="Q56" s="17">
        <v>-295008315221</v>
      </c>
      <c r="R56" s="16">
        <f t="shared" si="3"/>
        <v>-4956736678790</v>
      </c>
      <c r="S56" s="17">
        <v>64</v>
      </c>
      <c r="T56" s="17">
        <f t="shared" si="6"/>
        <v>124</v>
      </c>
      <c r="U56" s="17">
        <v>60</v>
      </c>
      <c r="V56" s="17">
        <v>-553511890000</v>
      </c>
      <c r="W56" s="17">
        <f t="shared" si="4"/>
        <v>-1210960747300</v>
      </c>
      <c r="X56" s="17">
        <v>14</v>
      </c>
      <c r="Y56" s="17">
        <v>93</v>
      </c>
      <c r="Z56" s="26">
        <v>0.33770000000000006</v>
      </c>
      <c r="AA56" s="34">
        <v>47.6</v>
      </c>
      <c r="AB56" s="36">
        <f t="shared" si="5"/>
        <v>52.978571428571421</v>
      </c>
    </row>
    <row r="57" spans="1:28" x14ac:dyDescent="0.2">
      <c r="A57" s="25" t="s">
        <v>242</v>
      </c>
      <c r="B57" s="26">
        <v>0.01</v>
      </c>
      <c r="C57" s="23">
        <f t="shared" si="7"/>
        <v>0.11190000000000004</v>
      </c>
      <c r="D57" s="17">
        <v>332</v>
      </c>
      <c r="E57" s="17">
        <v>71</v>
      </c>
      <c r="F57" s="17">
        <v>137</v>
      </c>
      <c r="G57" s="26">
        <v>9.7000000000000003E-3</v>
      </c>
      <c r="H57" s="23">
        <f t="shared" si="1"/>
        <v>0.11600000000000002</v>
      </c>
      <c r="I57" s="17">
        <v>22</v>
      </c>
      <c r="J57" s="17">
        <v>4</v>
      </c>
      <c r="K57" s="17">
        <v>4</v>
      </c>
      <c r="L57" s="17">
        <v>88</v>
      </c>
      <c r="N57" s="17">
        <v>59</v>
      </c>
      <c r="O57" s="17">
        <v>409045284335</v>
      </c>
      <c r="P57" s="16">
        <f t="shared" ref="P57:P88" si="8">O57+P58</f>
        <v>-10216008509597</v>
      </c>
      <c r="Q57" s="17">
        <v>535301204335</v>
      </c>
      <c r="R57" s="16">
        <f t="shared" si="3"/>
        <v>-4661728363569</v>
      </c>
      <c r="S57" s="17">
        <v>72</v>
      </c>
      <c r="T57" s="17">
        <f t="shared" si="6"/>
        <v>126</v>
      </c>
      <c r="U57" s="17">
        <v>54</v>
      </c>
      <c r="V57" s="17">
        <v>-213051493000</v>
      </c>
      <c r="W57" s="17">
        <f t="shared" si="4"/>
        <v>-657448857300</v>
      </c>
      <c r="X57" s="17">
        <v>46</v>
      </c>
      <c r="Y57" s="17">
        <v>44</v>
      </c>
      <c r="Z57" s="26">
        <v>0.29260000000000003</v>
      </c>
      <c r="AA57" s="34">
        <v>49.9</v>
      </c>
      <c r="AB57" s="36">
        <f t="shared" si="5"/>
        <v>53.18571428571429</v>
      </c>
    </row>
    <row r="58" spans="1:28" x14ac:dyDescent="0.2">
      <c r="A58" s="25" t="s">
        <v>241</v>
      </c>
      <c r="B58" s="26">
        <v>-3.8E-3</v>
      </c>
      <c r="C58" s="23">
        <f t="shared" si="7"/>
        <v>0.10190000000000005</v>
      </c>
      <c r="D58" s="17">
        <v>112</v>
      </c>
      <c r="E58" s="17">
        <v>81</v>
      </c>
      <c r="F58" s="17">
        <v>355</v>
      </c>
      <c r="G58" s="26">
        <v>-2.3999999999999998E-3</v>
      </c>
      <c r="H58" s="23">
        <f t="shared" si="1"/>
        <v>0.10630000000000002</v>
      </c>
      <c r="I58" s="17">
        <v>9</v>
      </c>
      <c r="J58" s="17">
        <v>4</v>
      </c>
      <c r="K58" s="17">
        <v>17</v>
      </c>
      <c r="L58" s="17">
        <v>82</v>
      </c>
      <c r="N58" s="17">
        <v>67</v>
      </c>
      <c r="O58" s="17">
        <v>25844234540</v>
      </c>
      <c r="P58" s="16">
        <f t="shared" si="8"/>
        <v>-10625053793932</v>
      </c>
      <c r="Q58" s="17">
        <v>446967144540</v>
      </c>
      <c r="R58" s="16">
        <f t="shared" si="3"/>
        <v>-5197029567904</v>
      </c>
      <c r="S58" s="17">
        <v>98</v>
      </c>
      <c r="T58" s="17">
        <f t="shared" si="6"/>
        <v>133</v>
      </c>
      <c r="U58" s="17">
        <v>35</v>
      </c>
      <c r="V58" s="17">
        <v>-418428115000</v>
      </c>
      <c r="W58" s="17">
        <f t="shared" si="4"/>
        <v>-444397364300</v>
      </c>
      <c r="X58" s="17">
        <v>15</v>
      </c>
      <c r="Y58" s="17">
        <v>77</v>
      </c>
      <c r="Z58" s="26">
        <v>0.29359999999999997</v>
      </c>
      <c r="AA58" s="34">
        <v>50.5</v>
      </c>
      <c r="AB58" s="36">
        <f t="shared" si="5"/>
        <v>53.392857142857146</v>
      </c>
    </row>
    <row r="59" spans="1:28" x14ac:dyDescent="0.2">
      <c r="A59" s="25" t="s">
        <v>240</v>
      </c>
      <c r="B59" s="26">
        <v>-1.04E-2</v>
      </c>
      <c r="C59" s="23">
        <f t="shared" si="7"/>
        <v>0.10570000000000004</v>
      </c>
      <c r="D59" s="17">
        <v>116</v>
      </c>
      <c r="E59" s="17">
        <v>57</v>
      </c>
      <c r="F59" s="17">
        <v>381</v>
      </c>
      <c r="G59" s="26">
        <v>-7.8000000000000005E-3</v>
      </c>
      <c r="H59" s="23">
        <f t="shared" si="1"/>
        <v>0.10870000000000002</v>
      </c>
      <c r="I59" s="17">
        <v>2</v>
      </c>
      <c r="J59" s="17">
        <v>2</v>
      </c>
      <c r="K59" s="17">
        <v>26</v>
      </c>
      <c r="L59" s="17">
        <v>63</v>
      </c>
      <c r="N59" s="17">
        <v>86</v>
      </c>
      <c r="O59" s="17">
        <v>125283240952</v>
      </c>
      <c r="P59" s="16">
        <f t="shared" si="8"/>
        <v>-10650898028472</v>
      </c>
      <c r="Q59" s="17">
        <v>375436870952</v>
      </c>
      <c r="R59" s="16">
        <f t="shared" si="3"/>
        <v>-5643996712444</v>
      </c>
      <c r="S59" s="17">
        <v>89</v>
      </c>
      <c r="T59" s="17">
        <f t="shared" si="6"/>
        <v>127</v>
      </c>
      <c r="U59" s="17">
        <v>38</v>
      </c>
      <c r="V59" s="17">
        <v>372844485000</v>
      </c>
      <c r="W59" s="17">
        <f t="shared" si="4"/>
        <v>-25969249300</v>
      </c>
      <c r="X59" s="17">
        <v>17</v>
      </c>
      <c r="Y59" s="17">
        <v>81</v>
      </c>
      <c r="Z59" s="26">
        <v>0.2495</v>
      </c>
      <c r="AA59" s="34">
        <v>50.8</v>
      </c>
      <c r="AB59" s="36">
        <f t="shared" si="5"/>
        <v>53.949999999999996</v>
      </c>
    </row>
    <row r="60" spans="1:28" x14ac:dyDescent="0.2">
      <c r="A60" s="25" t="s">
        <v>239</v>
      </c>
      <c r="B60" s="26">
        <v>-2.5000000000000001E-3</v>
      </c>
      <c r="C60" s="23">
        <f t="shared" si="7"/>
        <v>0.11610000000000004</v>
      </c>
      <c r="D60" s="17">
        <v>110</v>
      </c>
      <c r="E60" s="17">
        <v>62</v>
      </c>
      <c r="F60" s="17">
        <v>379</v>
      </c>
      <c r="G60" s="26">
        <v>-5.1999999999999998E-3</v>
      </c>
      <c r="H60" s="23">
        <f t="shared" si="1"/>
        <v>0.11650000000000002</v>
      </c>
      <c r="I60" s="17">
        <v>5</v>
      </c>
      <c r="J60" s="17">
        <v>4</v>
      </c>
      <c r="K60" s="17">
        <v>21</v>
      </c>
      <c r="L60" s="17">
        <v>90</v>
      </c>
      <c r="N60" s="17">
        <v>63</v>
      </c>
      <c r="O60" s="17">
        <v>618077430130</v>
      </c>
      <c r="P60" s="16">
        <f t="shared" si="8"/>
        <v>-10776181269424</v>
      </c>
      <c r="Q60" s="17">
        <v>710444250130</v>
      </c>
      <c r="R60" s="16">
        <f t="shared" si="3"/>
        <v>-6019433583396</v>
      </c>
      <c r="S60" s="17">
        <v>101</v>
      </c>
      <c r="T60" s="17">
        <f t="shared" si="6"/>
        <v>126</v>
      </c>
      <c r="U60" s="17">
        <v>25</v>
      </c>
      <c r="V60" s="17">
        <v>666027541000</v>
      </c>
      <c r="W60" s="17">
        <f t="shared" si="4"/>
        <v>-398813734300</v>
      </c>
      <c r="X60" s="17">
        <v>17</v>
      </c>
      <c r="Y60" s="17">
        <v>82</v>
      </c>
      <c r="Z60" s="26">
        <v>0.27510000000000001</v>
      </c>
      <c r="AA60" s="34">
        <v>48.7</v>
      </c>
      <c r="AB60" s="36">
        <f t="shared" si="5"/>
        <v>55.399999999999991</v>
      </c>
    </row>
    <row r="61" spans="1:28" x14ac:dyDescent="0.2">
      <c r="A61" s="25" t="s">
        <v>238</v>
      </c>
      <c r="B61" s="26">
        <v>-1.21E-2</v>
      </c>
      <c r="C61" s="23">
        <f t="shared" si="7"/>
        <v>0.11860000000000004</v>
      </c>
      <c r="D61" s="17">
        <v>130</v>
      </c>
      <c r="E61" s="17">
        <v>52</v>
      </c>
      <c r="F61" s="17">
        <v>368</v>
      </c>
      <c r="G61" s="26">
        <v>-1.3999999999999999E-2</v>
      </c>
      <c r="H61" s="23">
        <f t="shared" si="1"/>
        <v>0.12170000000000002</v>
      </c>
      <c r="I61" s="17">
        <v>0</v>
      </c>
      <c r="J61" s="17">
        <v>0</v>
      </c>
      <c r="K61" s="17">
        <v>30</v>
      </c>
      <c r="L61" s="17">
        <v>59</v>
      </c>
      <c r="N61" s="17">
        <v>92</v>
      </c>
      <c r="O61" s="17">
        <v>-1130550440508</v>
      </c>
      <c r="P61" s="16">
        <f t="shared" si="8"/>
        <v>-11394258699554</v>
      </c>
      <c r="Q61" s="17">
        <v>-887047710508</v>
      </c>
      <c r="R61" s="16">
        <f t="shared" si="3"/>
        <v>-6729877833526</v>
      </c>
      <c r="S61" s="17">
        <v>24</v>
      </c>
      <c r="T61" s="17">
        <f t="shared" si="6"/>
        <v>123</v>
      </c>
      <c r="U61" s="17">
        <v>99</v>
      </c>
      <c r="V61" s="17">
        <v>-676578784700</v>
      </c>
      <c r="W61" s="17">
        <f t="shared" si="4"/>
        <v>-1064841275300</v>
      </c>
      <c r="X61" s="17">
        <v>13</v>
      </c>
      <c r="Y61" s="17">
        <v>85</v>
      </c>
      <c r="Z61" s="26">
        <v>0.27629999999999999</v>
      </c>
      <c r="AA61" s="34">
        <v>48.5</v>
      </c>
      <c r="AB61" s="36">
        <f t="shared" si="5"/>
        <v>56.921428571428571</v>
      </c>
    </row>
    <row r="62" spans="1:28" x14ac:dyDescent="0.2">
      <c r="A62" s="25" t="s">
        <v>237</v>
      </c>
      <c r="B62" s="26">
        <v>4.3E-3</v>
      </c>
      <c r="C62" s="23">
        <f t="shared" si="7"/>
        <v>0.13070000000000004</v>
      </c>
      <c r="D62" s="17">
        <v>246</v>
      </c>
      <c r="E62" s="17">
        <v>66</v>
      </c>
      <c r="F62" s="17">
        <v>241</v>
      </c>
      <c r="G62" s="26">
        <v>-2.0000000000000001E-4</v>
      </c>
      <c r="H62" s="23">
        <f t="shared" si="1"/>
        <v>0.13570000000000002</v>
      </c>
      <c r="I62" s="17">
        <v>15</v>
      </c>
      <c r="J62" s="17">
        <v>2</v>
      </c>
      <c r="K62" s="17">
        <v>13</v>
      </c>
      <c r="L62" s="17">
        <v>75</v>
      </c>
      <c r="N62" s="17">
        <v>78</v>
      </c>
      <c r="O62" s="17">
        <v>-592839624645</v>
      </c>
      <c r="P62" s="16">
        <f t="shared" si="8"/>
        <v>-10263708259046</v>
      </c>
      <c r="Q62" s="17">
        <v>-362940064645</v>
      </c>
      <c r="R62" s="16">
        <f t="shared" si="3"/>
        <v>-5842830123018</v>
      </c>
      <c r="S62" s="17">
        <v>41</v>
      </c>
      <c r="T62" s="17">
        <f t="shared" si="6"/>
        <v>113</v>
      </c>
      <c r="U62" s="17">
        <v>72</v>
      </c>
      <c r="V62" s="17">
        <v>-22272384000</v>
      </c>
      <c r="W62" s="17">
        <f t="shared" si="4"/>
        <v>-388262490600</v>
      </c>
      <c r="X62" s="17">
        <v>46</v>
      </c>
      <c r="Y62" s="17">
        <v>53</v>
      </c>
      <c r="Z62" s="26">
        <v>0.37459999999999999</v>
      </c>
      <c r="AA62" s="34">
        <v>55.5</v>
      </c>
      <c r="AB62" s="36">
        <f t="shared" si="5"/>
        <v>57.321428571428569</v>
      </c>
    </row>
    <row r="63" spans="1:28" x14ac:dyDescent="0.2">
      <c r="A63" s="25" t="s">
        <v>236</v>
      </c>
      <c r="B63" s="26">
        <v>-2E-3</v>
      </c>
      <c r="C63" s="23">
        <f t="shared" si="7"/>
        <v>0.12640000000000004</v>
      </c>
      <c r="D63" s="17">
        <v>144</v>
      </c>
      <c r="E63" s="17">
        <v>77</v>
      </c>
      <c r="F63" s="17">
        <v>327</v>
      </c>
      <c r="G63" s="26">
        <v>-3.3E-3</v>
      </c>
      <c r="H63" s="23">
        <f t="shared" si="1"/>
        <v>0.13590000000000002</v>
      </c>
      <c r="I63" s="17">
        <v>10</v>
      </c>
      <c r="J63" s="17">
        <v>2</v>
      </c>
      <c r="K63" s="17">
        <v>18</v>
      </c>
      <c r="L63" s="17">
        <v>44</v>
      </c>
      <c r="N63" s="17">
        <v>107</v>
      </c>
      <c r="O63" s="17">
        <v>-656025206645</v>
      </c>
      <c r="P63" s="16">
        <f t="shared" si="8"/>
        <v>-9670868634401</v>
      </c>
      <c r="Q63" s="17">
        <v>-575193966645</v>
      </c>
      <c r="R63" s="16">
        <f t="shared" si="3"/>
        <v>-5479890058373</v>
      </c>
      <c r="S63" s="17">
        <v>55</v>
      </c>
      <c r="T63" s="17">
        <f t="shared" si="6"/>
        <v>112</v>
      </c>
      <c r="U63" s="17">
        <v>57</v>
      </c>
      <c r="V63" s="17">
        <v>338981137000</v>
      </c>
      <c r="W63" s="17">
        <f t="shared" si="4"/>
        <v>-365990106600</v>
      </c>
      <c r="X63" s="17">
        <v>21</v>
      </c>
      <c r="Y63" s="17">
        <v>81</v>
      </c>
      <c r="Z63" s="26">
        <v>0.2646</v>
      </c>
      <c r="AA63" s="34">
        <v>55.1</v>
      </c>
      <c r="AB63" s="36">
        <f t="shared" si="5"/>
        <v>57.3</v>
      </c>
    </row>
    <row r="64" spans="1:28" x14ac:dyDescent="0.2">
      <c r="A64" s="29" t="s">
        <v>235</v>
      </c>
      <c r="B64" s="26">
        <v>-4.6999999999999993E-3</v>
      </c>
      <c r="C64" s="23">
        <f t="shared" si="7"/>
        <v>0.12840000000000004</v>
      </c>
      <c r="D64" s="17">
        <v>159</v>
      </c>
      <c r="E64" s="17">
        <v>83</v>
      </c>
      <c r="F64" s="17">
        <v>296</v>
      </c>
      <c r="G64" s="26">
        <v>-4.7999999999999996E-3</v>
      </c>
      <c r="H64" s="23">
        <f t="shared" si="1"/>
        <v>0.13920000000000002</v>
      </c>
      <c r="I64" s="17">
        <v>7</v>
      </c>
      <c r="J64" s="17">
        <v>1</v>
      </c>
      <c r="K64" s="17">
        <v>22</v>
      </c>
      <c r="L64" s="17">
        <v>58</v>
      </c>
      <c r="N64" s="17">
        <v>91</v>
      </c>
      <c r="O64" s="17">
        <v>-638487002361</v>
      </c>
      <c r="P64" s="16">
        <f t="shared" si="8"/>
        <v>-9014843427756</v>
      </c>
      <c r="Q64" s="17">
        <v>-434404792361</v>
      </c>
      <c r="R64" s="16">
        <f t="shared" si="3"/>
        <v>-4904696091728</v>
      </c>
      <c r="S64" s="17">
        <v>78</v>
      </c>
      <c r="T64" s="17">
        <f t="shared" si="6"/>
        <v>118</v>
      </c>
      <c r="U64" s="17">
        <v>40</v>
      </c>
      <c r="V64" s="17">
        <v>152853190000</v>
      </c>
      <c r="W64" s="17">
        <f t="shared" si="4"/>
        <v>-704971243600</v>
      </c>
      <c r="X64" s="17">
        <v>24</v>
      </c>
      <c r="Y64" s="17">
        <v>72</v>
      </c>
      <c r="Z64" s="26">
        <v>0.3125</v>
      </c>
      <c r="AA64" s="34">
        <v>61.2</v>
      </c>
      <c r="AB64" s="36">
        <f t="shared" si="5"/>
        <v>56.864285714285707</v>
      </c>
    </row>
    <row r="65" spans="1:28" x14ac:dyDescent="0.2">
      <c r="A65" s="29" t="s">
        <v>234</v>
      </c>
      <c r="B65" s="26">
        <v>5.5000000000000005E-3</v>
      </c>
      <c r="C65" s="23">
        <f t="shared" si="7"/>
        <v>0.13310000000000005</v>
      </c>
      <c r="D65" s="17">
        <v>254</v>
      </c>
      <c r="E65" s="17">
        <v>80</v>
      </c>
      <c r="F65" s="17">
        <v>209</v>
      </c>
      <c r="G65" s="26">
        <v>1.1200000000000002E-2</v>
      </c>
      <c r="H65" s="23">
        <f t="shared" si="1"/>
        <v>0.14400000000000002</v>
      </c>
      <c r="I65" s="17">
        <v>18</v>
      </c>
      <c r="J65" s="17">
        <v>5</v>
      </c>
      <c r="K65" s="17">
        <v>7</v>
      </c>
      <c r="L65" s="17">
        <v>68</v>
      </c>
      <c r="N65" s="17">
        <v>79</v>
      </c>
      <c r="O65" s="17">
        <v>-1207067968539</v>
      </c>
      <c r="P65" s="16">
        <f t="shared" si="8"/>
        <v>-8376356425395</v>
      </c>
      <c r="Q65" s="17">
        <v>-610437598539</v>
      </c>
      <c r="R65" s="16">
        <f t="shared" si="3"/>
        <v>-4470291299367</v>
      </c>
      <c r="S65" s="17">
        <v>2</v>
      </c>
      <c r="T65" s="17">
        <f t="shared" si="6"/>
        <v>4</v>
      </c>
      <c r="U65" s="17">
        <v>2</v>
      </c>
      <c r="V65" s="17">
        <v>3712390000</v>
      </c>
      <c r="W65" s="17">
        <f t="shared" si="4"/>
        <v>-857824433600</v>
      </c>
      <c r="X65" s="17">
        <v>34</v>
      </c>
      <c r="Y65" s="17">
        <v>69</v>
      </c>
      <c r="Z65" s="26">
        <v>0.33299999999999996</v>
      </c>
      <c r="AA65" s="34">
        <v>60.8</v>
      </c>
      <c r="AB65" s="36">
        <f t="shared" si="5"/>
        <v>56.885714285714286</v>
      </c>
    </row>
    <row r="66" spans="1:28" x14ac:dyDescent="0.2">
      <c r="A66" s="29" t="s">
        <v>233</v>
      </c>
      <c r="B66" s="26">
        <v>7.000000000000001E-4</v>
      </c>
      <c r="C66" s="23">
        <f t="shared" si="7"/>
        <v>0.12760000000000005</v>
      </c>
      <c r="D66" s="17">
        <v>244</v>
      </c>
      <c r="E66" s="17">
        <v>95</v>
      </c>
      <c r="F66" s="17">
        <v>209</v>
      </c>
      <c r="G66" s="26">
        <v>2E-3</v>
      </c>
      <c r="H66" s="23">
        <f t="shared" si="1"/>
        <v>0.13280000000000003</v>
      </c>
      <c r="I66" s="17">
        <v>13</v>
      </c>
      <c r="J66" s="17">
        <v>6</v>
      </c>
      <c r="K66" s="17">
        <v>11</v>
      </c>
      <c r="L66" s="17">
        <v>66</v>
      </c>
      <c r="N66" s="17">
        <v>84</v>
      </c>
      <c r="O66" s="17">
        <v>-1787224781819</v>
      </c>
      <c r="P66" s="16">
        <f t="shared" si="8"/>
        <v>-7169288456856</v>
      </c>
      <c r="Q66" s="17">
        <v>-1586592011819</v>
      </c>
      <c r="R66" s="16">
        <f t="shared" si="3"/>
        <v>-3859853700828</v>
      </c>
      <c r="S66" s="17">
        <v>21</v>
      </c>
      <c r="T66" s="17">
        <f t="shared" si="6"/>
        <v>119</v>
      </c>
      <c r="U66" s="17">
        <v>98</v>
      </c>
      <c r="V66" s="17">
        <v>-128504528000</v>
      </c>
      <c r="W66" s="17">
        <f t="shared" ref="W66:W82" si="9">V66+W67</f>
        <v>-861536823600</v>
      </c>
      <c r="X66" s="17">
        <v>35</v>
      </c>
      <c r="Y66" s="17">
        <v>63</v>
      </c>
      <c r="Z66" s="26">
        <v>0.27379999999999999</v>
      </c>
      <c r="AA66" s="34">
        <v>52.8</v>
      </c>
      <c r="AB66" s="36">
        <f t="shared" si="5"/>
        <v>58.157142857142858</v>
      </c>
    </row>
    <row r="67" spans="1:28" x14ac:dyDescent="0.2">
      <c r="A67" s="25" t="s">
        <v>232</v>
      </c>
      <c r="B67" s="26">
        <v>1.1299999999999999E-2</v>
      </c>
      <c r="C67" s="23">
        <f t="shared" ref="C67:C82" si="10">B67+C68</f>
        <v>0.12690000000000004</v>
      </c>
      <c r="D67" s="17">
        <v>342</v>
      </c>
      <c r="E67" s="17">
        <v>61</v>
      </c>
      <c r="F67" s="17">
        <v>139</v>
      </c>
      <c r="G67" s="26">
        <v>1.2800000000000001E-2</v>
      </c>
      <c r="H67" s="23">
        <f t="shared" ref="H67:H83" si="11">G67+H68</f>
        <v>0.13080000000000003</v>
      </c>
      <c r="I67" s="17">
        <v>26</v>
      </c>
      <c r="J67" s="17">
        <v>2</v>
      </c>
      <c r="K67" s="17">
        <v>2</v>
      </c>
      <c r="L67" s="17">
        <v>69</v>
      </c>
      <c r="N67" s="17">
        <v>74</v>
      </c>
      <c r="O67" s="17">
        <v>-159640789017</v>
      </c>
      <c r="P67" s="16">
        <f t="shared" si="8"/>
        <v>-5382063675037</v>
      </c>
      <c r="Q67" s="17">
        <v>-131599279017</v>
      </c>
      <c r="R67" s="16">
        <f t="shared" si="3"/>
        <v>-2273261689009</v>
      </c>
      <c r="S67" s="17">
        <v>95</v>
      </c>
      <c r="T67" s="17">
        <f t="shared" si="6"/>
        <v>126</v>
      </c>
      <c r="U67" s="17">
        <v>31</v>
      </c>
      <c r="V67" s="17">
        <v>-71154180000</v>
      </c>
      <c r="W67" s="17">
        <f t="shared" si="9"/>
        <v>-733032295600</v>
      </c>
      <c r="X67" s="17">
        <v>66</v>
      </c>
      <c r="Y67" s="17">
        <v>35</v>
      </c>
      <c r="Z67" s="26">
        <v>0.25700000000000001</v>
      </c>
      <c r="AA67" s="34">
        <v>53.4</v>
      </c>
      <c r="AB67" s="36">
        <f t="shared" si="5"/>
        <v>59.335714285714289</v>
      </c>
    </row>
    <row r="68" spans="1:28" x14ac:dyDescent="0.2">
      <c r="A68" s="25" t="s">
        <v>231</v>
      </c>
      <c r="B68" s="26">
        <v>-1.09E-2</v>
      </c>
      <c r="C68" s="23">
        <f t="shared" si="10"/>
        <v>0.11560000000000004</v>
      </c>
      <c r="D68" s="17">
        <v>119</v>
      </c>
      <c r="E68" s="17">
        <v>71</v>
      </c>
      <c r="F68" s="17">
        <v>351</v>
      </c>
      <c r="G68" s="26">
        <v>-1.1000000000000001E-2</v>
      </c>
      <c r="H68" s="23">
        <f t="shared" si="11"/>
        <v>0.11800000000000004</v>
      </c>
      <c r="I68" s="17">
        <v>0</v>
      </c>
      <c r="J68" s="17">
        <v>4</v>
      </c>
      <c r="K68" s="17">
        <v>26</v>
      </c>
      <c r="L68" s="17">
        <v>62</v>
      </c>
      <c r="N68" s="17">
        <v>85</v>
      </c>
      <c r="O68" s="17">
        <v>-396235907652</v>
      </c>
      <c r="P68" s="16">
        <f t="shared" si="8"/>
        <v>-5222422886020</v>
      </c>
      <c r="Q68" s="17">
        <v>-263448537652</v>
      </c>
      <c r="R68" s="16">
        <f t="shared" si="3"/>
        <v>-2141662409992</v>
      </c>
      <c r="S68" s="17">
        <v>69</v>
      </c>
      <c r="T68" s="17">
        <f t="shared" ref="T68:T122" si="12">S68+U68</f>
        <v>124</v>
      </c>
      <c r="U68" s="17">
        <v>55</v>
      </c>
      <c r="V68" s="17">
        <v>-309764197000</v>
      </c>
      <c r="W68" s="17">
        <f t="shared" si="9"/>
        <v>-661878115600</v>
      </c>
      <c r="X68" s="17">
        <v>12</v>
      </c>
      <c r="Y68" s="17">
        <v>105</v>
      </c>
      <c r="Z68" s="26">
        <v>0.24379999999999999</v>
      </c>
      <c r="AA68" s="34">
        <v>46.9</v>
      </c>
      <c r="AB68" s="36">
        <f t="shared" si="5"/>
        <v>61.528571428571432</v>
      </c>
    </row>
    <row r="69" spans="1:28" x14ac:dyDescent="0.2">
      <c r="A69" s="25" t="s">
        <v>230</v>
      </c>
      <c r="B69" s="26">
        <v>4.1999999999999997E-3</v>
      </c>
      <c r="C69" s="23">
        <f t="shared" si="10"/>
        <v>0.12650000000000003</v>
      </c>
      <c r="D69" s="17">
        <v>248</v>
      </c>
      <c r="E69" s="17">
        <v>77</v>
      </c>
      <c r="F69" s="17">
        <v>231</v>
      </c>
      <c r="G69" s="26">
        <v>2E-3</v>
      </c>
      <c r="H69" s="23">
        <f t="shared" si="11"/>
        <v>0.12900000000000003</v>
      </c>
      <c r="I69" s="17">
        <v>15</v>
      </c>
      <c r="J69" s="17">
        <v>3</v>
      </c>
      <c r="K69" s="17">
        <v>12</v>
      </c>
      <c r="L69" s="17">
        <v>55</v>
      </c>
      <c r="N69" s="17">
        <v>98</v>
      </c>
      <c r="O69" s="17">
        <v>-436289689253</v>
      </c>
      <c r="P69" s="16">
        <f t="shared" si="8"/>
        <v>-4826186978368</v>
      </c>
      <c r="Q69" s="17">
        <v>-258428819253</v>
      </c>
      <c r="R69" s="16">
        <f t="shared" si="3"/>
        <v>-1878213872340</v>
      </c>
      <c r="S69" s="17">
        <v>69</v>
      </c>
      <c r="T69" s="17">
        <f t="shared" si="12"/>
        <v>122</v>
      </c>
      <c r="U69" s="17">
        <v>53</v>
      </c>
      <c r="V69" s="17">
        <v>-280564237000</v>
      </c>
      <c r="W69" s="17">
        <f t="shared" si="9"/>
        <v>-352113918600</v>
      </c>
      <c r="X69" s="17">
        <v>24</v>
      </c>
      <c r="Y69" s="17">
        <v>90</v>
      </c>
      <c r="Z69" s="26">
        <v>0.37119999999999997</v>
      </c>
      <c r="AA69" s="34">
        <v>54</v>
      </c>
      <c r="AB69" s="36">
        <f t="shared" si="5"/>
        <v>63.171428571428578</v>
      </c>
    </row>
    <row r="70" spans="1:28" x14ac:dyDescent="0.2">
      <c r="A70" s="25" t="s">
        <v>228</v>
      </c>
      <c r="B70" s="26">
        <v>1.3000000000000001E-2</v>
      </c>
      <c r="C70" s="23">
        <f t="shared" si="10"/>
        <v>0.12230000000000002</v>
      </c>
      <c r="D70" s="17">
        <v>379</v>
      </c>
      <c r="E70" s="17">
        <v>69</v>
      </c>
      <c r="F70" s="17">
        <v>110</v>
      </c>
      <c r="G70" s="26">
        <v>1.7899999999999999E-2</v>
      </c>
      <c r="H70" s="23">
        <f t="shared" si="11"/>
        <v>0.12700000000000003</v>
      </c>
      <c r="I70" s="17">
        <v>25</v>
      </c>
      <c r="J70" s="17">
        <v>5</v>
      </c>
      <c r="K70" s="17">
        <v>0</v>
      </c>
      <c r="L70" s="17">
        <v>75</v>
      </c>
      <c r="N70" s="17">
        <v>77</v>
      </c>
      <c r="O70" s="17">
        <v>-305671101098</v>
      </c>
      <c r="P70" s="16">
        <f t="shared" si="8"/>
        <v>-4389897289115</v>
      </c>
      <c r="Q70" s="17">
        <v>-156006581098</v>
      </c>
      <c r="R70" s="16">
        <f t="shared" si="3"/>
        <v>-1619785053087</v>
      </c>
      <c r="S70" s="17">
        <v>97</v>
      </c>
      <c r="T70" s="17">
        <f t="shared" si="12"/>
        <v>131</v>
      </c>
      <c r="U70" s="17">
        <v>34</v>
      </c>
      <c r="V70" s="17">
        <v>734893491000</v>
      </c>
      <c r="W70" s="17">
        <f t="shared" si="9"/>
        <v>-71549681600</v>
      </c>
      <c r="X70" s="17">
        <v>53</v>
      </c>
      <c r="Y70" s="17">
        <v>50</v>
      </c>
      <c r="Z70" s="26">
        <v>0.26329999999999998</v>
      </c>
      <c r="AA70" s="34">
        <v>53.6</v>
      </c>
      <c r="AB70" s="36">
        <f t="shared" si="5"/>
        <v>64.757142857142853</v>
      </c>
    </row>
    <row r="71" spans="1:28" x14ac:dyDescent="0.2">
      <c r="A71" s="25" t="s">
        <v>227</v>
      </c>
      <c r="B71" s="26">
        <v>1.4199999999999999E-2</v>
      </c>
      <c r="C71" s="23">
        <f t="shared" si="10"/>
        <v>0.10930000000000002</v>
      </c>
      <c r="D71" s="17">
        <v>339</v>
      </c>
      <c r="E71" s="17">
        <v>70</v>
      </c>
      <c r="F71" s="17">
        <v>139</v>
      </c>
      <c r="G71" s="26">
        <v>1.9699999999999999E-2</v>
      </c>
      <c r="H71" s="23">
        <f t="shared" si="11"/>
        <v>0.10910000000000003</v>
      </c>
      <c r="I71" s="17">
        <v>24</v>
      </c>
      <c r="J71" s="17">
        <v>2</v>
      </c>
      <c r="K71" s="17">
        <v>4</v>
      </c>
      <c r="L71" s="17">
        <v>63</v>
      </c>
      <c r="N71" s="17">
        <v>82</v>
      </c>
      <c r="O71" s="17">
        <v>-258835745851</v>
      </c>
      <c r="P71" s="16">
        <f t="shared" si="8"/>
        <v>-4084226188017</v>
      </c>
      <c r="Q71" s="17">
        <v>-9754775851</v>
      </c>
      <c r="R71" s="16">
        <f t="shared" si="3"/>
        <v>-1463778471989</v>
      </c>
      <c r="S71" s="17">
        <v>67</v>
      </c>
      <c r="T71" s="17">
        <f t="shared" si="12"/>
        <v>122</v>
      </c>
      <c r="U71" s="17">
        <v>55</v>
      </c>
      <c r="V71" s="17">
        <v>-473908882000</v>
      </c>
      <c r="W71" s="17">
        <f t="shared" si="9"/>
        <v>-806443172600</v>
      </c>
      <c r="X71" s="17">
        <v>47</v>
      </c>
      <c r="Y71" s="17">
        <v>44</v>
      </c>
      <c r="Z71" s="26">
        <v>0.34539999999999998</v>
      </c>
      <c r="AA71" s="34">
        <v>52.8</v>
      </c>
      <c r="AB71" s="36">
        <f t="shared" si="5"/>
        <v>66.371428571428581</v>
      </c>
    </row>
    <row r="72" spans="1:28" x14ac:dyDescent="0.2">
      <c r="A72" s="25" t="s">
        <v>226</v>
      </c>
      <c r="B72" s="26">
        <v>-2.2000000000000001E-3</v>
      </c>
      <c r="C72" s="23">
        <f t="shared" si="10"/>
        <v>9.5100000000000018E-2</v>
      </c>
      <c r="D72" s="17">
        <v>216</v>
      </c>
      <c r="E72" s="17">
        <v>84</v>
      </c>
      <c r="F72" s="17">
        <v>242</v>
      </c>
      <c r="G72" s="26">
        <v>-8.0000000000000004E-4</v>
      </c>
      <c r="H72" s="23">
        <f t="shared" si="11"/>
        <v>8.9400000000000035E-2</v>
      </c>
      <c r="I72" s="17">
        <v>9</v>
      </c>
      <c r="J72" s="17">
        <v>5</v>
      </c>
      <c r="K72" s="17">
        <v>16</v>
      </c>
      <c r="L72" s="17">
        <v>61</v>
      </c>
      <c r="N72" s="17">
        <v>85</v>
      </c>
      <c r="O72" s="17">
        <v>-378844961032</v>
      </c>
      <c r="P72" s="16">
        <f t="shared" si="8"/>
        <v>-3825390442166</v>
      </c>
      <c r="Q72" s="17">
        <v>-509391171032</v>
      </c>
      <c r="R72" s="16">
        <f t="shared" si="3"/>
        <v>-1454023696138</v>
      </c>
      <c r="S72" s="17">
        <v>55</v>
      </c>
      <c r="T72" s="17">
        <f t="shared" si="12"/>
        <v>123</v>
      </c>
      <c r="U72" s="17">
        <v>68</v>
      </c>
      <c r="V72" s="17">
        <v>-978526388000</v>
      </c>
      <c r="W72" s="17">
        <f t="shared" si="9"/>
        <v>-332534290600</v>
      </c>
      <c r="X72" s="17">
        <v>21</v>
      </c>
      <c r="Y72" s="17">
        <v>86</v>
      </c>
      <c r="Z72" s="26">
        <v>0.28889999999999999</v>
      </c>
      <c r="AA72" s="34">
        <v>53.4</v>
      </c>
      <c r="AB72" s="36">
        <f t="shared" si="5"/>
        <v>67.921428571428564</v>
      </c>
    </row>
    <row r="73" spans="1:28" x14ac:dyDescent="0.2">
      <c r="A73" s="25" t="s">
        <v>225</v>
      </c>
      <c r="B73" s="26">
        <v>-1.6E-2</v>
      </c>
      <c r="C73" s="23">
        <f t="shared" si="10"/>
        <v>9.7300000000000011E-2</v>
      </c>
      <c r="D73" s="17">
        <v>103</v>
      </c>
      <c r="E73" s="17">
        <v>49</v>
      </c>
      <c r="F73" s="17">
        <v>407</v>
      </c>
      <c r="G73" s="26">
        <v>-1.6500000000000001E-2</v>
      </c>
      <c r="H73" s="23">
        <f t="shared" si="11"/>
        <v>9.020000000000003E-2</v>
      </c>
      <c r="I73" s="17">
        <v>2</v>
      </c>
      <c r="J73" s="17">
        <v>0</v>
      </c>
      <c r="K73" s="17">
        <v>28</v>
      </c>
      <c r="L73" s="17">
        <v>69</v>
      </c>
      <c r="N73" s="17">
        <v>84</v>
      </c>
      <c r="O73" s="17">
        <v>-21902643949</v>
      </c>
      <c r="P73" s="16">
        <f t="shared" si="8"/>
        <v>-3446545481134</v>
      </c>
      <c r="Q73" s="17">
        <v>-51126033949</v>
      </c>
      <c r="R73" s="16">
        <f t="shared" si="3"/>
        <v>-944632525106</v>
      </c>
      <c r="S73" s="17">
        <v>68</v>
      </c>
      <c r="T73" s="17">
        <f t="shared" si="12"/>
        <v>131</v>
      </c>
      <c r="U73" s="17">
        <v>63</v>
      </c>
      <c r="V73" s="17">
        <v>542705094300</v>
      </c>
      <c r="W73" s="17">
        <f t="shared" si="9"/>
        <v>645992097400</v>
      </c>
      <c r="X73" s="17">
        <v>13</v>
      </c>
      <c r="Y73" s="17">
        <v>88</v>
      </c>
      <c r="Z73" s="26">
        <v>0.2626</v>
      </c>
      <c r="AA73" s="34">
        <v>58.6</v>
      </c>
      <c r="AB73" s="36">
        <f t="shared" si="5"/>
        <v>68.685714285714283</v>
      </c>
    </row>
    <row r="74" spans="1:28" x14ac:dyDescent="0.2">
      <c r="A74" s="25" t="s">
        <v>223</v>
      </c>
      <c r="B74" s="26">
        <v>-4.0000000000000002E-4</v>
      </c>
      <c r="C74" s="23">
        <f t="shared" si="10"/>
        <v>0.11330000000000001</v>
      </c>
      <c r="D74" s="17">
        <v>217</v>
      </c>
      <c r="E74" s="17">
        <v>86</v>
      </c>
      <c r="F74" s="17">
        <v>249</v>
      </c>
      <c r="G74" s="26">
        <v>-3.0999999999999999E-3</v>
      </c>
      <c r="H74" s="23">
        <f t="shared" si="11"/>
        <v>0.10670000000000003</v>
      </c>
      <c r="I74" s="17">
        <v>13</v>
      </c>
      <c r="J74" s="17">
        <v>2</v>
      </c>
      <c r="K74" s="17">
        <v>15</v>
      </c>
      <c r="L74" s="17">
        <v>55</v>
      </c>
      <c r="N74" s="17">
        <v>94</v>
      </c>
      <c r="O74" s="17">
        <v>-1166397960178</v>
      </c>
      <c r="P74" s="16">
        <f t="shared" si="8"/>
        <v>-3424642837185</v>
      </c>
      <c r="Q74" s="17">
        <v>-907872540178</v>
      </c>
      <c r="R74" s="16">
        <f t="shared" si="3"/>
        <v>-893506491157</v>
      </c>
      <c r="S74" s="17">
        <v>47</v>
      </c>
      <c r="T74" s="17">
        <f t="shared" si="12"/>
        <v>155</v>
      </c>
      <c r="U74" s="17">
        <v>108</v>
      </c>
      <c r="V74" s="17">
        <v>154953915000</v>
      </c>
      <c r="W74" s="17">
        <f t="shared" si="9"/>
        <v>103287003100</v>
      </c>
      <c r="X74" s="17">
        <v>28</v>
      </c>
      <c r="Y74" s="17">
        <v>69</v>
      </c>
      <c r="Z74" s="26">
        <v>0.26090000000000002</v>
      </c>
      <c r="AA74" s="34">
        <v>69</v>
      </c>
      <c r="AB74" s="36">
        <f t="shared" si="5"/>
        <v>68.121428571428567</v>
      </c>
    </row>
    <row r="75" spans="1:28" x14ac:dyDescent="0.2">
      <c r="A75" s="25" t="s">
        <v>222</v>
      </c>
      <c r="B75" s="26">
        <v>-4.8999999999999998E-3</v>
      </c>
      <c r="C75" s="23">
        <f t="shared" si="10"/>
        <v>0.11370000000000001</v>
      </c>
      <c r="D75" s="17">
        <v>193</v>
      </c>
      <c r="E75" s="17">
        <v>69</v>
      </c>
      <c r="F75" s="17">
        <v>292</v>
      </c>
      <c r="G75" s="26">
        <v>-9.3999999999999986E-3</v>
      </c>
      <c r="H75" s="23">
        <f t="shared" si="11"/>
        <v>0.10980000000000004</v>
      </c>
      <c r="I75" s="17">
        <v>4</v>
      </c>
      <c r="J75" s="17">
        <v>4</v>
      </c>
      <c r="K75" s="17">
        <v>22</v>
      </c>
      <c r="L75" s="17">
        <v>64</v>
      </c>
      <c r="N75" s="17">
        <v>84</v>
      </c>
      <c r="O75" s="17">
        <v>-754315258113</v>
      </c>
      <c r="P75" s="16">
        <f t="shared" si="8"/>
        <v>-2258244877007</v>
      </c>
      <c r="Q75" s="17">
        <v>-576499898113</v>
      </c>
      <c r="R75" s="16">
        <f t="shared" si="3"/>
        <v>14366049021</v>
      </c>
      <c r="S75" s="17">
        <v>68</v>
      </c>
      <c r="T75" s="17">
        <f t="shared" si="12"/>
        <v>132</v>
      </c>
      <c r="U75" s="17">
        <v>64</v>
      </c>
      <c r="V75" s="17">
        <v>32436040000</v>
      </c>
      <c r="W75" s="17">
        <f t="shared" si="9"/>
        <v>-51666911900</v>
      </c>
      <c r="X75" s="17">
        <v>26</v>
      </c>
      <c r="Y75" s="17">
        <v>82</v>
      </c>
      <c r="Z75" s="26">
        <v>0.2576</v>
      </c>
      <c r="AA75" s="34">
        <v>69.8</v>
      </c>
      <c r="AB75" s="36">
        <f t="shared" si="5"/>
        <v>67.900000000000006</v>
      </c>
    </row>
    <row r="76" spans="1:28" x14ac:dyDescent="0.2">
      <c r="A76" s="25" t="s">
        <v>221</v>
      </c>
      <c r="B76" s="26">
        <v>2.0499999999999997E-2</v>
      </c>
      <c r="C76" s="23">
        <f t="shared" si="10"/>
        <v>0.11860000000000001</v>
      </c>
      <c r="D76" s="17">
        <v>433</v>
      </c>
      <c r="E76" s="17">
        <v>61</v>
      </c>
      <c r="F76" s="17">
        <v>64</v>
      </c>
      <c r="G76" s="26">
        <v>2.4199999999999999E-2</v>
      </c>
      <c r="H76" s="23">
        <f t="shared" si="11"/>
        <v>0.11920000000000003</v>
      </c>
      <c r="I76" s="17">
        <v>29</v>
      </c>
      <c r="J76" s="17">
        <v>1</v>
      </c>
      <c r="K76" s="17">
        <v>0</v>
      </c>
      <c r="L76" s="17">
        <v>85</v>
      </c>
      <c r="N76" s="17">
        <v>63</v>
      </c>
      <c r="O76" s="17">
        <v>-444454240606</v>
      </c>
      <c r="P76" s="16">
        <f t="shared" si="8"/>
        <v>-1503929618894</v>
      </c>
      <c r="Q76" s="17">
        <v>-317706470606</v>
      </c>
      <c r="R76" s="16">
        <f t="shared" si="3"/>
        <v>590865947134</v>
      </c>
      <c r="S76" s="17">
        <v>67</v>
      </c>
      <c r="T76" s="17">
        <f t="shared" si="12"/>
        <v>125</v>
      </c>
      <c r="U76" s="17">
        <v>58</v>
      </c>
      <c r="V76" s="17">
        <v>388135282000</v>
      </c>
      <c r="W76" s="17">
        <f t="shared" si="9"/>
        <v>-84102951900</v>
      </c>
      <c r="X76" s="17">
        <v>86</v>
      </c>
      <c r="Y76" s="17">
        <v>19</v>
      </c>
      <c r="Z76" s="26">
        <v>0.26989999999999997</v>
      </c>
      <c r="AA76" s="34">
        <v>61.1</v>
      </c>
      <c r="AB76" s="36">
        <f t="shared" si="5"/>
        <v>69.064285714285717</v>
      </c>
    </row>
    <row r="77" spans="1:28" x14ac:dyDescent="0.2">
      <c r="A77" s="25" t="s">
        <v>220</v>
      </c>
      <c r="B77" s="26">
        <v>7.7000000000000002E-3</v>
      </c>
      <c r="C77" s="23">
        <f t="shared" si="10"/>
        <v>9.8100000000000021E-2</v>
      </c>
      <c r="D77" s="17">
        <v>260</v>
      </c>
      <c r="E77" s="17">
        <v>95</v>
      </c>
      <c r="F77" s="17">
        <v>200</v>
      </c>
      <c r="G77" s="26">
        <v>5.7999999999999996E-3</v>
      </c>
      <c r="H77" s="23">
        <f t="shared" si="11"/>
        <v>9.5000000000000029E-2</v>
      </c>
      <c r="I77" s="17">
        <v>17</v>
      </c>
      <c r="J77" s="17">
        <v>5</v>
      </c>
      <c r="K77" s="17">
        <v>8</v>
      </c>
      <c r="L77" s="17">
        <v>77</v>
      </c>
      <c r="N77" s="17">
        <v>70</v>
      </c>
      <c r="O77" s="17">
        <v>-151542604554</v>
      </c>
      <c r="P77" s="16">
        <f t="shared" si="8"/>
        <v>-1059475378288</v>
      </c>
      <c r="Q77" s="17">
        <v>-265804244554</v>
      </c>
      <c r="R77" s="16">
        <f t="shared" si="3"/>
        <v>908572417740</v>
      </c>
      <c r="S77" s="17">
        <v>80</v>
      </c>
      <c r="T77" s="17">
        <f t="shared" si="12"/>
        <v>125</v>
      </c>
      <c r="U77" s="17">
        <v>45</v>
      </c>
      <c r="V77" s="17">
        <v>-182434684700</v>
      </c>
      <c r="W77" s="17">
        <f t="shared" si="9"/>
        <v>-472238233900</v>
      </c>
      <c r="X77" s="17">
        <v>33</v>
      </c>
      <c r="Y77" s="17">
        <v>59</v>
      </c>
      <c r="Z77" s="26">
        <v>0.30030000000000001</v>
      </c>
      <c r="AA77" s="34">
        <v>54.8</v>
      </c>
      <c r="AB77" s="36">
        <f t="shared" si="5"/>
        <v>71.214285714285722</v>
      </c>
    </row>
    <row r="78" spans="1:28" x14ac:dyDescent="0.2">
      <c r="A78" s="25" t="s">
        <v>218</v>
      </c>
      <c r="B78" s="26">
        <v>-9.4999999999999998E-3</v>
      </c>
      <c r="C78" s="23">
        <f t="shared" si="10"/>
        <v>9.0400000000000022E-2</v>
      </c>
      <c r="D78" s="17">
        <v>106</v>
      </c>
      <c r="E78" s="17">
        <v>57</v>
      </c>
      <c r="F78" s="17">
        <v>392</v>
      </c>
      <c r="G78" s="26">
        <v>-1.21E-2</v>
      </c>
      <c r="H78" s="23">
        <f t="shared" si="11"/>
        <v>8.9200000000000029E-2</v>
      </c>
      <c r="I78" s="17">
        <v>3</v>
      </c>
      <c r="J78" s="17">
        <v>2</v>
      </c>
      <c r="K78" s="17">
        <v>25</v>
      </c>
      <c r="L78" s="17">
        <v>63</v>
      </c>
      <c r="N78" s="17">
        <v>82</v>
      </c>
      <c r="O78" s="17">
        <v>120857893842</v>
      </c>
      <c r="P78" s="16">
        <f t="shared" si="8"/>
        <v>-907932773734</v>
      </c>
      <c r="Q78" s="17">
        <v>11697163842</v>
      </c>
      <c r="R78" s="16">
        <f t="shared" si="3"/>
        <v>1174376662294</v>
      </c>
      <c r="S78" s="17">
        <v>96</v>
      </c>
      <c r="T78" s="17">
        <f t="shared" si="12"/>
        <v>124</v>
      </c>
      <c r="U78" s="17">
        <v>28</v>
      </c>
      <c r="V78" s="17">
        <v>293861497000</v>
      </c>
      <c r="W78" s="17">
        <f t="shared" si="9"/>
        <v>-289803549200</v>
      </c>
      <c r="X78" s="17">
        <v>26</v>
      </c>
      <c r="Y78" s="17">
        <v>83</v>
      </c>
      <c r="Z78" s="26">
        <v>0.32390000000000002</v>
      </c>
      <c r="AA78" s="34">
        <v>55.1</v>
      </c>
      <c r="AB78" s="36">
        <f t="shared" si="5"/>
        <v>72.992857142857147</v>
      </c>
    </row>
    <row r="79" spans="1:28" x14ac:dyDescent="0.2">
      <c r="A79" s="25" t="s">
        <v>217</v>
      </c>
      <c r="B79" s="26">
        <v>-1.66E-2</v>
      </c>
      <c r="C79" s="23">
        <f t="shared" si="10"/>
        <v>9.9900000000000017E-2</v>
      </c>
      <c r="D79" s="17">
        <v>89</v>
      </c>
      <c r="E79" s="17">
        <v>55</v>
      </c>
      <c r="F79" s="17">
        <v>408</v>
      </c>
      <c r="G79" s="26">
        <v>-2.06E-2</v>
      </c>
      <c r="H79" s="23">
        <f t="shared" si="11"/>
        <v>0.10130000000000003</v>
      </c>
      <c r="I79" s="17">
        <v>1</v>
      </c>
      <c r="J79" s="17">
        <v>0</v>
      </c>
      <c r="K79" s="17">
        <v>29</v>
      </c>
      <c r="L79" s="17">
        <v>59</v>
      </c>
      <c r="N79" s="17">
        <v>88</v>
      </c>
      <c r="O79" s="17">
        <v>-524846354609</v>
      </c>
      <c r="P79" s="16">
        <f t="shared" si="8"/>
        <v>-1028790667576</v>
      </c>
      <c r="Q79" s="17">
        <v>-494887434609</v>
      </c>
      <c r="R79" s="16">
        <f t="shared" si="3"/>
        <v>1162679498452</v>
      </c>
      <c r="S79" s="17">
        <v>29</v>
      </c>
      <c r="T79" s="17">
        <f t="shared" si="12"/>
        <v>44</v>
      </c>
      <c r="U79" s="17">
        <v>15</v>
      </c>
      <c r="V79" s="17">
        <v>308522557000</v>
      </c>
      <c r="W79" s="17">
        <f t="shared" si="9"/>
        <v>-583665046200</v>
      </c>
      <c r="X79" s="17">
        <v>13</v>
      </c>
      <c r="Y79" s="17">
        <v>87</v>
      </c>
      <c r="Z79" s="26">
        <v>0.32619999999999999</v>
      </c>
      <c r="AA79" s="34">
        <v>61.1</v>
      </c>
      <c r="AB79" s="36">
        <f t="shared" si="5"/>
        <v>73.728571428571428</v>
      </c>
    </row>
    <row r="80" spans="1:28" x14ac:dyDescent="0.2">
      <c r="A80" s="25" t="s">
        <v>216</v>
      </c>
      <c r="B80" s="26">
        <v>4.5000000000000005E-3</v>
      </c>
      <c r="C80" s="23">
        <f t="shared" si="10"/>
        <v>0.11650000000000002</v>
      </c>
      <c r="D80" s="17">
        <v>253</v>
      </c>
      <c r="E80" s="17">
        <v>85</v>
      </c>
      <c r="F80" s="17">
        <v>219</v>
      </c>
      <c r="G80" s="26">
        <v>4.3E-3</v>
      </c>
      <c r="H80" s="23">
        <f t="shared" si="11"/>
        <v>0.12190000000000002</v>
      </c>
      <c r="I80" s="17">
        <v>18</v>
      </c>
      <c r="J80" s="17">
        <v>2</v>
      </c>
      <c r="K80" s="17">
        <v>10</v>
      </c>
      <c r="L80" s="17">
        <v>62</v>
      </c>
      <c r="N80" s="17">
        <v>83</v>
      </c>
      <c r="O80" s="17">
        <v>144525221748</v>
      </c>
      <c r="P80" s="16">
        <f t="shared" si="8"/>
        <v>-503944312967</v>
      </c>
      <c r="Q80" s="17">
        <v>178379691748</v>
      </c>
      <c r="R80" s="16">
        <f t="shared" si="3"/>
        <v>1657566933061</v>
      </c>
      <c r="S80" s="17">
        <v>51</v>
      </c>
      <c r="T80" s="17">
        <f t="shared" si="12"/>
        <v>130</v>
      </c>
      <c r="U80" s="17">
        <v>79</v>
      </c>
      <c r="V80" s="17">
        <v>135698350000</v>
      </c>
      <c r="W80" s="17">
        <f t="shared" si="9"/>
        <v>-892187603200</v>
      </c>
      <c r="X80" s="17">
        <v>40</v>
      </c>
      <c r="Y80" s="17">
        <v>53</v>
      </c>
      <c r="Z80" s="26">
        <v>0.26119999999999999</v>
      </c>
      <c r="AA80" s="34">
        <v>70.599999999999994</v>
      </c>
      <c r="AB80" s="36">
        <f t="shared" si="5"/>
        <v>73.3</v>
      </c>
    </row>
    <row r="81" spans="1:28" x14ac:dyDescent="0.2">
      <c r="A81" s="25" t="s">
        <v>213</v>
      </c>
      <c r="B81" s="26">
        <v>-5.6999999999999993E-3</v>
      </c>
      <c r="C81" s="23">
        <f t="shared" si="10"/>
        <v>0.11200000000000002</v>
      </c>
      <c r="D81" s="17">
        <v>130</v>
      </c>
      <c r="E81" s="17">
        <v>67</v>
      </c>
      <c r="F81" s="17">
        <v>356</v>
      </c>
      <c r="G81" s="26">
        <v>-7.0999999999999995E-3</v>
      </c>
      <c r="H81" s="23">
        <f t="shared" si="11"/>
        <v>0.11760000000000002</v>
      </c>
      <c r="I81" s="17">
        <v>8</v>
      </c>
      <c r="J81" s="17">
        <v>4</v>
      </c>
      <c r="K81" s="17">
        <v>18</v>
      </c>
      <c r="L81" s="17">
        <v>68</v>
      </c>
      <c r="N81" s="17">
        <v>79</v>
      </c>
      <c r="O81" s="17">
        <v>-196891375040</v>
      </c>
      <c r="P81" s="16">
        <f t="shared" si="8"/>
        <v>-648469534715</v>
      </c>
      <c r="Q81" s="17">
        <v>8521684960</v>
      </c>
      <c r="R81" s="16">
        <f t="shared" si="3"/>
        <v>1479187241313</v>
      </c>
      <c r="S81" s="17">
        <v>62</v>
      </c>
      <c r="T81" s="17">
        <f t="shared" si="12"/>
        <v>127</v>
      </c>
      <c r="U81" s="17">
        <v>65</v>
      </c>
      <c r="V81" s="17">
        <v>-293133100000</v>
      </c>
      <c r="W81" s="17">
        <f t="shared" si="9"/>
        <v>-1027885953200</v>
      </c>
      <c r="X81" s="17">
        <v>8</v>
      </c>
      <c r="Y81" s="17">
        <v>99</v>
      </c>
      <c r="Z81" s="26">
        <v>0.30380000000000001</v>
      </c>
      <c r="AA81" s="34">
        <v>69.900000000000006</v>
      </c>
      <c r="AB81" s="36">
        <f t="shared" si="5"/>
        <v>72.914285714285711</v>
      </c>
    </row>
    <row r="82" spans="1:28" x14ac:dyDescent="0.2">
      <c r="A82" s="25" t="s">
        <v>212</v>
      </c>
      <c r="B82" s="26">
        <v>6.8000000000000005E-3</v>
      </c>
      <c r="C82" s="23">
        <f t="shared" si="10"/>
        <v>0.11770000000000001</v>
      </c>
      <c r="D82" s="17">
        <v>258</v>
      </c>
      <c r="E82" s="17">
        <v>80</v>
      </c>
      <c r="F82" s="17">
        <v>212</v>
      </c>
      <c r="G82" s="26">
        <v>9.1999999999999998E-3</v>
      </c>
      <c r="H82" s="23">
        <f t="shared" si="11"/>
        <v>0.12470000000000002</v>
      </c>
      <c r="I82" s="17">
        <v>20</v>
      </c>
      <c r="J82" s="17">
        <v>4</v>
      </c>
      <c r="K82" s="17">
        <v>6</v>
      </c>
      <c r="L82" s="17">
        <v>70</v>
      </c>
      <c r="N82" s="17">
        <v>69</v>
      </c>
      <c r="O82" s="17">
        <v>192448049623</v>
      </c>
      <c r="P82" s="16">
        <f t="shared" si="8"/>
        <v>-451578159675</v>
      </c>
      <c r="Q82" s="17">
        <v>306251929623</v>
      </c>
      <c r="R82" s="16">
        <f t="shared" si="3"/>
        <v>1470665556353</v>
      </c>
      <c r="S82" s="17">
        <v>63</v>
      </c>
      <c r="T82" s="17">
        <f t="shared" si="12"/>
        <v>108</v>
      </c>
      <c r="U82" s="17">
        <v>45</v>
      </c>
      <c r="V82" s="17">
        <v>-240549237000</v>
      </c>
      <c r="W82" s="17">
        <f t="shared" si="9"/>
        <v>-734752853200</v>
      </c>
      <c r="X82" s="17">
        <v>32</v>
      </c>
      <c r="Y82" s="17">
        <v>62</v>
      </c>
      <c r="Z82" s="26">
        <v>0.2873</v>
      </c>
      <c r="AA82" s="34">
        <v>77.599999999999994</v>
      </c>
      <c r="AB82" s="36">
        <f t="shared" si="5"/>
        <v>71.914285714285725</v>
      </c>
    </row>
    <row r="83" spans="1:28" x14ac:dyDescent="0.2">
      <c r="A83" s="25" t="s">
        <v>210</v>
      </c>
      <c r="B83" s="26">
        <v>2.5000000000000001E-3</v>
      </c>
      <c r="C83" s="23">
        <f t="shared" ref="C83:C120" si="13">B83+C84</f>
        <v>0.11090000000000001</v>
      </c>
      <c r="D83" s="17">
        <v>276</v>
      </c>
      <c r="E83" s="17">
        <v>90</v>
      </c>
      <c r="F83" s="17">
        <v>190</v>
      </c>
      <c r="G83" s="26">
        <v>1.1999999999999999E-3</v>
      </c>
      <c r="H83" s="23">
        <f t="shared" si="11"/>
        <v>0.11550000000000002</v>
      </c>
      <c r="I83" s="17">
        <v>15</v>
      </c>
      <c r="J83" s="17">
        <v>6</v>
      </c>
      <c r="K83" s="17">
        <v>9</v>
      </c>
      <c r="L83" s="17">
        <v>62</v>
      </c>
      <c r="N83" s="17">
        <v>86</v>
      </c>
      <c r="O83" s="17">
        <v>233287666818</v>
      </c>
      <c r="P83" s="16">
        <f t="shared" si="8"/>
        <v>-644026209298</v>
      </c>
      <c r="Q83" s="17">
        <v>319078226818</v>
      </c>
      <c r="R83" s="16">
        <f t="shared" si="3"/>
        <v>1164413626730</v>
      </c>
      <c r="S83" s="17">
        <v>22</v>
      </c>
      <c r="T83" s="17">
        <f t="shared" si="12"/>
        <v>113</v>
      </c>
      <c r="U83" s="17">
        <v>91</v>
      </c>
      <c r="V83" s="17">
        <v>-62924288000</v>
      </c>
      <c r="W83" s="17">
        <f t="shared" ref="W83:W120" si="14">V83+W84</f>
        <v>-494203616200</v>
      </c>
      <c r="X83" s="17">
        <v>26</v>
      </c>
      <c r="Y83" s="17">
        <v>71</v>
      </c>
      <c r="Z83" s="26">
        <v>0.28220000000000001</v>
      </c>
      <c r="AA83" s="34">
        <v>77</v>
      </c>
      <c r="AB83" s="36">
        <f t="shared" si="5"/>
        <v>70.928571428571431</v>
      </c>
    </row>
    <row r="84" spans="1:28" x14ac:dyDescent="0.2">
      <c r="A84" s="25" t="s">
        <v>205</v>
      </c>
      <c r="B84" s="26">
        <v>4.4000000000000003E-3</v>
      </c>
      <c r="C84" s="23">
        <f t="shared" si="13"/>
        <v>0.10840000000000001</v>
      </c>
      <c r="D84" s="17">
        <v>203</v>
      </c>
      <c r="E84" s="17">
        <v>82</v>
      </c>
      <c r="F84" s="17">
        <v>182</v>
      </c>
      <c r="G84" s="26">
        <v>1E-3</v>
      </c>
      <c r="H84" s="23">
        <f t="shared" ref="H84:H120" si="15">G84+H85</f>
        <v>0.11430000000000001</v>
      </c>
      <c r="I84" s="17">
        <v>19</v>
      </c>
      <c r="J84" s="17">
        <v>4</v>
      </c>
      <c r="K84" s="17">
        <v>7</v>
      </c>
      <c r="L84" s="17">
        <v>64</v>
      </c>
      <c r="N84" s="17">
        <v>83</v>
      </c>
      <c r="O84" s="17">
        <v>415333352293</v>
      </c>
      <c r="P84" s="16">
        <f t="shared" si="8"/>
        <v>-877313876116</v>
      </c>
      <c r="Q84" s="17">
        <v>498929612293</v>
      </c>
      <c r="R84" s="16">
        <f t="shared" si="3"/>
        <v>845335399912</v>
      </c>
      <c r="S84" s="17">
        <v>53</v>
      </c>
      <c r="T84" s="17">
        <f t="shared" si="12"/>
        <v>121</v>
      </c>
      <c r="U84" s="17">
        <v>68</v>
      </c>
      <c r="V84" s="17">
        <v>90075452400</v>
      </c>
      <c r="W84" s="17">
        <f t="shared" si="14"/>
        <v>-431279328200</v>
      </c>
      <c r="X84" s="17">
        <v>49</v>
      </c>
      <c r="Y84" s="17">
        <v>47</v>
      </c>
      <c r="Z84" s="26">
        <v>0.28870000000000001</v>
      </c>
      <c r="AA84" s="34">
        <v>75.8</v>
      </c>
      <c r="AB84" s="36">
        <f t="shared" si="5"/>
        <v>70.057142857142864</v>
      </c>
    </row>
    <row r="85" spans="1:28" x14ac:dyDescent="0.2">
      <c r="A85" s="25" t="s">
        <v>201</v>
      </c>
      <c r="B85" s="26">
        <v>-1.5E-3</v>
      </c>
      <c r="C85" s="23">
        <f t="shared" si="13"/>
        <v>0.10400000000000001</v>
      </c>
      <c r="D85" s="17">
        <v>214</v>
      </c>
      <c r="E85" s="17">
        <v>80</v>
      </c>
      <c r="F85" s="17">
        <v>262</v>
      </c>
      <c r="G85" s="26">
        <v>2.9999999999999997E-4</v>
      </c>
      <c r="H85" s="23">
        <f t="shared" si="15"/>
        <v>0.11330000000000001</v>
      </c>
      <c r="I85" s="17">
        <v>9</v>
      </c>
      <c r="J85" s="17">
        <v>3</v>
      </c>
      <c r="K85" s="17">
        <v>18</v>
      </c>
      <c r="L85" s="17">
        <v>64</v>
      </c>
      <c r="N85" s="17">
        <v>87</v>
      </c>
      <c r="O85" s="17">
        <v>-283682679192</v>
      </c>
      <c r="P85" s="16">
        <f t="shared" si="8"/>
        <v>-1292647228409</v>
      </c>
      <c r="Q85" s="17">
        <v>121522870808</v>
      </c>
      <c r="R85" s="16">
        <f t="shared" si="3"/>
        <v>346405787619</v>
      </c>
      <c r="S85" s="17">
        <v>48</v>
      </c>
      <c r="T85" s="17">
        <f t="shared" si="12"/>
        <v>113</v>
      </c>
      <c r="U85" s="17">
        <v>65</v>
      </c>
      <c r="V85" s="17">
        <v>85799956000</v>
      </c>
      <c r="W85" s="17">
        <f t="shared" si="14"/>
        <v>-521354780600</v>
      </c>
      <c r="X85" s="17">
        <v>26</v>
      </c>
      <c r="Y85" s="17">
        <v>73</v>
      </c>
      <c r="Z85" s="26">
        <v>0.32100000000000001</v>
      </c>
      <c r="AA85" s="34">
        <v>75.400000000000006</v>
      </c>
      <c r="AB85" s="36">
        <f t="shared" si="5"/>
        <v>69.150000000000006</v>
      </c>
    </row>
    <row r="86" spans="1:28" x14ac:dyDescent="0.2">
      <c r="A86" s="25" t="s">
        <v>197</v>
      </c>
      <c r="B86" s="26">
        <v>1.38E-2</v>
      </c>
      <c r="C86" s="23">
        <f t="shared" si="13"/>
        <v>0.10550000000000001</v>
      </c>
      <c r="D86" s="17">
        <v>309</v>
      </c>
      <c r="E86" s="17">
        <v>67</v>
      </c>
      <c r="F86" s="17">
        <v>180</v>
      </c>
      <c r="G86" s="26">
        <v>1.3999999999999999E-2</v>
      </c>
      <c r="H86" s="23">
        <f t="shared" si="15"/>
        <v>0.11300000000000002</v>
      </c>
      <c r="I86" s="17">
        <v>25</v>
      </c>
      <c r="J86" s="17">
        <v>3</v>
      </c>
      <c r="K86" s="17">
        <v>2</v>
      </c>
      <c r="L86" s="17">
        <v>65</v>
      </c>
      <c r="N86" s="17">
        <v>86</v>
      </c>
      <c r="O86" s="17">
        <v>188033541882</v>
      </c>
      <c r="P86" s="16">
        <f t="shared" si="8"/>
        <v>-1008964549217</v>
      </c>
      <c r="Q86" s="17">
        <v>219631761882</v>
      </c>
      <c r="R86" s="16">
        <f t="shared" si="3"/>
        <v>224882916811</v>
      </c>
      <c r="S86" s="17">
        <v>29</v>
      </c>
      <c r="T86" s="17">
        <f t="shared" si="12"/>
        <v>133</v>
      </c>
      <c r="U86" s="17">
        <v>104</v>
      </c>
      <c r="V86" s="17">
        <v>-165675986000</v>
      </c>
      <c r="W86" s="17">
        <f t="shared" si="14"/>
        <v>-607154736600</v>
      </c>
      <c r="X86" s="17">
        <v>20</v>
      </c>
      <c r="Y86" s="17">
        <v>82</v>
      </c>
      <c r="Z86" s="26">
        <v>0.3221</v>
      </c>
      <c r="AA86" s="34">
        <v>75.099999999999994</v>
      </c>
      <c r="AB86" s="36">
        <f t="shared" si="5"/>
        <v>68.2</v>
      </c>
    </row>
    <row r="87" spans="1:28" x14ac:dyDescent="0.2">
      <c r="A87" s="25" t="s">
        <v>194</v>
      </c>
      <c r="B87" s="26">
        <v>1.09E-2</v>
      </c>
      <c r="C87" s="23">
        <f t="shared" si="13"/>
        <v>9.1700000000000004E-2</v>
      </c>
      <c r="D87" s="17">
        <v>380</v>
      </c>
      <c r="E87" s="17">
        <v>86</v>
      </c>
      <c r="F87" s="17">
        <v>98</v>
      </c>
      <c r="G87" s="26">
        <v>1.18E-2</v>
      </c>
      <c r="H87" s="23">
        <f t="shared" si="15"/>
        <v>9.9000000000000019E-2</v>
      </c>
      <c r="I87" s="17">
        <v>21</v>
      </c>
      <c r="J87" s="17">
        <v>5</v>
      </c>
      <c r="K87" s="17">
        <v>4</v>
      </c>
      <c r="L87" s="17">
        <v>59</v>
      </c>
      <c r="N87" s="17">
        <v>94</v>
      </c>
      <c r="O87" s="17">
        <v>221541319150</v>
      </c>
      <c r="P87" s="16">
        <f t="shared" si="8"/>
        <v>-1196998091099</v>
      </c>
      <c r="Q87" s="17">
        <v>221081659150</v>
      </c>
      <c r="R87" s="16">
        <f t="shared" si="3"/>
        <v>5251154929</v>
      </c>
      <c r="S87" s="17">
        <v>22</v>
      </c>
      <c r="T87" s="17">
        <f t="shared" si="12"/>
        <v>135</v>
      </c>
      <c r="U87" s="17">
        <v>113</v>
      </c>
      <c r="V87" s="17">
        <v>-364491935100</v>
      </c>
      <c r="W87" s="17">
        <f t="shared" si="14"/>
        <v>-441478750600</v>
      </c>
      <c r="X87" s="17">
        <v>44</v>
      </c>
      <c r="Y87" s="17">
        <v>51</v>
      </c>
      <c r="Z87" s="26">
        <v>0.3639</v>
      </c>
      <c r="AA87" s="34">
        <v>69.3</v>
      </c>
      <c r="AB87" s="36">
        <f t="shared" ref="AB87:AB107" si="16">AVERAGE(AA88:AA101)</f>
        <v>67.45</v>
      </c>
    </row>
    <row r="88" spans="1:28" x14ac:dyDescent="0.2">
      <c r="A88" s="25" t="s">
        <v>191</v>
      </c>
      <c r="B88" s="26">
        <v>0.01</v>
      </c>
      <c r="C88" s="23">
        <f t="shared" si="13"/>
        <v>8.0800000000000011E-2</v>
      </c>
      <c r="D88" s="17"/>
      <c r="E88" s="17"/>
      <c r="F88" s="17"/>
      <c r="G88" s="26">
        <v>8.3999999999999995E-3</v>
      </c>
      <c r="H88" s="23">
        <f t="shared" si="15"/>
        <v>8.7200000000000014E-2</v>
      </c>
      <c r="I88" s="17"/>
      <c r="J88" s="17"/>
      <c r="K88" s="17"/>
      <c r="L88" s="17">
        <v>80</v>
      </c>
      <c r="N88" s="17">
        <v>70</v>
      </c>
      <c r="O88" s="17">
        <v>135599952356</v>
      </c>
      <c r="P88" s="16">
        <f t="shared" si="8"/>
        <v>-1418539410249</v>
      </c>
      <c r="Q88" s="17">
        <v>163056592356</v>
      </c>
      <c r="R88" s="16">
        <f t="shared" si="3"/>
        <v>-215830504221</v>
      </c>
      <c r="S88" s="17">
        <v>37</v>
      </c>
      <c r="T88" s="17">
        <f t="shared" si="12"/>
        <v>103</v>
      </c>
      <c r="U88" s="17">
        <v>66</v>
      </c>
      <c r="V88" s="17">
        <v>159132221000</v>
      </c>
      <c r="W88" s="17">
        <f t="shared" si="14"/>
        <v>-76986815500</v>
      </c>
      <c r="X88" s="17">
        <v>53</v>
      </c>
      <c r="Y88" s="17">
        <v>39</v>
      </c>
      <c r="Z88" s="26">
        <v>0.314</v>
      </c>
      <c r="AA88" s="34">
        <v>61.1</v>
      </c>
      <c r="AB88" s="36">
        <f t="shared" si="16"/>
        <v>68.035714285714292</v>
      </c>
    </row>
    <row r="89" spans="1:28" x14ac:dyDescent="0.2">
      <c r="A89" s="25" t="s">
        <v>123</v>
      </c>
      <c r="B89" s="26">
        <v>-1.2500000000000001E-2</v>
      </c>
      <c r="C89" s="23">
        <f t="shared" si="13"/>
        <v>7.0800000000000016E-2</v>
      </c>
      <c r="D89" s="17">
        <v>98</v>
      </c>
      <c r="E89" s="17">
        <v>45</v>
      </c>
      <c r="F89" s="17">
        <v>414</v>
      </c>
      <c r="G89" s="26">
        <v>-1.3600000000000001E-2</v>
      </c>
      <c r="H89" s="23">
        <f t="shared" si="15"/>
        <v>7.8800000000000009E-2</v>
      </c>
      <c r="I89" s="17">
        <v>2</v>
      </c>
      <c r="J89" s="17">
        <v>1</v>
      </c>
      <c r="K89" s="17">
        <v>27</v>
      </c>
      <c r="L89" s="17">
        <v>57</v>
      </c>
      <c r="N89" s="17">
        <v>96</v>
      </c>
      <c r="O89" s="17">
        <v>-746396579742</v>
      </c>
      <c r="P89" s="16">
        <f t="shared" ref="P89:P120" si="17">O89+P90</f>
        <v>-1554139362605</v>
      </c>
      <c r="Q89" s="17">
        <v>-783204279742</v>
      </c>
      <c r="R89" s="16">
        <f t="shared" si="3"/>
        <v>-378887096577</v>
      </c>
      <c r="S89" s="17">
        <v>71</v>
      </c>
      <c r="T89" s="17">
        <f t="shared" si="12"/>
        <v>106</v>
      </c>
      <c r="U89" s="17">
        <v>35</v>
      </c>
      <c r="V89" s="17">
        <v>128465040000</v>
      </c>
      <c r="W89" s="17">
        <f t="shared" si="14"/>
        <v>-236119036500</v>
      </c>
      <c r="X89" s="17">
        <v>13</v>
      </c>
      <c r="Y89" s="17">
        <v>98</v>
      </c>
      <c r="Z89" s="26">
        <v>0.3569</v>
      </c>
      <c r="AA89" s="34">
        <v>66.7</v>
      </c>
      <c r="AB89" s="36">
        <f t="shared" si="16"/>
        <v>68.285714285714292</v>
      </c>
    </row>
    <row r="90" spans="1:28" x14ac:dyDescent="0.2">
      <c r="A90" s="25" t="s">
        <v>122</v>
      </c>
      <c r="B90" s="26">
        <v>-2.2000000000000001E-3</v>
      </c>
      <c r="C90" s="23">
        <f t="shared" si="13"/>
        <v>8.3300000000000013E-2</v>
      </c>
      <c r="D90" s="17">
        <v>217</v>
      </c>
      <c r="E90" s="17">
        <v>77</v>
      </c>
      <c r="F90" s="17">
        <v>263</v>
      </c>
      <c r="G90" s="26">
        <v>-1.8E-3</v>
      </c>
      <c r="H90" s="23">
        <f t="shared" si="15"/>
        <v>9.240000000000001E-2</v>
      </c>
      <c r="I90" s="17">
        <v>13</v>
      </c>
      <c r="J90" s="17">
        <v>1</v>
      </c>
      <c r="K90" s="17">
        <v>16</v>
      </c>
      <c r="L90" s="17">
        <v>59</v>
      </c>
      <c r="N90" s="17">
        <v>79</v>
      </c>
      <c r="O90" s="17">
        <v>-964850421523</v>
      </c>
      <c r="P90" s="16">
        <f t="shared" si="17"/>
        <v>-807742782863</v>
      </c>
      <c r="Q90" s="17">
        <v>-895969140857</v>
      </c>
      <c r="R90" s="16">
        <f t="shared" si="3"/>
        <v>404317183165</v>
      </c>
      <c r="S90" s="17">
        <v>24</v>
      </c>
      <c r="T90" s="17">
        <f t="shared" si="12"/>
        <v>115</v>
      </c>
      <c r="U90" s="17">
        <v>91</v>
      </c>
      <c r="V90" s="17">
        <v>-25238864000</v>
      </c>
      <c r="W90" s="17">
        <f t="shared" si="14"/>
        <v>-364584076500</v>
      </c>
      <c r="X90" s="17">
        <v>25</v>
      </c>
      <c r="Y90" s="17">
        <v>72</v>
      </c>
      <c r="Z90" s="26">
        <v>0.30159999999999998</v>
      </c>
      <c r="AA90" s="34">
        <v>77.400000000000006</v>
      </c>
      <c r="AB90" s="36">
        <f t="shared" si="16"/>
        <v>67.242857142857133</v>
      </c>
    </row>
    <row r="91" spans="1:28" x14ac:dyDescent="0.2">
      <c r="A91" s="25" t="s">
        <v>121</v>
      </c>
      <c r="B91" s="26">
        <v>0</v>
      </c>
      <c r="C91" s="23">
        <f t="shared" si="13"/>
        <v>8.5500000000000007E-2</v>
      </c>
      <c r="D91" s="17">
        <v>239</v>
      </c>
      <c r="E91" s="17">
        <v>60</v>
      </c>
      <c r="F91" s="17">
        <v>262</v>
      </c>
      <c r="G91" s="26">
        <v>2.9999999999999997E-4</v>
      </c>
      <c r="H91" s="23">
        <f t="shared" si="15"/>
        <v>9.4200000000000006E-2</v>
      </c>
      <c r="I91" s="17">
        <v>13</v>
      </c>
      <c r="J91" s="17">
        <v>0</v>
      </c>
      <c r="K91" s="17">
        <v>17</v>
      </c>
      <c r="L91" s="17">
        <v>56</v>
      </c>
      <c r="N91" s="17">
        <v>94</v>
      </c>
      <c r="O91" s="17">
        <v>61064252954</v>
      </c>
      <c r="P91" s="16">
        <f t="shared" si="17"/>
        <v>157107638660</v>
      </c>
      <c r="Q91" s="17">
        <v>61343362954</v>
      </c>
      <c r="R91" s="16">
        <f t="shared" si="3"/>
        <v>1300286324022</v>
      </c>
      <c r="S91" s="17">
        <v>46</v>
      </c>
      <c r="T91" s="17">
        <f t="shared" si="12"/>
        <v>114</v>
      </c>
      <c r="U91" s="17">
        <v>68</v>
      </c>
      <c r="V91" s="17">
        <v>-341629878000</v>
      </c>
      <c r="W91" s="17">
        <f t="shared" si="14"/>
        <v>-339345212500</v>
      </c>
      <c r="X91" s="17">
        <v>26</v>
      </c>
      <c r="Y91" s="17">
        <v>70</v>
      </c>
      <c r="Z91" s="26">
        <v>0.36170000000000002</v>
      </c>
      <c r="AA91" s="34">
        <v>84.9</v>
      </c>
      <c r="AB91" s="36">
        <f t="shared" si="16"/>
        <v>65.742857142857133</v>
      </c>
    </row>
    <row r="92" spans="1:28" x14ac:dyDescent="0.2">
      <c r="A92" s="25" t="s">
        <v>120</v>
      </c>
      <c r="B92" s="26">
        <v>4.1999999999999997E-3</v>
      </c>
      <c r="C92" s="23">
        <f t="shared" si="13"/>
        <v>8.5500000000000007E-2</v>
      </c>
      <c r="D92" s="17">
        <v>245</v>
      </c>
      <c r="E92" s="17">
        <v>95</v>
      </c>
      <c r="F92" s="17">
        <v>231</v>
      </c>
      <c r="G92" s="26">
        <v>1.1999999999999999E-3</v>
      </c>
      <c r="H92" s="23">
        <f t="shared" si="15"/>
        <v>9.3900000000000011E-2</v>
      </c>
      <c r="I92" s="17">
        <v>10</v>
      </c>
      <c r="J92" s="17">
        <v>4</v>
      </c>
      <c r="K92" s="17">
        <v>16</v>
      </c>
      <c r="L92" s="17">
        <v>60</v>
      </c>
      <c r="N92" s="17">
        <v>90</v>
      </c>
      <c r="O92" s="17">
        <v>204994329241</v>
      </c>
      <c r="P92" s="16">
        <f t="shared" si="17"/>
        <v>96043385706</v>
      </c>
      <c r="Q92" s="17">
        <v>-141754820759</v>
      </c>
      <c r="R92" s="16">
        <f t="shared" si="3"/>
        <v>1238942961068</v>
      </c>
      <c r="S92" s="17">
        <v>32</v>
      </c>
      <c r="T92" s="17">
        <f t="shared" si="12"/>
        <v>78</v>
      </c>
      <c r="U92" s="17">
        <v>46</v>
      </c>
      <c r="V92" s="17">
        <v>-292962216000</v>
      </c>
      <c r="W92" s="17">
        <f t="shared" si="14"/>
        <v>2284665500</v>
      </c>
      <c r="X92" s="17">
        <v>30</v>
      </c>
      <c r="Y92" s="17">
        <v>66</v>
      </c>
      <c r="Z92" s="26">
        <v>0.30879999999999996</v>
      </c>
      <c r="AA92" s="34">
        <v>80</v>
      </c>
      <c r="AB92" s="36">
        <f t="shared" si="16"/>
        <v>64.964285714285708</v>
      </c>
    </row>
    <row r="93" spans="1:28" x14ac:dyDescent="0.2">
      <c r="A93" s="25" t="s">
        <v>119</v>
      </c>
      <c r="B93" s="26">
        <v>1.26E-2</v>
      </c>
      <c r="C93" s="23">
        <f t="shared" si="13"/>
        <v>8.1300000000000011E-2</v>
      </c>
      <c r="D93" s="17">
        <v>298</v>
      </c>
      <c r="E93" s="17">
        <v>52</v>
      </c>
      <c r="F93" s="17">
        <v>217</v>
      </c>
      <c r="G93" s="26">
        <v>1.2800000000000001E-2</v>
      </c>
      <c r="H93" s="23">
        <f t="shared" si="15"/>
        <v>9.2700000000000005E-2</v>
      </c>
      <c r="I93" s="17">
        <v>21</v>
      </c>
      <c r="J93" s="17">
        <v>0</v>
      </c>
      <c r="K93" s="17">
        <v>9</v>
      </c>
      <c r="L93" s="17">
        <v>78</v>
      </c>
      <c r="N93" s="17">
        <v>71</v>
      </c>
      <c r="O93" s="17">
        <v>188930474831</v>
      </c>
      <c r="P93" s="16">
        <f t="shared" si="17"/>
        <v>-108950943535</v>
      </c>
      <c r="Q93" s="17">
        <v>-231476905169</v>
      </c>
      <c r="R93" s="16">
        <f t="shared" si="3"/>
        <v>1380697781827</v>
      </c>
      <c r="S93" s="17">
        <v>58</v>
      </c>
      <c r="T93" s="17">
        <f t="shared" si="12"/>
        <v>109</v>
      </c>
      <c r="U93" s="17">
        <v>51</v>
      </c>
      <c r="V93" s="17">
        <v>-242411861000</v>
      </c>
      <c r="W93" s="17">
        <f t="shared" si="14"/>
        <v>295246881500</v>
      </c>
      <c r="X93" s="17">
        <v>28</v>
      </c>
      <c r="Y93" s="17">
        <v>72</v>
      </c>
      <c r="Z93" s="26">
        <v>0.34990000000000004</v>
      </c>
      <c r="AA93" s="34">
        <v>71.400000000000006</v>
      </c>
      <c r="AB93" s="36">
        <f t="shared" si="16"/>
        <v>65.400000000000006</v>
      </c>
    </row>
    <row r="94" spans="1:28" x14ac:dyDescent="0.2">
      <c r="A94" s="22">
        <v>45338</v>
      </c>
      <c r="B94" s="23">
        <v>6.0000000000000001E-3</v>
      </c>
      <c r="C94" s="23">
        <f t="shared" si="13"/>
        <v>6.8700000000000011E-2</v>
      </c>
      <c r="D94" s="17">
        <v>288</v>
      </c>
      <c r="E94">
        <v>77</v>
      </c>
      <c r="F94" s="17">
        <v>201</v>
      </c>
      <c r="G94" s="23">
        <v>6.1000000000000004E-3</v>
      </c>
      <c r="H94" s="23">
        <f t="shared" si="15"/>
        <v>7.9899999999999999E-2</v>
      </c>
      <c r="I94" s="17">
        <v>17</v>
      </c>
      <c r="J94">
        <v>4</v>
      </c>
      <c r="K94" s="17">
        <v>9</v>
      </c>
      <c r="L94" s="17">
        <v>74</v>
      </c>
      <c r="N94" s="17">
        <v>70</v>
      </c>
      <c r="O94" s="17">
        <v>-442481451217</v>
      </c>
      <c r="P94" s="16">
        <f t="shared" si="17"/>
        <v>-297881418366</v>
      </c>
      <c r="Q94" s="17">
        <v>-474482411217</v>
      </c>
      <c r="R94" s="16">
        <f t="shared" si="3"/>
        <v>1612174686996</v>
      </c>
      <c r="S94" s="17">
        <v>80</v>
      </c>
      <c r="T94" s="17">
        <f t="shared" si="12"/>
        <v>109</v>
      </c>
      <c r="U94" s="17">
        <v>29</v>
      </c>
      <c r="V94" s="17">
        <v>23891945000</v>
      </c>
      <c r="W94" s="17">
        <f t="shared" si="14"/>
        <v>537658742500</v>
      </c>
      <c r="X94" s="17">
        <v>33</v>
      </c>
      <c r="Y94" s="17">
        <v>63</v>
      </c>
      <c r="Z94" s="26">
        <v>0.2712</v>
      </c>
      <c r="AA94" s="34">
        <v>64.599999999999994</v>
      </c>
      <c r="AB94" s="36">
        <f t="shared" si="16"/>
        <v>66.69285714285715</v>
      </c>
    </row>
    <row r="95" spans="1:28" x14ac:dyDescent="0.2">
      <c r="A95" s="22">
        <v>45337</v>
      </c>
      <c r="B95" s="23">
        <v>3.3E-3</v>
      </c>
      <c r="C95" s="23">
        <f t="shared" si="13"/>
        <v>6.2700000000000006E-2</v>
      </c>
      <c r="D95" s="17">
        <v>321</v>
      </c>
      <c r="E95">
        <v>81</v>
      </c>
      <c r="F95" s="17">
        <v>153</v>
      </c>
      <c r="G95" s="23">
        <v>3.5999999999999999E-3</v>
      </c>
      <c r="H95" s="23">
        <f t="shared" si="15"/>
        <v>7.3800000000000004E-2</v>
      </c>
      <c r="I95" s="17">
        <v>17</v>
      </c>
      <c r="J95">
        <v>5</v>
      </c>
      <c r="K95" s="17">
        <v>8</v>
      </c>
      <c r="L95" s="17">
        <v>71</v>
      </c>
      <c r="N95" s="17">
        <v>83</v>
      </c>
      <c r="O95" s="17">
        <v>-389907696192</v>
      </c>
      <c r="P95" s="16">
        <f t="shared" si="17"/>
        <v>144600032851</v>
      </c>
      <c r="Q95" s="17">
        <v>-323400906192</v>
      </c>
      <c r="R95" s="16">
        <f t="shared" si="3"/>
        <v>2086657098213</v>
      </c>
      <c r="S95" s="17">
        <v>67</v>
      </c>
      <c r="T95" s="17">
        <f t="shared" si="12"/>
        <v>108</v>
      </c>
      <c r="U95" s="17">
        <v>41</v>
      </c>
      <c r="V95" s="17">
        <v>-313522909000</v>
      </c>
      <c r="W95" s="17">
        <f t="shared" si="14"/>
        <v>513766797500</v>
      </c>
      <c r="X95" s="17">
        <v>35</v>
      </c>
      <c r="Y95" s="17">
        <v>66</v>
      </c>
      <c r="Z95" s="26">
        <v>0.34570000000000001</v>
      </c>
      <c r="AA95" s="34">
        <v>64.5</v>
      </c>
      <c r="AB95" s="36">
        <f t="shared" si="16"/>
        <v>68.007142857142853</v>
      </c>
    </row>
    <row r="96" spans="1:28" x14ac:dyDescent="0.2">
      <c r="A96" s="22">
        <v>45329</v>
      </c>
      <c r="B96" s="23">
        <v>8.5000000000000006E-3</v>
      </c>
      <c r="C96" s="23">
        <f t="shared" si="13"/>
        <v>5.9400000000000001E-2</v>
      </c>
      <c r="D96" s="17">
        <v>356</v>
      </c>
      <c r="E96">
        <v>81</v>
      </c>
      <c r="F96" s="17">
        <v>110</v>
      </c>
      <c r="G96" s="23">
        <v>1.1299999999999999E-2</v>
      </c>
      <c r="H96" s="23">
        <f t="shared" si="15"/>
        <v>7.0199999999999999E-2</v>
      </c>
      <c r="I96" s="17">
        <v>26</v>
      </c>
      <c r="J96">
        <v>3</v>
      </c>
      <c r="K96" s="17">
        <v>1</v>
      </c>
      <c r="L96" s="17">
        <v>66</v>
      </c>
      <c r="N96" s="17">
        <v>77</v>
      </c>
      <c r="O96" s="17">
        <v>-20426078171</v>
      </c>
      <c r="P96" s="16">
        <f t="shared" si="17"/>
        <v>534507729043</v>
      </c>
      <c r="Q96" s="17">
        <v>25320361829</v>
      </c>
      <c r="R96" s="16">
        <f t="shared" si="3"/>
        <v>2410058004405</v>
      </c>
      <c r="S96" s="17">
        <v>69</v>
      </c>
      <c r="T96" s="17">
        <f t="shared" si="12"/>
        <v>108</v>
      </c>
      <c r="U96" s="17">
        <v>39</v>
      </c>
      <c r="V96" s="17">
        <v>83760967000</v>
      </c>
      <c r="W96" s="17">
        <f t="shared" si="14"/>
        <v>827289706500</v>
      </c>
      <c r="X96" s="17">
        <v>46</v>
      </c>
      <c r="Y96" s="17">
        <v>48</v>
      </c>
      <c r="Z96" s="26">
        <v>0.30380000000000001</v>
      </c>
      <c r="AA96" s="34">
        <v>63.6</v>
      </c>
      <c r="AB96" s="36">
        <f t="shared" si="16"/>
        <v>69.378571428571419</v>
      </c>
    </row>
    <row r="97" spans="1:28" x14ac:dyDescent="0.2">
      <c r="A97" s="22">
        <v>45328</v>
      </c>
      <c r="B97" s="23">
        <v>2E-3</v>
      </c>
      <c r="C97" s="23">
        <f t="shared" si="13"/>
        <v>5.0900000000000001E-2</v>
      </c>
      <c r="D97" s="17">
        <v>244</v>
      </c>
      <c r="E97">
        <v>107</v>
      </c>
      <c r="F97" s="17">
        <v>212</v>
      </c>
      <c r="G97" s="23">
        <v>1.5E-3</v>
      </c>
      <c r="H97" s="23">
        <f t="shared" si="15"/>
        <v>5.8899999999999994E-2</v>
      </c>
      <c r="I97" s="17"/>
      <c r="J97" s="3"/>
      <c r="K97" s="17"/>
      <c r="L97" s="17">
        <v>65</v>
      </c>
      <c r="N97" s="17">
        <v>78</v>
      </c>
      <c r="O97" s="17">
        <v>-454044753347</v>
      </c>
      <c r="P97" s="16">
        <f t="shared" si="17"/>
        <v>554933807214</v>
      </c>
      <c r="Q97" s="17">
        <v>-314109403347</v>
      </c>
      <c r="R97" s="16">
        <f t="shared" si="3"/>
        <v>2384737642576</v>
      </c>
      <c r="S97" s="17">
        <v>62</v>
      </c>
      <c r="T97" s="17">
        <f t="shared" si="12"/>
        <v>112</v>
      </c>
      <c r="U97" s="17">
        <v>50</v>
      </c>
      <c r="V97" s="17">
        <v>-604171862000</v>
      </c>
      <c r="W97" s="17">
        <f t="shared" si="14"/>
        <v>743528739500</v>
      </c>
      <c r="X97" s="17">
        <v>32</v>
      </c>
      <c r="Y97" s="17">
        <v>60</v>
      </c>
      <c r="Z97" s="26">
        <v>0.30079999999999996</v>
      </c>
      <c r="AA97" s="34">
        <v>63.2</v>
      </c>
      <c r="AB97" s="36">
        <f t="shared" si="16"/>
        <v>70.76428571428572</v>
      </c>
    </row>
    <row r="98" spans="1:28" x14ac:dyDescent="0.2">
      <c r="A98" s="22">
        <v>45327</v>
      </c>
      <c r="B98" s="23">
        <v>1.15E-2</v>
      </c>
      <c r="C98" s="23">
        <f t="shared" si="13"/>
        <v>4.8899999999999999E-2</v>
      </c>
      <c r="D98" s="17">
        <v>270</v>
      </c>
      <c r="E98">
        <v>72</v>
      </c>
      <c r="F98" s="17">
        <v>212</v>
      </c>
      <c r="G98" s="23">
        <v>1.9199999999999998E-2</v>
      </c>
      <c r="H98" s="23">
        <f t="shared" si="15"/>
        <v>5.7399999999999993E-2</v>
      </c>
      <c r="I98" s="17"/>
      <c r="K98" s="17"/>
      <c r="L98" s="17">
        <v>71</v>
      </c>
      <c r="N98" s="17">
        <v>72</v>
      </c>
      <c r="O98" s="17">
        <v>-47724190106</v>
      </c>
      <c r="P98" s="16">
        <f t="shared" si="17"/>
        <v>1008978560561</v>
      </c>
      <c r="Q98" s="17">
        <v>19370539894</v>
      </c>
      <c r="R98" s="16">
        <f t="shared" si="3"/>
        <v>2698847045923</v>
      </c>
      <c r="S98" s="17">
        <v>84</v>
      </c>
      <c r="T98" s="17">
        <f t="shared" si="12"/>
        <v>106</v>
      </c>
      <c r="U98" s="17">
        <v>22</v>
      </c>
      <c r="V98" s="17">
        <v>40656712000</v>
      </c>
      <c r="W98" s="17">
        <f t="shared" si="14"/>
        <v>1347700601500</v>
      </c>
      <c r="X98" s="17">
        <v>35</v>
      </c>
      <c r="Y98" s="17">
        <v>56</v>
      </c>
      <c r="Z98" s="26">
        <v>0.3856</v>
      </c>
      <c r="AA98" s="34">
        <v>63.6</v>
      </c>
      <c r="AB98" s="36">
        <f t="shared" si="16"/>
        <v>72.114285714285714</v>
      </c>
    </row>
    <row r="99" spans="1:28" x14ac:dyDescent="0.2">
      <c r="A99" s="22">
        <v>45324</v>
      </c>
      <c r="B99" s="23">
        <v>-4.0000000000000002E-4</v>
      </c>
      <c r="C99" s="23">
        <f t="shared" si="13"/>
        <v>3.7400000000000003E-2</v>
      </c>
      <c r="D99" s="17">
        <v>199</v>
      </c>
      <c r="E99">
        <v>89</v>
      </c>
      <c r="F99" s="17">
        <v>267</v>
      </c>
      <c r="G99" s="23">
        <v>1.1999999999999999E-3</v>
      </c>
      <c r="H99" s="23">
        <f t="shared" si="15"/>
        <v>3.8199999999999998E-2</v>
      </c>
      <c r="I99" s="17"/>
      <c r="K99" s="17"/>
      <c r="L99" s="17">
        <v>44</v>
      </c>
      <c r="N99" s="17">
        <v>90</v>
      </c>
      <c r="O99" s="17">
        <v>-235298007611</v>
      </c>
      <c r="P99" s="16">
        <f t="shared" si="17"/>
        <v>1056702750667</v>
      </c>
      <c r="Q99" s="17">
        <v>-136928447611</v>
      </c>
      <c r="R99" s="16">
        <f t="shared" si="3"/>
        <v>2679476506029</v>
      </c>
      <c r="S99" s="17">
        <v>55</v>
      </c>
      <c r="T99" s="17">
        <f t="shared" si="12"/>
        <v>108</v>
      </c>
      <c r="U99" s="17">
        <v>53</v>
      </c>
      <c r="V99" s="17">
        <v>473998160000</v>
      </c>
      <c r="W99" s="17">
        <f t="shared" si="14"/>
        <v>1307043889500</v>
      </c>
      <c r="X99" s="17">
        <v>21</v>
      </c>
      <c r="Y99" s="17">
        <v>65</v>
      </c>
      <c r="Z99" s="26">
        <v>0.2697</v>
      </c>
      <c r="AA99" s="34">
        <v>62.7</v>
      </c>
      <c r="AB99" s="36">
        <f t="shared" si="16"/>
        <v>73.535714285714292</v>
      </c>
    </row>
    <row r="100" spans="1:28" x14ac:dyDescent="0.2">
      <c r="A100" s="22">
        <v>45323</v>
      </c>
      <c r="B100" s="23">
        <v>7.4999999999999997E-3</v>
      </c>
      <c r="C100" s="23">
        <f t="shared" si="13"/>
        <v>3.78E-2</v>
      </c>
      <c r="D100" s="17">
        <v>270</v>
      </c>
      <c r="E100">
        <v>111</v>
      </c>
      <c r="F100" s="17">
        <v>177</v>
      </c>
      <c r="G100" s="23">
        <v>6.0000000000000001E-3</v>
      </c>
      <c r="H100" s="23">
        <f t="shared" si="15"/>
        <v>3.6999999999999998E-2</v>
      </c>
      <c r="I100" s="17">
        <v>17</v>
      </c>
      <c r="J100">
        <v>5</v>
      </c>
      <c r="K100" s="17">
        <v>8</v>
      </c>
      <c r="L100" s="17">
        <v>65</v>
      </c>
      <c r="N100" s="17">
        <v>62</v>
      </c>
      <c r="O100" s="17">
        <v>167317808902</v>
      </c>
      <c r="P100" s="16">
        <f t="shared" si="17"/>
        <v>1292000758278</v>
      </c>
      <c r="Q100" s="17">
        <v>336379167010</v>
      </c>
      <c r="R100" s="16">
        <f t="shared" si="3"/>
        <v>2816404953640</v>
      </c>
      <c r="S100" s="17">
        <v>46</v>
      </c>
      <c r="T100" s="17">
        <f t="shared" si="12"/>
        <v>122</v>
      </c>
      <c r="U100" s="17">
        <v>76</v>
      </c>
      <c r="V100" s="17">
        <v>117915188000</v>
      </c>
      <c r="W100" s="17">
        <f t="shared" si="14"/>
        <v>833045729500</v>
      </c>
      <c r="X100" s="17">
        <v>50</v>
      </c>
      <c r="Y100" s="17">
        <v>39</v>
      </c>
      <c r="Z100" s="26">
        <v>0.27279999999999999</v>
      </c>
      <c r="AA100" s="34">
        <v>61.8</v>
      </c>
      <c r="AB100" s="36">
        <f t="shared" si="16"/>
        <v>75.021428571428572</v>
      </c>
    </row>
    <row r="101" spans="1:28" x14ac:dyDescent="0.2">
      <c r="A101" s="22">
        <v>45322</v>
      </c>
      <c r="B101" s="23">
        <v>-1.3000000000000001E-2</v>
      </c>
      <c r="C101" s="23">
        <f t="shared" si="13"/>
        <v>3.0299999999999997E-2</v>
      </c>
      <c r="D101" s="17">
        <v>101</v>
      </c>
      <c r="E101">
        <v>62</v>
      </c>
      <c r="F101" s="17">
        <v>393</v>
      </c>
      <c r="G101" s="23">
        <v>-1.2999999999999999E-2</v>
      </c>
      <c r="H101" s="23">
        <f t="shared" si="15"/>
        <v>3.1E-2</v>
      </c>
      <c r="I101" s="17">
        <v>3</v>
      </c>
      <c r="J101">
        <v>1</v>
      </c>
      <c r="K101" s="17">
        <v>26</v>
      </c>
      <c r="L101" s="17">
        <v>58</v>
      </c>
      <c r="N101" s="17">
        <v>81</v>
      </c>
      <c r="O101" s="17">
        <v>39184647355</v>
      </c>
      <c r="P101" s="16">
        <f t="shared" si="17"/>
        <v>1124682949376</v>
      </c>
      <c r="Q101" s="17">
        <v>270465114609</v>
      </c>
      <c r="R101" s="16">
        <f t="shared" si="3"/>
        <v>2480025786630</v>
      </c>
      <c r="S101" s="17">
        <v>38</v>
      </c>
      <c r="T101" s="17">
        <f t="shared" si="12"/>
        <v>146</v>
      </c>
      <c r="U101" s="17">
        <v>108</v>
      </c>
      <c r="V101" s="17">
        <v>135006758000</v>
      </c>
      <c r="W101" s="17">
        <f t="shared" si="14"/>
        <v>715130541500</v>
      </c>
      <c r="X101" s="17">
        <v>10</v>
      </c>
      <c r="Y101" s="17">
        <v>94</v>
      </c>
      <c r="Z101" s="26">
        <v>0.37990000000000002</v>
      </c>
      <c r="AA101" s="34">
        <v>58.8</v>
      </c>
      <c r="AB101" s="36">
        <f t="shared" si="16"/>
        <v>77.378571428571419</v>
      </c>
    </row>
    <row r="102" spans="1:28" x14ac:dyDescent="0.2">
      <c r="A102" s="22">
        <v>45321</v>
      </c>
      <c r="B102" s="23">
        <v>3.3999999999999998E-3</v>
      </c>
      <c r="C102" s="23">
        <f t="shared" si="13"/>
        <v>4.3299999999999998E-2</v>
      </c>
      <c r="D102" s="17">
        <v>266</v>
      </c>
      <c r="E102">
        <v>112</v>
      </c>
      <c r="F102" s="17">
        <v>174</v>
      </c>
      <c r="G102" s="23">
        <v>2.2000000000000001E-3</v>
      </c>
      <c r="H102" s="23">
        <f t="shared" si="15"/>
        <v>4.3999999999999997E-2</v>
      </c>
      <c r="I102" s="17">
        <v>14</v>
      </c>
      <c r="J102">
        <v>4</v>
      </c>
      <c r="K102" s="17">
        <v>12</v>
      </c>
      <c r="L102" s="17">
        <v>81</v>
      </c>
      <c r="N102" s="17">
        <v>56</v>
      </c>
      <c r="O102" s="17">
        <v>396711927017</v>
      </c>
      <c r="P102" s="16">
        <f t="shared" si="17"/>
        <v>1085498302021</v>
      </c>
      <c r="Q102" s="17">
        <v>570403367017</v>
      </c>
      <c r="R102" s="16">
        <f t="shared" si="3"/>
        <v>2209560672021</v>
      </c>
      <c r="S102" s="17">
        <v>41</v>
      </c>
      <c r="T102" s="17">
        <f t="shared" si="12"/>
        <v>144</v>
      </c>
      <c r="U102" s="17">
        <v>103</v>
      </c>
      <c r="V102" s="17">
        <v>145507674500</v>
      </c>
      <c r="W102" s="17">
        <f t="shared" si="14"/>
        <v>580123783500</v>
      </c>
      <c r="X102" s="17">
        <v>56</v>
      </c>
      <c r="Y102" s="17">
        <v>39</v>
      </c>
      <c r="Z102" s="26">
        <v>0.30130000000000001</v>
      </c>
      <c r="AA102" s="34">
        <v>69.3</v>
      </c>
      <c r="AB102" s="36">
        <f t="shared" si="16"/>
        <v>78.964285714285708</v>
      </c>
    </row>
    <row r="103" spans="1:28" x14ac:dyDescent="0.2">
      <c r="A103" s="22">
        <v>45320</v>
      </c>
      <c r="B103" s="23">
        <v>0</v>
      </c>
      <c r="C103" s="23">
        <f t="shared" si="13"/>
        <v>3.9899999999999998E-2</v>
      </c>
      <c r="D103" s="17">
        <v>187</v>
      </c>
      <c r="E103">
        <v>106</v>
      </c>
      <c r="F103" s="17">
        <v>283</v>
      </c>
      <c r="G103" s="23">
        <v>-3.0999999999999999E-3</v>
      </c>
      <c r="H103" s="23">
        <f t="shared" si="15"/>
        <v>4.1799999999999997E-2</v>
      </c>
      <c r="I103" s="17">
        <v>14</v>
      </c>
      <c r="J103">
        <v>5</v>
      </c>
      <c r="K103" s="17">
        <v>11</v>
      </c>
      <c r="L103" s="17">
        <v>60</v>
      </c>
      <c r="N103" s="17">
        <v>77</v>
      </c>
      <c r="O103" s="17">
        <v>-137908844181</v>
      </c>
      <c r="P103" s="16">
        <f t="shared" si="17"/>
        <v>688786375004</v>
      </c>
      <c r="Q103" s="17">
        <v>-87500014181</v>
      </c>
      <c r="R103" s="16">
        <f t="shared" ref="R103:R120" si="18">Q103+R104</f>
        <v>1639157305004</v>
      </c>
      <c r="S103" s="17">
        <v>42</v>
      </c>
      <c r="T103" s="17">
        <f t="shared" si="12"/>
        <v>104</v>
      </c>
      <c r="U103" s="17">
        <v>62</v>
      </c>
      <c r="V103" s="17">
        <v>80396993000</v>
      </c>
      <c r="W103" s="17">
        <f t="shared" si="14"/>
        <v>434616109000</v>
      </c>
      <c r="X103" s="17">
        <v>29</v>
      </c>
      <c r="Y103" s="17">
        <v>66</v>
      </c>
      <c r="Z103" s="26">
        <v>0.26079999999999998</v>
      </c>
      <c r="AA103" s="34">
        <v>70.2</v>
      </c>
      <c r="AB103" s="36">
        <f t="shared" si="16"/>
        <v>80.464285714285708</v>
      </c>
    </row>
    <row r="104" spans="1:28" x14ac:dyDescent="0.2">
      <c r="A104" s="22">
        <v>45317</v>
      </c>
      <c r="B104" s="23">
        <v>4.4999999999999997E-3</v>
      </c>
      <c r="C104" s="23">
        <f t="shared" si="13"/>
        <v>3.9899999999999998E-2</v>
      </c>
      <c r="D104" s="17">
        <v>253</v>
      </c>
      <c r="E104">
        <v>129</v>
      </c>
      <c r="F104" s="17">
        <v>193</v>
      </c>
      <c r="G104" s="23">
        <v>4.4999999999999997E-3</v>
      </c>
      <c r="H104" s="23">
        <f t="shared" si="15"/>
        <v>4.4899999999999995E-2</v>
      </c>
      <c r="I104" s="17">
        <v>19</v>
      </c>
      <c r="J104">
        <v>3</v>
      </c>
      <c r="K104" s="17">
        <v>8</v>
      </c>
      <c r="L104" s="17">
        <v>77</v>
      </c>
      <c r="N104" s="17">
        <v>58</v>
      </c>
      <c r="O104" s="17">
        <v>361099360028</v>
      </c>
      <c r="P104" s="16">
        <f t="shared" si="17"/>
        <v>826695219185</v>
      </c>
      <c r="Q104" s="17">
        <v>490244690028</v>
      </c>
      <c r="R104" s="16">
        <f t="shared" si="18"/>
        <v>1726657319185</v>
      </c>
      <c r="S104" s="17">
        <v>96</v>
      </c>
      <c r="T104" s="17">
        <f t="shared" si="12"/>
        <v>107</v>
      </c>
      <c r="U104" s="17">
        <v>11</v>
      </c>
      <c r="V104" s="17">
        <v>446810920000</v>
      </c>
      <c r="W104" s="17">
        <f t="shared" si="14"/>
        <v>354219116000</v>
      </c>
      <c r="X104" s="17">
        <v>47</v>
      </c>
      <c r="Y104" s="17">
        <v>44</v>
      </c>
      <c r="Z104" s="26">
        <v>0.31219999999999998</v>
      </c>
      <c r="AA104" s="34">
        <v>62.8</v>
      </c>
      <c r="AB104" s="36">
        <f t="shared" si="16"/>
        <v>82.678571428571431</v>
      </c>
    </row>
    <row r="105" spans="1:28" x14ac:dyDescent="0.2">
      <c r="A105" s="22">
        <v>45316</v>
      </c>
      <c r="B105" s="23">
        <v>-2.2000000000000001E-3</v>
      </c>
      <c r="C105" s="23">
        <f t="shared" si="13"/>
        <v>3.5400000000000001E-2</v>
      </c>
      <c r="G105" s="23">
        <v>-1.6000000000000001E-3</v>
      </c>
      <c r="H105" s="23">
        <f t="shared" si="15"/>
        <v>4.0399999999999998E-2</v>
      </c>
      <c r="L105" s="17">
        <v>59</v>
      </c>
      <c r="N105" s="17">
        <v>76</v>
      </c>
      <c r="O105" s="17">
        <v>-40176974807</v>
      </c>
      <c r="P105" s="16">
        <f t="shared" si="17"/>
        <v>465595859157</v>
      </c>
      <c r="Q105" s="17">
        <v>-83420014807</v>
      </c>
      <c r="R105" s="16">
        <f t="shared" si="18"/>
        <v>1236412629157</v>
      </c>
      <c r="S105" s="17">
        <v>36</v>
      </c>
      <c r="T105" s="17">
        <f t="shared" si="12"/>
        <v>63</v>
      </c>
      <c r="U105" s="17">
        <v>27</v>
      </c>
      <c r="V105" s="17">
        <v>40711116000</v>
      </c>
      <c r="W105" s="17">
        <f t="shared" si="14"/>
        <v>-92591804000</v>
      </c>
      <c r="X105" s="17">
        <v>21</v>
      </c>
      <c r="Y105" s="17">
        <v>64</v>
      </c>
      <c r="Z105" s="26">
        <v>0.3085</v>
      </c>
      <c r="AA105" s="34">
        <v>63.9</v>
      </c>
      <c r="AB105" s="36">
        <f t="shared" si="16"/>
        <v>84.307142857142864</v>
      </c>
    </row>
    <row r="106" spans="1:28" x14ac:dyDescent="0.2">
      <c r="A106" s="22">
        <v>45315</v>
      </c>
      <c r="B106" s="23">
        <v>-3.8E-3</v>
      </c>
      <c r="C106" s="23">
        <f t="shared" si="13"/>
        <v>3.7600000000000001E-2</v>
      </c>
      <c r="G106" s="23">
        <v>-3.7000000000000002E-3</v>
      </c>
      <c r="H106" s="23">
        <f t="shared" si="15"/>
        <v>4.1999999999999996E-2</v>
      </c>
      <c r="L106" s="17">
        <v>62</v>
      </c>
      <c r="N106" s="17">
        <v>78</v>
      </c>
      <c r="O106" s="17">
        <v>153335591842</v>
      </c>
      <c r="P106" s="16">
        <f t="shared" si="17"/>
        <v>505772833964</v>
      </c>
      <c r="Q106" s="17">
        <v>171428901842</v>
      </c>
      <c r="R106" s="16">
        <f t="shared" si="18"/>
        <v>1319832643964</v>
      </c>
      <c r="S106" s="17">
        <v>37</v>
      </c>
      <c r="T106" s="17">
        <f t="shared" si="12"/>
        <v>108</v>
      </c>
      <c r="U106" s="17">
        <v>71</v>
      </c>
      <c r="V106" s="17">
        <v>-1449780000</v>
      </c>
      <c r="W106" s="17">
        <f t="shared" si="14"/>
        <v>-133302920000</v>
      </c>
      <c r="X106" s="17">
        <v>16</v>
      </c>
      <c r="Y106" s="17">
        <v>77</v>
      </c>
      <c r="Z106" s="26">
        <v>0.33909999999999996</v>
      </c>
      <c r="AA106" s="34">
        <v>69.099999999999994</v>
      </c>
      <c r="AB106" s="36">
        <f t="shared" si="16"/>
        <v>85.085714285714289</v>
      </c>
    </row>
    <row r="107" spans="1:28" x14ac:dyDescent="0.2">
      <c r="A107" s="22">
        <v>45314</v>
      </c>
      <c r="B107" s="23">
        <v>-4.4999999999999997E-3</v>
      </c>
      <c r="C107" s="23">
        <f t="shared" si="13"/>
        <v>4.1399999999999999E-2</v>
      </c>
      <c r="G107" s="23">
        <v>-4.7999999999999996E-3</v>
      </c>
      <c r="H107" s="23">
        <f t="shared" si="15"/>
        <v>4.5699999999999998E-2</v>
      </c>
      <c r="L107" s="17">
        <v>65</v>
      </c>
      <c r="N107" s="17">
        <v>71</v>
      </c>
      <c r="O107" s="17">
        <v>249996770975</v>
      </c>
      <c r="P107" s="16">
        <f t="shared" si="17"/>
        <v>352437242122</v>
      </c>
      <c r="Q107" s="17">
        <v>233966350975</v>
      </c>
      <c r="R107" s="16">
        <f t="shared" si="18"/>
        <v>1148403742122</v>
      </c>
      <c r="S107" s="17">
        <v>21</v>
      </c>
      <c r="T107" s="17">
        <f t="shared" si="12"/>
        <v>106</v>
      </c>
      <c r="U107" s="17">
        <v>85</v>
      </c>
      <c r="V107" s="17">
        <v>-624581419000</v>
      </c>
      <c r="W107" s="17">
        <f t="shared" si="14"/>
        <v>-131853140000</v>
      </c>
      <c r="X107" s="17">
        <v>24</v>
      </c>
      <c r="Y107" s="17">
        <v>72</v>
      </c>
      <c r="Z107" s="26">
        <v>0.34369999999999995</v>
      </c>
      <c r="AA107" s="34">
        <v>77.5</v>
      </c>
      <c r="AB107" s="36">
        <f t="shared" si="16"/>
        <v>84.628571428571419</v>
      </c>
    </row>
    <row r="108" spans="1:28" x14ac:dyDescent="0.2">
      <c r="A108" s="22">
        <v>45313</v>
      </c>
      <c r="B108" s="23">
        <v>1.1999999999999999E-3</v>
      </c>
      <c r="C108" s="23">
        <f t="shared" si="13"/>
        <v>4.5899999999999996E-2</v>
      </c>
      <c r="G108" s="23">
        <v>3.7000000000000002E-3</v>
      </c>
      <c r="H108" s="23">
        <f t="shared" si="15"/>
        <v>5.0499999999999996E-2</v>
      </c>
      <c r="L108" s="17">
        <v>75</v>
      </c>
      <c r="N108" s="17">
        <v>66</v>
      </c>
      <c r="O108" s="17">
        <v>502684290838</v>
      </c>
      <c r="P108" s="16">
        <f t="shared" si="17"/>
        <v>102440471147</v>
      </c>
      <c r="Q108" s="17">
        <v>533319270838</v>
      </c>
      <c r="R108" s="16">
        <f t="shared" si="18"/>
        <v>914437391147</v>
      </c>
      <c r="S108" s="17">
        <v>88</v>
      </c>
      <c r="T108" s="17">
        <f t="shared" si="12"/>
        <v>107</v>
      </c>
      <c r="U108" s="17">
        <v>19</v>
      </c>
      <c r="V108" s="17">
        <v>26002126000</v>
      </c>
      <c r="W108" s="17">
        <f t="shared" si="14"/>
        <v>492728279000</v>
      </c>
      <c r="X108" s="17">
        <v>28</v>
      </c>
      <c r="Y108" s="17">
        <v>63</v>
      </c>
      <c r="Z108" s="26">
        <v>0.32479999999999998</v>
      </c>
      <c r="AA108" s="34">
        <v>82.7</v>
      </c>
      <c r="AB108" s="36">
        <f>AVERAGE(AA109:AA122)</f>
        <v>83.142857142857139</v>
      </c>
    </row>
    <row r="109" spans="1:28" x14ac:dyDescent="0.2">
      <c r="A109" s="22">
        <v>45310</v>
      </c>
      <c r="B109" s="23">
        <v>1.06E-2</v>
      </c>
      <c r="C109" s="23">
        <f t="shared" si="13"/>
        <v>4.4699999999999997E-2</v>
      </c>
      <c r="G109" s="23">
        <v>9.5999999999999992E-3</v>
      </c>
      <c r="H109" s="23">
        <f t="shared" si="15"/>
        <v>4.6799999999999994E-2</v>
      </c>
      <c r="L109" s="17">
        <v>64</v>
      </c>
      <c r="N109" s="17">
        <v>69</v>
      </c>
      <c r="O109" s="17">
        <v>187659123156</v>
      </c>
      <c r="P109" s="16">
        <f t="shared" si="17"/>
        <v>-400243819691</v>
      </c>
      <c r="Q109" s="17">
        <v>226375563156</v>
      </c>
      <c r="R109" s="16">
        <f t="shared" si="18"/>
        <v>381118120309</v>
      </c>
      <c r="S109" s="17">
        <v>27</v>
      </c>
      <c r="T109" s="17">
        <f t="shared" si="12"/>
        <v>33</v>
      </c>
      <c r="U109" s="17">
        <v>6</v>
      </c>
      <c r="V109" s="17">
        <v>209791725000</v>
      </c>
      <c r="W109" s="17">
        <f t="shared" si="14"/>
        <v>466726153000</v>
      </c>
      <c r="X109" s="17">
        <v>31</v>
      </c>
      <c r="Y109" s="17">
        <v>67</v>
      </c>
      <c r="Z109" s="26">
        <v>0.35840000000000005</v>
      </c>
      <c r="AA109" s="35">
        <v>82.9</v>
      </c>
    </row>
    <row r="110" spans="1:28" x14ac:dyDescent="0.2">
      <c r="A110" s="22">
        <v>45309</v>
      </c>
      <c r="B110" s="23">
        <v>5.5999999999999999E-3</v>
      </c>
      <c r="C110" s="23">
        <f t="shared" si="13"/>
        <v>3.4099999999999998E-2</v>
      </c>
      <c r="G110" s="23">
        <v>6.3E-3</v>
      </c>
      <c r="H110" s="23">
        <f t="shared" si="15"/>
        <v>3.7199999999999997E-2</v>
      </c>
      <c r="L110" s="17">
        <v>71</v>
      </c>
      <c r="N110" s="17">
        <v>64</v>
      </c>
      <c r="O110" s="17">
        <v>69651700055</v>
      </c>
      <c r="P110" s="16">
        <f t="shared" si="17"/>
        <v>-587902942847</v>
      </c>
      <c r="Q110" s="17">
        <v>42444610055</v>
      </c>
      <c r="R110" s="16">
        <f t="shared" si="18"/>
        <v>154742557153</v>
      </c>
      <c r="S110" s="17">
        <v>51</v>
      </c>
      <c r="T110" s="17">
        <f t="shared" si="12"/>
        <v>119</v>
      </c>
      <c r="U110" s="17">
        <v>68</v>
      </c>
      <c r="V110" s="17">
        <v>435304200000</v>
      </c>
      <c r="W110" s="17">
        <f t="shared" si="14"/>
        <v>256934428000</v>
      </c>
      <c r="X110" s="17">
        <v>43</v>
      </c>
      <c r="Y110" s="17">
        <v>51</v>
      </c>
      <c r="Z110" s="26">
        <v>0.32030000000000003</v>
      </c>
      <c r="AA110" s="34">
        <v>82.8</v>
      </c>
    </row>
    <row r="111" spans="1:28" x14ac:dyDescent="0.2">
      <c r="A111" s="22">
        <v>45308</v>
      </c>
      <c r="B111" s="23">
        <v>-5.0000000000000001E-4</v>
      </c>
      <c r="C111" s="23">
        <f t="shared" si="13"/>
        <v>2.8499999999999998E-2</v>
      </c>
      <c r="G111" s="23">
        <v>-3.0999999999999999E-3</v>
      </c>
      <c r="H111" s="23">
        <f t="shared" si="15"/>
        <v>3.0899999999999997E-2</v>
      </c>
      <c r="L111" s="17">
        <v>66</v>
      </c>
      <c r="N111" s="17">
        <v>65</v>
      </c>
      <c r="O111" s="17">
        <v>191412433815</v>
      </c>
      <c r="P111" s="16">
        <f t="shared" si="17"/>
        <v>-657554642902</v>
      </c>
      <c r="Q111" s="17">
        <v>291635273815</v>
      </c>
      <c r="R111" s="16">
        <f t="shared" si="18"/>
        <v>112297947098</v>
      </c>
      <c r="S111" s="17">
        <v>19</v>
      </c>
      <c r="T111" s="17">
        <f t="shared" si="12"/>
        <v>111</v>
      </c>
      <c r="U111" s="17">
        <v>92</v>
      </c>
      <c r="V111" s="17">
        <v>-170667139000</v>
      </c>
      <c r="W111" s="17">
        <f t="shared" si="14"/>
        <v>-178369772000</v>
      </c>
      <c r="X111" s="17">
        <v>24</v>
      </c>
      <c r="Y111" s="17">
        <v>56</v>
      </c>
      <c r="Z111" s="26">
        <v>0.33529999999999999</v>
      </c>
      <c r="AA111" s="34">
        <v>82.6</v>
      </c>
    </row>
    <row r="112" spans="1:28" x14ac:dyDescent="0.2">
      <c r="A112" s="22">
        <v>45307</v>
      </c>
      <c r="B112" s="23">
        <v>7.7999999999999996E-3</v>
      </c>
      <c r="C112" s="23">
        <f t="shared" si="13"/>
        <v>2.8999999999999998E-2</v>
      </c>
      <c r="G112" s="23">
        <v>7.7000000000000002E-3</v>
      </c>
      <c r="H112" s="23">
        <f t="shared" si="15"/>
        <v>3.3999999999999996E-2</v>
      </c>
      <c r="L112" s="17">
        <v>63</v>
      </c>
      <c r="N112" s="17">
        <v>63</v>
      </c>
      <c r="O112" s="17">
        <v>52772819266</v>
      </c>
      <c r="P112" s="16">
        <f t="shared" si="17"/>
        <v>-848967076717</v>
      </c>
      <c r="Q112" s="17">
        <v>88283739266</v>
      </c>
      <c r="R112" s="16">
        <f t="shared" si="18"/>
        <v>-179337326717</v>
      </c>
      <c r="S112" s="17">
        <v>36</v>
      </c>
      <c r="T112" s="17">
        <f t="shared" si="12"/>
        <v>65</v>
      </c>
      <c r="U112" s="17">
        <v>29</v>
      </c>
      <c r="V112" s="17">
        <v>59044813000</v>
      </c>
      <c r="W112" s="17">
        <f t="shared" si="14"/>
        <v>-7702633000</v>
      </c>
      <c r="X112" s="17">
        <v>54</v>
      </c>
      <c r="Y112" s="17">
        <v>30</v>
      </c>
      <c r="Z112" s="26">
        <v>0.36820000000000003</v>
      </c>
      <c r="AA112" s="34">
        <v>82.5</v>
      </c>
    </row>
    <row r="113" spans="1:27" x14ac:dyDescent="0.2">
      <c r="A113" s="22">
        <v>45306</v>
      </c>
      <c r="B113" s="23">
        <v>-5.0000000000000001E-4</v>
      </c>
      <c r="C113" s="23">
        <f t="shared" si="13"/>
        <v>2.12E-2</v>
      </c>
      <c r="G113" s="23">
        <v>-2E-3</v>
      </c>
      <c r="H113" s="23">
        <f t="shared" si="15"/>
        <v>2.6299999999999997E-2</v>
      </c>
      <c r="L113" s="17">
        <v>56</v>
      </c>
      <c r="N113" s="17">
        <v>71</v>
      </c>
      <c r="O113" s="17">
        <v>24392645189</v>
      </c>
      <c r="P113" s="16">
        <f t="shared" si="17"/>
        <v>-901739895983</v>
      </c>
      <c r="Q113" s="17">
        <v>41934295189</v>
      </c>
      <c r="R113" s="16">
        <f t="shared" si="18"/>
        <v>-267621065983</v>
      </c>
      <c r="S113" s="17">
        <v>36</v>
      </c>
      <c r="T113" s="17">
        <f t="shared" si="12"/>
        <v>52</v>
      </c>
      <c r="U113" s="17">
        <v>16</v>
      </c>
      <c r="V113" s="17">
        <v>207725095000</v>
      </c>
      <c r="W113" s="17">
        <f t="shared" si="14"/>
        <v>-66747446000</v>
      </c>
      <c r="X113" s="17">
        <v>17</v>
      </c>
      <c r="Y113" s="17">
        <v>75</v>
      </c>
      <c r="Z113" s="26">
        <v>0.36749999999999999</v>
      </c>
      <c r="AA113" s="34">
        <v>82.6</v>
      </c>
    </row>
    <row r="114" spans="1:27" x14ac:dyDescent="0.2">
      <c r="A114" s="24">
        <v>45303</v>
      </c>
      <c r="B114" s="23">
        <v>-6.4999999999999997E-3</v>
      </c>
      <c r="C114" s="23">
        <f t="shared" si="13"/>
        <v>2.1700000000000001E-2</v>
      </c>
      <c r="G114" s="23">
        <v>1E-4</v>
      </c>
      <c r="H114" s="23">
        <f t="shared" si="15"/>
        <v>2.8299999999999999E-2</v>
      </c>
      <c r="L114" s="17">
        <v>68</v>
      </c>
      <c r="N114" s="17">
        <v>61</v>
      </c>
      <c r="O114" s="17">
        <v>-51248750301</v>
      </c>
      <c r="P114" s="16">
        <f t="shared" si="17"/>
        <v>-926132541172</v>
      </c>
      <c r="Q114" s="17">
        <v>-32196020301</v>
      </c>
      <c r="R114" s="16">
        <f t="shared" si="18"/>
        <v>-309555361172</v>
      </c>
      <c r="S114" s="17">
        <v>30</v>
      </c>
      <c r="T114" s="17">
        <f t="shared" si="12"/>
        <v>111</v>
      </c>
      <c r="U114" s="17">
        <v>81</v>
      </c>
      <c r="V114" s="17">
        <v>-379706340000</v>
      </c>
      <c r="W114" s="17">
        <f t="shared" si="14"/>
        <v>-274472541000</v>
      </c>
      <c r="X114" s="17">
        <v>9</v>
      </c>
      <c r="Y114" s="17">
        <v>85</v>
      </c>
      <c r="Z114" s="26">
        <v>0.35460000000000003</v>
      </c>
      <c r="AA114" s="34">
        <v>82.6</v>
      </c>
    </row>
    <row r="115" spans="1:27" x14ac:dyDescent="0.2">
      <c r="A115" s="24">
        <v>45302</v>
      </c>
      <c r="B115" s="23">
        <v>5.9999999999999995E-4</v>
      </c>
      <c r="C115" s="23">
        <f t="shared" si="13"/>
        <v>2.8199999999999999E-2</v>
      </c>
      <c r="G115" s="23">
        <v>8.0000000000000004E-4</v>
      </c>
      <c r="H115" s="23">
        <f t="shared" si="15"/>
        <v>2.8199999999999999E-2</v>
      </c>
      <c r="L115" s="17">
        <v>66</v>
      </c>
      <c r="N115" s="17">
        <v>62</v>
      </c>
      <c r="O115" s="17">
        <v>104027723444</v>
      </c>
      <c r="P115" s="16">
        <f t="shared" si="17"/>
        <v>-874883790871</v>
      </c>
      <c r="Q115" s="17">
        <v>171260793444</v>
      </c>
      <c r="R115" s="16">
        <f t="shared" si="18"/>
        <v>-277359340871</v>
      </c>
      <c r="S115" s="17">
        <v>19</v>
      </c>
      <c r="T115" s="17">
        <f t="shared" si="12"/>
        <v>24</v>
      </c>
      <c r="U115" s="17">
        <v>5</v>
      </c>
      <c r="V115" s="17">
        <v>-134937700000</v>
      </c>
      <c r="W115" s="17">
        <f t="shared" si="14"/>
        <v>105233799000</v>
      </c>
      <c r="X115" s="17">
        <v>17</v>
      </c>
      <c r="Y115" s="17">
        <v>69</v>
      </c>
      <c r="Z115" s="26">
        <v>0.33390000000000003</v>
      </c>
      <c r="AA115" s="34">
        <v>91.8</v>
      </c>
    </row>
    <row r="116" spans="1:27" x14ac:dyDescent="0.2">
      <c r="A116" s="24">
        <v>45301</v>
      </c>
      <c r="B116" s="23">
        <v>2.5000000000000001E-3</v>
      </c>
      <c r="C116" s="23">
        <f t="shared" si="13"/>
        <v>2.76E-2</v>
      </c>
      <c r="G116" s="23">
        <v>2.0999999999999999E-3</v>
      </c>
      <c r="H116" s="23">
        <f t="shared" si="15"/>
        <v>2.7400000000000001E-2</v>
      </c>
      <c r="L116" s="17">
        <v>74</v>
      </c>
      <c r="N116" s="17">
        <v>62</v>
      </c>
      <c r="O116" s="17">
        <v>-199155060394</v>
      </c>
      <c r="P116" s="16">
        <f t="shared" si="17"/>
        <v>-978911514315</v>
      </c>
      <c r="Q116" s="17">
        <v>-123533970394</v>
      </c>
      <c r="R116" s="16">
        <f t="shared" si="18"/>
        <v>-448620134315</v>
      </c>
      <c r="S116" s="17">
        <v>12</v>
      </c>
      <c r="T116" s="17">
        <f t="shared" si="12"/>
        <v>31</v>
      </c>
      <c r="U116" s="17">
        <v>19</v>
      </c>
      <c r="V116" s="17">
        <v>-198205025000</v>
      </c>
      <c r="W116" s="17">
        <f t="shared" si="14"/>
        <v>240171499000</v>
      </c>
      <c r="X116" s="17">
        <v>16</v>
      </c>
      <c r="Y116" s="17">
        <v>77</v>
      </c>
      <c r="Z116" s="26">
        <v>0.37070000000000003</v>
      </c>
      <c r="AA116" s="34">
        <v>91.5</v>
      </c>
    </row>
    <row r="117" spans="1:27" x14ac:dyDescent="0.2">
      <c r="A117" s="24">
        <v>45300</v>
      </c>
      <c r="B117" s="23">
        <v>-1.4E-3</v>
      </c>
      <c r="C117" s="23">
        <f t="shared" si="13"/>
        <v>2.5100000000000001E-2</v>
      </c>
      <c r="G117" s="23">
        <v>-2.8E-3</v>
      </c>
      <c r="H117" s="23">
        <f t="shared" si="15"/>
        <v>2.53E-2</v>
      </c>
      <c r="L117" s="17">
        <v>74</v>
      </c>
      <c r="N117" s="17">
        <v>60</v>
      </c>
      <c r="O117" s="17">
        <v>-106567673803</v>
      </c>
      <c r="P117" s="16">
        <f t="shared" si="17"/>
        <v>-779756453921</v>
      </c>
      <c r="Q117" s="17">
        <v>-31660023803</v>
      </c>
      <c r="R117" s="16">
        <f t="shared" si="18"/>
        <v>-325086163921</v>
      </c>
      <c r="S117" s="17">
        <v>19</v>
      </c>
      <c r="T117" s="17">
        <f t="shared" si="12"/>
        <v>28</v>
      </c>
      <c r="U117" s="17">
        <v>9</v>
      </c>
      <c r="V117" s="17">
        <v>80559826000</v>
      </c>
      <c r="W117" s="17">
        <f t="shared" si="14"/>
        <v>438376524000</v>
      </c>
      <c r="X117" s="17">
        <v>22</v>
      </c>
      <c r="Y117" s="17">
        <v>63</v>
      </c>
      <c r="Z117" s="26">
        <v>0.27960000000000002</v>
      </c>
      <c r="AA117" s="34">
        <v>91.2</v>
      </c>
    </row>
    <row r="118" spans="1:27" x14ac:dyDescent="0.2">
      <c r="A118" s="24">
        <v>45299</v>
      </c>
      <c r="B118" s="23">
        <v>4.7999999999999996E-3</v>
      </c>
      <c r="C118" s="23">
        <f t="shared" si="13"/>
        <v>2.6499999999999999E-2</v>
      </c>
      <c r="G118" s="23">
        <v>2E-3</v>
      </c>
      <c r="H118" s="23">
        <f t="shared" si="15"/>
        <v>2.81E-2</v>
      </c>
      <c r="L118" s="17">
        <v>66</v>
      </c>
      <c r="N118" s="17">
        <v>66</v>
      </c>
      <c r="O118" s="17">
        <v>-204815712671</v>
      </c>
      <c r="P118" s="16">
        <f t="shared" si="17"/>
        <v>-673188780118</v>
      </c>
      <c r="Q118" s="17">
        <v>-141802292671</v>
      </c>
      <c r="R118" s="16">
        <f t="shared" si="18"/>
        <v>-293426140118</v>
      </c>
      <c r="S118" s="17">
        <v>16</v>
      </c>
      <c r="T118" s="17">
        <f t="shared" si="12"/>
        <v>24</v>
      </c>
      <c r="U118" s="17">
        <v>8</v>
      </c>
      <c r="V118" s="17">
        <v>81748371000</v>
      </c>
      <c r="W118" s="17">
        <f t="shared" si="14"/>
        <v>357816698000</v>
      </c>
      <c r="X118" s="17">
        <v>22</v>
      </c>
      <c r="Y118" s="17">
        <v>69</v>
      </c>
      <c r="Z118" s="26">
        <v>0.30609999999999998</v>
      </c>
      <c r="AA118" s="34">
        <v>93.8</v>
      </c>
    </row>
    <row r="119" spans="1:27" x14ac:dyDescent="0.2">
      <c r="A119" s="24">
        <v>45296</v>
      </c>
      <c r="B119" s="23">
        <v>3.3999999999999998E-3</v>
      </c>
      <c r="C119" s="23">
        <f t="shared" si="13"/>
        <v>2.1700000000000001E-2</v>
      </c>
      <c r="G119" s="23">
        <v>4.1000000000000003E-3</v>
      </c>
      <c r="H119" s="23">
        <f t="shared" si="15"/>
        <v>2.6099999999999998E-2</v>
      </c>
      <c r="L119" s="17">
        <v>42</v>
      </c>
      <c r="N119" s="17">
        <v>67</v>
      </c>
      <c r="O119" s="17">
        <v>-321896722031</v>
      </c>
      <c r="P119" s="16">
        <f t="shared" si="17"/>
        <v>-468373067447</v>
      </c>
      <c r="Q119" s="17">
        <v>-181446052031</v>
      </c>
      <c r="R119" s="16">
        <f t="shared" si="18"/>
        <v>-151623847447</v>
      </c>
      <c r="S119" s="17">
        <v>22</v>
      </c>
      <c r="T119" s="17">
        <f t="shared" si="12"/>
        <v>29</v>
      </c>
      <c r="U119" s="17">
        <v>7</v>
      </c>
      <c r="V119" s="17">
        <v>93428911000</v>
      </c>
      <c r="W119" s="17">
        <f t="shared" si="14"/>
        <v>276068327000</v>
      </c>
      <c r="X119" s="17">
        <v>25</v>
      </c>
      <c r="Y119" s="17">
        <v>63</v>
      </c>
      <c r="Z119" s="26">
        <v>0.29699999999999999</v>
      </c>
      <c r="AA119" s="34">
        <v>86.7</v>
      </c>
    </row>
    <row r="120" spans="1:27" x14ac:dyDescent="0.2">
      <c r="A120" s="24">
        <v>45295</v>
      </c>
      <c r="B120" s="23">
        <v>5.7000000000000002E-3</v>
      </c>
      <c r="C120" s="23">
        <f t="shared" si="13"/>
        <v>1.83E-2</v>
      </c>
      <c r="G120" s="23">
        <v>1.01E-2</v>
      </c>
      <c r="H120" s="23">
        <f t="shared" si="15"/>
        <v>2.1999999999999999E-2</v>
      </c>
      <c r="L120" s="17">
        <v>53</v>
      </c>
      <c r="N120" s="17">
        <v>56</v>
      </c>
      <c r="O120" s="17">
        <v>14473737182</v>
      </c>
      <c r="P120" s="16">
        <f t="shared" si="17"/>
        <v>-146476345416</v>
      </c>
      <c r="Q120" s="17">
        <v>117343897182</v>
      </c>
      <c r="R120" s="16">
        <f t="shared" si="18"/>
        <v>29822204584</v>
      </c>
      <c r="S120" s="17">
        <v>31</v>
      </c>
      <c r="T120" s="17">
        <f t="shared" si="12"/>
        <v>35</v>
      </c>
      <c r="U120" s="17">
        <v>4</v>
      </c>
      <c r="V120" s="17">
        <v>543935814000</v>
      </c>
      <c r="W120" s="17">
        <f t="shared" si="14"/>
        <v>182639416000</v>
      </c>
      <c r="X120" s="17">
        <v>35</v>
      </c>
      <c r="Y120" s="17">
        <v>54</v>
      </c>
      <c r="Z120" s="26">
        <v>0.36979999999999996</v>
      </c>
      <c r="AA120" s="34">
        <v>80</v>
      </c>
    </row>
    <row r="121" spans="1:27" x14ac:dyDescent="0.2">
      <c r="A121" s="24">
        <v>45294</v>
      </c>
      <c r="B121" s="23">
        <v>1.0999999999999999E-2</v>
      </c>
      <c r="C121" s="23">
        <f>B121+C122</f>
        <v>1.26E-2</v>
      </c>
      <c r="G121" s="23">
        <v>1.17E-2</v>
      </c>
      <c r="H121" s="23">
        <f>G121+H122</f>
        <v>1.1900000000000001E-2</v>
      </c>
      <c r="L121" s="17">
        <v>42</v>
      </c>
      <c r="N121" s="17">
        <v>65</v>
      </c>
      <c r="O121" s="17">
        <v>3414941691</v>
      </c>
      <c r="P121" s="16">
        <f t="shared" ref="P121" si="19">O121+P122</f>
        <v>-160950082598</v>
      </c>
      <c r="Q121" s="17">
        <v>13353661691</v>
      </c>
      <c r="R121" s="16">
        <f>Q121+R122</f>
        <v>-87521692598</v>
      </c>
      <c r="S121" s="17">
        <v>9</v>
      </c>
      <c r="T121" s="17">
        <f t="shared" si="12"/>
        <v>25</v>
      </c>
      <c r="U121" s="17">
        <v>16</v>
      </c>
      <c r="V121" s="17">
        <v>-317844600000</v>
      </c>
      <c r="W121" s="17">
        <f>V121+W122</f>
        <v>-361296398000</v>
      </c>
      <c r="X121" s="17">
        <v>47</v>
      </c>
      <c r="Y121" s="17">
        <v>31</v>
      </c>
      <c r="Z121" s="26">
        <v>0.27639999999999998</v>
      </c>
      <c r="AA121" s="34">
        <v>71.099999999999994</v>
      </c>
    </row>
    <row r="122" spans="1:27" x14ac:dyDescent="0.2">
      <c r="A122" s="24">
        <v>45293</v>
      </c>
      <c r="B122" s="23">
        <v>1.6000000000000001E-3</v>
      </c>
      <c r="C122" s="23">
        <f>B122</f>
        <v>1.6000000000000001E-3</v>
      </c>
      <c r="G122" s="23">
        <v>2.0000000000000001E-4</v>
      </c>
      <c r="H122" s="23">
        <f>G122</f>
        <v>2.0000000000000001E-4</v>
      </c>
      <c r="L122" s="17">
        <v>54</v>
      </c>
      <c r="N122" s="17">
        <v>57</v>
      </c>
      <c r="O122" s="17">
        <v>-164365024289</v>
      </c>
      <c r="P122" s="16">
        <f>O122</f>
        <v>-164365024289</v>
      </c>
      <c r="Q122" s="17">
        <v>-100875354289</v>
      </c>
      <c r="R122" s="16">
        <f>Q122</f>
        <v>-100875354289</v>
      </c>
      <c r="S122" s="17">
        <v>14</v>
      </c>
      <c r="T122" s="17">
        <f t="shared" si="12"/>
        <v>31</v>
      </c>
      <c r="U122" s="17">
        <v>17</v>
      </c>
      <c r="V122" s="17">
        <v>-43451798000</v>
      </c>
      <c r="W122" s="17">
        <f>V122</f>
        <v>-43451798000</v>
      </c>
      <c r="X122" s="17">
        <v>17</v>
      </c>
      <c r="Y122" s="17">
        <v>78</v>
      </c>
      <c r="Z122" s="26">
        <v>0.25540000000000002</v>
      </c>
      <c r="AA122" s="34">
        <v>61.9</v>
      </c>
    </row>
    <row r="123" spans="1:27" x14ac:dyDescent="0.2">
      <c r="O123" s="16"/>
      <c r="P123" s="16"/>
      <c r="Q123" s="16"/>
      <c r="R123" s="16"/>
      <c r="V123" s="16"/>
      <c r="X123" s="17"/>
    </row>
    <row r="129" spans="1:1" x14ac:dyDescent="0.2">
      <c r="A129" s="24"/>
    </row>
    <row r="130" spans="1:1" x14ac:dyDescent="0.2">
      <c r="A130" s="24"/>
    </row>
    <row r="131" spans="1:1" x14ac:dyDescent="0.2">
      <c r="A131" s="24"/>
    </row>
    <row r="132" spans="1:1" x14ac:dyDescent="0.2">
      <c r="A132" s="24"/>
    </row>
    <row r="133" spans="1:1" x14ac:dyDescent="0.2">
      <c r="A133" s="24"/>
    </row>
    <row r="134" spans="1:1" x14ac:dyDescent="0.2">
      <c r="A134" s="24"/>
    </row>
    <row r="135" spans="1:1" x14ac:dyDescent="0.2">
      <c r="A135" s="24"/>
    </row>
    <row r="136" spans="1:1" x14ac:dyDescent="0.2">
      <c r="A136" s="24"/>
    </row>
    <row r="137" spans="1:1" x14ac:dyDescent="0.2">
      <c r="A137" s="24"/>
    </row>
    <row r="138" spans="1:1" x14ac:dyDescent="0.2">
      <c r="A138" s="24"/>
    </row>
  </sheetData>
  <mergeCells count="6">
    <mergeCell ref="AA1:AB1"/>
    <mergeCell ref="B1:F1"/>
    <mergeCell ref="G1:K1"/>
    <mergeCell ref="L1:P1"/>
    <mergeCell ref="S1:W1"/>
    <mergeCell ref="X1:Y1"/>
  </mergeCells>
  <conditionalFormatting sqref="S29:S122">
    <cfRule type="cellIs" dxfId="303" priority="99" operator="greaterThan">
      <formula>$U29</formula>
    </cfRule>
  </conditionalFormatting>
  <conditionalFormatting sqref="L35:L122">
    <cfRule type="cellIs" dxfId="302" priority="97" operator="greaterThan">
      <formula>$N35</formula>
    </cfRule>
  </conditionalFormatting>
  <conditionalFormatting sqref="O3:O122">
    <cfRule type="cellIs" dxfId="301" priority="94" operator="lessThan">
      <formula>0</formula>
    </cfRule>
    <cfRule type="cellIs" dxfId="300" priority="95" operator="greaterThan">
      <formula>0</formula>
    </cfRule>
  </conditionalFormatting>
  <conditionalFormatting sqref="V3:V122">
    <cfRule type="cellIs" dxfId="299" priority="92" operator="lessThan">
      <formula>0</formula>
    </cfRule>
    <cfRule type="cellIs" dxfId="298" priority="93" operator="greaterThan">
      <formula>0</formula>
    </cfRule>
  </conditionalFormatting>
  <conditionalFormatting sqref="D26:D104">
    <cfRule type="cellIs" dxfId="297" priority="91" operator="greaterThan">
      <formula>$E26+$F26</formula>
    </cfRule>
  </conditionalFormatting>
  <conditionalFormatting sqref="F30:F104">
    <cfRule type="cellIs" dxfId="296" priority="90" operator="greaterThan">
      <formula>$D30+$E30</formula>
    </cfRule>
  </conditionalFormatting>
  <conditionalFormatting sqref="I26:I104">
    <cfRule type="cellIs" dxfId="295" priority="89" operator="greaterThan">
      <formula>$J26+$K26+2</formula>
    </cfRule>
  </conditionalFormatting>
  <conditionalFormatting sqref="K30:K104">
    <cfRule type="cellIs" dxfId="294" priority="88" operator="greaterThan">
      <formula>$J30+$I30</formula>
    </cfRule>
  </conditionalFormatting>
  <conditionalFormatting sqref="U43:U122">
    <cfRule type="cellIs" dxfId="293" priority="87" operator="greaterThan">
      <formula>$S43</formula>
    </cfRule>
  </conditionalFormatting>
  <conditionalFormatting sqref="N16:N122">
    <cfRule type="cellIs" dxfId="292" priority="86" operator="greaterThan">
      <formula>$L16</formula>
    </cfRule>
  </conditionalFormatting>
  <conditionalFormatting sqref="U30:U41">
    <cfRule type="cellIs" dxfId="291" priority="85" operator="greaterThan">
      <formula>$S30</formula>
    </cfRule>
  </conditionalFormatting>
  <conditionalFormatting sqref="Q3:Q122">
    <cfRule type="cellIs" dxfId="290" priority="81" operator="lessThan">
      <formula>0</formula>
    </cfRule>
    <cfRule type="cellIs" dxfId="289" priority="82" operator="greaterThan">
      <formula>0</formula>
    </cfRule>
  </conditionalFormatting>
  <conditionalFormatting sqref="F28">
    <cfRule type="cellIs" dxfId="288" priority="80" operator="greaterThan">
      <formula>$D28+$E28</formula>
    </cfRule>
  </conditionalFormatting>
  <conditionalFormatting sqref="K28">
    <cfRule type="cellIs" dxfId="287" priority="79" operator="greaterThan">
      <formula>$J28+$I28</formula>
    </cfRule>
  </conditionalFormatting>
  <conditionalFormatting sqref="U25:U28">
    <cfRule type="cellIs" dxfId="286" priority="78" operator="greaterThan">
      <formula>$S25</formula>
    </cfRule>
  </conditionalFormatting>
  <conditionalFormatting sqref="K23:K25">
    <cfRule type="cellIs" dxfId="285" priority="77" operator="greaterThan">
      <formula>$J23+$I23</formula>
    </cfRule>
  </conditionalFormatting>
  <conditionalFormatting sqref="F16:F25">
    <cfRule type="cellIs" dxfId="284" priority="76" operator="greaterThan">
      <formula>$D16+$E16</formula>
    </cfRule>
  </conditionalFormatting>
  <conditionalFormatting sqref="S22:S24">
    <cfRule type="cellIs" dxfId="283" priority="69" operator="greaterThan">
      <formula>$U22</formula>
    </cfRule>
  </conditionalFormatting>
  <conditionalFormatting sqref="X23:X123">
    <cfRule type="cellIs" dxfId="282" priority="68" operator="greaterThan">
      <formula>Y23*3</formula>
    </cfRule>
  </conditionalFormatting>
  <conditionalFormatting sqref="Y23:Y122">
    <cfRule type="cellIs" dxfId="281" priority="67" operator="greaterThan">
      <formula>X23*3</formula>
    </cfRule>
  </conditionalFormatting>
  <conditionalFormatting sqref="Z3:Z122">
    <cfRule type="cellIs" dxfId="280" priority="65" operator="lessThan">
      <formula>0.26</formula>
    </cfRule>
    <cfRule type="cellIs" dxfId="279" priority="66" operator="greaterThan">
      <formula>0.33</formula>
    </cfRule>
  </conditionalFormatting>
  <conditionalFormatting sqref="AA3:AA108">
    <cfRule type="cellIs" dxfId="278" priority="63" operator="greaterThan">
      <formula>AB3+AB3*0.25</formula>
    </cfRule>
    <cfRule type="cellIs" dxfId="277" priority="64" operator="lessThan">
      <formula>AB3-AB3*0.25</formula>
    </cfRule>
  </conditionalFormatting>
  <conditionalFormatting sqref="D22">
    <cfRule type="cellIs" dxfId="276" priority="62" operator="greaterThan">
      <formula>$E22+$F22</formula>
    </cfRule>
  </conditionalFormatting>
  <conditionalFormatting sqref="I21:I22">
    <cfRule type="cellIs" dxfId="275" priority="61" operator="greaterThan">
      <formula>$J21+$K21+2</formula>
    </cfRule>
  </conditionalFormatting>
  <conditionalFormatting sqref="F21">
    <cfRule type="cellIs" dxfId="274" priority="60" operator="greaterThan">
      <formula>$D21+$E21</formula>
    </cfRule>
  </conditionalFormatting>
  <conditionalFormatting sqref="U21">
    <cfRule type="cellIs" dxfId="273" priority="59" operator="greaterThan">
      <formula>$S21</formula>
    </cfRule>
  </conditionalFormatting>
  <conditionalFormatting sqref="S20">
    <cfRule type="cellIs" dxfId="272" priority="58" operator="greaterThan">
      <formula>$U20</formula>
    </cfRule>
  </conditionalFormatting>
  <conditionalFormatting sqref="Y20">
    <cfRule type="cellIs" dxfId="271" priority="56" operator="greaterThan">
      <formula>X20*3</formula>
    </cfRule>
  </conditionalFormatting>
  <conditionalFormatting sqref="F20">
    <cfRule type="cellIs" dxfId="270" priority="55" operator="greaterThan">
      <formula>$D20+$E20</formula>
    </cfRule>
  </conditionalFormatting>
  <conditionalFormatting sqref="K20">
    <cfRule type="cellIs" dxfId="269" priority="54" operator="greaterThan">
      <formula>$J20+$I20</formula>
    </cfRule>
  </conditionalFormatting>
  <conditionalFormatting sqref="Z20">
    <cfRule type="cellIs" dxfId="268" priority="52" operator="lessThan">
      <formula>0.25</formula>
    </cfRule>
    <cfRule type="cellIs" dxfId="267" priority="53" operator="greaterThan">
      <formula>0.31</formula>
    </cfRule>
  </conditionalFormatting>
  <conditionalFormatting sqref="Y18:Y19">
    <cfRule type="cellIs" dxfId="266" priority="49" operator="greaterThan">
      <formula>X18*3</formula>
    </cfRule>
  </conditionalFormatting>
  <conditionalFormatting sqref="U19">
    <cfRule type="cellIs" dxfId="265" priority="48" operator="greaterThan">
      <formula>$S19</formula>
    </cfRule>
  </conditionalFormatting>
  <conditionalFormatting sqref="I19">
    <cfRule type="cellIs" dxfId="264" priority="47" operator="greaterThan">
      <formula>$J19+$K19+2</formula>
    </cfRule>
  </conditionalFormatting>
  <conditionalFormatting sqref="F19">
    <cfRule type="cellIs" dxfId="263" priority="46" operator="greaterThan">
      <formula>$D19+$E19</formula>
    </cfRule>
  </conditionalFormatting>
  <conditionalFormatting sqref="D18">
    <cfRule type="cellIs" dxfId="262" priority="45" operator="greaterThan">
      <formula>$E18+$F18</formula>
    </cfRule>
  </conditionalFormatting>
  <conditionalFormatting sqref="S16:S18">
    <cfRule type="cellIs" dxfId="261" priority="44" operator="greaterThan">
      <formula>$U16</formula>
    </cfRule>
  </conditionalFormatting>
  <conditionalFormatting sqref="D17">
    <cfRule type="cellIs" dxfId="260" priority="43" operator="greaterThan">
      <formula>$E17+$F17</formula>
    </cfRule>
  </conditionalFormatting>
  <conditionalFormatting sqref="Y12:Y16">
    <cfRule type="cellIs" dxfId="259" priority="42" operator="greaterThan">
      <formula>X12*3</formula>
    </cfRule>
  </conditionalFormatting>
  <conditionalFormatting sqref="K16">
    <cfRule type="cellIs" dxfId="258" priority="41" operator="greaterThan">
      <formula>$J16+$I16</formula>
    </cfRule>
  </conditionalFormatting>
  <conditionalFormatting sqref="L15">
    <cfRule type="cellIs" dxfId="257" priority="40" operator="greaterThan">
      <formula>$N15</formula>
    </cfRule>
  </conditionalFormatting>
  <conditionalFormatting sqref="I15">
    <cfRule type="cellIs" dxfId="256" priority="39" operator="greaterThan">
      <formula>$J15+$K15+2</formula>
    </cfRule>
  </conditionalFormatting>
  <conditionalFormatting sqref="D14:D15">
    <cfRule type="cellIs" dxfId="255" priority="38" operator="greaterThan">
      <formula>$E14+$F14</formula>
    </cfRule>
  </conditionalFormatting>
  <conditionalFormatting sqref="N14">
    <cfRule type="cellIs" dxfId="254" priority="37" operator="greaterThan">
      <formula>$L14</formula>
    </cfRule>
  </conditionalFormatting>
  <conditionalFormatting sqref="U13:U15">
    <cfRule type="cellIs" dxfId="253" priority="36" operator="greaterThan">
      <formula>$S13</formula>
    </cfRule>
  </conditionalFormatting>
  <conditionalFormatting sqref="L13">
    <cfRule type="cellIs" dxfId="252" priority="35" operator="greaterThan">
      <formula>$N13</formula>
    </cfRule>
  </conditionalFormatting>
  <conditionalFormatting sqref="K12:K13">
    <cfRule type="cellIs" dxfId="251" priority="34" operator="greaterThan">
      <formula>$J12+$I12</formula>
    </cfRule>
  </conditionalFormatting>
  <conditionalFormatting sqref="F12:F13">
    <cfRule type="cellIs" dxfId="250" priority="33" operator="greaterThan">
      <formula>$D12+$E12</formula>
    </cfRule>
  </conditionalFormatting>
  <conditionalFormatting sqref="S6:S12">
    <cfRule type="cellIs" dxfId="249" priority="32" operator="greaterThan">
      <formula>$U6</formula>
    </cfRule>
  </conditionalFormatting>
  <conditionalFormatting sqref="N7:N12">
    <cfRule type="cellIs" dxfId="248" priority="31" operator="greaterThan">
      <formula>$L7</formula>
    </cfRule>
  </conditionalFormatting>
  <conditionalFormatting sqref="I11">
    <cfRule type="cellIs" dxfId="247" priority="30" operator="greaterThan">
      <formula>$J11+$K11+2</formula>
    </cfRule>
  </conditionalFormatting>
  <conditionalFormatting sqref="D11">
    <cfRule type="cellIs" dxfId="246" priority="29" operator="greaterThan">
      <formula>$E11+$F11</formula>
    </cfRule>
  </conditionalFormatting>
  <conditionalFormatting sqref="Y3:Y10">
    <cfRule type="cellIs" dxfId="245" priority="28" operator="greaterThan">
      <formula>X3*3</formula>
    </cfRule>
  </conditionalFormatting>
  <conditionalFormatting sqref="F10">
    <cfRule type="cellIs" dxfId="244" priority="27" operator="greaterThan">
      <formula>$D10+$E10</formula>
    </cfRule>
  </conditionalFormatting>
  <conditionalFormatting sqref="K7:K8">
    <cfRule type="cellIs" dxfId="243" priority="25" operator="greaterThan">
      <formula>$J7+$I7</formula>
    </cfRule>
  </conditionalFormatting>
  <conditionalFormatting sqref="F8:F9">
    <cfRule type="cellIs" dxfId="242" priority="24" operator="greaterThan">
      <formula>$D8+$E8</formula>
    </cfRule>
  </conditionalFormatting>
  <conditionalFormatting sqref="F7">
    <cfRule type="cellIs" dxfId="241" priority="23" operator="greaterThan">
      <formula>$D7+$E7</formula>
    </cfRule>
  </conditionalFormatting>
  <conditionalFormatting sqref="L7">
    <cfRule type="cellIs" dxfId="240" priority="20" operator="greaterThan">
      <formula>$N7</formula>
    </cfRule>
  </conditionalFormatting>
  <conditionalFormatting sqref="L6">
    <cfRule type="cellIs" dxfId="239" priority="19" operator="greaterThan">
      <formula>$N6</formula>
    </cfRule>
  </conditionalFormatting>
  <conditionalFormatting sqref="I6">
    <cfRule type="cellIs" dxfId="238" priority="18" operator="greaterThan">
      <formula>$J6+$K6+2</formula>
    </cfRule>
  </conditionalFormatting>
  <conditionalFormatting sqref="D6">
    <cfRule type="cellIs" dxfId="237" priority="17" operator="greaterThan">
      <formula>$E6+$F6</formula>
    </cfRule>
  </conditionalFormatting>
  <conditionalFormatting sqref="U5">
    <cfRule type="cellIs" dxfId="236" priority="16" operator="greaterThan">
      <formula>$S5</formula>
    </cfRule>
  </conditionalFormatting>
  <conditionalFormatting sqref="F5">
    <cfRule type="cellIs" dxfId="235" priority="15" operator="greaterThan">
      <formula>$D5+$E5</formula>
    </cfRule>
  </conditionalFormatting>
  <conditionalFormatting sqref="N5">
    <cfRule type="cellIs" dxfId="234" priority="14" operator="greaterThan">
      <formula>$L5</formula>
    </cfRule>
  </conditionalFormatting>
  <conditionalFormatting sqref="S4">
    <cfRule type="cellIs" dxfId="233" priority="11" operator="greaterThan">
      <formula>$U4</formula>
    </cfRule>
  </conditionalFormatting>
  <conditionalFormatting sqref="F4">
    <cfRule type="cellIs" dxfId="232" priority="10" operator="greaterThan">
      <formula>$D4+$E4</formula>
    </cfRule>
  </conditionalFormatting>
  <conditionalFormatting sqref="K4">
    <cfRule type="cellIs" dxfId="231" priority="9" operator="greaterThan">
      <formula>$J4+$I4</formula>
    </cfRule>
  </conditionalFormatting>
  <conditionalFormatting sqref="N3:N4">
    <cfRule type="cellIs" dxfId="230" priority="8" operator="greaterThan">
      <formula>$L3</formula>
    </cfRule>
  </conditionalFormatting>
  <conditionalFormatting sqref="F3">
    <cfRule type="cellIs" dxfId="229" priority="7" operator="greaterThan">
      <formula>$D3+$E3</formula>
    </cfRule>
  </conditionalFormatting>
  <conditionalFormatting sqref="K3">
    <cfRule type="cellIs" dxfId="228" priority="6" operator="greaterThan">
      <formula>$J3+$I3</formula>
    </cfRule>
  </conditionalFormatting>
  <conditionalFormatting sqref="S3">
    <cfRule type="cellIs" dxfId="227" priority="5" operator="greaterThan">
      <formula>$U3</formula>
    </cfRule>
  </conditionalFormatting>
  <conditionalFormatting sqref="T3:T122">
    <cfRule type="cellIs" dxfId="226" priority="2" operator="lessThan">
      <formula>AVERAGE($T2:T12)-AVERAGE($T2:T12)*0.1</formula>
    </cfRule>
  </conditionalFormatting>
  <conditionalFormatting sqref="T3:T122">
    <cfRule type="cellIs" dxfId="225" priority="1" operator="greaterThan">
      <formula>AVERAGE($T2:T12)+AVERAGE($T2:T12)*0.1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sheetPr codeName="Sheet6"/>
  <dimension ref="A1:BP123"/>
  <sheetViews>
    <sheetView topLeftCell="A23" zoomScale="110" zoomScaleNormal="110" workbookViewId="0">
      <pane xSplit="1" topLeftCell="B1" activePane="topRight" state="frozen"/>
      <selection activeCell="A81" sqref="A81"/>
      <selection pane="topRight" activeCell="A49" sqref="A49"/>
    </sheetView>
  </sheetViews>
  <sheetFormatPr baseColWidth="10" defaultRowHeight="16" x14ac:dyDescent="0.2"/>
  <cols>
    <col min="7" max="7" width="11.6640625" bestFit="1" customWidth="1"/>
    <col min="8" max="8" width="15.1640625" customWidth="1"/>
    <col min="11" max="11" width="12.6640625" customWidth="1"/>
    <col min="13" max="13" width="13.33203125" customWidth="1"/>
    <col min="14" max="14" width="13.1640625" customWidth="1"/>
    <col min="30" max="32" width="12.83203125" customWidth="1"/>
    <col min="60" max="62" width="10.1640625" customWidth="1"/>
  </cols>
  <sheetData>
    <row r="1" spans="1:68" x14ac:dyDescent="0.2">
      <c r="A1" s="719" t="s">
        <v>117</v>
      </c>
      <c r="B1" s="719" t="s">
        <v>4</v>
      </c>
      <c r="C1" s="719" t="s">
        <v>124</v>
      </c>
      <c r="D1" s="719" t="s">
        <v>125</v>
      </c>
      <c r="E1" s="720" t="s">
        <v>126</v>
      </c>
      <c r="F1" s="721" t="s">
        <v>127</v>
      </c>
      <c r="G1" s="681"/>
      <c r="H1" s="722"/>
      <c r="I1" s="723" t="s">
        <v>128</v>
      </c>
      <c r="J1" s="678"/>
      <c r="K1" s="724"/>
      <c r="L1" s="725" t="s">
        <v>129</v>
      </c>
      <c r="M1" s="680"/>
      <c r="N1" s="726"/>
      <c r="O1" s="727" t="s">
        <v>130</v>
      </c>
      <c r="P1" s="679"/>
      <c r="Q1" s="728"/>
      <c r="R1" s="729" t="s">
        <v>131</v>
      </c>
      <c r="S1" s="730"/>
      <c r="T1" s="731"/>
      <c r="U1" s="710" t="s">
        <v>132</v>
      </c>
      <c r="V1" s="711"/>
      <c r="W1" s="712"/>
      <c r="X1" s="713" t="s">
        <v>133</v>
      </c>
      <c r="Y1" s="714"/>
      <c r="Z1" s="715"/>
      <c r="AA1" s="716" t="s">
        <v>134</v>
      </c>
      <c r="AB1" s="717"/>
      <c r="AC1" s="718"/>
      <c r="AD1" s="732" t="s">
        <v>135</v>
      </c>
      <c r="AE1" s="733"/>
      <c r="AF1" s="734"/>
      <c r="AG1" s="735" t="s">
        <v>136</v>
      </c>
      <c r="AH1" s="736"/>
      <c r="AI1" s="737"/>
      <c r="AJ1" s="738" t="s">
        <v>137</v>
      </c>
      <c r="AK1" s="739"/>
      <c r="AL1" s="740"/>
      <c r="AM1" s="683" t="s">
        <v>389</v>
      </c>
      <c r="AN1" s="684"/>
      <c r="AO1" s="685"/>
      <c r="AP1" s="686" t="s">
        <v>138</v>
      </c>
      <c r="AQ1" s="687"/>
      <c r="AR1" s="688"/>
      <c r="AS1" s="694" t="s">
        <v>139</v>
      </c>
      <c r="AT1" s="695"/>
      <c r="AU1" s="696"/>
      <c r="AV1" s="697" t="s">
        <v>140</v>
      </c>
      <c r="AW1" s="698"/>
      <c r="AX1" s="699"/>
      <c r="AY1" s="700" t="s">
        <v>359</v>
      </c>
      <c r="AZ1" s="701"/>
      <c r="BA1" s="702"/>
      <c r="BB1" s="703" t="s">
        <v>360</v>
      </c>
      <c r="BC1" s="704"/>
      <c r="BD1" s="705"/>
      <c r="BE1" s="706" t="s">
        <v>361</v>
      </c>
      <c r="BF1" s="707"/>
      <c r="BG1" s="708"/>
      <c r="BH1" s="689" t="s">
        <v>390</v>
      </c>
      <c r="BI1" s="690"/>
      <c r="BJ1" s="691"/>
      <c r="BK1" s="692" t="s">
        <v>391</v>
      </c>
      <c r="BL1" s="692"/>
      <c r="BM1" s="693"/>
      <c r="BN1" s="709" t="s">
        <v>434</v>
      </c>
      <c r="BO1" s="709"/>
      <c r="BP1" s="709"/>
    </row>
    <row r="2" spans="1:68" x14ac:dyDescent="0.2">
      <c r="A2" s="719"/>
      <c r="B2" s="719"/>
      <c r="C2" s="719"/>
      <c r="D2" s="719"/>
      <c r="E2" s="720"/>
      <c r="F2" s="38" t="s">
        <v>427</v>
      </c>
      <c r="G2" s="3" t="s">
        <v>428</v>
      </c>
      <c r="H2" s="39" t="s">
        <v>429</v>
      </c>
      <c r="I2" s="38" t="s">
        <v>427</v>
      </c>
      <c r="J2" s="3" t="s">
        <v>428</v>
      </c>
      <c r="K2" s="39" t="s">
        <v>429</v>
      </c>
      <c r="L2" s="38" t="s">
        <v>427</v>
      </c>
      <c r="M2" s="3" t="s">
        <v>428</v>
      </c>
      <c r="N2" s="39" t="s">
        <v>429</v>
      </c>
      <c r="O2" s="38" t="s">
        <v>427</v>
      </c>
      <c r="P2" s="3" t="s">
        <v>428</v>
      </c>
      <c r="Q2" s="39" t="s">
        <v>429</v>
      </c>
      <c r="R2" s="38" t="s">
        <v>427</v>
      </c>
      <c r="S2" s="3" t="s">
        <v>428</v>
      </c>
      <c r="T2" s="39" t="s">
        <v>429</v>
      </c>
      <c r="U2" s="38" t="s">
        <v>427</v>
      </c>
      <c r="V2" s="3" t="s">
        <v>428</v>
      </c>
      <c r="W2" s="39" t="s">
        <v>429</v>
      </c>
      <c r="X2" s="38" t="s">
        <v>427</v>
      </c>
      <c r="Y2" s="3" t="s">
        <v>428</v>
      </c>
      <c r="Z2" s="39" t="s">
        <v>429</v>
      </c>
      <c r="AA2" s="38" t="s">
        <v>427</v>
      </c>
      <c r="AB2" s="3" t="s">
        <v>428</v>
      </c>
      <c r="AC2" s="39" t="s">
        <v>429</v>
      </c>
      <c r="AD2" s="38" t="s">
        <v>427</v>
      </c>
      <c r="AE2" s="3" t="s">
        <v>428</v>
      </c>
      <c r="AF2" s="39" t="s">
        <v>429</v>
      </c>
      <c r="AG2" s="38" t="s">
        <v>427</v>
      </c>
      <c r="AH2" s="3" t="s">
        <v>428</v>
      </c>
      <c r="AI2" s="39" t="s">
        <v>429</v>
      </c>
      <c r="AJ2" s="38" t="s">
        <v>427</v>
      </c>
      <c r="AK2" s="3" t="s">
        <v>428</v>
      </c>
      <c r="AL2" s="39" t="s">
        <v>429</v>
      </c>
      <c r="AM2" s="38" t="s">
        <v>427</v>
      </c>
      <c r="AN2" s="3" t="s">
        <v>428</v>
      </c>
      <c r="AO2" s="39" t="s">
        <v>429</v>
      </c>
      <c r="AP2" s="38" t="s">
        <v>427</v>
      </c>
      <c r="AQ2" s="3" t="s">
        <v>428</v>
      </c>
      <c r="AR2" s="39" t="s">
        <v>429</v>
      </c>
      <c r="AS2" s="38" t="s">
        <v>427</v>
      </c>
      <c r="AT2" s="3" t="s">
        <v>428</v>
      </c>
      <c r="AU2" s="39" t="s">
        <v>429</v>
      </c>
      <c r="AV2" s="38" t="s">
        <v>427</v>
      </c>
      <c r="AW2" s="3" t="s">
        <v>428</v>
      </c>
      <c r="AX2" s="39" t="s">
        <v>429</v>
      </c>
      <c r="AY2" s="38" t="s">
        <v>427</v>
      </c>
      <c r="AZ2" s="3" t="s">
        <v>428</v>
      </c>
      <c r="BA2" s="39" t="s">
        <v>429</v>
      </c>
      <c r="BB2" s="38" t="s">
        <v>427</v>
      </c>
      <c r="BC2" s="3" t="s">
        <v>428</v>
      </c>
      <c r="BD2" s="39" t="s">
        <v>429</v>
      </c>
      <c r="BE2" s="38" t="s">
        <v>427</v>
      </c>
      <c r="BF2" s="3" t="s">
        <v>428</v>
      </c>
      <c r="BG2" s="39" t="s">
        <v>429</v>
      </c>
      <c r="BH2" s="38" t="s">
        <v>427</v>
      </c>
      <c r="BI2" s="3" t="s">
        <v>428</v>
      </c>
      <c r="BJ2" s="39" t="s">
        <v>429</v>
      </c>
      <c r="BK2" s="3" t="s">
        <v>427</v>
      </c>
      <c r="BL2" s="3" t="s">
        <v>428</v>
      </c>
      <c r="BM2" s="39" t="s">
        <v>429</v>
      </c>
    </row>
    <row r="3" spans="1:68" x14ac:dyDescent="0.2">
      <c r="A3" s="25" t="s">
        <v>440</v>
      </c>
      <c r="B3" s="26">
        <v>0.33380000000000004</v>
      </c>
      <c r="C3" s="26">
        <v>0.35009999999999997</v>
      </c>
      <c r="D3" s="26">
        <v>0.36780000000000002</v>
      </c>
      <c r="E3" s="26">
        <v>8.2100000000000006E-2</v>
      </c>
      <c r="F3" s="40">
        <v>0.23670000000000002</v>
      </c>
      <c r="G3" s="17">
        <v>61708600</v>
      </c>
      <c r="H3" s="41">
        <v>77055200</v>
      </c>
      <c r="I3" s="40">
        <v>8.9399999999999993E-2</v>
      </c>
      <c r="J3" s="17">
        <v>23298300</v>
      </c>
      <c r="K3" s="41">
        <v>49575800</v>
      </c>
      <c r="L3" s="40">
        <v>7.1500000000000008E-2</v>
      </c>
      <c r="M3" s="17">
        <v>22568900</v>
      </c>
      <c r="N3" s="41">
        <v>36167700</v>
      </c>
      <c r="O3" s="26">
        <v>2.3E-2</v>
      </c>
      <c r="P3" s="17">
        <v>6399100</v>
      </c>
      <c r="Q3" s="17">
        <v>14966000</v>
      </c>
      <c r="R3" s="40">
        <v>6.1799999999999994E-2</v>
      </c>
      <c r="S3" s="17">
        <v>13581100</v>
      </c>
      <c r="T3" s="41">
        <v>28181000</v>
      </c>
      <c r="U3" s="40">
        <v>4.0999999999999995E-2</v>
      </c>
      <c r="V3" s="17">
        <v>8651200</v>
      </c>
      <c r="W3" s="41">
        <v>11500400</v>
      </c>
      <c r="X3" s="40">
        <v>3.39E-2</v>
      </c>
      <c r="Y3" s="17">
        <v>10119700</v>
      </c>
      <c r="Z3" s="41">
        <v>18844900</v>
      </c>
      <c r="AA3" s="40">
        <v>3.8199999999999998E-2</v>
      </c>
      <c r="AB3" s="17">
        <v>6921700</v>
      </c>
      <c r="AC3" s="41">
        <v>13013900</v>
      </c>
      <c r="AD3" s="40">
        <v>3.3500000000000002E-2</v>
      </c>
      <c r="AE3" s="17">
        <v>12067700</v>
      </c>
      <c r="AF3" s="41">
        <v>14443400</v>
      </c>
      <c r="AG3" s="40">
        <v>1.21E-2</v>
      </c>
      <c r="AH3" s="17">
        <v>4685500</v>
      </c>
      <c r="AI3" s="41">
        <v>5297900</v>
      </c>
      <c r="AJ3" s="40">
        <v>5.0000000000000001E-3</v>
      </c>
      <c r="AK3" s="17">
        <v>1422400</v>
      </c>
      <c r="AL3" s="41">
        <v>2785900</v>
      </c>
      <c r="AM3" s="40">
        <v>2E-3</v>
      </c>
      <c r="AN3" s="17">
        <v>485300</v>
      </c>
      <c r="AO3" s="41">
        <v>1025200</v>
      </c>
      <c r="AP3" s="40">
        <v>3.0000000000000001E-3</v>
      </c>
      <c r="AQ3" s="17">
        <v>599100</v>
      </c>
      <c r="AR3" s="17">
        <v>1583100</v>
      </c>
      <c r="AS3" s="40">
        <v>2.0299999999999999E-2</v>
      </c>
      <c r="AT3" s="17">
        <v>5859900</v>
      </c>
      <c r="AU3" s="41">
        <v>14173400</v>
      </c>
      <c r="AV3" s="40">
        <v>1.8100000000000002E-2</v>
      </c>
      <c r="AW3" s="17">
        <v>4006000</v>
      </c>
      <c r="AX3" s="41">
        <v>9411000</v>
      </c>
      <c r="AY3" s="40">
        <v>2.2000000000000002E-2</v>
      </c>
      <c r="AZ3" s="17">
        <v>5125500</v>
      </c>
      <c r="BA3" s="41">
        <v>11558100</v>
      </c>
      <c r="BB3" s="40">
        <v>2.2000000000000001E-3</v>
      </c>
      <c r="BC3" s="17">
        <v>526300</v>
      </c>
      <c r="BD3" s="41">
        <v>972300</v>
      </c>
      <c r="BE3" s="26">
        <v>6.0000000000000001E-3</v>
      </c>
      <c r="BF3" s="17">
        <v>1609800</v>
      </c>
      <c r="BG3" s="41">
        <v>3259100</v>
      </c>
      <c r="BH3" s="26">
        <v>9.7999999999999997E-3</v>
      </c>
      <c r="BI3" s="17">
        <v>2670600</v>
      </c>
      <c r="BJ3" s="41">
        <v>5027700</v>
      </c>
      <c r="BK3" s="26">
        <v>1.34E-2</v>
      </c>
      <c r="BL3" s="17">
        <v>4189600</v>
      </c>
      <c r="BM3" s="17">
        <v>7925300</v>
      </c>
    </row>
    <row r="4" spans="1:68" x14ac:dyDescent="0.2">
      <c r="A4" s="25" t="s">
        <v>432</v>
      </c>
      <c r="B4" s="26">
        <v>0.3422</v>
      </c>
      <c r="C4" s="26">
        <v>0.37549999999999994</v>
      </c>
      <c r="D4" s="26">
        <v>0.35960000000000003</v>
      </c>
      <c r="E4" s="26">
        <v>7.8799999999999995E-2</v>
      </c>
      <c r="F4" s="40">
        <v>0.28070000000000001</v>
      </c>
      <c r="G4" s="17">
        <v>43151000</v>
      </c>
      <c r="H4" s="41">
        <v>48337400</v>
      </c>
      <c r="I4" s="40">
        <v>6.4699999999999994E-2</v>
      </c>
      <c r="J4" s="17">
        <v>12560900</v>
      </c>
      <c r="K4" s="41">
        <v>22411600</v>
      </c>
      <c r="L4" s="40">
        <v>9.0399999999999994E-2</v>
      </c>
      <c r="M4" s="17">
        <v>28324500</v>
      </c>
      <c r="N4" s="41">
        <v>22280500</v>
      </c>
      <c r="O4" s="40">
        <v>2.6600000000000002E-2</v>
      </c>
      <c r="P4" s="17">
        <v>8723900</v>
      </c>
      <c r="Q4" s="17">
        <v>7884200</v>
      </c>
      <c r="R4" s="40">
        <v>4.4999999999999998E-2</v>
      </c>
      <c r="S4" s="17">
        <v>9075500</v>
      </c>
      <c r="T4" s="41">
        <v>13883200</v>
      </c>
      <c r="U4" s="40">
        <v>3.1099999999999999E-2</v>
      </c>
      <c r="V4" s="17">
        <v>8574400</v>
      </c>
      <c r="W4" s="17">
        <v>7584000</v>
      </c>
      <c r="X4" s="40">
        <v>2.7099999999999999E-2</v>
      </c>
      <c r="Y4" s="17">
        <v>7144200</v>
      </c>
      <c r="Z4" s="41">
        <v>9087600</v>
      </c>
      <c r="AA4" s="40">
        <v>5.0499999999999996E-2</v>
      </c>
      <c r="AB4" s="17">
        <v>7906500</v>
      </c>
      <c r="AC4" s="41">
        <v>9087800</v>
      </c>
      <c r="AD4" s="40">
        <v>2.81E-2</v>
      </c>
      <c r="AE4" s="17">
        <v>4606300</v>
      </c>
      <c r="AF4" s="41">
        <v>7221600</v>
      </c>
      <c r="AG4" s="40">
        <v>1.8000000000000002E-2</v>
      </c>
      <c r="AH4" s="17">
        <v>6116900</v>
      </c>
      <c r="AI4" s="17">
        <v>4239100</v>
      </c>
      <c r="AJ4" s="26">
        <v>6.0999999999999995E-3</v>
      </c>
      <c r="AK4" s="17">
        <v>1015000</v>
      </c>
      <c r="AL4" s="17">
        <v>1786200</v>
      </c>
      <c r="AM4" s="40">
        <v>2.0999999999999999E-3</v>
      </c>
      <c r="AN4" s="17">
        <v>595800</v>
      </c>
      <c r="AO4" s="17">
        <v>596600</v>
      </c>
      <c r="AP4" s="40">
        <v>2.7000000000000001E-3</v>
      </c>
      <c r="AQ4" s="17">
        <v>525600</v>
      </c>
      <c r="AR4" s="17">
        <v>836700</v>
      </c>
      <c r="AS4" s="40">
        <v>2.4E-2</v>
      </c>
      <c r="AT4" s="17">
        <v>7749700</v>
      </c>
      <c r="AU4" s="17">
        <v>7916500</v>
      </c>
      <c r="AV4" s="40">
        <v>2.4399999999999998E-2</v>
      </c>
      <c r="AW4" s="17">
        <v>7479300</v>
      </c>
      <c r="AX4" s="17">
        <v>6017400</v>
      </c>
      <c r="AY4" s="40">
        <v>1.3999999999999999E-2</v>
      </c>
      <c r="AZ4" s="17">
        <v>2810100</v>
      </c>
      <c r="BA4" s="41">
        <v>4390400</v>
      </c>
      <c r="BB4" s="40">
        <v>7.6E-3</v>
      </c>
      <c r="BC4" s="17">
        <v>1768100</v>
      </c>
      <c r="BD4" s="17">
        <v>1389200</v>
      </c>
      <c r="BE4" s="26">
        <v>6.7000000000000002E-3</v>
      </c>
      <c r="BF4" s="17">
        <v>1856100</v>
      </c>
      <c r="BG4" s="17">
        <v>1583000</v>
      </c>
      <c r="BH4" s="26">
        <v>6.7000000000000002E-3</v>
      </c>
      <c r="BI4" s="17">
        <v>1726500</v>
      </c>
      <c r="BJ4" s="17">
        <v>1993700</v>
      </c>
      <c r="BK4" s="26">
        <v>1.6399999999999998E-2</v>
      </c>
      <c r="BL4" s="17">
        <v>4336400</v>
      </c>
      <c r="BM4" s="41">
        <v>4371600</v>
      </c>
    </row>
    <row r="5" spans="1:68" x14ac:dyDescent="0.2">
      <c r="A5" s="25" t="s">
        <v>431</v>
      </c>
      <c r="B5" s="26">
        <v>0.41070000000000001</v>
      </c>
      <c r="C5" s="26">
        <v>0.3669</v>
      </c>
      <c r="D5" s="26">
        <v>0.28029999999999999</v>
      </c>
      <c r="E5" s="26">
        <v>8.3000000000000004E-2</v>
      </c>
      <c r="F5" s="40">
        <v>0.318</v>
      </c>
      <c r="G5" s="17">
        <v>46590300</v>
      </c>
      <c r="H5" s="41">
        <v>63243500</v>
      </c>
      <c r="I5" s="40">
        <v>6.4699999999999994E-2</v>
      </c>
      <c r="J5" s="17">
        <v>23925500</v>
      </c>
      <c r="K5" s="41">
        <v>30465900</v>
      </c>
      <c r="L5" s="40">
        <v>5.2000000000000005E-2</v>
      </c>
      <c r="M5" s="17">
        <v>16567700</v>
      </c>
      <c r="N5" s="41">
        <v>26279000</v>
      </c>
      <c r="O5" s="40">
        <v>2.7000000000000003E-2</v>
      </c>
      <c r="P5" s="17">
        <v>12769200</v>
      </c>
      <c r="Q5" s="17">
        <v>10902200</v>
      </c>
      <c r="R5" s="40">
        <v>5.2300000000000006E-2</v>
      </c>
      <c r="S5" s="17">
        <v>20483200</v>
      </c>
      <c r="T5" s="41">
        <v>20696500</v>
      </c>
      <c r="U5" s="40">
        <v>2.2499999999999999E-2</v>
      </c>
      <c r="V5" s="17">
        <v>6175800</v>
      </c>
      <c r="W5" s="41">
        <v>9153300</v>
      </c>
      <c r="X5" s="40">
        <v>2.3099999999999999E-2</v>
      </c>
      <c r="Y5" s="17">
        <v>11030100</v>
      </c>
      <c r="Z5" s="41">
        <v>9497800</v>
      </c>
      <c r="AA5" s="40">
        <v>2.29E-2</v>
      </c>
      <c r="AB5" s="17">
        <v>5687200</v>
      </c>
      <c r="AC5" s="41">
        <v>7283200</v>
      </c>
      <c r="AD5" s="40">
        <v>2.3099999999999999E-2</v>
      </c>
      <c r="AE5" s="17">
        <v>7737400</v>
      </c>
      <c r="AF5" s="41">
        <v>9479300</v>
      </c>
      <c r="AG5" s="40">
        <v>0.01</v>
      </c>
      <c r="AH5" s="17">
        <v>4886700</v>
      </c>
      <c r="AI5" s="17">
        <v>3196000</v>
      </c>
      <c r="AJ5" s="40">
        <v>4.3E-3</v>
      </c>
      <c r="AK5" s="17">
        <v>1565000</v>
      </c>
      <c r="AL5" s="41">
        <v>2111500</v>
      </c>
      <c r="AM5" s="40">
        <v>1.6000000000000001E-3</v>
      </c>
      <c r="AN5" s="17">
        <v>629300</v>
      </c>
      <c r="AO5" s="17">
        <v>664900</v>
      </c>
      <c r="AP5" s="40">
        <v>2.3999999999999998E-3</v>
      </c>
      <c r="AQ5" s="17">
        <v>692900</v>
      </c>
      <c r="AR5" s="17">
        <v>1077700</v>
      </c>
      <c r="AS5" s="40">
        <v>3.0099999999999998E-2</v>
      </c>
      <c r="AT5" s="17">
        <v>10361400</v>
      </c>
      <c r="AU5" s="41">
        <v>14332100</v>
      </c>
      <c r="AV5" s="40">
        <v>1.44E-2</v>
      </c>
      <c r="AW5" s="17">
        <v>5340600</v>
      </c>
      <c r="AX5" s="41">
        <v>6188100</v>
      </c>
      <c r="AY5" s="40">
        <v>2.2700000000000001E-2</v>
      </c>
      <c r="AZ5" s="17">
        <v>8862400</v>
      </c>
      <c r="BA5" s="41">
        <v>9687100</v>
      </c>
      <c r="BB5" s="40">
        <v>1.1999999999999999E-3</v>
      </c>
      <c r="BC5" s="17">
        <v>357700</v>
      </c>
      <c r="BD5" s="17">
        <v>363700</v>
      </c>
      <c r="BE5" s="26">
        <v>4.3E-3</v>
      </c>
      <c r="BF5" s="17">
        <v>1612100</v>
      </c>
      <c r="BG5" s="17">
        <v>1784200</v>
      </c>
      <c r="BH5" s="40">
        <v>1.9400000000000001E-2</v>
      </c>
      <c r="BI5" s="17">
        <v>9786600</v>
      </c>
      <c r="BJ5" s="17">
        <v>6809100</v>
      </c>
      <c r="BK5" s="26">
        <v>1.3000000000000001E-2</v>
      </c>
      <c r="BL5" s="17">
        <v>4400600</v>
      </c>
      <c r="BM5" s="41">
        <v>6436600</v>
      </c>
    </row>
    <row r="6" spans="1:68" x14ac:dyDescent="0.2">
      <c r="A6" s="25" t="s">
        <v>430</v>
      </c>
      <c r="B6" s="26">
        <v>0.3044</v>
      </c>
      <c r="C6" s="26">
        <v>0.41420000000000001</v>
      </c>
      <c r="D6" s="26">
        <v>0.28899999999999998</v>
      </c>
      <c r="E6" s="37">
        <v>6.6900000000000001E-2</v>
      </c>
      <c r="F6" s="40">
        <v>0.32799999999999996</v>
      </c>
      <c r="G6" s="17">
        <v>46172900</v>
      </c>
      <c r="H6" s="41">
        <v>58476900</v>
      </c>
      <c r="I6" s="40">
        <v>6.9199999999999998E-2</v>
      </c>
      <c r="J6" s="17">
        <v>25045300</v>
      </c>
      <c r="K6" s="17">
        <v>27183600</v>
      </c>
      <c r="L6" s="40">
        <v>5.6500000000000002E-2</v>
      </c>
      <c r="M6" s="17">
        <v>21651900</v>
      </c>
      <c r="N6" s="17">
        <v>23131800</v>
      </c>
      <c r="O6" s="40">
        <v>1.2500000000000001E-2</v>
      </c>
      <c r="P6" s="17">
        <v>5276300</v>
      </c>
      <c r="Q6" s="17">
        <v>6604500</v>
      </c>
      <c r="R6" s="40">
        <v>5.7200000000000001E-2</v>
      </c>
      <c r="S6" s="17">
        <v>23655500</v>
      </c>
      <c r="T6" s="17">
        <v>17514200</v>
      </c>
      <c r="U6" s="40">
        <v>3.0499999999999999E-2</v>
      </c>
      <c r="V6" s="17">
        <v>6479200</v>
      </c>
      <c r="W6" s="41">
        <v>10829900</v>
      </c>
      <c r="X6" s="40">
        <v>2.6099999999999998E-2</v>
      </c>
      <c r="Y6" s="17">
        <v>10388300</v>
      </c>
      <c r="Z6" s="17">
        <v>11771400</v>
      </c>
      <c r="AA6" s="40">
        <v>2.3700000000000002E-2</v>
      </c>
      <c r="AB6" s="17">
        <v>5712200</v>
      </c>
      <c r="AC6" s="41">
        <v>8681000</v>
      </c>
      <c r="AD6" s="40">
        <v>3.1699999999999999E-2</v>
      </c>
      <c r="AE6" s="17">
        <v>13199300</v>
      </c>
      <c r="AF6" s="17">
        <v>10571400</v>
      </c>
      <c r="AG6" s="40">
        <v>1.1000000000000001E-2</v>
      </c>
      <c r="AH6" s="17">
        <v>4645600</v>
      </c>
      <c r="AI6" s="17">
        <v>3854400</v>
      </c>
      <c r="AJ6" s="40">
        <v>5.5000000000000005E-3</v>
      </c>
      <c r="AK6" s="17">
        <v>1610000</v>
      </c>
      <c r="AL6" s="41">
        <v>2449600</v>
      </c>
      <c r="AM6" s="40">
        <v>1.9E-3</v>
      </c>
      <c r="AN6" s="17">
        <v>704900</v>
      </c>
      <c r="AO6" s="17">
        <v>804200</v>
      </c>
      <c r="AP6" s="40">
        <v>7.4999999999999997E-3</v>
      </c>
      <c r="AQ6" s="17">
        <v>1553900</v>
      </c>
      <c r="AR6" s="17">
        <v>2995700</v>
      </c>
      <c r="AS6" s="40">
        <v>1.7600000000000001E-2</v>
      </c>
      <c r="AT6" s="17">
        <v>6496900</v>
      </c>
      <c r="AU6" s="41">
        <v>7893800</v>
      </c>
      <c r="AV6" s="40">
        <v>1.4999999999999999E-2</v>
      </c>
      <c r="AW6" s="17">
        <v>5293700</v>
      </c>
      <c r="AX6" s="41">
        <v>6610800</v>
      </c>
      <c r="AY6" s="40">
        <v>1.7299999999999999E-2</v>
      </c>
      <c r="AZ6" s="17">
        <v>5171200</v>
      </c>
      <c r="BA6" s="41">
        <v>7066600</v>
      </c>
      <c r="BB6" s="40">
        <v>1E-3</v>
      </c>
      <c r="BC6" s="17">
        <v>263100</v>
      </c>
      <c r="BD6" s="41">
        <v>367900</v>
      </c>
      <c r="BE6" s="26">
        <v>1.0700000000000001E-2</v>
      </c>
      <c r="BF6" s="17">
        <v>4719600</v>
      </c>
      <c r="BG6" s="17">
        <v>3869000</v>
      </c>
      <c r="BH6" s="26">
        <v>5.4000000000000003E-3</v>
      </c>
      <c r="BI6" s="17">
        <v>2265900</v>
      </c>
      <c r="BJ6" s="17">
        <v>1619100</v>
      </c>
      <c r="BK6" s="26">
        <v>2.1600000000000001E-2</v>
      </c>
      <c r="BL6" s="17">
        <v>8462800</v>
      </c>
      <c r="BM6" s="41">
        <v>10091400</v>
      </c>
    </row>
    <row r="7" spans="1:68" x14ac:dyDescent="0.2">
      <c r="A7" s="25" t="s">
        <v>423</v>
      </c>
      <c r="B7" s="26">
        <v>0.33710000000000001</v>
      </c>
      <c r="C7" s="26">
        <v>0.30909999999999999</v>
      </c>
      <c r="D7" s="26">
        <v>0.43090000000000006</v>
      </c>
      <c r="E7" s="37">
        <v>8.4100000000000008E-2</v>
      </c>
      <c r="F7" s="40">
        <v>0.2014</v>
      </c>
      <c r="G7" s="17">
        <v>63193400</v>
      </c>
      <c r="H7" s="41">
        <v>111558500</v>
      </c>
      <c r="I7" s="40">
        <v>0.13369999999999999</v>
      </c>
      <c r="J7" s="17">
        <v>54776500</v>
      </c>
      <c r="K7" s="41">
        <v>101767400</v>
      </c>
      <c r="L7" s="40">
        <v>8.900000000000001E-2</v>
      </c>
      <c r="M7" s="17">
        <v>33848300</v>
      </c>
      <c r="N7" s="41">
        <v>56601100</v>
      </c>
      <c r="O7" s="40">
        <v>2.3599999999999999E-2</v>
      </c>
      <c r="P7" s="17">
        <v>9589600</v>
      </c>
      <c r="Q7" s="41">
        <v>14058300</v>
      </c>
      <c r="R7" s="40">
        <v>6.8699999999999997E-2</v>
      </c>
      <c r="S7" s="17">
        <v>24552800</v>
      </c>
      <c r="T7" s="41">
        <v>45504300</v>
      </c>
      <c r="U7" s="40">
        <v>2.7300000000000001E-2</v>
      </c>
      <c r="V7" s="17">
        <v>8948600</v>
      </c>
      <c r="W7" s="41">
        <v>22332700</v>
      </c>
      <c r="X7" s="40">
        <v>3.4200000000000001E-2</v>
      </c>
      <c r="Y7" s="17">
        <v>14696300</v>
      </c>
      <c r="Z7" s="41">
        <v>26741600</v>
      </c>
      <c r="AA7" s="40">
        <v>3.7900000000000003E-2</v>
      </c>
      <c r="AB7" s="17">
        <v>11108700</v>
      </c>
      <c r="AC7" s="41">
        <v>21373000</v>
      </c>
      <c r="AD7" s="40">
        <v>2.9600000000000001E-2</v>
      </c>
      <c r="AE7" s="17">
        <v>10583500</v>
      </c>
      <c r="AF7" s="41">
        <v>20731300</v>
      </c>
      <c r="AG7" s="40">
        <v>1.1200000000000002E-2</v>
      </c>
      <c r="AH7" s="17">
        <v>5984600</v>
      </c>
      <c r="AI7" s="41">
        <v>7404900</v>
      </c>
      <c r="AJ7" s="40">
        <v>9.300000000000001E-3</v>
      </c>
      <c r="AK7" s="17">
        <v>2110500</v>
      </c>
      <c r="AL7" s="41">
        <v>6328500</v>
      </c>
      <c r="AM7" s="40">
        <v>2.5999999999999999E-3</v>
      </c>
      <c r="AN7" s="17">
        <v>904100</v>
      </c>
      <c r="AO7" s="41">
        <v>2222700</v>
      </c>
      <c r="AP7" s="40">
        <v>2.8999999999999998E-3</v>
      </c>
      <c r="AQ7" s="17">
        <v>954700</v>
      </c>
      <c r="AR7" s="17">
        <v>2206400</v>
      </c>
      <c r="AS7" s="40">
        <v>4.9000000000000002E-2</v>
      </c>
      <c r="AT7" s="17">
        <v>10516500</v>
      </c>
      <c r="AU7" s="41">
        <v>25685500</v>
      </c>
      <c r="AV7" s="40">
        <v>2.3599999999999999E-2</v>
      </c>
      <c r="AW7" s="17">
        <v>8717000</v>
      </c>
      <c r="AX7" s="41">
        <v>19249200</v>
      </c>
      <c r="AY7" s="40">
        <v>2.4300000000000002E-2</v>
      </c>
      <c r="AZ7" s="17">
        <v>11191800</v>
      </c>
      <c r="BA7" s="41">
        <v>16842100</v>
      </c>
      <c r="BB7" s="40">
        <v>1.7000000000000001E-3</v>
      </c>
      <c r="BC7" s="17">
        <v>576700</v>
      </c>
      <c r="BD7" s="41">
        <v>1197700</v>
      </c>
      <c r="BE7" s="40">
        <v>6.8999999999999999E-3</v>
      </c>
      <c r="BF7" s="17">
        <v>3150700</v>
      </c>
      <c r="BG7" s="41">
        <v>4430300</v>
      </c>
      <c r="BH7" s="40">
        <v>4.1999999999999997E-3</v>
      </c>
      <c r="BI7" s="17">
        <v>320700</v>
      </c>
      <c r="BJ7" s="41">
        <v>474700</v>
      </c>
      <c r="BK7" s="26">
        <v>1.7000000000000001E-2</v>
      </c>
      <c r="BL7" s="17">
        <v>8779100</v>
      </c>
      <c r="BM7" s="41">
        <v>13793100</v>
      </c>
    </row>
    <row r="8" spans="1:68" x14ac:dyDescent="0.2">
      <c r="A8" s="25" t="s">
        <v>421</v>
      </c>
      <c r="B8" s="26">
        <v>0.32250000000000001</v>
      </c>
      <c r="C8" s="26">
        <v>0.28660000000000002</v>
      </c>
      <c r="D8" s="26">
        <v>0.4239</v>
      </c>
      <c r="E8" s="37">
        <v>0.1038</v>
      </c>
      <c r="F8" s="40">
        <v>0.22460000000000002</v>
      </c>
      <c r="G8" s="17">
        <v>70878500</v>
      </c>
      <c r="H8" s="41">
        <v>59565600</v>
      </c>
      <c r="I8" s="40">
        <v>8.9700000000000002E-2</v>
      </c>
      <c r="J8" s="17">
        <v>21507300</v>
      </c>
      <c r="K8" s="41">
        <v>37770000</v>
      </c>
      <c r="L8" s="40">
        <v>0.1159</v>
      </c>
      <c r="M8" s="17">
        <v>17004800</v>
      </c>
      <c r="N8" s="41">
        <v>30876000</v>
      </c>
      <c r="O8" s="40">
        <v>1.8100000000000002E-2</v>
      </c>
      <c r="P8" s="17">
        <v>5012200</v>
      </c>
      <c r="Q8" s="41">
        <v>7709400</v>
      </c>
      <c r="R8" s="40">
        <v>5.2000000000000005E-2</v>
      </c>
      <c r="S8" s="17">
        <v>12519700</v>
      </c>
      <c r="T8" s="41">
        <v>16496100</v>
      </c>
      <c r="U8" s="40">
        <v>2.7400000000000001E-2</v>
      </c>
      <c r="V8" s="17">
        <v>8697000</v>
      </c>
      <c r="W8" s="41">
        <v>10687900</v>
      </c>
      <c r="X8" s="40">
        <v>3.61E-2</v>
      </c>
      <c r="Y8" s="17">
        <v>14017700</v>
      </c>
      <c r="Z8" s="41">
        <v>13413200</v>
      </c>
      <c r="AA8" s="40">
        <v>3.5299999999999998E-2</v>
      </c>
      <c r="AB8" s="17">
        <v>8984400</v>
      </c>
      <c r="AC8" s="41">
        <v>10494900</v>
      </c>
      <c r="AD8" s="40">
        <v>2.5099999999999997E-2</v>
      </c>
      <c r="AE8" s="17">
        <v>8195300</v>
      </c>
      <c r="AF8" s="41">
        <v>8722600</v>
      </c>
      <c r="AG8" s="40">
        <v>2.0099999999999996E-2</v>
      </c>
      <c r="AH8" s="17">
        <v>8672100</v>
      </c>
      <c r="AI8" s="41">
        <v>7114400</v>
      </c>
      <c r="AJ8" s="40">
        <v>9.4999999999999998E-3</v>
      </c>
      <c r="AK8" s="17">
        <v>1525300</v>
      </c>
      <c r="AL8" s="41">
        <v>3281700</v>
      </c>
      <c r="AM8" s="40">
        <v>2.3999999999999998E-3</v>
      </c>
      <c r="AN8" s="17">
        <v>664700</v>
      </c>
      <c r="AO8" s="41">
        <v>1279800</v>
      </c>
      <c r="AP8" s="40">
        <v>1.09E-2</v>
      </c>
      <c r="AQ8" s="17">
        <v>1281600</v>
      </c>
      <c r="AR8" s="17">
        <v>1558600</v>
      </c>
      <c r="AS8" s="40">
        <v>4.2699999999999995E-2</v>
      </c>
      <c r="AT8" s="17">
        <v>9101100</v>
      </c>
      <c r="AU8" s="41">
        <v>12702100</v>
      </c>
      <c r="AV8" s="40">
        <v>2.8799999999999999E-2</v>
      </c>
      <c r="AW8" s="17">
        <v>11558600</v>
      </c>
      <c r="AX8" s="41">
        <v>10382200</v>
      </c>
      <c r="AY8" s="40">
        <v>3.1E-2</v>
      </c>
      <c r="AZ8" s="17">
        <v>12450800</v>
      </c>
      <c r="BA8" s="41">
        <v>10499300</v>
      </c>
      <c r="BB8" s="40">
        <v>1.2999999999999999E-3</v>
      </c>
      <c r="BC8" s="17">
        <v>329600</v>
      </c>
      <c r="BD8" s="41">
        <v>428700</v>
      </c>
      <c r="BE8" s="40">
        <v>9.4999999999999998E-3</v>
      </c>
      <c r="BF8" s="17">
        <v>3044000</v>
      </c>
      <c r="BG8" s="41">
        <v>3746100</v>
      </c>
      <c r="BH8" s="40">
        <v>8.3000000000000001E-3</v>
      </c>
      <c r="BI8" s="17">
        <v>252000</v>
      </c>
      <c r="BJ8" s="41">
        <v>296200</v>
      </c>
      <c r="BK8" s="26">
        <v>1.7299999999999999E-2</v>
      </c>
      <c r="BL8" s="26"/>
      <c r="BM8" s="37"/>
    </row>
    <row r="9" spans="1:68" x14ac:dyDescent="0.2">
      <c r="A9" s="25" t="s">
        <v>417</v>
      </c>
      <c r="B9" s="26">
        <v>0.37909999999999999</v>
      </c>
      <c r="C9" s="26">
        <v>0.34189999999999998</v>
      </c>
      <c r="D9" s="26">
        <v>0.39539999999999997</v>
      </c>
      <c r="E9" s="37">
        <v>7.4800000000000005E-2</v>
      </c>
      <c r="F9" s="40">
        <v>0.26440000000000002</v>
      </c>
      <c r="G9" s="17">
        <v>109006700</v>
      </c>
      <c r="H9" s="41">
        <v>71966200</v>
      </c>
      <c r="I9" s="40">
        <v>8.9499999999999996E-2</v>
      </c>
      <c r="J9" s="17">
        <v>27422400</v>
      </c>
      <c r="K9" s="41">
        <v>48298200</v>
      </c>
      <c r="L9" s="40">
        <v>0.10619999999999999</v>
      </c>
      <c r="M9" s="17">
        <v>36980400</v>
      </c>
      <c r="N9" s="41">
        <v>44822800</v>
      </c>
      <c r="O9" s="40">
        <v>1.61E-2</v>
      </c>
      <c r="P9" s="17">
        <v>5125800</v>
      </c>
      <c r="Q9" s="41">
        <v>6513500</v>
      </c>
      <c r="R9" s="40">
        <v>6.3399999999999998E-2</v>
      </c>
      <c r="S9" s="17">
        <v>16809500</v>
      </c>
      <c r="T9" s="41">
        <v>29633500</v>
      </c>
      <c r="U9" s="40">
        <v>2.0899999999999998E-2</v>
      </c>
      <c r="V9" s="17">
        <v>8433900</v>
      </c>
      <c r="W9" s="41">
        <v>8512000</v>
      </c>
      <c r="X9" s="40">
        <v>2.76E-2</v>
      </c>
      <c r="Y9" s="17">
        <v>12084300</v>
      </c>
      <c r="Z9" s="41">
        <v>12535500</v>
      </c>
      <c r="AA9" s="40">
        <v>3.8900000000000004E-2</v>
      </c>
      <c r="AB9" s="17">
        <v>11510400</v>
      </c>
      <c r="AC9" s="41">
        <v>10686300</v>
      </c>
      <c r="AD9" s="40">
        <v>3.6499999999999998E-2</v>
      </c>
      <c r="AE9" s="17">
        <v>10062200</v>
      </c>
      <c r="AF9" s="41">
        <v>20243400</v>
      </c>
      <c r="AG9" s="40">
        <v>1.0800000000000001E-2</v>
      </c>
      <c r="AH9" s="17">
        <v>4672100</v>
      </c>
      <c r="AI9" s="41">
        <v>4278700</v>
      </c>
      <c r="AJ9" s="40">
        <v>6.1999999999999998E-3</v>
      </c>
      <c r="AK9" s="17">
        <v>1208000</v>
      </c>
      <c r="AL9" s="41">
        <v>2995400</v>
      </c>
      <c r="AM9" s="40">
        <v>3.3E-3</v>
      </c>
      <c r="AN9" s="17">
        <v>961700</v>
      </c>
      <c r="AO9" s="41">
        <v>2083300</v>
      </c>
      <c r="AP9" s="40">
        <v>4.4000000000000003E-3</v>
      </c>
      <c r="AQ9" s="17">
        <v>1478200</v>
      </c>
      <c r="AR9" s="17">
        <v>2251100</v>
      </c>
      <c r="AS9" s="40">
        <v>3.7100000000000001E-2</v>
      </c>
      <c r="AT9" s="17">
        <v>9763500</v>
      </c>
      <c r="AU9" s="41">
        <v>14185400</v>
      </c>
      <c r="AV9" s="40">
        <v>1.7100000000000001E-2</v>
      </c>
      <c r="AW9" s="17">
        <v>6973800</v>
      </c>
      <c r="AX9" s="41">
        <v>8426700</v>
      </c>
      <c r="AY9" s="40">
        <v>2.7400000000000001E-2</v>
      </c>
      <c r="AZ9" s="17">
        <v>10137600</v>
      </c>
      <c r="BA9" s="41">
        <v>13363100</v>
      </c>
      <c r="BB9" s="40">
        <v>1.5E-3</v>
      </c>
      <c r="BC9" s="17">
        <v>874300</v>
      </c>
      <c r="BD9" s="41">
        <v>931500</v>
      </c>
      <c r="BE9" s="40">
        <v>9.7000000000000003E-3</v>
      </c>
      <c r="BF9" s="17">
        <v>3688400</v>
      </c>
      <c r="BG9" s="41">
        <v>4011600</v>
      </c>
      <c r="BH9" s="40">
        <v>4.1999999999999997E-3</v>
      </c>
      <c r="BI9" s="17">
        <v>199900</v>
      </c>
      <c r="BJ9" s="41">
        <v>231300</v>
      </c>
      <c r="BK9" s="26">
        <v>1.49E-2</v>
      </c>
      <c r="BL9" s="26"/>
      <c r="BM9" s="37"/>
    </row>
    <row r="10" spans="1:68" x14ac:dyDescent="0.2">
      <c r="A10" s="25" t="s">
        <v>416</v>
      </c>
      <c r="B10" s="26">
        <v>0.33779999999999999</v>
      </c>
      <c r="C10" s="26">
        <v>0.40029999999999999</v>
      </c>
      <c r="D10" s="26">
        <v>0.36099999999999999</v>
      </c>
      <c r="E10" s="37">
        <v>8.1099999999999992E-2</v>
      </c>
      <c r="F10" s="40">
        <v>0.24809999999999999</v>
      </c>
      <c r="G10" s="17">
        <v>74727200</v>
      </c>
      <c r="H10" s="41">
        <v>66156400</v>
      </c>
      <c r="I10" s="40">
        <v>8.0600000000000005E-2</v>
      </c>
      <c r="J10" s="17">
        <v>26597100</v>
      </c>
      <c r="K10" s="41">
        <v>44198100</v>
      </c>
      <c r="L10" s="40">
        <v>7.2400000000000006E-2</v>
      </c>
      <c r="M10" s="17">
        <v>22168400</v>
      </c>
      <c r="N10" s="41">
        <v>33651200</v>
      </c>
      <c r="O10" s="40">
        <v>1.7000000000000001E-2</v>
      </c>
      <c r="P10" s="17">
        <v>5001500</v>
      </c>
      <c r="Q10" s="41">
        <v>8300900</v>
      </c>
      <c r="R10" s="40">
        <v>4.6399999999999997E-2</v>
      </c>
      <c r="S10" s="17">
        <v>18139300</v>
      </c>
      <c r="T10" s="41">
        <v>20315600</v>
      </c>
      <c r="U10" s="40">
        <v>2.75E-2</v>
      </c>
      <c r="V10" s="17">
        <v>10021900</v>
      </c>
      <c r="W10" s="41">
        <v>13579600</v>
      </c>
      <c r="X10" s="40">
        <v>2.3900000000000001E-2</v>
      </c>
      <c r="Y10" s="17">
        <v>11843800</v>
      </c>
      <c r="Z10" s="41">
        <v>10205300</v>
      </c>
      <c r="AA10" s="40">
        <v>3.3000000000000002E-2</v>
      </c>
      <c r="AB10" s="17">
        <v>8738100</v>
      </c>
      <c r="AC10" s="41">
        <v>12024100</v>
      </c>
      <c r="AD10" s="40">
        <v>3.3500000000000002E-2</v>
      </c>
      <c r="AE10" s="17">
        <v>9476800</v>
      </c>
      <c r="AF10" s="41">
        <v>11605300</v>
      </c>
      <c r="AG10" s="40">
        <v>1.0200000000000001E-2</v>
      </c>
      <c r="AH10" s="17">
        <v>5232900</v>
      </c>
      <c r="AI10" s="41">
        <v>4005600</v>
      </c>
      <c r="AJ10" s="40">
        <v>1.3000000000000001E-2</v>
      </c>
      <c r="AK10" s="17">
        <v>3813800</v>
      </c>
      <c r="AL10" s="41">
        <v>4445300</v>
      </c>
      <c r="AM10" s="40">
        <v>2.3E-3</v>
      </c>
      <c r="AN10" s="17">
        <v>810800</v>
      </c>
      <c r="AO10" s="41">
        <v>1262700</v>
      </c>
      <c r="AP10" s="40">
        <v>3.5999999999999999E-3</v>
      </c>
      <c r="AQ10" s="17">
        <v>1138900</v>
      </c>
      <c r="AR10" s="17">
        <v>2380700</v>
      </c>
      <c r="AS10" s="40">
        <v>5.04E-2</v>
      </c>
      <c r="AT10" s="17">
        <v>12786500</v>
      </c>
      <c r="AU10" s="41">
        <v>18747500</v>
      </c>
      <c r="AV10" s="40">
        <v>2.6099999999999998E-2</v>
      </c>
      <c r="AW10" s="17">
        <v>13106600</v>
      </c>
      <c r="AX10" s="41">
        <v>12139000</v>
      </c>
      <c r="AY10" s="40">
        <v>3.6499999999999998E-2</v>
      </c>
      <c r="AZ10" s="17">
        <v>13100000</v>
      </c>
      <c r="BA10" s="41">
        <v>21102600</v>
      </c>
      <c r="BB10" s="40">
        <v>1.5E-3</v>
      </c>
      <c r="BC10" s="17">
        <v>444900</v>
      </c>
      <c r="BD10" s="41">
        <v>558900</v>
      </c>
      <c r="BE10" s="40">
        <v>6.8999999999999999E-3</v>
      </c>
      <c r="BF10" s="17">
        <v>3739100</v>
      </c>
      <c r="BG10" s="41">
        <v>2250300</v>
      </c>
      <c r="BH10" s="40">
        <v>2.3999999999999998E-3</v>
      </c>
      <c r="BI10" s="17">
        <v>154100</v>
      </c>
      <c r="BJ10" s="41">
        <v>155900</v>
      </c>
      <c r="BK10" s="26">
        <v>1.52E-2</v>
      </c>
      <c r="BL10" s="26"/>
      <c r="BM10" s="37"/>
    </row>
    <row r="11" spans="1:68" x14ac:dyDescent="0.2">
      <c r="A11" s="25" t="s">
        <v>414</v>
      </c>
      <c r="B11" s="26">
        <v>0.36570000000000003</v>
      </c>
      <c r="C11" s="26">
        <v>0.35189999999999999</v>
      </c>
      <c r="D11" s="26">
        <v>0.35229999999999995</v>
      </c>
      <c r="E11" s="37">
        <v>7.5600000000000001E-2</v>
      </c>
      <c r="F11" s="40">
        <v>0.27329999999999999</v>
      </c>
      <c r="G11" s="17">
        <v>55769600</v>
      </c>
      <c r="H11" s="41">
        <v>57178900</v>
      </c>
      <c r="I11" s="40">
        <v>8.6300000000000002E-2</v>
      </c>
      <c r="J11" s="17">
        <v>24301600</v>
      </c>
      <c r="K11" s="41">
        <v>39780000</v>
      </c>
      <c r="L11" s="40">
        <v>7.22E-2</v>
      </c>
      <c r="M11" s="17">
        <v>18936000</v>
      </c>
      <c r="N11" s="41">
        <v>21741400</v>
      </c>
      <c r="O11" s="40">
        <v>1.41E-2</v>
      </c>
      <c r="P11" s="17">
        <v>3891300</v>
      </c>
      <c r="Q11" s="41">
        <v>4627300</v>
      </c>
      <c r="R11" s="40">
        <v>4.6500000000000007E-2</v>
      </c>
      <c r="S11" s="17">
        <v>12618000</v>
      </c>
      <c r="T11" s="41">
        <v>15571200</v>
      </c>
      <c r="U11" s="40">
        <v>3.1E-2</v>
      </c>
      <c r="V11" s="17">
        <v>6069400</v>
      </c>
      <c r="W11" s="41">
        <v>10024600</v>
      </c>
      <c r="X11" s="40">
        <v>4.2099999999999999E-2</v>
      </c>
      <c r="Y11" s="17">
        <v>19690100</v>
      </c>
      <c r="Z11" s="41">
        <v>11723600</v>
      </c>
      <c r="AA11" s="40">
        <v>2.6800000000000001E-2</v>
      </c>
      <c r="AB11" s="17">
        <v>5310000</v>
      </c>
      <c r="AC11" s="41">
        <v>8465300</v>
      </c>
      <c r="AD11" s="40">
        <v>2.3900000000000001E-2</v>
      </c>
      <c r="AE11" s="17">
        <v>6952800</v>
      </c>
      <c r="AF11" s="41">
        <v>8734600</v>
      </c>
      <c r="AG11" s="40">
        <v>1.15E-2</v>
      </c>
      <c r="AH11" s="17">
        <v>5183100</v>
      </c>
      <c r="AI11" s="41">
        <v>3339000</v>
      </c>
      <c r="AJ11" s="40">
        <v>6.0000000000000001E-3</v>
      </c>
      <c r="AK11" s="17">
        <v>1819500</v>
      </c>
      <c r="AL11" s="41">
        <v>1773300</v>
      </c>
      <c r="AM11" s="40">
        <v>2.8999999999999998E-3</v>
      </c>
      <c r="AN11" s="17">
        <v>1256700</v>
      </c>
      <c r="AO11" s="41">
        <v>1009900</v>
      </c>
      <c r="AP11" s="40">
        <v>4.8999999999999998E-3</v>
      </c>
      <c r="AQ11" s="17">
        <v>1357100</v>
      </c>
      <c r="AR11" s="17">
        <v>1767000</v>
      </c>
      <c r="AS11" s="40">
        <v>4.9200000000000001E-2</v>
      </c>
      <c r="AT11" s="17">
        <v>11253200</v>
      </c>
      <c r="AU11" s="41">
        <v>12372700</v>
      </c>
      <c r="AV11" s="40">
        <v>3.04E-2</v>
      </c>
      <c r="AW11" s="17">
        <v>14293500</v>
      </c>
      <c r="AX11" s="41">
        <v>9266500</v>
      </c>
      <c r="AY11" s="40">
        <v>1.5600000000000001E-2</v>
      </c>
      <c r="AZ11" s="17">
        <v>6009800</v>
      </c>
      <c r="BA11" s="41">
        <v>5247900</v>
      </c>
      <c r="BB11" s="40">
        <v>2E-3</v>
      </c>
      <c r="BC11" s="17">
        <v>578200</v>
      </c>
      <c r="BD11" s="41">
        <v>526000</v>
      </c>
      <c r="BE11" s="40">
        <v>7.7000000000000002E-3</v>
      </c>
      <c r="BF11" s="17">
        <v>3145200</v>
      </c>
      <c r="BG11" s="41">
        <v>1852000</v>
      </c>
      <c r="BH11" s="40">
        <v>4.0000000000000001E-3</v>
      </c>
      <c r="BI11" s="17">
        <v>124000</v>
      </c>
      <c r="BJ11" s="41">
        <v>217900</v>
      </c>
      <c r="BK11" s="26">
        <v>1.6500000000000001E-2</v>
      </c>
      <c r="BL11" s="26"/>
      <c r="BM11" s="37"/>
    </row>
    <row r="12" spans="1:68" x14ac:dyDescent="0.2">
      <c r="A12" s="25" t="s">
        <v>412</v>
      </c>
      <c r="B12" s="26">
        <v>0.33679999999999999</v>
      </c>
      <c r="C12" s="26">
        <v>0.30760000000000004</v>
      </c>
      <c r="D12" s="26">
        <v>0.41920000000000002</v>
      </c>
      <c r="E12" s="37">
        <v>8.9700000000000002E-2</v>
      </c>
      <c r="F12" s="40">
        <v>0.21559999999999999</v>
      </c>
      <c r="G12" s="17">
        <v>53401600</v>
      </c>
      <c r="H12" s="41">
        <v>69777900</v>
      </c>
      <c r="I12" s="40">
        <v>0.10630000000000001</v>
      </c>
      <c r="J12" s="17">
        <v>34120200</v>
      </c>
      <c r="K12" s="41">
        <v>51545000</v>
      </c>
      <c r="L12" s="40">
        <v>8.929999999999999E-2</v>
      </c>
      <c r="M12" s="17">
        <v>20174400</v>
      </c>
      <c r="N12" s="41">
        <v>36728800</v>
      </c>
      <c r="O12" s="40">
        <v>2.3199999999999998E-2</v>
      </c>
      <c r="P12" s="17">
        <v>6039300</v>
      </c>
      <c r="Q12" s="41">
        <v>9059500</v>
      </c>
      <c r="R12" s="40">
        <v>0.1105</v>
      </c>
      <c r="S12" s="17">
        <v>47921800</v>
      </c>
      <c r="T12" s="41">
        <v>36118900</v>
      </c>
      <c r="U12" s="40">
        <v>3.2199999999999999E-2</v>
      </c>
      <c r="V12" s="17">
        <v>8841200</v>
      </c>
      <c r="W12" s="41">
        <v>16340000</v>
      </c>
      <c r="X12" s="40">
        <v>2.58E-2</v>
      </c>
      <c r="Y12" s="17">
        <v>8219100</v>
      </c>
      <c r="Z12" s="41">
        <v>12516200</v>
      </c>
      <c r="AA12" s="40">
        <v>3.5799999999999998E-2</v>
      </c>
      <c r="AB12" s="17">
        <v>6951100</v>
      </c>
      <c r="AC12" s="41">
        <v>12098400</v>
      </c>
      <c r="AD12" s="40">
        <v>3.9E-2</v>
      </c>
      <c r="AE12" s="17">
        <v>13248800</v>
      </c>
      <c r="AF12" s="41">
        <v>13140900</v>
      </c>
      <c r="AG12" s="40">
        <v>1.1899999999999999E-2</v>
      </c>
      <c r="AH12" s="17">
        <v>4995800</v>
      </c>
      <c r="AI12" s="41">
        <v>5117900</v>
      </c>
      <c r="AJ12" s="40">
        <v>7.0999999999999995E-3</v>
      </c>
      <c r="AK12" s="17">
        <v>2234800</v>
      </c>
      <c r="AL12" s="41">
        <v>2986300</v>
      </c>
      <c r="AM12" s="40">
        <v>2.3E-3</v>
      </c>
      <c r="AN12" s="17">
        <v>887400</v>
      </c>
      <c r="AO12" s="41">
        <v>1153000</v>
      </c>
      <c r="AP12" s="40">
        <v>3.2000000000000002E-3</v>
      </c>
      <c r="AQ12" s="17">
        <v>1278000</v>
      </c>
      <c r="AR12" s="17">
        <v>1649600</v>
      </c>
      <c r="AS12" s="40">
        <v>4.3799999999999999E-2</v>
      </c>
      <c r="AT12" s="17">
        <v>17483800</v>
      </c>
      <c r="AU12" s="41">
        <v>14669900</v>
      </c>
      <c r="AV12" s="40">
        <v>1.7000000000000001E-2</v>
      </c>
      <c r="AW12" s="17">
        <v>5783200</v>
      </c>
      <c r="AX12" s="41">
        <v>7674600</v>
      </c>
      <c r="AY12" s="40">
        <v>1.8100000000000002E-2</v>
      </c>
      <c r="AZ12" s="17">
        <v>6135400</v>
      </c>
      <c r="BA12" s="41">
        <v>9209300</v>
      </c>
      <c r="BB12" s="40">
        <v>1.7000000000000001E-3</v>
      </c>
      <c r="BC12" s="17">
        <v>525800</v>
      </c>
      <c r="BD12" s="41">
        <v>635900</v>
      </c>
      <c r="BE12" s="40">
        <v>6.1999999999999998E-3</v>
      </c>
      <c r="BF12" s="17">
        <v>1897400</v>
      </c>
      <c r="BG12" s="41">
        <v>2069200</v>
      </c>
      <c r="BH12" s="40">
        <v>6.8000000000000005E-3</v>
      </c>
      <c r="BI12" s="17">
        <v>320300</v>
      </c>
      <c r="BJ12" s="41">
        <v>522300</v>
      </c>
      <c r="BK12" s="26">
        <v>1.1000000000000001E-2</v>
      </c>
      <c r="BL12" s="26"/>
      <c r="BM12" s="37"/>
    </row>
    <row r="13" spans="1:68" x14ac:dyDescent="0.2">
      <c r="A13" s="25" t="s">
        <v>410</v>
      </c>
      <c r="B13" s="26">
        <v>0.3236</v>
      </c>
      <c r="C13" s="26">
        <v>0.29320000000000002</v>
      </c>
      <c r="D13" s="26">
        <v>0.44939999999999997</v>
      </c>
      <c r="E13" s="37">
        <v>0.1012</v>
      </c>
      <c r="F13" s="40">
        <v>0.19030000000000002</v>
      </c>
      <c r="G13" s="17">
        <v>66944700</v>
      </c>
      <c r="H13" s="41">
        <v>88990400</v>
      </c>
      <c r="I13" s="40">
        <v>0.12640000000000001</v>
      </c>
      <c r="J13" s="17">
        <v>61477400</v>
      </c>
      <c r="K13" s="41">
        <v>72655100</v>
      </c>
      <c r="L13" s="40">
        <v>8.5699999999999998E-2</v>
      </c>
      <c r="M13" s="17">
        <v>18201700</v>
      </c>
      <c r="N13" s="41">
        <v>46131800</v>
      </c>
      <c r="O13" s="40">
        <v>2.4799999999999999E-2</v>
      </c>
      <c r="P13" s="17">
        <v>7079800</v>
      </c>
      <c r="Q13" s="41">
        <v>13771800</v>
      </c>
      <c r="R13" s="40">
        <v>6.6199999999999995E-2</v>
      </c>
      <c r="S13" s="17">
        <v>24202700</v>
      </c>
      <c r="T13" s="41">
        <v>31397800</v>
      </c>
      <c r="U13" s="40">
        <v>3.3500000000000002E-2</v>
      </c>
      <c r="V13" s="17">
        <v>13408500</v>
      </c>
      <c r="W13" s="41">
        <v>18586600</v>
      </c>
      <c r="X13" s="40">
        <v>3.2099999999999997E-2</v>
      </c>
      <c r="Y13" s="17">
        <v>11728200</v>
      </c>
      <c r="Z13" s="41">
        <v>20430700</v>
      </c>
      <c r="AA13" s="40">
        <v>4.1799999999999997E-2</v>
      </c>
      <c r="AB13" s="17">
        <v>11227200</v>
      </c>
      <c r="AC13" s="41">
        <v>18740700</v>
      </c>
      <c r="AD13" s="40">
        <v>3.8199999999999998E-2</v>
      </c>
      <c r="AE13" s="17">
        <v>16600500</v>
      </c>
      <c r="AF13" s="41">
        <v>20605600</v>
      </c>
      <c r="AG13" s="40">
        <v>1.52E-2</v>
      </c>
      <c r="AH13" s="17">
        <v>6253300</v>
      </c>
      <c r="AI13" s="41">
        <v>9360400</v>
      </c>
      <c r="AJ13" s="40">
        <v>7.8000000000000005E-3</v>
      </c>
      <c r="AK13" s="17">
        <v>1724100</v>
      </c>
      <c r="AL13" s="41">
        <v>5322800</v>
      </c>
      <c r="AM13" s="40">
        <v>2.3E-3</v>
      </c>
      <c r="AN13" s="17">
        <v>903500</v>
      </c>
      <c r="AO13" s="41">
        <v>1628700</v>
      </c>
      <c r="AP13" s="40">
        <v>7.7000000000000002E-3</v>
      </c>
      <c r="AQ13" s="17">
        <v>3247400</v>
      </c>
      <c r="AR13" s="17">
        <v>3210900</v>
      </c>
      <c r="AS13" s="40">
        <v>6.3399999999999998E-2</v>
      </c>
      <c r="AT13" s="17">
        <v>14592600</v>
      </c>
      <c r="AU13" s="41">
        <v>29725000</v>
      </c>
      <c r="AV13" s="40">
        <v>2.7099999999999999E-2</v>
      </c>
      <c r="AW13" s="17">
        <v>9130700</v>
      </c>
      <c r="AX13" s="41">
        <v>18908000</v>
      </c>
      <c r="AY13" s="40">
        <v>4.0099999999999997E-2</v>
      </c>
      <c r="AZ13" s="17">
        <v>13192700</v>
      </c>
      <c r="BA13" s="41">
        <v>25336900</v>
      </c>
      <c r="BB13" s="40">
        <v>1.4000000000000002E-3</v>
      </c>
      <c r="BC13" s="17">
        <v>342000</v>
      </c>
      <c r="BD13" s="41">
        <v>685600</v>
      </c>
      <c r="BE13" s="40">
        <v>1.1200000000000002E-2</v>
      </c>
      <c r="BF13" s="17">
        <v>7339900</v>
      </c>
      <c r="BG13" s="41">
        <v>3936000</v>
      </c>
      <c r="BH13" s="40">
        <v>8.1000000000000013E-3</v>
      </c>
      <c r="BI13" s="17">
        <v>583800</v>
      </c>
      <c r="BJ13" s="41">
        <v>457400</v>
      </c>
      <c r="BK13" s="26">
        <v>1.6299999999999999E-2</v>
      </c>
      <c r="BL13" s="26"/>
      <c r="BM13" s="37"/>
    </row>
    <row r="14" spans="1:68" x14ac:dyDescent="0.2">
      <c r="A14" s="25" t="s">
        <v>405</v>
      </c>
      <c r="B14" s="26">
        <v>0.42060000000000003</v>
      </c>
      <c r="C14" s="26">
        <v>0.35880000000000001</v>
      </c>
      <c r="D14" s="26">
        <v>0.37009999999999998</v>
      </c>
      <c r="E14" s="37">
        <v>7.3099999999999998E-2</v>
      </c>
      <c r="F14" s="40">
        <v>0.29289999999999999</v>
      </c>
      <c r="G14" s="17">
        <v>138245700</v>
      </c>
      <c r="H14" s="41">
        <v>78577500</v>
      </c>
      <c r="I14" s="40">
        <v>8.929999999999999E-2</v>
      </c>
      <c r="J14" s="17">
        <v>32997600</v>
      </c>
      <c r="K14" s="41">
        <v>40791100</v>
      </c>
      <c r="L14" s="40">
        <v>0.10710000000000001</v>
      </c>
      <c r="M14" s="17">
        <v>40960000</v>
      </c>
      <c r="N14" s="41">
        <v>36821600</v>
      </c>
      <c r="O14" s="40">
        <v>2.2799999999999997E-2</v>
      </c>
      <c r="P14" s="17">
        <v>6083300</v>
      </c>
      <c r="Q14" s="41">
        <v>8540600</v>
      </c>
      <c r="R14" s="40">
        <v>4.2099999999999999E-2</v>
      </c>
      <c r="S14" s="17">
        <v>13589300</v>
      </c>
      <c r="T14" s="41">
        <v>16611300</v>
      </c>
      <c r="U14" s="40">
        <v>2.8199999999999999E-2</v>
      </c>
      <c r="V14" s="17">
        <v>11673800</v>
      </c>
      <c r="W14" s="41">
        <v>9529300</v>
      </c>
      <c r="X14" s="40">
        <v>2.52E-2</v>
      </c>
      <c r="Y14" s="17">
        <v>6919900</v>
      </c>
      <c r="Z14" s="41">
        <v>11989700</v>
      </c>
      <c r="AA14" s="40">
        <v>4.3400000000000001E-2</v>
      </c>
      <c r="AB14" s="17">
        <v>12484800</v>
      </c>
      <c r="AC14" s="41">
        <v>13572500</v>
      </c>
      <c r="AD14" s="40">
        <v>2.5899999999999999E-2</v>
      </c>
      <c r="AE14" s="17">
        <v>8543300</v>
      </c>
      <c r="AF14" s="41">
        <v>10715300</v>
      </c>
      <c r="AG14" s="40">
        <v>1.32E-2</v>
      </c>
      <c r="AH14" s="17">
        <v>5273300</v>
      </c>
      <c r="AI14" s="41">
        <v>5408600</v>
      </c>
      <c r="AJ14" s="40">
        <v>8.0000000000000002E-3</v>
      </c>
      <c r="AK14" s="17">
        <v>2695600</v>
      </c>
      <c r="AL14" s="41">
        <v>3384300</v>
      </c>
      <c r="AM14" s="40">
        <v>1.9E-3</v>
      </c>
      <c r="AN14" s="17">
        <v>563700</v>
      </c>
      <c r="AO14" s="41">
        <v>971200</v>
      </c>
      <c r="AP14" s="40">
        <v>3.3E-3</v>
      </c>
      <c r="AQ14" s="17">
        <v>1302500</v>
      </c>
      <c r="AR14" s="17">
        <v>1856200</v>
      </c>
      <c r="AS14" s="40">
        <v>3.6400000000000002E-2</v>
      </c>
      <c r="AT14" s="17">
        <v>14438500</v>
      </c>
      <c r="AU14" s="41">
        <v>12327600</v>
      </c>
      <c r="AV14" s="40">
        <v>1.55E-2</v>
      </c>
      <c r="AW14" s="17">
        <v>4675900</v>
      </c>
      <c r="AX14" s="41">
        <v>8001700</v>
      </c>
      <c r="AY14" s="40">
        <v>2.1299999999999999E-2</v>
      </c>
      <c r="AZ14" s="17">
        <v>6300000</v>
      </c>
      <c r="BA14" s="41">
        <v>11057400</v>
      </c>
      <c r="BB14" s="40">
        <v>1.9E-3</v>
      </c>
      <c r="BC14" s="17">
        <v>451800</v>
      </c>
      <c r="BD14" s="41">
        <v>1092200</v>
      </c>
      <c r="BE14" s="40">
        <v>4.0999999999999995E-3</v>
      </c>
      <c r="BF14" s="17">
        <v>1242000</v>
      </c>
      <c r="BG14" s="41">
        <v>1090300</v>
      </c>
      <c r="BH14" s="40">
        <v>4.5999999999999999E-3</v>
      </c>
      <c r="BI14" s="17">
        <v>310200</v>
      </c>
      <c r="BJ14" s="41">
        <v>279700</v>
      </c>
      <c r="BK14" s="26">
        <v>1.61E-2</v>
      </c>
      <c r="BL14" s="26"/>
      <c r="BM14" s="37"/>
    </row>
    <row r="15" spans="1:68" x14ac:dyDescent="0.2">
      <c r="A15" s="25" t="s">
        <v>396</v>
      </c>
      <c r="B15" s="26">
        <v>0.37780000000000002</v>
      </c>
      <c r="C15" s="26">
        <v>0.37450000000000006</v>
      </c>
      <c r="D15" s="26">
        <v>0.37560000000000004</v>
      </c>
      <c r="E15" s="37">
        <v>8.3800000000000013E-2</v>
      </c>
      <c r="F15" s="40">
        <v>0.23719999999999999</v>
      </c>
      <c r="G15" s="17">
        <v>108848000</v>
      </c>
      <c r="H15" s="41">
        <v>54332800</v>
      </c>
      <c r="I15" s="40">
        <v>0.15410000000000001</v>
      </c>
      <c r="J15" s="17">
        <v>80810300</v>
      </c>
      <c r="K15" s="41">
        <v>48576600</v>
      </c>
      <c r="L15" s="40">
        <v>6.9199999999999998E-2</v>
      </c>
      <c r="M15" s="17">
        <v>26134900</v>
      </c>
      <c r="N15" s="41">
        <v>20081100</v>
      </c>
      <c r="O15" s="40">
        <v>2.5699999999999997E-2</v>
      </c>
      <c r="P15" s="17">
        <v>6964000</v>
      </c>
      <c r="Q15" s="41">
        <v>8381500</v>
      </c>
      <c r="R15" s="40">
        <v>5.1500000000000004E-2</v>
      </c>
      <c r="S15" s="17">
        <v>15588200</v>
      </c>
      <c r="T15" s="41">
        <v>12992600</v>
      </c>
      <c r="U15" s="40">
        <v>3.5000000000000003E-2</v>
      </c>
      <c r="V15" s="17">
        <v>12419900</v>
      </c>
      <c r="W15" s="41">
        <v>9347800</v>
      </c>
      <c r="X15" s="40">
        <v>3.1899999999999998E-2</v>
      </c>
      <c r="Y15" s="17">
        <v>11928400</v>
      </c>
      <c r="Z15" s="41">
        <v>11235400</v>
      </c>
      <c r="AA15" s="40">
        <v>2.86E-2</v>
      </c>
      <c r="AB15" s="17">
        <v>8000100</v>
      </c>
      <c r="AC15" s="41">
        <v>8777000</v>
      </c>
      <c r="AD15" s="40">
        <v>2.8399999999999998E-2</v>
      </c>
      <c r="AE15" s="17">
        <v>9637300</v>
      </c>
      <c r="AF15" s="41">
        <v>14121400</v>
      </c>
      <c r="AG15" s="40">
        <v>1.3300000000000001E-2</v>
      </c>
      <c r="AH15" s="17">
        <v>6308500</v>
      </c>
      <c r="AI15" s="41">
        <v>5152700</v>
      </c>
      <c r="AJ15" s="40">
        <v>5.8999999999999999E-3</v>
      </c>
      <c r="AK15" s="17">
        <v>2681000</v>
      </c>
      <c r="AL15" s="41">
        <v>2514700</v>
      </c>
      <c r="AM15" s="40">
        <v>3.0999999999999999E-3</v>
      </c>
      <c r="AN15" s="17">
        <v>1312100</v>
      </c>
      <c r="AO15" s="41">
        <v>1585600</v>
      </c>
      <c r="AP15" s="40">
        <v>3.5999999999999999E-3</v>
      </c>
      <c r="AQ15" s="17">
        <v>1225600</v>
      </c>
      <c r="AR15" s="17">
        <v>2003800</v>
      </c>
      <c r="AS15" s="40">
        <v>3.5799999999999998E-2</v>
      </c>
      <c r="AT15" s="17">
        <v>11885900</v>
      </c>
      <c r="AU15" s="41">
        <v>12973100</v>
      </c>
      <c r="AV15" s="40">
        <v>1.43E-2</v>
      </c>
      <c r="AW15" s="17">
        <v>3940000</v>
      </c>
      <c r="AX15" s="41">
        <v>7879900</v>
      </c>
      <c r="AY15" s="40">
        <v>1.1599999999999999E-2</v>
      </c>
      <c r="AZ15" s="17">
        <v>4302900</v>
      </c>
      <c r="BA15" s="41">
        <v>5076300</v>
      </c>
      <c r="BB15" s="40">
        <v>1.6000000000000001E-3</v>
      </c>
      <c r="BC15" s="17">
        <v>670500</v>
      </c>
      <c r="BD15" s="41">
        <v>570200</v>
      </c>
      <c r="BE15" s="40">
        <v>3.4999999999999996E-3</v>
      </c>
      <c r="BF15" s="17">
        <v>987900</v>
      </c>
      <c r="BG15" s="41">
        <v>1008600</v>
      </c>
      <c r="BH15" s="40">
        <v>5.3E-3</v>
      </c>
      <c r="BI15" s="17">
        <v>377500</v>
      </c>
      <c r="BJ15" s="41">
        <v>333300</v>
      </c>
      <c r="BK15" s="26">
        <v>1.66E-2</v>
      </c>
      <c r="BL15" s="26"/>
      <c r="BM15" s="37"/>
    </row>
    <row r="16" spans="1:68" x14ac:dyDescent="0.2">
      <c r="A16" s="25" t="s">
        <v>393</v>
      </c>
      <c r="B16" s="26">
        <v>0.30130000000000001</v>
      </c>
      <c r="C16" s="26">
        <v>0.28960000000000002</v>
      </c>
      <c r="D16" s="26">
        <v>0.42299999999999999</v>
      </c>
      <c r="E16" s="37">
        <v>9.6300000000000011E-2</v>
      </c>
      <c r="F16" s="40">
        <v>0.1943</v>
      </c>
      <c r="G16" s="17">
        <v>62465500</v>
      </c>
      <c r="H16" s="41">
        <v>74897200</v>
      </c>
      <c r="I16" s="40">
        <v>9.64E-2</v>
      </c>
      <c r="J16" s="17">
        <v>45623600</v>
      </c>
      <c r="K16" s="41">
        <v>44742400</v>
      </c>
      <c r="L16" s="40">
        <v>8.9900000000000008E-2</v>
      </c>
      <c r="M16" s="17">
        <v>23931000</v>
      </c>
      <c r="N16" s="41">
        <v>38514400</v>
      </c>
      <c r="O16" s="40">
        <v>3.6299999999999999E-2</v>
      </c>
      <c r="P16" s="17">
        <v>7894700</v>
      </c>
      <c r="Q16" s="41">
        <v>10958900</v>
      </c>
      <c r="R16" s="40">
        <v>6.1100000000000002E-2</v>
      </c>
      <c r="S16" s="17">
        <v>20421200</v>
      </c>
      <c r="T16" s="41">
        <v>24330800</v>
      </c>
      <c r="U16" s="40">
        <v>3.5699999999999996E-2</v>
      </c>
      <c r="V16" s="17">
        <v>10261000</v>
      </c>
      <c r="W16" s="41">
        <v>16705400</v>
      </c>
      <c r="X16" s="40">
        <v>2.8399999999999998E-2</v>
      </c>
      <c r="Y16" s="17">
        <v>12158600</v>
      </c>
      <c r="Z16" s="41">
        <v>14383100</v>
      </c>
      <c r="AA16" s="40">
        <v>3.9399999999999998E-2</v>
      </c>
      <c r="AB16" s="17">
        <v>9647700</v>
      </c>
      <c r="AC16" s="41">
        <v>16943900</v>
      </c>
      <c r="AD16" s="40">
        <v>4.6900000000000004E-2</v>
      </c>
      <c r="AE16" s="17">
        <v>13541800</v>
      </c>
      <c r="AF16" s="41">
        <v>18479800</v>
      </c>
      <c r="AG16" s="40">
        <v>1.2800000000000001E-2</v>
      </c>
      <c r="AH16" s="17">
        <v>7235700</v>
      </c>
      <c r="AI16" s="41">
        <v>6085900</v>
      </c>
      <c r="AJ16" s="40">
        <v>6.4000000000000003E-3</v>
      </c>
      <c r="AK16" s="17">
        <v>2075800</v>
      </c>
      <c r="AL16" s="41">
        <v>4085200</v>
      </c>
      <c r="AM16" s="40">
        <v>2.8999999999999998E-3</v>
      </c>
      <c r="AN16" s="17">
        <v>980100</v>
      </c>
      <c r="AO16" s="41">
        <v>1721800</v>
      </c>
      <c r="AP16" s="40">
        <v>3.0000000000000001E-3</v>
      </c>
      <c r="AQ16" s="17">
        <v>1103500</v>
      </c>
      <c r="AR16" s="17">
        <v>2169600</v>
      </c>
      <c r="AS16" s="40">
        <v>5.2300000000000006E-2</v>
      </c>
      <c r="AT16" s="17">
        <v>14995500</v>
      </c>
      <c r="AU16" s="41">
        <v>22896900</v>
      </c>
      <c r="AV16" s="40">
        <v>2.52E-2</v>
      </c>
      <c r="AW16" s="17">
        <v>11912600</v>
      </c>
      <c r="AX16" s="41">
        <v>11516900</v>
      </c>
      <c r="AY16" s="40">
        <v>2.3599999999999999E-2</v>
      </c>
      <c r="AZ16" s="17">
        <v>9092600</v>
      </c>
      <c r="BA16" s="41">
        <v>13010700</v>
      </c>
      <c r="BB16" s="40">
        <v>1.6000000000000001E-3</v>
      </c>
      <c r="BC16" s="17">
        <v>631400</v>
      </c>
      <c r="BD16" s="41">
        <v>1193000</v>
      </c>
      <c r="BE16" s="40">
        <v>3.9000000000000003E-3</v>
      </c>
      <c r="BF16" s="17">
        <v>807900</v>
      </c>
      <c r="BG16" s="41">
        <v>1018400</v>
      </c>
      <c r="BH16" s="40">
        <v>1.1200000000000002E-2</v>
      </c>
      <c r="BI16" s="17">
        <v>138500</v>
      </c>
      <c r="BJ16" s="41">
        <v>262700</v>
      </c>
      <c r="BK16" s="26">
        <v>1.3100000000000001E-2</v>
      </c>
      <c r="BL16" s="26"/>
      <c r="BM16" s="37"/>
    </row>
    <row r="17" spans="1:65" x14ac:dyDescent="0.2">
      <c r="A17" s="25" t="s">
        <v>392</v>
      </c>
      <c r="B17" s="26">
        <v>0.29649999999999999</v>
      </c>
      <c r="C17" s="26">
        <v>0.25059999999999999</v>
      </c>
      <c r="D17" s="26">
        <v>0.42520000000000002</v>
      </c>
      <c r="E17" s="37">
        <v>0.10150000000000001</v>
      </c>
      <c r="F17" s="40">
        <v>0.1782</v>
      </c>
      <c r="G17" s="17">
        <v>52771200</v>
      </c>
      <c r="H17" s="41">
        <v>58274500</v>
      </c>
      <c r="I17" s="40">
        <v>9.0299999999999991E-2</v>
      </c>
      <c r="J17" s="17">
        <v>37261900</v>
      </c>
      <c r="K17" s="41">
        <v>37644600</v>
      </c>
      <c r="L17" s="40">
        <v>8.3800000000000013E-2</v>
      </c>
      <c r="M17" s="17">
        <v>23604500</v>
      </c>
      <c r="N17" s="41">
        <v>28182900</v>
      </c>
      <c r="O17" s="40">
        <v>2.8999999999999998E-2</v>
      </c>
      <c r="P17" s="17">
        <v>9367200</v>
      </c>
      <c r="Q17" s="41">
        <v>9160800</v>
      </c>
      <c r="R17" s="40">
        <v>5.8099999999999999E-2</v>
      </c>
      <c r="S17" s="17">
        <v>18213900</v>
      </c>
      <c r="T17" s="41">
        <v>17345600</v>
      </c>
      <c r="U17" s="40">
        <v>3.3300000000000003E-2</v>
      </c>
      <c r="V17" s="17">
        <v>9536400</v>
      </c>
      <c r="W17" s="41">
        <v>11448900</v>
      </c>
      <c r="X17" s="40">
        <v>2.7699999999999999E-2</v>
      </c>
      <c r="Y17" s="17">
        <v>9529700</v>
      </c>
      <c r="Z17" s="41">
        <v>11425000</v>
      </c>
      <c r="AA17" s="40">
        <v>4.0199999999999993E-2</v>
      </c>
      <c r="AB17" s="17">
        <v>9438100</v>
      </c>
      <c r="AC17" s="41">
        <v>15254300</v>
      </c>
      <c r="AD17" s="40">
        <v>6.59E-2</v>
      </c>
      <c r="AE17" s="17">
        <v>32526000</v>
      </c>
      <c r="AF17" s="41">
        <v>20202400</v>
      </c>
      <c r="AG17" s="40">
        <v>2.0400000000000001E-2</v>
      </c>
      <c r="AH17" s="17">
        <v>9643000</v>
      </c>
      <c r="AI17" s="41">
        <v>7475700</v>
      </c>
      <c r="AJ17" s="40">
        <v>1.5700000000000002E-2</v>
      </c>
      <c r="AK17" s="17">
        <v>7772700</v>
      </c>
      <c r="AL17" s="41">
        <v>5397600</v>
      </c>
      <c r="AM17" s="40">
        <v>2.8000000000000004E-3</v>
      </c>
      <c r="AN17" s="17">
        <v>891700</v>
      </c>
      <c r="AO17" s="41">
        <v>1319800</v>
      </c>
      <c r="AP17" s="40">
        <v>6.1999999999999998E-3</v>
      </c>
      <c r="AQ17" s="17">
        <v>2050000</v>
      </c>
      <c r="AR17" s="17">
        <v>2634500</v>
      </c>
      <c r="AS17" s="40">
        <v>4.1500000000000002E-2</v>
      </c>
      <c r="AT17" s="17">
        <v>15080700</v>
      </c>
      <c r="AU17" s="41">
        <v>18363800</v>
      </c>
      <c r="AV17" s="40">
        <v>1.4199999999999999E-2</v>
      </c>
      <c r="AW17" s="17">
        <v>4185200</v>
      </c>
      <c r="AX17" s="41">
        <v>6904200</v>
      </c>
      <c r="AY17" s="40">
        <v>3.4500000000000003E-2</v>
      </c>
      <c r="AZ17" s="17">
        <v>10994300</v>
      </c>
      <c r="BA17" s="41">
        <v>16317500</v>
      </c>
      <c r="BB17" s="40">
        <v>2.3E-3</v>
      </c>
      <c r="BC17" s="17">
        <v>781600</v>
      </c>
      <c r="BD17" s="41">
        <v>816600</v>
      </c>
      <c r="BE17" s="40">
        <v>4.0000000000000001E-3</v>
      </c>
      <c r="BF17" s="17">
        <v>1009900</v>
      </c>
      <c r="BG17" s="41">
        <v>1273300</v>
      </c>
      <c r="BH17" s="40">
        <v>1.03E-2</v>
      </c>
      <c r="BI17" s="17">
        <v>122400</v>
      </c>
      <c r="BJ17" s="41">
        <v>210500</v>
      </c>
      <c r="BK17" s="26">
        <v>8.5000000000000006E-3</v>
      </c>
      <c r="BL17" s="26"/>
      <c r="BM17" s="37"/>
    </row>
    <row r="18" spans="1:65" x14ac:dyDescent="0.2">
      <c r="A18" s="25" t="s">
        <v>387</v>
      </c>
      <c r="B18" s="26">
        <v>0.27350000000000002</v>
      </c>
      <c r="C18" s="26">
        <v>0.25379999999999997</v>
      </c>
      <c r="D18" s="26">
        <v>0.40279999999999999</v>
      </c>
      <c r="E18" s="37">
        <v>9.3100000000000002E-2</v>
      </c>
      <c r="F18" s="40">
        <v>0.18600000000000003</v>
      </c>
      <c r="G18" s="17">
        <v>37147500</v>
      </c>
      <c r="H18" s="41">
        <v>41726000</v>
      </c>
      <c r="I18" s="40">
        <v>7.2700000000000001E-2</v>
      </c>
      <c r="J18" s="17">
        <v>18444800</v>
      </c>
      <c r="K18" s="41">
        <v>29569800</v>
      </c>
      <c r="L18" s="40">
        <v>9.2300000000000007E-2</v>
      </c>
      <c r="M18" s="17">
        <v>20701400</v>
      </c>
      <c r="N18" s="41">
        <v>25603800</v>
      </c>
      <c r="O18" s="40">
        <v>2.0199999999999999E-2</v>
      </c>
      <c r="P18" s="17">
        <v>4023100</v>
      </c>
      <c r="Q18" s="41">
        <v>6159200</v>
      </c>
      <c r="R18" s="40">
        <v>4.6600000000000003E-2</v>
      </c>
      <c r="S18" s="17">
        <v>12417400</v>
      </c>
      <c r="T18" s="41">
        <v>13360900</v>
      </c>
      <c r="U18" s="40">
        <v>3.0600000000000002E-2</v>
      </c>
      <c r="V18" s="17">
        <v>9467300</v>
      </c>
      <c r="W18" s="41">
        <v>8832300</v>
      </c>
      <c r="X18" s="40">
        <v>2.5600000000000001E-2</v>
      </c>
      <c r="Y18" s="17">
        <v>6778300</v>
      </c>
      <c r="Z18" s="41">
        <v>9517900</v>
      </c>
      <c r="AA18" s="40">
        <v>3.6200000000000003E-2</v>
      </c>
      <c r="AB18" s="17">
        <v>7392100</v>
      </c>
      <c r="AC18" s="41">
        <v>10196200</v>
      </c>
      <c r="AD18" s="40">
        <v>6.6299999999999998E-2</v>
      </c>
      <c r="AE18" s="17">
        <v>22887500</v>
      </c>
      <c r="AF18" s="41">
        <v>15841400</v>
      </c>
      <c r="AG18" s="40">
        <v>1.7000000000000001E-2</v>
      </c>
      <c r="AH18" s="17">
        <v>5475900</v>
      </c>
      <c r="AI18" s="41">
        <v>5706200</v>
      </c>
      <c r="AJ18" s="40">
        <v>5.3E-3</v>
      </c>
      <c r="AK18" s="17">
        <v>1354000</v>
      </c>
      <c r="AL18" s="41">
        <v>1827800</v>
      </c>
      <c r="AM18" s="40">
        <v>6.4000000000000003E-3</v>
      </c>
      <c r="AN18" s="17">
        <v>1897600</v>
      </c>
      <c r="AO18" s="41">
        <v>1674200</v>
      </c>
      <c r="AP18" s="40">
        <v>3.3E-3</v>
      </c>
      <c r="AQ18" s="17">
        <v>760500</v>
      </c>
      <c r="AR18" s="17">
        <v>1590600</v>
      </c>
      <c r="AS18" s="40">
        <v>6.1200000000000004E-2</v>
      </c>
      <c r="AT18" s="17">
        <v>12106500</v>
      </c>
      <c r="AU18" s="41">
        <v>19606700</v>
      </c>
      <c r="AV18" s="40">
        <v>3.7400000000000003E-2</v>
      </c>
      <c r="AW18" s="17">
        <v>11342600</v>
      </c>
      <c r="AX18" s="41">
        <v>8627700</v>
      </c>
      <c r="AY18" s="40">
        <v>1.9699999999999999E-2</v>
      </c>
      <c r="AZ18" s="17">
        <v>7252600</v>
      </c>
      <c r="BA18" s="41">
        <v>5595700</v>
      </c>
      <c r="BB18" s="40">
        <v>2.3999999999999998E-3</v>
      </c>
      <c r="BC18" s="17">
        <v>430800</v>
      </c>
      <c r="BD18" s="41">
        <v>1110600</v>
      </c>
      <c r="BE18" s="40">
        <v>9.0000000000000011E-3</v>
      </c>
      <c r="BF18" s="17">
        <v>3353900</v>
      </c>
      <c r="BG18" s="41">
        <v>1572400</v>
      </c>
      <c r="BH18" s="43"/>
      <c r="BI18" s="17">
        <v>158600</v>
      </c>
      <c r="BJ18" s="41">
        <v>259600</v>
      </c>
      <c r="BM18" s="42"/>
    </row>
    <row r="19" spans="1:65" x14ac:dyDescent="0.2">
      <c r="A19" s="25" t="s">
        <v>383</v>
      </c>
      <c r="B19" s="26">
        <v>0.3422</v>
      </c>
      <c r="C19" s="26">
        <v>0.26319999999999999</v>
      </c>
      <c r="D19" s="26">
        <v>0.38650000000000001</v>
      </c>
      <c r="E19" s="37">
        <v>8.4700000000000011E-2</v>
      </c>
      <c r="F19" s="40">
        <v>0.1948</v>
      </c>
      <c r="G19" s="17">
        <v>63355300</v>
      </c>
      <c r="H19" s="41">
        <v>59016600</v>
      </c>
      <c r="I19" s="40">
        <v>6.8000000000000005E-2</v>
      </c>
      <c r="J19" s="17">
        <v>22498300</v>
      </c>
      <c r="K19" s="41">
        <v>35651300</v>
      </c>
      <c r="L19" s="40">
        <v>8.8399999999999992E-2</v>
      </c>
      <c r="M19" s="17">
        <v>19071700</v>
      </c>
      <c r="N19" s="41">
        <v>40054200</v>
      </c>
      <c r="O19" s="40">
        <v>2.9500000000000002E-2</v>
      </c>
      <c r="P19" s="17">
        <v>4913800</v>
      </c>
      <c r="Q19" s="41">
        <v>9735900</v>
      </c>
      <c r="R19" s="40">
        <v>5.96E-2</v>
      </c>
      <c r="S19" s="17">
        <v>17757700</v>
      </c>
      <c r="T19" s="41">
        <v>21262800</v>
      </c>
      <c r="U19" s="40">
        <v>3.78E-2</v>
      </c>
      <c r="V19" s="17">
        <v>9913100</v>
      </c>
      <c r="W19" s="41">
        <v>13608100</v>
      </c>
      <c r="X19" s="40">
        <v>3.0499999999999999E-2</v>
      </c>
      <c r="Y19" s="17">
        <v>11338800</v>
      </c>
      <c r="Z19" s="41">
        <v>14104000</v>
      </c>
      <c r="AA19" s="40">
        <v>0.05</v>
      </c>
      <c r="AB19" s="17">
        <v>15226900</v>
      </c>
      <c r="AC19" s="41">
        <v>16325000</v>
      </c>
      <c r="AD19" s="40">
        <v>3.5400000000000001E-2</v>
      </c>
      <c r="AE19" s="17">
        <v>12968700</v>
      </c>
      <c r="AF19" s="41">
        <v>13593100</v>
      </c>
      <c r="AG19" s="40">
        <v>1.5300000000000001E-2</v>
      </c>
      <c r="AH19" s="17">
        <v>6881900</v>
      </c>
      <c r="AI19" s="41">
        <v>6045500</v>
      </c>
      <c r="AJ19" s="40">
        <v>6.5000000000000006E-3</v>
      </c>
      <c r="AK19" s="17">
        <v>2336500</v>
      </c>
      <c r="AL19" s="41">
        <v>3200100</v>
      </c>
      <c r="AM19" s="40">
        <v>3.5999999999999999E-3</v>
      </c>
      <c r="AN19" s="17">
        <v>1488900</v>
      </c>
      <c r="AO19" s="41">
        <v>1609200</v>
      </c>
      <c r="AP19" s="40">
        <v>3.0999999999999999E-3</v>
      </c>
      <c r="AQ19" s="17">
        <v>912700</v>
      </c>
      <c r="AR19" s="17">
        <v>1773700</v>
      </c>
      <c r="AS19" s="40">
        <v>4.2900000000000001E-2</v>
      </c>
      <c r="AT19" s="17">
        <v>13178700</v>
      </c>
      <c r="AU19" s="41">
        <v>18508500</v>
      </c>
      <c r="AV19" s="40">
        <v>3.1400000000000004E-2</v>
      </c>
      <c r="AW19" s="17">
        <v>6417900</v>
      </c>
      <c r="AX19" s="41">
        <v>11572600</v>
      </c>
      <c r="AY19" s="40">
        <v>2.18E-2</v>
      </c>
      <c r="AZ19" s="17">
        <v>6193100</v>
      </c>
      <c r="BA19" s="41">
        <v>11888300</v>
      </c>
      <c r="BB19" s="40">
        <v>1.7000000000000001E-3</v>
      </c>
      <c r="BC19" s="17">
        <v>502400</v>
      </c>
      <c r="BD19" s="41">
        <v>695800</v>
      </c>
      <c r="BE19" s="40">
        <v>9.1000000000000004E-3</v>
      </c>
      <c r="BF19" s="17">
        <v>2210900</v>
      </c>
      <c r="BG19" s="41">
        <v>4334200</v>
      </c>
      <c r="BH19" s="43"/>
      <c r="BI19" s="17">
        <v>233300</v>
      </c>
      <c r="BJ19" s="41">
        <v>356200</v>
      </c>
      <c r="BM19" s="42"/>
    </row>
    <row r="20" spans="1:65" x14ac:dyDescent="0.2">
      <c r="A20" s="25" t="s">
        <v>381</v>
      </c>
      <c r="B20" s="26">
        <v>0.29449999999999998</v>
      </c>
      <c r="C20" s="26">
        <v>0.29620000000000002</v>
      </c>
      <c r="D20" s="26">
        <v>0.3947</v>
      </c>
      <c r="E20" s="37">
        <v>0.1142</v>
      </c>
      <c r="F20" s="40">
        <v>0.19469999999999998</v>
      </c>
      <c r="G20" s="17">
        <v>45778800</v>
      </c>
      <c r="H20" s="41">
        <v>60811400</v>
      </c>
      <c r="I20" s="40">
        <v>8.5500000000000007E-2</v>
      </c>
      <c r="J20" s="17">
        <v>34848500</v>
      </c>
      <c r="K20" s="41">
        <v>38310800</v>
      </c>
      <c r="L20" s="40">
        <v>0.10050000000000001</v>
      </c>
      <c r="M20" s="17">
        <v>26644200</v>
      </c>
      <c r="N20" s="41">
        <v>39092700</v>
      </c>
      <c r="O20" s="40">
        <v>3.78E-2</v>
      </c>
      <c r="P20" s="17">
        <v>10878900</v>
      </c>
      <c r="Q20" s="41">
        <v>12128900</v>
      </c>
      <c r="R20" s="40">
        <v>4.4400000000000002E-2</v>
      </c>
      <c r="S20" s="17">
        <v>17236100</v>
      </c>
      <c r="T20" s="41">
        <v>18901200</v>
      </c>
      <c r="U20" s="40">
        <v>4.82E-2</v>
      </c>
      <c r="V20" s="17">
        <v>19976800</v>
      </c>
      <c r="W20" s="41">
        <v>20081100</v>
      </c>
      <c r="X20" s="40">
        <v>2.8399999999999998E-2</v>
      </c>
      <c r="Y20" s="17">
        <v>10246800</v>
      </c>
      <c r="Z20" s="41">
        <v>12598700</v>
      </c>
      <c r="AA20" s="40">
        <v>4.5499999999999999E-2</v>
      </c>
      <c r="AB20" s="17">
        <v>12676500</v>
      </c>
      <c r="AC20" s="41">
        <v>15721900</v>
      </c>
      <c r="AD20" s="40">
        <v>2.4500000000000001E-2</v>
      </c>
      <c r="AE20" s="17">
        <v>7588800</v>
      </c>
      <c r="AF20" s="41">
        <v>12274500</v>
      </c>
      <c r="AG20" s="40">
        <v>1.8600000000000002E-2</v>
      </c>
      <c r="AH20" s="17">
        <v>8475300</v>
      </c>
      <c r="AI20" s="41">
        <v>7919200</v>
      </c>
      <c r="AJ20" s="40">
        <v>5.6000000000000008E-3</v>
      </c>
      <c r="AK20" s="17">
        <v>1916800</v>
      </c>
      <c r="AL20" s="41">
        <v>2852700</v>
      </c>
      <c r="AM20" s="40">
        <v>4.0000000000000001E-3</v>
      </c>
      <c r="AN20" s="17">
        <v>1227100</v>
      </c>
      <c r="AO20" s="41">
        <v>2237700</v>
      </c>
      <c r="AP20" s="40">
        <v>4.3E-3</v>
      </c>
      <c r="AQ20" s="17">
        <v>1459900</v>
      </c>
      <c r="AR20" s="17">
        <v>2426800</v>
      </c>
      <c r="AS20" s="40">
        <v>6.2600000000000003E-2</v>
      </c>
      <c r="AT20" s="17">
        <v>29446300</v>
      </c>
      <c r="AU20" s="41">
        <v>23910900</v>
      </c>
      <c r="AV20" s="40">
        <v>3.15E-2</v>
      </c>
      <c r="AW20" s="17">
        <v>7629800</v>
      </c>
      <c r="AX20" s="41">
        <v>10817900</v>
      </c>
      <c r="AY20" s="40">
        <v>2.12E-2</v>
      </c>
      <c r="AZ20" s="17">
        <v>5524600</v>
      </c>
      <c r="BA20" s="41">
        <v>11074000</v>
      </c>
      <c r="BB20" s="40">
        <v>4.3E-3</v>
      </c>
      <c r="BC20" s="17">
        <v>1935900</v>
      </c>
      <c r="BD20" s="41">
        <v>1671900</v>
      </c>
      <c r="BE20" s="40">
        <v>5.7999999999999996E-3</v>
      </c>
      <c r="BF20" s="17">
        <v>1735900</v>
      </c>
      <c r="BG20" s="41">
        <v>1882800</v>
      </c>
      <c r="BH20" s="43"/>
      <c r="BI20" s="17">
        <v>594500</v>
      </c>
      <c r="BJ20" s="41">
        <v>588800</v>
      </c>
      <c r="BM20" s="42"/>
    </row>
    <row r="21" spans="1:65" x14ac:dyDescent="0.2">
      <c r="A21" s="25" t="s">
        <v>378</v>
      </c>
      <c r="B21" s="26">
        <v>0.2923</v>
      </c>
      <c r="C21" s="26">
        <v>0.29920000000000002</v>
      </c>
      <c r="D21" s="26">
        <v>0.41299999999999998</v>
      </c>
      <c r="E21" s="37">
        <v>8.8499999999999995E-2</v>
      </c>
      <c r="F21" s="40">
        <v>0.18160000000000001</v>
      </c>
      <c r="G21" s="17">
        <v>44980400</v>
      </c>
      <c r="H21" s="41">
        <v>53566900</v>
      </c>
      <c r="I21" s="40">
        <v>8.1199999999999994E-2</v>
      </c>
      <c r="J21" s="17">
        <v>34143100</v>
      </c>
      <c r="K21" s="41">
        <v>38474100</v>
      </c>
      <c r="L21" s="40">
        <v>6.9199999999999998E-2</v>
      </c>
      <c r="M21" s="17">
        <v>18454500</v>
      </c>
      <c r="N21" s="41">
        <v>26829100</v>
      </c>
      <c r="O21" s="40">
        <v>1.9799999999999998E-2</v>
      </c>
      <c r="P21" s="17">
        <v>5700700</v>
      </c>
      <c r="Q21" s="41">
        <v>7541700</v>
      </c>
      <c r="R21" s="40">
        <v>0.10210000000000001</v>
      </c>
      <c r="S21" s="17">
        <v>42073100</v>
      </c>
      <c r="T21" s="41">
        <v>31320700</v>
      </c>
      <c r="U21" s="40">
        <v>3.3599999999999998E-2</v>
      </c>
      <c r="V21" s="17">
        <v>8788500</v>
      </c>
      <c r="W21" s="41">
        <v>11360900</v>
      </c>
      <c r="X21" s="40">
        <v>3.78E-2</v>
      </c>
      <c r="Y21" s="17">
        <v>17913400</v>
      </c>
      <c r="Z21" s="41">
        <v>14347400</v>
      </c>
      <c r="AA21" s="40">
        <v>4.3200000000000002E-2</v>
      </c>
      <c r="AB21" s="17">
        <v>10871900</v>
      </c>
      <c r="AC21" s="41">
        <v>14472700</v>
      </c>
      <c r="AD21" s="40">
        <v>3.2300000000000002E-2</v>
      </c>
      <c r="AE21" s="17">
        <v>13819100</v>
      </c>
      <c r="AF21" s="41">
        <v>13353000</v>
      </c>
      <c r="AG21" s="40">
        <v>1.8200000000000001E-2</v>
      </c>
      <c r="AH21" s="17">
        <v>8292600</v>
      </c>
      <c r="AI21" s="41">
        <v>6304300</v>
      </c>
      <c r="AJ21" s="40">
        <v>6.3E-3</v>
      </c>
      <c r="AK21" s="17">
        <v>1861300</v>
      </c>
      <c r="AL21" s="41">
        <v>3615100</v>
      </c>
      <c r="AM21" s="40">
        <v>2.3999999999999998E-3</v>
      </c>
      <c r="AN21" s="17">
        <v>896300</v>
      </c>
      <c r="AO21" s="41">
        <v>1291000</v>
      </c>
      <c r="AP21" s="40">
        <v>6.6E-3</v>
      </c>
      <c r="AQ21" s="17">
        <v>3319400</v>
      </c>
      <c r="AR21" s="17">
        <v>2899700</v>
      </c>
      <c r="AS21" s="40">
        <v>5.67E-2</v>
      </c>
      <c r="AT21" s="17">
        <v>19464900</v>
      </c>
      <c r="AU21" s="41">
        <v>21847900</v>
      </c>
      <c r="AV21" s="40">
        <v>2.35E-2</v>
      </c>
      <c r="AW21" s="17">
        <v>6003200</v>
      </c>
      <c r="AX21" s="41">
        <v>8636000</v>
      </c>
      <c r="AY21" s="40">
        <v>3.6299999999999999E-2</v>
      </c>
      <c r="AZ21" s="17">
        <v>11716500</v>
      </c>
      <c r="BA21" s="41">
        <v>20070700</v>
      </c>
      <c r="BB21" s="40">
        <v>1.9E-3</v>
      </c>
      <c r="BC21" s="17">
        <v>676200</v>
      </c>
      <c r="BD21" s="41">
        <v>755300</v>
      </c>
      <c r="BE21" s="40">
        <v>5.7999999999999996E-3</v>
      </c>
      <c r="BF21" s="17">
        <v>1928900</v>
      </c>
      <c r="BG21" s="41">
        <v>1780900</v>
      </c>
      <c r="BH21" s="43"/>
      <c r="BI21" s="17">
        <v>170800</v>
      </c>
      <c r="BJ21" s="41">
        <v>170300</v>
      </c>
      <c r="BM21" s="42"/>
    </row>
    <row r="22" spans="1:65" x14ac:dyDescent="0.2">
      <c r="A22" s="25" t="s">
        <v>373</v>
      </c>
      <c r="B22" s="26">
        <v>0.30380000000000001</v>
      </c>
      <c r="C22" s="26">
        <v>0.26400000000000001</v>
      </c>
      <c r="D22" s="26">
        <v>0.42840000000000006</v>
      </c>
      <c r="E22" s="37">
        <v>9.6199999999999994E-2</v>
      </c>
      <c r="F22" s="40">
        <v>0.1918</v>
      </c>
      <c r="G22" s="17">
        <v>85724600</v>
      </c>
      <c r="H22" s="41">
        <v>70840700</v>
      </c>
      <c r="I22" s="40">
        <v>8.2200000000000009E-2</v>
      </c>
      <c r="J22" s="17">
        <v>40071200</v>
      </c>
      <c r="K22" s="41">
        <v>38014700</v>
      </c>
      <c r="L22" s="40">
        <v>0.122</v>
      </c>
      <c r="M22" s="17">
        <v>55826400</v>
      </c>
      <c r="N22" s="41">
        <v>45115900</v>
      </c>
      <c r="O22" s="40">
        <v>3.3399999999999999E-2</v>
      </c>
      <c r="P22" s="17">
        <v>8951800</v>
      </c>
      <c r="Q22" s="41">
        <v>9345400</v>
      </c>
      <c r="R22" s="40">
        <v>3.8199999999999998E-2</v>
      </c>
      <c r="S22" s="17">
        <v>19469900</v>
      </c>
      <c r="T22" s="41">
        <v>17192400</v>
      </c>
      <c r="U22" s="40">
        <v>3.2300000000000002E-2</v>
      </c>
      <c r="V22" s="17">
        <v>12163400</v>
      </c>
      <c r="W22" s="41">
        <v>10733000</v>
      </c>
      <c r="X22" s="40">
        <v>2.4700000000000003E-2</v>
      </c>
      <c r="Y22" s="17">
        <v>11461200</v>
      </c>
      <c r="Z22" s="41">
        <v>11307800</v>
      </c>
      <c r="AA22" s="40">
        <v>4.2800000000000005E-2</v>
      </c>
      <c r="AB22" s="17">
        <v>14070300</v>
      </c>
      <c r="AC22" s="41">
        <v>14541900</v>
      </c>
      <c r="AD22" s="40">
        <v>4.0800000000000003E-2</v>
      </c>
      <c r="AE22" s="17">
        <v>10991900</v>
      </c>
      <c r="AF22" s="41">
        <v>16498200</v>
      </c>
      <c r="AG22" s="40">
        <v>1.24E-2</v>
      </c>
      <c r="AH22" s="17">
        <v>6557300</v>
      </c>
      <c r="AI22" s="41">
        <v>5812500</v>
      </c>
      <c r="AJ22" s="40">
        <v>5.3E-3</v>
      </c>
      <c r="AK22" s="17">
        <v>2513300</v>
      </c>
      <c r="AL22" s="41">
        <v>2781600</v>
      </c>
      <c r="AM22" s="40">
        <v>2.7000000000000001E-3</v>
      </c>
      <c r="AN22" s="17">
        <v>989500</v>
      </c>
      <c r="AO22" s="41">
        <v>1728400</v>
      </c>
      <c r="AP22" s="40">
        <v>2.5999999999999999E-3</v>
      </c>
      <c r="AQ22" s="17">
        <v>1738500</v>
      </c>
      <c r="AR22" s="17">
        <v>1424300</v>
      </c>
      <c r="AS22" s="40">
        <v>4.8499999999999995E-2</v>
      </c>
      <c r="AT22" s="17">
        <v>18886500</v>
      </c>
      <c r="AU22" s="41">
        <v>25376400</v>
      </c>
      <c r="AV22" s="40">
        <v>4.3099999999999999E-2</v>
      </c>
      <c r="AW22" s="17">
        <v>19692900</v>
      </c>
      <c r="AX22" s="41">
        <v>18218600</v>
      </c>
      <c r="AY22" s="40">
        <v>3.2599999999999997E-2</v>
      </c>
      <c r="AZ22" s="17">
        <v>17167200</v>
      </c>
      <c r="BA22" s="41">
        <v>14710300</v>
      </c>
      <c r="BB22" s="40">
        <v>1.4000000000000002E-3</v>
      </c>
      <c r="BC22" s="17">
        <v>442900</v>
      </c>
      <c r="BD22" s="41">
        <v>707700</v>
      </c>
      <c r="BE22" s="40">
        <v>6.4000000000000003E-3</v>
      </c>
      <c r="BF22" s="17">
        <v>3513900</v>
      </c>
      <c r="BG22" s="41">
        <v>1797200</v>
      </c>
      <c r="BH22" s="43"/>
      <c r="BI22" s="17">
        <v>161100</v>
      </c>
      <c r="BJ22" s="41">
        <v>198400</v>
      </c>
      <c r="BM22" s="42"/>
    </row>
    <row r="23" spans="1:65" x14ac:dyDescent="0.2">
      <c r="A23" s="25" t="s">
        <v>362</v>
      </c>
      <c r="B23" s="26">
        <v>0.24</v>
      </c>
      <c r="C23" s="26">
        <v>0.32429999999999998</v>
      </c>
      <c r="D23" s="26">
        <v>0.34710000000000002</v>
      </c>
      <c r="E23" s="37">
        <v>0.12279999999999999</v>
      </c>
      <c r="F23" s="40">
        <v>0.2311</v>
      </c>
      <c r="G23" s="17">
        <v>37888900</v>
      </c>
      <c r="H23" s="41">
        <v>48568500</v>
      </c>
      <c r="I23" s="40">
        <v>7.46E-2</v>
      </c>
      <c r="J23" s="17">
        <v>24876200</v>
      </c>
      <c r="K23" s="41">
        <v>29099800</v>
      </c>
      <c r="L23" s="40">
        <v>9.3299999999999994E-2</v>
      </c>
      <c r="M23" s="17">
        <v>20076800</v>
      </c>
      <c r="N23" s="41">
        <v>20245700</v>
      </c>
      <c r="O23" s="40">
        <v>1.9799999999999998E-2</v>
      </c>
      <c r="P23" s="17">
        <v>4210700</v>
      </c>
      <c r="Q23" s="41">
        <v>7108200</v>
      </c>
      <c r="R23" s="40">
        <v>4.1299999999999996E-2</v>
      </c>
      <c r="S23" s="17">
        <v>12857800</v>
      </c>
      <c r="T23" s="41">
        <v>12189200</v>
      </c>
      <c r="U23" s="40">
        <v>4.6300000000000001E-2</v>
      </c>
      <c r="V23" s="17">
        <v>13447500</v>
      </c>
      <c r="W23" s="41">
        <v>14902300</v>
      </c>
      <c r="X23" s="40">
        <v>2.6499999999999999E-2</v>
      </c>
      <c r="Y23" s="17">
        <v>5402900</v>
      </c>
      <c r="Z23" s="41">
        <v>8420500</v>
      </c>
      <c r="AA23" s="40">
        <v>2.76E-2</v>
      </c>
      <c r="AB23" s="17">
        <v>6466900</v>
      </c>
      <c r="AC23" s="41">
        <v>10046800</v>
      </c>
      <c r="AD23" s="40">
        <v>3.8300000000000001E-2</v>
      </c>
      <c r="AE23" s="17">
        <v>11146500</v>
      </c>
      <c r="AF23" s="41">
        <v>16006300</v>
      </c>
      <c r="AG23" s="40">
        <v>3.4700000000000002E-2</v>
      </c>
      <c r="AH23" s="17">
        <v>11807100</v>
      </c>
      <c r="AI23" s="41">
        <v>9364900</v>
      </c>
      <c r="AJ23" s="40">
        <v>1.11E-2</v>
      </c>
      <c r="AK23" s="17">
        <v>4903400</v>
      </c>
      <c r="AL23" s="41">
        <v>2959600</v>
      </c>
      <c r="AM23" s="40">
        <v>2.3E-3</v>
      </c>
      <c r="AN23" s="17">
        <v>157800</v>
      </c>
      <c r="AO23" s="41">
        <v>218100</v>
      </c>
      <c r="AP23" s="40">
        <v>2.8999999999999998E-3</v>
      </c>
      <c r="AQ23" s="17">
        <v>857300</v>
      </c>
      <c r="AR23" s="17">
        <v>1699400</v>
      </c>
      <c r="AS23" s="40">
        <v>4.9500000000000002E-2</v>
      </c>
      <c r="AT23" s="17">
        <v>15117400</v>
      </c>
      <c r="AU23" s="41">
        <v>18245100</v>
      </c>
      <c r="AV23" s="40">
        <v>2.4199999999999999E-2</v>
      </c>
      <c r="AW23" s="17">
        <v>5089400</v>
      </c>
      <c r="AX23" s="41">
        <v>4508200</v>
      </c>
      <c r="AY23" s="40">
        <v>2.1600000000000001E-2</v>
      </c>
      <c r="AZ23" s="17">
        <v>6121700</v>
      </c>
      <c r="BA23" s="41">
        <v>8456800</v>
      </c>
      <c r="BB23" s="40">
        <v>1.6000000000000001E-3</v>
      </c>
      <c r="BC23" s="17"/>
      <c r="BD23" s="41"/>
      <c r="BE23" s="40">
        <v>6.0000000000000001E-3</v>
      </c>
      <c r="BF23" s="17"/>
      <c r="BG23" s="41"/>
      <c r="BH23" s="43"/>
      <c r="BI23" s="17"/>
      <c r="BJ23" s="41"/>
      <c r="BM23" s="42"/>
    </row>
    <row r="24" spans="1:65" x14ac:dyDescent="0.2">
      <c r="A24" s="25" t="s">
        <v>357</v>
      </c>
      <c r="B24" s="26">
        <v>0.27779999999999999</v>
      </c>
      <c r="C24" s="26">
        <v>0.24329999999999999</v>
      </c>
      <c r="D24" s="26">
        <v>0.47539999999999999</v>
      </c>
      <c r="E24" s="37">
        <v>0.1084</v>
      </c>
      <c r="F24" s="40">
        <v>0.13339999999999999</v>
      </c>
      <c r="G24" s="17">
        <v>50810400</v>
      </c>
      <c r="H24" s="41">
        <v>80765100</v>
      </c>
      <c r="I24" s="40">
        <v>0.11599999999999999</v>
      </c>
      <c r="J24" s="17">
        <v>53789000</v>
      </c>
      <c r="K24" s="41">
        <v>64038900</v>
      </c>
      <c r="L24" s="40">
        <v>0.1074</v>
      </c>
      <c r="M24" s="17">
        <v>28726800</v>
      </c>
      <c r="N24" s="41">
        <v>35447700</v>
      </c>
      <c r="O24" s="40">
        <v>3.04E-2</v>
      </c>
      <c r="P24" s="17">
        <v>11802200</v>
      </c>
      <c r="Q24" s="41">
        <v>15203400</v>
      </c>
      <c r="R24" s="40">
        <v>4.41E-2</v>
      </c>
      <c r="S24" s="17">
        <v>13087400</v>
      </c>
      <c r="T24" s="41">
        <v>21716900</v>
      </c>
      <c r="U24" s="40">
        <v>3.8699999999999998E-2</v>
      </c>
      <c r="V24" s="17">
        <v>18265100</v>
      </c>
      <c r="W24" s="41">
        <v>16899700</v>
      </c>
      <c r="X24" s="40">
        <v>3.9100000000000003E-2</v>
      </c>
      <c r="Y24" s="17">
        <v>14460400</v>
      </c>
      <c r="Z24" s="41">
        <v>20296700</v>
      </c>
      <c r="AA24" s="40">
        <v>4.41E-2</v>
      </c>
      <c r="AB24" s="17">
        <v>22082000</v>
      </c>
      <c r="AC24" s="41">
        <v>20979200</v>
      </c>
      <c r="AD24" s="40">
        <v>7.0599999999999996E-2</v>
      </c>
      <c r="AE24" s="17">
        <v>22907100</v>
      </c>
      <c r="AF24" s="41">
        <v>19877300</v>
      </c>
      <c r="AG24" s="40">
        <v>1.5300000000000001E-2</v>
      </c>
      <c r="AH24" s="17">
        <v>5010500</v>
      </c>
      <c r="AI24" s="41">
        <v>7435900</v>
      </c>
      <c r="AJ24" s="40">
        <v>4.6999999999999993E-3</v>
      </c>
      <c r="AK24" s="17">
        <v>1908400</v>
      </c>
      <c r="AL24" s="41">
        <v>2896400</v>
      </c>
      <c r="AM24" s="40">
        <v>3.4999999999999996E-3</v>
      </c>
      <c r="AN24" s="17">
        <v>533100</v>
      </c>
      <c r="AO24" s="41">
        <v>528200</v>
      </c>
      <c r="AP24" s="40">
        <v>3.4999999999999996E-3</v>
      </c>
      <c r="AQ24" s="17">
        <v>1892700</v>
      </c>
      <c r="AR24" s="17">
        <v>2176800</v>
      </c>
      <c r="AS24" s="40">
        <v>3.2599999999999997E-2</v>
      </c>
      <c r="AT24" s="17">
        <v>22719000</v>
      </c>
      <c r="AU24" s="41">
        <v>28299700</v>
      </c>
      <c r="AV24" s="40">
        <v>2.7999999999999997E-2</v>
      </c>
      <c r="AW24" s="17">
        <v>7059000</v>
      </c>
      <c r="AX24" s="41">
        <v>13368400</v>
      </c>
      <c r="AY24" s="40">
        <v>3.6900000000000002E-2</v>
      </c>
      <c r="AZ24" s="17">
        <v>17323500</v>
      </c>
      <c r="BA24" s="41">
        <v>18524800</v>
      </c>
      <c r="BB24" s="40">
        <v>2.5000000000000001E-3</v>
      </c>
      <c r="BC24" s="17"/>
      <c r="BD24" s="41"/>
      <c r="BE24" s="43"/>
      <c r="BF24" s="17"/>
      <c r="BG24" s="41"/>
      <c r="BH24" s="43"/>
      <c r="BJ24" s="42"/>
      <c r="BM24" s="42"/>
    </row>
    <row r="25" spans="1:65" x14ac:dyDescent="0.2">
      <c r="A25" s="25" t="s">
        <v>277</v>
      </c>
      <c r="B25" s="26">
        <v>0.27260000000000001</v>
      </c>
      <c r="C25" s="26">
        <v>0.24030000000000001</v>
      </c>
      <c r="D25" s="26">
        <v>0.39299999999999996</v>
      </c>
      <c r="E25" s="37">
        <v>0.14319999999999999</v>
      </c>
      <c r="F25" s="40">
        <v>0.1522</v>
      </c>
      <c r="G25" s="17">
        <v>56011300</v>
      </c>
      <c r="H25" s="41">
        <v>77776300</v>
      </c>
      <c r="I25" s="40">
        <v>8.5800000000000001E-2</v>
      </c>
      <c r="J25" s="17">
        <v>35127800</v>
      </c>
      <c r="K25" s="41">
        <v>51545100</v>
      </c>
      <c r="L25" s="40">
        <v>0.1168</v>
      </c>
      <c r="M25" s="17">
        <v>20713300</v>
      </c>
      <c r="N25" s="41">
        <v>35048200</v>
      </c>
      <c r="O25" s="40">
        <v>2.4300000000000002E-2</v>
      </c>
      <c r="P25" s="17">
        <v>8027800</v>
      </c>
      <c r="Q25" s="41">
        <v>13387800</v>
      </c>
      <c r="R25" s="40">
        <v>4.2199999999999994E-2</v>
      </c>
      <c r="S25" s="17">
        <v>12113500</v>
      </c>
      <c r="T25" s="41">
        <v>19840000</v>
      </c>
      <c r="U25" s="40">
        <v>2.76E-2</v>
      </c>
      <c r="V25" s="17">
        <v>9231700</v>
      </c>
      <c r="W25" s="41">
        <v>14677900</v>
      </c>
      <c r="X25" s="40">
        <v>3.8800000000000001E-2</v>
      </c>
      <c r="Y25" s="17">
        <v>14433700</v>
      </c>
      <c r="Z25" s="41">
        <v>19629800</v>
      </c>
      <c r="AA25" s="40">
        <v>3.6499999999999998E-2</v>
      </c>
      <c r="AB25" s="17">
        <v>12695400</v>
      </c>
      <c r="AC25" s="41">
        <v>16098700</v>
      </c>
      <c r="AD25" s="40">
        <v>2.7400000000000001E-2</v>
      </c>
      <c r="AE25" s="17">
        <v>14326100</v>
      </c>
      <c r="AF25" s="41">
        <v>13433300</v>
      </c>
      <c r="AG25" s="40">
        <v>1.1899999999999999E-2</v>
      </c>
      <c r="AH25" s="17">
        <v>3368700</v>
      </c>
      <c r="AI25" s="41">
        <v>5247500</v>
      </c>
      <c r="AJ25" s="40">
        <v>1.01E-2</v>
      </c>
      <c r="AK25" s="17">
        <v>5041800</v>
      </c>
      <c r="AL25" s="41">
        <v>5170900</v>
      </c>
      <c r="AM25" s="40">
        <v>6.3E-3</v>
      </c>
      <c r="AN25" s="17">
        <v>496000</v>
      </c>
      <c r="AO25" s="41">
        <v>554900</v>
      </c>
      <c r="AP25" s="40">
        <v>4.7999999999999996E-3</v>
      </c>
      <c r="AQ25" s="17">
        <v>2882600</v>
      </c>
      <c r="AR25" s="17">
        <v>2652400</v>
      </c>
      <c r="AS25" s="40">
        <v>4.41E-2</v>
      </c>
      <c r="AT25" s="17">
        <v>30300300</v>
      </c>
      <c r="AU25" s="41">
        <v>33140000</v>
      </c>
      <c r="AV25" s="40">
        <v>4.1700000000000001E-2</v>
      </c>
      <c r="AW25" s="17">
        <v>8652200</v>
      </c>
      <c r="AX25" s="41">
        <v>12626400</v>
      </c>
      <c r="AY25" s="40">
        <v>3.49E-2</v>
      </c>
      <c r="AZ25" s="17">
        <v>17021400</v>
      </c>
      <c r="BA25" s="41">
        <v>17608100</v>
      </c>
      <c r="BB25" s="43"/>
      <c r="BC25" s="17"/>
      <c r="BD25" s="41"/>
      <c r="BE25" s="43"/>
      <c r="BG25" s="42"/>
      <c r="BH25" s="43"/>
      <c r="BJ25" s="42"/>
      <c r="BM25" s="42"/>
    </row>
    <row r="26" spans="1:65" x14ac:dyDescent="0.2">
      <c r="A26" s="25" t="s">
        <v>276</v>
      </c>
      <c r="B26" s="26">
        <v>0.31309999999999999</v>
      </c>
      <c r="C26" s="26">
        <v>0.28350000000000003</v>
      </c>
      <c r="D26" s="26">
        <v>0.40720000000000001</v>
      </c>
      <c r="E26" s="37">
        <v>8.2799999999999999E-2</v>
      </c>
      <c r="F26" s="40">
        <v>0.19870000000000002</v>
      </c>
      <c r="G26" s="17">
        <v>53394300</v>
      </c>
      <c r="H26" s="41">
        <v>64187900</v>
      </c>
      <c r="I26" s="40">
        <v>0.11509999999999999</v>
      </c>
      <c r="J26" s="17">
        <v>50803100</v>
      </c>
      <c r="K26" s="41">
        <v>43013800</v>
      </c>
      <c r="L26" s="40">
        <v>9.0500000000000011E-2</v>
      </c>
      <c r="M26" s="17">
        <v>20968700</v>
      </c>
      <c r="N26" s="41">
        <v>23523000</v>
      </c>
      <c r="O26" s="40">
        <v>3.5299999999999998E-2</v>
      </c>
      <c r="P26" s="17">
        <v>14231500</v>
      </c>
      <c r="Q26" s="41">
        <v>9513100</v>
      </c>
      <c r="R26" s="40">
        <v>3.78E-2</v>
      </c>
      <c r="S26" s="17">
        <v>11526400</v>
      </c>
      <c r="T26" s="41">
        <v>14388800</v>
      </c>
      <c r="U26" s="40">
        <v>3.7000000000000005E-2</v>
      </c>
      <c r="V26" s="17">
        <v>12746900</v>
      </c>
      <c r="W26" s="41">
        <v>11795700</v>
      </c>
      <c r="X26" s="40">
        <v>3.4599999999999999E-2</v>
      </c>
      <c r="Y26" s="17">
        <v>13062100</v>
      </c>
      <c r="Z26" s="41">
        <v>12058700</v>
      </c>
      <c r="AA26" s="40">
        <v>4.1200000000000001E-2</v>
      </c>
      <c r="AB26" s="17">
        <v>15619700</v>
      </c>
      <c r="AC26" s="41">
        <v>14834700</v>
      </c>
      <c r="AD26" s="40">
        <v>2.12E-2</v>
      </c>
      <c r="AE26" s="17">
        <v>7365400</v>
      </c>
      <c r="AF26" s="41">
        <v>10250100</v>
      </c>
      <c r="AG26" s="40">
        <v>1.6200000000000003E-2</v>
      </c>
      <c r="AH26" s="17">
        <v>5613500</v>
      </c>
      <c r="AI26" s="41">
        <v>4171500</v>
      </c>
      <c r="AJ26" s="40">
        <v>3.3E-3</v>
      </c>
      <c r="AK26" s="17">
        <v>1080100</v>
      </c>
      <c r="AL26" s="41">
        <v>1708000</v>
      </c>
      <c r="AM26" s="40">
        <v>2.2000000000000001E-3</v>
      </c>
      <c r="AN26" s="17">
        <v>224000</v>
      </c>
      <c r="AO26" s="41">
        <v>323400</v>
      </c>
      <c r="AP26" s="40">
        <v>3.0999999999999999E-3</v>
      </c>
      <c r="AQ26" s="17">
        <v>1512300</v>
      </c>
      <c r="AR26" s="17">
        <v>1268300</v>
      </c>
      <c r="AS26" s="40">
        <v>4.1700000000000001E-2</v>
      </c>
      <c r="AT26" s="17">
        <v>14451500</v>
      </c>
      <c r="AU26" s="41">
        <v>17390500</v>
      </c>
      <c r="AV26" s="40">
        <v>2.6600000000000002E-2</v>
      </c>
      <c r="AW26" s="17">
        <v>5431000</v>
      </c>
      <c r="AX26" s="41">
        <v>6146800</v>
      </c>
      <c r="AY26" s="40">
        <v>3.4700000000000002E-2</v>
      </c>
      <c r="AZ26" s="17">
        <v>16707800</v>
      </c>
      <c r="BA26" s="41">
        <v>11861600</v>
      </c>
      <c r="BB26" s="43"/>
      <c r="BD26" s="42"/>
      <c r="BE26" s="43"/>
      <c r="BG26" s="42"/>
      <c r="BH26" s="43"/>
      <c r="BJ26" s="42"/>
      <c r="BM26" s="42"/>
    </row>
    <row r="27" spans="1:65" x14ac:dyDescent="0.2">
      <c r="A27" s="25" t="s">
        <v>275</v>
      </c>
      <c r="B27" s="26">
        <v>0.35409999999999997</v>
      </c>
      <c r="C27" s="26">
        <v>0.30769999999999997</v>
      </c>
      <c r="D27" s="26">
        <v>0.38100000000000001</v>
      </c>
      <c r="E27" s="37">
        <v>6.4100000000000004E-2</v>
      </c>
      <c r="F27" s="40">
        <v>0.16769999999999999</v>
      </c>
      <c r="G27" s="17">
        <v>35366200</v>
      </c>
      <c r="H27" s="41">
        <v>47010000</v>
      </c>
      <c r="I27" s="40">
        <v>9.4700000000000006E-2</v>
      </c>
      <c r="J27" s="17">
        <v>28135100</v>
      </c>
      <c r="K27" s="41">
        <v>35462600</v>
      </c>
      <c r="L27" s="40">
        <v>9.74E-2</v>
      </c>
      <c r="M27" s="17">
        <v>17595000</v>
      </c>
      <c r="N27" s="41">
        <v>25295500</v>
      </c>
      <c r="O27" s="40">
        <v>2.8300000000000002E-2</v>
      </c>
      <c r="P27" s="17">
        <v>8918400</v>
      </c>
      <c r="Q27" s="41">
        <v>8146300</v>
      </c>
      <c r="R27" s="40">
        <v>4.1599999999999998E-2</v>
      </c>
      <c r="S27" s="17">
        <v>9496400</v>
      </c>
      <c r="T27" s="41">
        <v>13780400</v>
      </c>
      <c r="U27" s="40">
        <v>2.5099999999999997E-2</v>
      </c>
      <c r="V27" s="17">
        <v>6182300</v>
      </c>
      <c r="W27" s="41">
        <v>8495200</v>
      </c>
      <c r="X27" s="40">
        <v>3.5099999999999999E-2</v>
      </c>
      <c r="Y27" s="17">
        <v>9698700</v>
      </c>
      <c r="Z27" s="41">
        <v>10904700</v>
      </c>
      <c r="AA27" s="40">
        <v>3.3399999999999999E-2</v>
      </c>
      <c r="AB27" s="17">
        <v>9100900</v>
      </c>
      <c r="AC27" s="41">
        <v>10353900</v>
      </c>
      <c r="AD27" s="40">
        <v>2.75E-2</v>
      </c>
      <c r="AE27" s="17">
        <v>8020400</v>
      </c>
      <c r="AF27" s="41">
        <v>9752500</v>
      </c>
      <c r="AG27" s="40">
        <v>9.8999999999999991E-3</v>
      </c>
      <c r="AH27" s="17">
        <v>2452700</v>
      </c>
      <c r="AI27" s="41">
        <v>2175200</v>
      </c>
      <c r="AJ27" s="40">
        <v>3.2000000000000002E-3</v>
      </c>
      <c r="AK27" s="17">
        <v>883800</v>
      </c>
      <c r="AL27" s="41">
        <v>1307700</v>
      </c>
      <c r="AM27" s="40">
        <v>1.9E-3</v>
      </c>
      <c r="AN27" s="17">
        <v>142900</v>
      </c>
      <c r="AO27" s="41">
        <v>249400</v>
      </c>
      <c r="AP27" s="40">
        <v>2.3E-3</v>
      </c>
      <c r="AQ27" s="17">
        <v>802300</v>
      </c>
      <c r="AR27" s="17">
        <v>1217000</v>
      </c>
      <c r="AS27" s="40">
        <v>5.2600000000000001E-2</v>
      </c>
      <c r="AT27" s="17">
        <v>15906500</v>
      </c>
      <c r="AU27" s="41">
        <v>13631100</v>
      </c>
      <c r="AV27" s="40">
        <v>2.0400000000000001E-2</v>
      </c>
      <c r="AW27" s="17">
        <v>5771400</v>
      </c>
      <c r="AX27" s="41">
        <v>5387900</v>
      </c>
      <c r="AY27" s="40">
        <v>2.23E-2</v>
      </c>
      <c r="AZ27" s="17">
        <v>6897300</v>
      </c>
      <c r="BA27" s="41">
        <v>7206300</v>
      </c>
      <c r="BB27" s="43"/>
      <c r="BD27" s="42"/>
      <c r="BE27" s="43"/>
      <c r="BG27" s="42"/>
      <c r="BH27" s="43"/>
      <c r="BJ27" s="42"/>
      <c r="BM27" s="42"/>
    </row>
    <row r="28" spans="1:65" x14ac:dyDescent="0.2">
      <c r="A28" s="25" t="s">
        <v>274</v>
      </c>
      <c r="B28" s="26">
        <v>0.31290000000000001</v>
      </c>
      <c r="C28" s="26">
        <v>0.2989</v>
      </c>
      <c r="D28" s="26">
        <v>0.47340000000000004</v>
      </c>
      <c r="E28" s="37">
        <v>8.5199999999999998E-2</v>
      </c>
      <c r="F28" s="40">
        <v>0.1686</v>
      </c>
      <c r="G28" s="17">
        <v>90196800</v>
      </c>
      <c r="H28" s="41">
        <v>118900900</v>
      </c>
      <c r="I28" s="40">
        <v>0.12470000000000001</v>
      </c>
      <c r="J28" s="17">
        <v>54529700</v>
      </c>
      <c r="K28" s="41">
        <v>108925300</v>
      </c>
      <c r="L28" s="40">
        <v>0.1323</v>
      </c>
      <c r="M28" s="17">
        <v>44012000</v>
      </c>
      <c r="N28" s="41">
        <v>75498500</v>
      </c>
      <c r="O28" s="40">
        <v>3.1600000000000003E-2</v>
      </c>
      <c r="P28" s="17">
        <v>16144400</v>
      </c>
      <c r="Q28" s="41">
        <v>18428000</v>
      </c>
      <c r="R28" s="40">
        <v>4.5499999999999999E-2</v>
      </c>
      <c r="S28" s="17">
        <v>16162600</v>
      </c>
      <c r="T28" s="41">
        <v>32433700</v>
      </c>
      <c r="U28" s="40">
        <v>2.9600000000000001E-2</v>
      </c>
      <c r="V28" s="17">
        <v>13950700</v>
      </c>
      <c r="W28" s="41">
        <v>23078200</v>
      </c>
      <c r="X28" s="40">
        <v>4.41E-2</v>
      </c>
      <c r="Y28" s="17">
        <v>21912400</v>
      </c>
      <c r="Z28" s="41">
        <v>30501800</v>
      </c>
      <c r="AA28" s="40">
        <v>3.7900000000000003E-2</v>
      </c>
      <c r="AB28" s="17">
        <v>12621200</v>
      </c>
      <c r="AC28" s="41">
        <v>25009400</v>
      </c>
      <c r="AD28" s="40">
        <v>2.9600000000000001E-2</v>
      </c>
      <c r="AE28" s="17">
        <v>14602500</v>
      </c>
      <c r="AF28" s="41">
        <v>22686500</v>
      </c>
      <c r="AG28" s="40">
        <v>1.4199999999999999E-2</v>
      </c>
      <c r="AH28" s="17">
        <v>6269700</v>
      </c>
      <c r="AI28" s="41">
        <v>8389700</v>
      </c>
      <c r="AJ28" s="40">
        <v>5.1999999999999998E-3</v>
      </c>
      <c r="AK28" s="17">
        <v>1993600</v>
      </c>
      <c r="AL28" s="41">
        <v>4852200</v>
      </c>
      <c r="AM28" s="40">
        <v>2.8000000000000004E-3</v>
      </c>
      <c r="AN28" s="17">
        <v>268800</v>
      </c>
      <c r="AO28" s="41">
        <v>491000</v>
      </c>
      <c r="AP28" s="40">
        <v>3.0999999999999999E-3</v>
      </c>
      <c r="AQ28" s="17">
        <v>1739800</v>
      </c>
      <c r="AR28" s="17">
        <v>3256600</v>
      </c>
      <c r="AS28" s="40">
        <v>3.1E-2</v>
      </c>
      <c r="AT28" s="17">
        <v>13954000</v>
      </c>
      <c r="AU28" s="41">
        <v>30024600</v>
      </c>
      <c r="AV28" s="40">
        <v>3.44E-2</v>
      </c>
      <c r="AW28" s="17">
        <v>13342500</v>
      </c>
      <c r="AX28" s="41">
        <v>18015000</v>
      </c>
      <c r="AY28" s="40">
        <v>3.0300000000000001E-2</v>
      </c>
      <c r="AZ28" s="17">
        <v>12596400</v>
      </c>
      <c r="BA28" s="41">
        <v>24015500</v>
      </c>
      <c r="BB28" s="43"/>
      <c r="BD28" s="42"/>
      <c r="BE28" s="43"/>
      <c r="BG28" s="42"/>
      <c r="BH28" s="43"/>
      <c r="BJ28" s="42"/>
      <c r="BM28" s="42"/>
    </row>
    <row r="29" spans="1:65" x14ac:dyDescent="0.2">
      <c r="A29" s="25" t="s">
        <v>273</v>
      </c>
      <c r="B29" s="26">
        <v>0.27429999999999999</v>
      </c>
      <c r="C29" s="26">
        <v>0.22690000000000002</v>
      </c>
      <c r="D29" s="26">
        <v>0.47499999999999998</v>
      </c>
      <c r="E29" s="37">
        <v>9.3299999999999994E-2</v>
      </c>
      <c r="F29" s="40">
        <v>0.1191</v>
      </c>
      <c r="G29" s="17">
        <v>37404600</v>
      </c>
      <c r="H29" s="41">
        <v>43716600</v>
      </c>
      <c r="I29" s="40">
        <v>0.1416</v>
      </c>
      <c r="J29" s="17">
        <v>58098300</v>
      </c>
      <c r="K29" s="41">
        <v>73666000</v>
      </c>
      <c r="L29" s="40">
        <v>9.8900000000000002E-2</v>
      </c>
      <c r="M29" s="17">
        <v>20780900</v>
      </c>
      <c r="N29" s="41">
        <v>31030600</v>
      </c>
      <c r="O29" s="40">
        <v>2.4399999999999998E-2</v>
      </c>
      <c r="P29" s="17">
        <v>10076400</v>
      </c>
      <c r="Q29" s="41">
        <v>9034900</v>
      </c>
      <c r="R29" s="40">
        <v>6.7199999999999996E-2</v>
      </c>
      <c r="S29" s="17">
        <v>29988300</v>
      </c>
      <c r="T29" s="41">
        <v>21844500</v>
      </c>
      <c r="U29" s="40">
        <v>2.8500000000000001E-2</v>
      </c>
      <c r="V29" s="17">
        <v>11482600</v>
      </c>
      <c r="W29" s="41">
        <v>10731400</v>
      </c>
      <c r="X29" s="40">
        <v>4.99E-2</v>
      </c>
      <c r="Y29" s="17">
        <v>25053300</v>
      </c>
      <c r="Z29" s="41">
        <v>15787200</v>
      </c>
      <c r="AA29" s="40">
        <v>4.8499999999999995E-2</v>
      </c>
      <c r="AB29" s="17">
        <v>23999000</v>
      </c>
      <c r="AC29" s="41">
        <v>16783400</v>
      </c>
      <c r="AD29" s="40">
        <v>3.0699999999999998E-2</v>
      </c>
      <c r="AE29" s="17">
        <v>10599200</v>
      </c>
      <c r="AF29" s="41">
        <v>17445400</v>
      </c>
      <c r="AG29" s="40">
        <v>1.2500000000000001E-2</v>
      </c>
      <c r="AH29" s="17">
        <v>3700500</v>
      </c>
      <c r="AI29" s="41">
        <v>5092900</v>
      </c>
      <c r="AJ29" s="40">
        <v>4.4000000000000003E-3</v>
      </c>
      <c r="AK29" s="17">
        <v>2004300</v>
      </c>
      <c r="AL29" s="41">
        <v>1957600</v>
      </c>
      <c r="AM29" s="40">
        <v>3.4000000000000002E-3</v>
      </c>
      <c r="AN29" s="17">
        <v>591900</v>
      </c>
      <c r="AO29" s="41">
        <v>483100</v>
      </c>
      <c r="AP29" s="40">
        <v>2.5000000000000001E-3</v>
      </c>
      <c r="AQ29" s="17">
        <v>2012300</v>
      </c>
      <c r="AR29" s="17">
        <v>1649000</v>
      </c>
      <c r="AS29" s="40">
        <v>4.5199999999999997E-2</v>
      </c>
      <c r="AT29" s="17">
        <v>20345300</v>
      </c>
      <c r="AU29" s="41">
        <v>20388500</v>
      </c>
      <c r="AV29" s="40">
        <v>2.3199999999999998E-2</v>
      </c>
      <c r="AW29" s="17">
        <v>8766700</v>
      </c>
      <c r="AX29" s="41">
        <v>7515500</v>
      </c>
      <c r="AY29" s="40">
        <v>3.8600000000000002E-2</v>
      </c>
      <c r="AZ29" s="17">
        <v>17810200</v>
      </c>
      <c r="BA29" s="41">
        <v>16372200</v>
      </c>
      <c r="BB29" s="43"/>
      <c r="BD29" s="42"/>
      <c r="BE29" s="43"/>
      <c r="BG29" s="42"/>
      <c r="BH29" s="43"/>
      <c r="BJ29" s="42"/>
      <c r="BM29" s="42"/>
    </row>
    <row r="30" spans="1:65" x14ac:dyDescent="0.2">
      <c r="A30" s="25" t="s">
        <v>272</v>
      </c>
      <c r="B30" s="26">
        <v>0.32100000000000001</v>
      </c>
      <c r="C30" s="26">
        <v>0.27399999999999997</v>
      </c>
      <c r="D30" s="26">
        <v>0.47820000000000001</v>
      </c>
      <c r="E30" s="37">
        <v>7.6700000000000004E-2</v>
      </c>
      <c r="F30" s="40">
        <v>0.12590000000000001</v>
      </c>
      <c r="G30" s="17">
        <v>47599600</v>
      </c>
      <c r="H30" s="41">
        <v>77026000</v>
      </c>
      <c r="I30" s="40">
        <v>0.12390000000000001</v>
      </c>
      <c r="J30" s="17">
        <v>61253900</v>
      </c>
      <c r="K30" s="41">
        <v>73932900</v>
      </c>
      <c r="L30" s="40">
        <v>0.12520000000000001</v>
      </c>
      <c r="M30" s="17">
        <v>54931400</v>
      </c>
      <c r="N30" s="41">
        <v>49262800</v>
      </c>
      <c r="O30" s="40">
        <v>2.52E-2</v>
      </c>
      <c r="P30" s="17">
        <v>8232000</v>
      </c>
      <c r="Q30" s="41">
        <v>12696200</v>
      </c>
      <c r="R30" s="40">
        <v>5.9699999999999996E-2</v>
      </c>
      <c r="S30" s="17">
        <v>24527300</v>
      </c>
      <c r="T30" s="41">
        <v>32203700</v>
      </c>
      <c r="U30" s="40">
        <v>1.54E-2</v>
      </c>
      <c r="V30" s="17">
        <v>8558000</v>
      </c>
      <c r="W30" s="41">
        <v>15313500</v>
      </c>
      <c r="X30" s="40">
        <v>4.5700000000000005E-2</v>
      </c>
      <c r="Y30" s="17">
        <v>23753600</v>
      </c>
      <c r="Z30" s="41">
        <v>19526400</v>
      </c>
      <c r="AA30" s="40">
        <v>3.5799999999999998E-2</v>
      </c>
      <c r="AB30" s="17">
        <v>12730900</v>
      </c>
      <c r="AC30" s="41">
        <v>18964300</v>
      </c>
      <c r="AD30" s="40">
        <v>2.6600000000000002E-2</v>
      </c>
      <c r="AE30" s="17">
        <v>9347300</v>
      </c>
      <c r="AF30" s="41">
        <v>17739100</v>
      </c>
      <c r="AG30" s="40">
        <v>1.18E-2</v>
      </c>
      <c r="AH30" s="17">
        <v>3478600</v>
      </c>
      <c r="AI30" s="41">
        <v>6139100</v>
      </c>
      <c r="AJ30" s="40">
        <v>6.6E-3</v>
      </c>
      <c r="AK30" s="17">
        <v>1899000</v>
      </c>
      <c r="AL30" s="41">
        <v>5494100</v>
      </c>
      <c r="AM30" s="40">
        <v>2.5000000000000001E-3</v>
      </c>
      <c r="AN30" s="17">
        <v>151500</v>
      </c>
      <c r="AO30" s="41">
        <v>321700</v>
      </c>
      <c r="AP30" s="40">
        <v>2.8999999999999998E-3</v>
      </c>
      <c r="AQ30" s="17">
        <v>1271500</v>
      </c>
      <c r="AR30" s="17">
        <v>2115600</v>
      </c>
      <c r="AS30" s="40">
        <v>1.61E-2</v>
      </c>
      <c r="AT30" s="17">
        <v>18166400</v>
      </c>
      <c r="AU30" s="41">
        <v>22018900</v>
      </c>
      <c r="AV30" s="40">
        <v>1.8600000000000002E-2</v>
      </c>
      <c r="AW30" s="17">
        <v>5316200</v>
      </c>
      <c r="AX30" s="41">
        <v>8531900</v>
      </c>
      <c r="AY30" s="40">
        <v>4.8399999999999999E-2</v>
      </c>
      <c r="AZ30" s="17">
        <v>16476900</v>
      </c>
      <c r="BA30" s="41">
        <v>34110700</v>
      </c>
      <c r="BB30" s="43"/>
      <c r="BD30" s="42"/>
      <c r="BE30" s="43"/>
      <c r="BG30" s="42"/>
      <c r="BH30" s="43"/>
      <c r="BJ30" s="42"/>
      <c r="BM30" s="42"/>
    </row>
    <row r="31" spans="1:65" x14ac:dyDescent="0.2">
      <c r="A31" s="25" t="s">
        <v>271</v>
      </c>
      <c r="B31" s="26">
        <v>0.28289999999999998</v>
      </c>
      <c r="C31" s="26">
        <v>0.26400000000000001</v>
      </c>
      <c r="D31" s="26">
        <v>0.44439999999999996</v>
      </c>
      <c r="E31" s="37">
        <v>0.1014</v>
      </c>
      <c r="F31" s="40">
        <v>0.1497</v>
      </c>
      <c r="G31" s="17">
        <v>48404900</v>
      </c>
      <c r="H31" s="41">
        <v>69203400</v>
      </c>
      <c r="I31" s="40">
        <v>0.1043</v>
      </c>
      <c r="J31" s="17">
        <v>34236600</v>
      </c>
      <c r="K31" s="41">
        <v>57233300</v>
      </c>
      <c r="L31" s="40">
        <v>0.1096</v>
      </c>
      <c r="M31" s="17">
        <v>23800400</v>
      </c>
      <c r="N31" s="41">
        <v>41559800</v>
      </c>
      <c r="O31" s="40">
        <v>3.2099999999999997E-2</v>
      </c>
      <c r="P31" s="17">
        <v>10940800</v>
      </c>
      <c r="Q31" s="41">
        <v>14474500</v>
      </c>
      <c r="R31" s="40">
        <v>4.0300000000000002E-2</v>
      </c>
      <c r="S31" s="17">
        <v>11281000</v>
      </c>
      <c r="T31" s="41">
        <v>18573400</v>
      </c>
      <c r="U31" s="40">
        <v>1.9599999999999999E-2</v>
      </c>
      <c r="V31" s="17">
        <v>8095900</v>
      </c>
      <c r="W31" s="41">
        <v>11957300</v>
      </c>
      <c r="X31" s="40">
        <v>2.75E-2</v>
      </c>
      <c r="Y31" s="17">
        <v>10008800</v>
      </c>
      <c r="Z31" s="41">
        <v>12218200</v>
      </c>
      <c r="AA31" s="40">
        <v>4.24E-2</v>
      </c>
      <c r="AB31" s="17">
        <v>11627400</v>
      </c>
      <c r="AC31" s="41">
        <v>16603700</v>
      </c>
      <c r="AD31" s="40">
        <v>2.7799999999999998E-2</v>
      </c>
      <c r="AE31" s="17">
        <v>11182100</v>
      </c>
      <c r="AF31" s="41">
        <v>11789400</v>
      </c>
      <c r="AG31" s="40">
        <v>2.2599999999999999E-2</v>
      </c>
      <c r="AH31" s="17">
        <v>7441000</v>
      </c>
      <c r="AI31" s="41">
        <v>7094500</v>
      </c>
      <c r="AJ31" s="40">
        <v>6.5000000000000006E-3</v>
      </c>
      <c r="AK31" s="17">
        <v>2742900</v>
      </c>
      <c r="AL31" s="41">
        <v>3057900</v>
      </c>
      <c r="AM31" s="40">
        <v>2.8999999999999998E-3</v>
      </c>
      <c r="AN31" s="17">
        <v>239200</v>
      </c>
      <c r="AO31" s="41">
        <v>346500</v>
      </c>
      <c r="AP31" s="40">
        <v>2.5000000000000001E-3</v>
      </c>
      <c r="AQ31" s="17">
        <v>819900</v>
      </c>
      <c r="AR31" s="17">
        <v>1547200</v>
      </c>
      <c r="AS31" s="40">
        <v>1.67E-2</v>
      </c>
      <c r="AT31" s="17">
        <v>14805400</v>
      </c>
      <c r="AU31" s="41">
        <v>18404000</v>
      </c>
      <c r="AV31" s="40">
        <v>3.5099999999999999E-2</v>
      </c>
      <c r="AW31" s="17">
        <v>14210300</v>
      </c>
      <c r="AX31" s="41">
        <v>9713700</v>
      </c>
      <c r="AY31" s="40">
        <v>4.9399999999999999E-2</v>
      </c>
      <c r="AZ31" s="17">
        <v>19487600</v>
      </c>
      <c r="BA31" s="41">
        <v>16779100</v>
      </c>
      <c r="BB31" s="43"/>
      <c r="BD31" s="42"/>
      <c r="BE31" s="43"/>
      <c r="BG31" s="42"/>
      <c r="BH31" s="43"/>
      <c r="BJ31" s="42"/>
      <c r="BM31" s="42"/>
    </row>
    <row r="32" spans="1:65" x14ac:dyDescent="0.2">
      <c r="A32" s="25" t="s">
        <v>270</v>
      </c>
      <c r="B32" s="26">
        <v>0.35810000000000003</v>
      </c>
      <c r="C32" s="26">
        <v>0.2858</v>
      </c>
      <c r="D32" s="26">
        <v>0.40560000000000002</v>
      </c>
      <c r="E32" s="37">
        <v>7.5199999999999989E-2</v>
      </c>
      <c r="F32" s="40">
        <v>0.15060000000000001</v>
      </c>
      <c r="G32" s="17">
        <v>79188100</v>
      </c>
      <c r="H32" s="41">
        <v>72110000</v>
      </c>
      <c r="I32" s="40">
        <v>9.1799999999999993E-2</v>
      </c>
      <c r="J32" s="17">
        <v>48479500</v>
      </c>
      <c r="K32" s="41">
        <v>54033200</v>
      </c>
      <c r="L32" s="40">
        <v>8.7499999999999994E-2</v>
      </c>
      <c r="M32" s="17">
        <v>23721500</v>
      </c>
      <c r="N32" s="41">
        <v>34891300</v>
      </c>
      <c r="O32" s="40">
        <v>2.69E-2</v>
      </c>
      <c r="P32" s="17">
        <v>9460900</v>
      </c>
      <c r="Q32" s="41">
        <v>9872700</v>
      </c>
      <c r="R32" s="40">
        <v>6.3600000000000004E-2</v>
      </c>
      <c r="S32" s="17">
        <v>30954200</v>
      </c>
      <c r="T32" s="41">
        <v>28973300</v>
      </c>
      <c r="U32" s="40">
        <v>1.5700000000000002E-2</v>
      </c>
      <c r="V32" s="17">
        <v>10882700</v>
      </c>
      <c r="W32" s="41">
        <v>15117100</v>
      </c>
      <c r="X32" s="40">
        <v>2.3099999999999999E-2</v>
      </c>
      <c r="Y32" s="17">
        <v>9307000</v>
      </c>
      <c r="Z32" s="41">
        <v>13020000</v>
      </c>
      <c r="AA32" s="40">
        <v>3.9E-2</v>
      </c>
      <c r="AB32" s="17">
        <v>16696900</v>
      </c>
      <c r="AC32" s="41">
        <v>16408000</v>
      </c>
      <c r="AD32" s="40">
        <v>2.4300000000000002E-2</v>
      </c>
      <c r="AE32" s="17">
        <v>11347900</v>
      </c>
      <c r="AF32" s="41">
        <v>12731500</v>
      </c>
      <c r="AG32" s="40">
        <v>1.21E-2</v>
      </c>
      <c r="AH32" s="17">
        <v>5001500</v>
      </c>
      <c r="AI32" s="41">
        <v>5252000</v>
      </c>
      <c r="AJ32" s="40">
        <v>6.7000000000000002E-3</v>
      </c>
      <c r="AK32" s="17">
        <v>4126200</v>
      </c>
      <c r="AL32" s="41">
        <v>3320900</v>
      </c>
      <c r="AM32" s="40">
        <v>3.3E-3</v>
      </c>
      <c r="AN32" s="17">
        <v>284900</v>
      </c>
      <c r="AO32" s="41">
        <v>540500</v>
      </c>
      <c r="AP32" s="40">
        <v>3.4000000000000002E-3</v>
      </c>
      <c r="AQ32" s="17">
        <v>1979500</v>
      </c>
      <c r="AR32" s="17">
        <v>1885100</v>
      </c>
      <c r="AS32" s="40">
        <v>1.9099999999999999E-2</v>
      </c>
      <c r="AT32" s="17">
        <v>39891300</v>
      </c>
      <c r="AU32" s="41">
        <v>24733300</v>
      </c>
      <c r="AV32" s="40">
        <v>1.8799999999999997E-2</v>
      </c>
      <c r="AW32" s="17">
        <v>5273600</v>
      </c>
      <c r="AX32" s="41">
        <v>9077700</v>
      </c>
      <c r="AY32" s="40">
        <v>4.0500000000000001E-2</v>
      </c>
      <c r="AZ32" s="17">
        <v>22648300</v>
      </c>
      <c r="BA32" s="41">
        <v>20848000</v>
      </c>
      <c r="BB32" s="43"/>
      <c r="BD32" s="42"/>
      <c r="BE32" s="43"/>
      <c r="BG32" s="42"/>
      <c r="BH32" s="43"/>
      <c r="BJ32" s="42"/>
      <c r="BM32" s="42"/>
    </row>
    <row r="33" spans="1:65" x14ac:dyDescent="0.2">
      <c r="A33" s="25" t="s">
        <v>269</v>
      </c>
      <c r="B33" s="26">
        <v>0.32990000000000003</v>
      </c>
      <c r="C33" s="26">
        <v>0.22760000000000002</v>
      </c>
      <c r="D33" s="26">
        <v>0.44229999999999997</v>
      </c>
      <c r="E33" s="37">
        <v>8.14E-2</v>
      </c>
      <c r="F33" s="40">
        <v>0.13019999999999998</v>
      </c>
      <c r="G33" s="17">
        <v>42745000</v>
      </c>
      <c r="H33" s="41">
        <v>54968000</v>
      </c>
      <c r="I33" s="40">
        <v>0.1153</v>
      </c>
      <c r="J33" s="17">
        <v>57759900</v>
      </c>
      <c r="K33" s="41">
        <v>43223100</v>
      </c>
      <c r="L33" s="40">
        <v>9.8299999999999998E-2</v>
      </c>
      <c r="M33" s="17">
        <v>34160100</v>
      </c>
      <c r="N33" s="41">
        <v>30678400</v>
      </c>
      <c r="O33" s="40">
        <v>2.6800000000000001E-2</v>
      </c>
      <c r="P33" s="17">
        <v>9226800</v>
      </c>
      <c r="Q33" s="41">
        <v>9985200</v>
      </c>
      <c r="R33" s="40">
        <v>5.1100000000000007E-2</v>
      </c>
      <c r="S33" s="17">
        <v>18153200</v>
      </c>
      <c r="T33" s="41">
        <v>20023900</v>
      </c>
      <c r="U33" s="40">
        <v>2.7999999999999997E-2</v>
      </c>
      <c r="V33" s="17">
        <v>16756700</v>
      </c>
      <c r="W33" s="41">
        <v>15158800</v>
      </c>
      <c r="X33" s="40">
        <v>2.4500000000000001E-2</v>
      </c>
      <c r="Y33" s="17">
        <v>9114600</v>
      </c>
      <c r="Z33" s="41">
        <v>10584900</v>
      </c>
      <c r="AA33" s="40">
        <v>3.1800000000000002E-2</v>
      </c>
      <c r="AB33" s="17">
        <v>8474900</v>
      </c>
      <c r="AC33" s="41">
        <v>9678500</v>
      </c>
      <c r="AD33" s="40">
        <v>3.39E-2</v>
      </c>
      <c r="AE33" s="17">
        <v>12082700</v>
      </c>
      <c r="AF33" s="41">
        <v>12235600</v>
      </c>
      <c r="AG33" s="40">
        <v>1.49E-2</v>
      </c>
      <c r="AH33" s="17">
        <v>4913000</v>
      </c>
      <c r="AI33" s="41">
        <v>6502500</v>
      </c>
      <c r="AJ33" s="40">
        <v>5.3E-3</v>
      </c>
      <c r="AK33" s="17">
        <v>2387900</v>
      </c>
      <c r="AL33" s="41">
        <v>2399800</v>
      </c>
      <c r="AM33" s="40">
        <v>3.0999999999999999E-3</v>
      </c>
      <c r="AN33" s="17">
        <v>571700</v>
      </c>
      <c r="AO33" s="41">
        <v>542000</v>
      </c>
      <c r="AP33" s="40">
        <v>3.4000000000000002E-3</v>
      </c>
      <c r="AQ33" s="17">
        <v>1419800</v>
      </c>
      <c r="AR33" s="17">
        <v>2134600</v>
      </c>
      <c r="AS33" s="40">
        <v>1.78E-2</v>
      </c>
      <c r="AT33" s="17">
        <v>22742500</v>
      </c>
      <c r="AU33" s="41">
        <v>15211500</v>
      </c>
      <c r="AV33" s="40">
        <v>2.6600000000000002E-2</v>
      </c>
      <c r="AW33" s="17">
        <v>5721100</v>
      </c>
      <c r="AX33" s="41">
        <v>7287300</v>
      </c>
      <c r="AY33" s="40">
        <v>6.7400000000000002E-2</v>
      </c>
      <c r="AZ33" s="17">
        <v>40598300</v>
      </c>
      <c r="BA33" s="41">
        <v>19202200</v>
      </c>
      <c r="BB33" s="43"/>
      <c r="BD33" s="42"/>
      <c r="BE33" s="43"/>
      <c r="BG33" s="42"/>
      <c r="BH33" s="43"/>
      <c r="BJ33" s="42"/>
      <c r="BM33" s="42"/>
    </row>
    <row r="34" spans="1:65" x14ac:dyDescent="0.2">
      <c r="A34" s="25" t="s">
        <v>268</v>
      </c>
      <c r="B34" s="26">
        <v>0.35920000000000002</v>
      </c>
      <c r="C34" s="26">
        <v>0.30890000000000001</v>
      </c>
      <c r="D34" s="26">
        <v>0.43369999999999997</v>
      </c>
      <c r="E34" s="37">
        <v>6.4699999999999994E-2</v>
      </c>
      <c r="F34" s="40">
        <v>0.2243</v>
      </c>
      <c r="G34" s="17">
        <v>110914500</v>
      </c>
      <c r="H34" s="41">
        <v>74211800</v>
      </c>
      <c r="I34" s="40">
        <v>0.10490000000000001</v>
      </c>
      <c r="J34" s="17">
        <v>43612400</v>
      </c>
      <c r="K34" s="41">
        <v>46508700</v>
      </c>
      <c r="L34" s="40">
        <v>0.10199999999999999</v>
      </c>
      <c r="M34" s="17">
        <v>33560100</v>
      </c>
      <c r="N34" s="41">
        <v>32827600</v>
      </c>
      <c r="O34" s="40">
        <v>2.53E-2</v>
      </c>
      <c r="P34" s="17">
        <v>7846200</v>
      </c>
      <c r="Q34" s="41">
        <v>9559700</v>
      </c>
      <c r="R34" s="40">
        <v>5.4000000000000006E-2</v>
      </c>
      <c r="S34" s="17">
        <v>23655400</v>
      </c>
      <c r="T34" s="41">
        <v>18874400</v>
      </c>
      <c r="U34" s="40">
        <v>1.5800000000000002E-2</v>
      </c>
      <c r="V34" s="17">
        <v>10319400</v>
      </c>
      <c r="W34" s="41">
        <v>12808400</v>
      </c>
      <c r="X34" s="40">
        <v>4.24E-2</v>
      </c>
      <c r="Y34" s="17">
        <v>19666800</v>
      </c>
      <c r="Z34" s="41">
        <v>14747100</v>
      </c>
      <c r="AA34" s="40">
        <v>3.9900000000000005E-2</v>
      </c>
      <c r="AB34" s="17">
        <v>14880600</v>
      </c>
      <c r="AC34" s="41">
        <v>13471300</v>
      </c>
      <c r="AD34" s="40">
        <v>2.2099999999999998E-2</v>
      </c>
      <c r="AE34" s="17">
        <v>8142700</v>
      </c>
      <c r="AF34" s="41">
        <v>9619600</v>
      </c>
      <c r="AG34" s="40">
        <v>1.34E-2</v>
      </c>
      <c r="AH34" s="17">
        <v>4445000</v>
      </c>
      <c r="AI34" s="41">
        <v>5773200</v>
      </c>
      <c r="AJ34" s="40">
        <v>4.5000000000000005E-3</v>
      </c>
      <c r="AK34" s="17">
        <v>1254200</v>
      </c>
      <c r="AL34" s="41">
        <v>2560200</v>
      </c>
      <c r="AM34" s="40">
        <v>2.3999999999999998E-3</v>
      </c>
      <c r="AN34" s="17">
        <v>330900</v>
      </c>
      <c r="AO34" s="41">
        <v>306100</v>
      </c>
      <c r="AP34" s="40">
        <v>2.5000000000000001E-3</v>
      </c>
      <c r="AQ34" s="17">
        <v>904000</v>
      </c>
      <c r="AR34" s="17">
        <v>1326700</v>
      </c>
      <c r="AS34" s="40">
        <v>2.06E-2</v>
      </c>
      <c r="AT34" s="17">
        <v>9420300</v>
      </c>
      <c r="AU34" s="41">
        <v>8884400</v>
      </c>
      <c r="AV34" s="40">
        <v>2.87E-2</v>
      </c>
      <c r="AW34" s="17">
        <v>9832100</v>
      </c>
      <c r="AX34" s="41">
        <v>8878500</v>
      </c>
      <c r="AY34" s="40">
        <v>4.3999999999999997E-2</v>
      </c>
      <c r="AZ34" s="17">
        <v>18262400</v>
      </c>
      <c r="BA34" s="41">
        <v>18364000</v>
      </c>
      <c r="BB34" s="43"/>
      <c r="BD34" s="42"/>
      <c r="BE34" s="43"/>
      <c r="BG34" s="42"/>
      <c r="BH34" s="43"/>
      <c r="BJ34" s="42"/>
      <c r="BM34" s="42"/>
    </row>
    <row r="35" spans="1:65" x14ac:dyDescent="0.2">
      <c r="A35" s="25" t="s">
        <v>267</v>
      </c>
      <c r="B35" s="26">
        <v>0.28309999999999996</v>
      </c>
      <c r="C35" s="26">
        <v>0.26769999999999999</v>
      </c>
      <c r="D35" s="26">
        <v>0.4536</v>
      </c>
      <c r="E35" s="37">
        <v>0.10060000000000001</v>
      </c>
      <c r="F35" s="40">
        <v>0.13369999999999999</v>
      </c>
      <c r="G35" s="17">
        <v>51416300</v>
      </c>
      <c r="H35" s="41">
        <v>47578900</v>
      </c>
      <c r="I35" s="40">
        <v>0.14960000000000001</v>
      </c>
      <c r="J35" s="17">
        <v>76626700</v>
      </c>
      <c r="K35" s="41">
        <v>48161200</v>
      </c>
      <c r="L35" s="40">
        <v>0.1186</v>
      </c>
      <c r="M35" s="17">
        <v>42362000</v>
      </c>
      <c r="N35" s="41">
        <v>33644900</v>
      </c>
      <c r="O35" s="40">
        <v>2.0899999999999998E-2</v>
      </c>
      <c r="P35" s="17">
        <v>6813900</v>
      </c>
      <c r="Q35" s="41">
        <v>6861000</v>
      </c>
      <c r="R35" s="40">
        <v>7.690000000000001E-2</v>
      </c>
      <c r="S35" s="17">
        <v>36255300</v>
      </c>
      <c r="T35" s="41">
        <v>21797400</v>
      </c>
      <c r="U35" s="40">
        <v>2.06E-2</v>
      </c>
      <c r="V35" s="17">
        <v>14476800</v>
      </c>
      <c r="W35" s="41">
        <v>11081100</v>
      </c>
      <c r="X35" s="40">
        <v>1.78E-2</v>
      </c>
      <c r="Y35" s="17">
        <v>5409200</v>
      </c>
      <c r="Z35" s="41">
        <v>7635800</v>
      </c>
      <c r="AA35" s="40">
        <v>3.1899999999999998E-2</v>
      </c>
      <c r="AB35" s="17">
        <v>8932000</v>
      </c>
      <c r="AC35" s="41">
        <v>8942500</v>
      </c>
      <c r="AD35" s="40">
        <v>3.39E-2</v>
      </c>
      <c r="AE35" s="17">
        <v>11761200</v>
      </c>
      <c r="AF35" s="41">
        <v>11487700</v>
      </c>
      <c r="AG35" s="40">
        <v>2.2400000000000003E-2</v>
      </c>
      <c r="AH35" s="17">
        <v>9737900</v>
      </c>
      <c r="AI35" s="41">
        <v>7350900</v>
      </c>
      <c r="AJ35" s="40">
        <v>4.0999999999999995E-3</v>
      </c>
      <c r="AK35" s="17">
        <v>1437800</v>
      </c>
      <c r="AL35" s="41">
        <v>1976100</v>
      </c>
      <c r="AM35" s="40">
        <v>2.5000000000000001E-3</v>
      </c>
      <c r="AN35" s="17">
        <v>507500</v>
      </c>
      <c r="AO35" s="41">
        <v>360000</v>
      </c>
      <c r="AP35" s="40">
        <v>3.0999999999999999E-3</v>
      </c>
      <c r="AQ35" s="17">
        <v>1616400</v>
      </c>
      <c r="AR35" s="17">
        <v>1166800</v>
      </c>
      <c r="AS35" s="40">
        <v>2.0899999999999998E-2</v>
      </c>
      <c r="AT35" s="17">
        <v>8039100</v>
      </c>
      <c r="AU35" s="41">
        <v>8287800</v>
      </c>
      <c r="AV35" s="40">
        <v>3.1200000000000002E-2</v>
      </c>
      <c r="AW35" s="17">
        <v>14845400</v>
      </c>
      <c r="AX35" s="41">
        <v>8417500</v>
      </c>
      <c r="AY35" s="40">
        <v>3.7600000000000001E-2</v>
      </c>
      <c r="AZ35" s="17">
        <v>14428300</v>
      </c>
      <c r="BA35" s="41">
        <v>16358900</v>
      </c>
      <c r="BB35" s="43"/>
      <c r="BD35" s="42"/>
      <c r="BE35" s="43"/>
      <c r="BG35" s="42"/>
      <c r="BH35" s="43"/>
      <c r="BJ35" s="42"/>
      <c r="BM35" s="42"/>
    </row>
    <row r="36" spans="1:65" x14ac:dyDescent="0.2">
      <c r="A36" s="25" t="s">
        <v>266</v>
      </c>
      <c r="B36" s="26">
        <v>0.32780000000000004</v>
      </c>
      <c r="C36" s="26">
        <v>0.27979999999999999</v>
      </c>
      <c r="D36" s="26">
        <v>0.35509999999999997</v>
      </c>
      <c r="E36" s="37">
        <v>6.6500000000000004E-2</v>
      </c>
      <c r="F36" s="40">
        <v>0.17219999999999999</v>
      </c>
      <c r="G36" s="17">
        <v>41765500</v>
      </c>
      <c r="H36" s="41">
        <v>49605500</v>
      </c>
      <c r="I36" s="40">
        <v>9.0299999999999991E-2</v>
      </c>
      <c r="J36" s="17">
        <v>25068700</v>
      </c>
      <c r="K36" s="41">
        <v>30548600</v>
      </c>
      <c r="L36" s="40">
        <v>9.4499999999999987E-2</v>
      </c>
      <c r="M36" s="17">
        <v>18799500</v>
      </c>
      <c r="N36" s="41">
        <v>20614300</v>
      </c>
      <c r="O36" s="40">
        <v>3.32E-2</v>
      </c>
      <c r="P36" s="17">
        <v>10548600</v>
      </c>
      <c r="Q36" s="41">
        <v>8925900</v>
      </c>
      <c r="R36" s="40">
        <v>4.2300000000000004E-2</v>
      </c>
      <c r="S36" s="17">
        <v>9809200</v>
      </c>
      <c r="T36" s="41">
        <v>12466100</v>
      </c>
      <c r="U36" s="40">
        <v>1.6200000000000003E-2</v>
      </c>
      <c r="V36" s="17">
        <v>13971300</v>
      </c>
      <c r="W36" s="41">
        <v>10924000</v>
      </c>
      <c r="X36" s="40">
        <v>2.23E-2</v>
      </c>
      <c r="Y36" s="17">
        <v>4558500</v>
      </c>
      <c r="Z36" s="41">
        <v>7647100</v>
      </c>
      <c r="AA36" s="40">
        <v>2.92E-2</v>
      </c>
      <c r="AB36" s="17">
        <v>5155100</v>
      </c>
      <c r="AC36" s="41">
        <v>7894400</v>
      </c>
      <c r="AD36" s="40">
        <v>2.29E-2</v>
      </c>
      <c r="AE36" s="17">
        <v>4762800</v>
      </c>
      <c r="AF36" s="41">
        <v>6919600</v>
      </c>
      <c r="AG36" s="40">
        <v>1.1000000000000001E-2</v>
      </c>
      <c r="AH36" s="17">
        <v>1624400</v>
      </c>
      <c r="AI36" s="41">
        <v>3409900</v>
      </c>
      <c r="AJ36" s="40">
        <v>5.4000000000000003E-3</v>
      </c>
      <c r="AK36" s="17">
        <v>1417500</v>
      </c>
      <c r="AL36" s="41">
        <v>1883200</v>
      </c>
      <c r="AM36" s="40">
        <v>1.8E-3</v>
      </c>
      <c r="AN36" s="17">
        <v>164800</v>
      </c>
      <c r="AO36" s="41">
        <v>191200</v>
      </c>
      <c r="AP36" s="40">
        <v>2.3999999999999998E-3</v>
      </c>
      <c r="AQ36" s="17">
        <v>636000</v>
      </c>
      <c r="AR36" s="17">
        <v>990000</v>
      </c>
      <c r="AS36" s="40">
        <v>1.9599999999999999E-2</v>
      </c>
      <c r="AT36" s="17">
        <v>3106200</v>
      </c>
      <c r="AU36" s="41">
        <v>6448200</v>
      </c>
      <c r="AV36" s="40">
        <v>2.3199999999999998E-2</v>
      </c>
      <c r="AW36" s="17">
        <v>4554400</v>
      </c>
      <c r="AX36" s="41">
        <v>5230100</v>
      </c>
      <c r="AY36" s="40">
        <v>3.09E-2</v>
      </c>
      <c r="AZ36" s="17">
        <v>8359500</v>
      </c>
      <c r="BA36" s="41">
        <v>9675200</v>
      </c>
      <c r="BB36" s="43"/>
      <c r="BD36" s="42"/>
      <c r="BE36" s="43"/>
      <c r="BG36" s="42"/>
      <c r="BH36" s="43"/>
      <c r="BJ36" s="42"/>
      <c r="BM36" s="42"/>
    </row>
    <row r="37" spans="1:65" x14ac:dyDescent="0.2">
      <c r="A37" s="25" t="s">
        <v>265</v>
      </c>
      <c r="B37" s="26">
        <v>0.26789999999999997</v>
      </c>
      <c r="C37" s="26">
        <v>0.215</v>
      </c>
      <c r="D37" s="26">
        <v>0.42210000000000003</v>
      </c>
      <c r="E37" s="37">
        <v>0.1119</v>
      </c>
      <c r="F37" s="40">
        <v>0.14510000000000001</v>
      </c>
      <c r="G37" s="17">
        <v>32151100</v>
      </c>
      <c r="H37" s="41">
        <v>47827100</v>
      </c>
      <c r="I37" s="40">
        <v>9.9600000000000008E-2</v>
      </c>
      <c r="J37" s="17">
        <v>27508800</v>
      </c>
      <c r="K37" s="41">
        <v>39754100</v>
      </c>
      <c r="L37" s="40">
        <v>0.1157</v>
      </c>
      <c r="M37" s="17">
        <v>19474400</v>
      </c>
      <c r="N37" s="41">
        <v>27770100</v>
      </c>
      <c r="O37" s="40">
        <v>2.1000000000000001E-2</v>
      </c>
      <c r="P37" s="17">
        <v>5843800</v>
      </c>
      <c r="Q37" s="41">
        <v>7086600</v>
      </c>
      <c r="R37" s="40">
        <v>4.7400000000000005E-2</v>
      </c>
      <c r="S37" s="17">
        <v>10580300</v>
      </c>
      <c r="T37" s="41">
        <v>15162400</v>
      </c>
      <c r="U37" s="40">
        <v>1.49E-2</v>
      </c>
      <c r="V37" s="17">
        <v>6538300</v>
      </c>
      <c r="W37" s="41">
        <v>8516800</v>
      </c>
      <c r="X37" s="40">
        <v>3.1200000000000002E-2</v>
      </c>
      <c r="Y37" s="17">
        <v>6230500</v>
      </c>
      <c r="Z37" s="41">
        <v>10449900</v>
      </c>
      <c r="AA37" s="40">
        <v>2.8999999999999998E-2</v>
      </c>
      <c r="AB37" s="17">
        <v>4720100</v>
      </c>
      <c r="AC37" s="41">
        <v>8758400</v>
      </c>
      <c r="AD37" s="40">
        <v>3.7900000000000003E-2</v>
      </c>
      <c r="AE37" s="17">
        <v>11154400</v>
      </c>
      <c r="AF37" s="41">
        <v>12543700</v>
      </c>
      <c r="AG37" s="40">
        <v>1.15E-2</v>
      </c>
      <c r="AH37" s="17">
        <v>3450300</v>
      </c>
      <c r="AI37" s="41">
        <v>3720100</v>
      </c>
      <c r="AJ37" s="40">
        <v>5.4000000000000003E-3</v>
      </c>
      <c r="AK37" s="17">
        <v>1246100</v>
      </c>
      <c r="AL37" s="41">
        <v>2579500</v>
      </c>
      <c r="AM37" s="40">
        <v>2.7000000000000001E-3</v>
      </c>
      <c r="AN37" s="17">
        <v>118200</v>
      </c>
      <c r="AO37" s="41">
        <v>352700</v>
      </c>
      <c r="AP37" s="40">
        <v>2.5000000000000001E-3</v>
      </c>
      <c r="AQ37" s="17">
        <v>645900</v>
      </c>
      <c r="AR37" s="17">
        <v>1296100</v>
      </c>
      <c r="AS37" s="40">
        <v>2.64E-2</v>
      </c>
      <c r="AT37" s="17">
        <v>5171600</v>
      </c>
      <c r="AU37" s="41">
        <v>9608000</v>
      </c>
      <c r="AV37" s="40">
        <v>2.4500000000000001E-2</v>
      </c>
      <c r="AW37" s="17">
        <v>4209200</v>
      </c>
      <c r="AX37" s="41">
        <v>6560900</v>
      </c>
      <c r="AY37" s="40">
        <v>6.8099999999999994E-2</v>
      </c>
      <c r="AZ37" s="17">
        <v>31277900</v>
      </c>
      <c r="BA37" s="41">
        <v>16842300</v>
      </c>
      <c r="BB37" s="43"/>
      <c r="BD37" s="42"/>
      <c r="BE37" s="43"/>
      <c r="BG37" s="42"/>
      <c r="BH37" s="43"/>
      <c r="BJ37" s="42"/>
      <c r="BM37" s="42"/>
    </row>
    <row r="38" spans="1:65" x14ac:dyDescent="0.2">
      <c r="A38" s="25" t="s">
        <v>264</v>
      </c>
      <c r="B38" s="26">
        <v>0.27310000000000001</v>
      </c>
      <c r="C38" s="26">
        <v>0.25579999999999997</v>
      </c>
      <c r="D38" s="26">
        <v>0.46630000000000005</v>
      </c>
      <c r="E38" s="37">
        <v>8.2299999999999998E-2</v>
      </c>
      <c r="F38" s="40">
        <v>0.14199999999999999</v>
      </c>
      <c r="G38" s="17">
        <v>30857200</v>
      </c>
      <c r="H38" s="41">
        <v>39316200</v>
      </c>
      <c r="I38" s="40">
        <v>0.1157</v>
      </c>
      <c r="J38" s="17">
        <v>36556800</v>
      </c>
      <c r="K38" s="41">
        <v>36492700</v>
      </c>
      <c r="L38" s="40">
        <v>0.14550000000000002</v>
      </c>
      <c r="M38" s="17">
        <v>31881600</v>
      </c>
      <c r="N38" s="41">
        <v>36219800</v>
      </c>
      <c r="O38" s="40">
        <v>2.1099999999999997E-2</v>
      </c>
      <c r="P38" s="17">
        <v>4779500</v>
      </c>
      <c r="Q38" s="41">
        <v>6923000</v>
      </c>
      <c r="R38" s="40">
        <v>5.0300000000000004E-2</v>
      </c>
      <c r="S38" s="17">
        <v>13958000</v>
      </c>
      <c r="T38" s="41">
        <v>14686000</v>
      </c>
      <c r="U38" s="40">
        <v>1.77E-2</v>
      </c>
      <c r="V38" s="17">
        <v>8494900</v>
      </c>
      <c r="W38" s="41">
        <v>11055400</v>
      </c>
      <c r="X38" s="40">
        <v>4.1399999999999999E-2</v>
      </c>
      <c r="Y38" s="17">
        <v>12302900</v>
      </c>
      <c r="Z38" s="41">
        <v>13009700</v>
      </c>
      <c r="AA38" s="40">
        <v>3.1899999999999998E-2</v>
      </c>
      <c r="AB38" s="17">
        <v>5426900</v>
      </c>
      <c r="AC38" s="41">
        <v>9038600</v>
      </c>
      <c r="AD38" s="40">
        <v>2.8999999999999998E-2</v>
      </c>
      <c r="AE38" s="17">
        <v>8975200</v>
      </c>
      <c r="AF38" s="41">
        <v>8515500</v>
      </c>
      <c r="AG38" s="40">
        <v>1.5300000000000001E-2</v>
      </c>
      <c r="AH38" s="17">
        <v>4068100</v>
      </c>
      <c r="AI38" s="41">
        <v>4191900</v>
      </c>
      <c r="AJ38" s="40">
        <v>5.0000000000000001E-3</v>
      </c>
      <c r="AK38" s="17">
        <v>1104600</v>
      </c>
      <c r="AL38" s="41">
        <v>1988400</v>
      </c>
      <c r="AM38" s="40">
        <v>2.5000000000000001E-3</v>
      </c>
      <c r="AN38" s="17">
        <v>135500</v>
      </c>
      <c r="AO38" s="41">
        <v>342100</v>
      </c>
      <c r="AP38" s="40">
        <v>4.3E-3</v>
      </c>
      <c r="AQ38" s="17">
        <v>1295300</v>
      </c>
      <c r="AR38" s="17">
        <v>1775500</v>
      </c>
      <c r="AS38" s="40">
        <v>1.7000000000000001E-2</v>
      </c>
      <c r="AT38" s="17">
        <v>5252700</v>
      </c>
      <c r="AU38" s="41">
        <v>10672100</v>
      </c>
      <c r="AV38" s="40">
        <v>0.03</v>
      </c>
      <c r="AW38" s="17">
        <v>5921900</v>
      </c>
      <c r="AX38" s="41">
        <v>6733900</v>
      </c>
      <c r="AY38" s="40">
        <v>4.4600000000000001E-2</v>
      </c>
      <c r="AZ38" s="17">
        <v>14952000</v>
      </c>
      <c r="BA38" s="41">
        <v>11546300</v>
      </c>
      <c r="BB38" s="43"/>
      <c r="BD38" s="42"/>
      <c r="BE38" s="43"/>
      <c r="BG38" s="42"/>
      <c r="BH38" s="43"/>
      <c r="BJ38" s="42"/>
      <c r="BM38" s="42"/>
    </row>
    <row r="39" spans="1:65" x14ac:dyDescent="0.2">
      <c r="A39" s="25" t="s">
        <v>260</v>
      </c>
      <c r="B39" s="26">
        <v>0.32159999999999994</v>
      </c>
      <c r="C39" s="26">
        <v>0.2676</v>
      </c>
      <c r="D39" s="26">
        <v>0.42560000000000003</v>
      </c>
      <c r="E39" s="37">
        <v>7.2499999999999995E-2</v>
      </c>
      <c r="F39" s="40">
        <v>0.1479</v>
      </c>
      <c r="G39" s="17">
        <v>43526300</v>
      </c>
      <c r="H39" s="41">
        <v>41821000</v>
      </c>
      <c r="I39" s="40">
        <v>0.10310000000000001</v>
      </c>
      <c r="J39" s="17">
        <v>28790300</v>
      </c>
      <c r="K39" s="41">
        <v>46137000</v>
      </c>
      <c r="L39" s="40">
        <v>0.1206</v>
      </c>
      <c r="M39" s="17">
        <v>26455000</v>
      </c>
      <c r="N39" s="41">
        <v>39137600</v>
      </c>
      <c r="O39" s="40">
        <v>2.69E-2</v>
      </c>
      <c r="P39" s="17">
        <v>9233300</v>
      </c>
      <c r="Q39" s="41">
        <v>9033200</v>
      </c>
      <c r="R39" s="40">
        <v>4.5499999999999999E-2</v>
      </c>
      <c r="S39" s="17">
        <v>14771100</v>
      </c>
      <c r="T39" s="41">
        <v>14233900</v>
      </c>
      <c r="U39" s="40">
        <v>1.9799999999999998E-2</v>
      </c>
      <c r="V39" s="17">
        <v>10398600</v>
      </c>
      <c r="W39" s="41">
        <v>11632600</v>
      </c>
      <c r="X39" s="40">
        <v>2.1400000000000002E-2</v>
      </c>
      <c r="Y39" s="17">
        <v>5247300</v>
      </c>
      <c r="Z39" s="41">
        <v>8648100</v>
      </c>
      <c r="AA39" s="40">
        <v>3.7499999999999999E-2</v>
      </c>
      <c r="AB39" s="17">
        <v>10861900</v>
      </c>
      <c r="AC39" s="41">
        <v>11597900</v>
      </c>
      <c r="AD39" s="40">
        <v>3.3700000000000001E-2</v>
      </c>
      <c r="AE39" s="17">
        <v>13143300</v>
      </c>
      <c r="AF39" s="41">
        <v>9907500</v>
      </c>
      <c r="AG39" s="40">
        <v>1.09E-2</v>
      </c>
      <c r="AH39" s="17">
        <v>2364100</v>
      </c>
      <c r="AI39" s="41">
        <v>3709100</v>
      </c>
      <c r="AJ39" s="40">
        <v>1.43E-2</v>
      </c>
      <c r="AK39" s="17">
        <v>4668500</v>
      </c>
      <c r="AL39" s="41">
        <v>5913900</v>
      </c>
      <c r="AM39" s="40">
        <v>3.7000000000000002E-3</v>
      </c>
      <c r="AN39" s="17">
        <v>608200</v>
      </c>
      <c r="AO39" s="41">
        <v>596700</v>
      </c>
      <c r="AP39" s="40">
        <v>2.8000000000000004E-3</v>
      </c>
      <c r="AQ39" s="17">
        <v>689100</v>
      </c>
      <c r="AR39" s="17">
        <v>1430600</v>
      </c>
      <c r="AS39" s="40">
        <v>1.4499999999999999E-2</v>
      </c>
      <c r="AT39" s="17">
        <v>5688200</v>
      </c>
      <c r="AU39" s="41">
        <v>11983000</v>
      </c>
      <c r="AV39" s="40">
        <v>3.0299999999999997E-2</v>
      </c>
      <c r="AW39" s="17">
        <v>9385500</v>
      </c>
      <c r="AX39" s="41">
        <v>9780800</v>
      </c>
      <c r="AY39" s="40">
        <v>2.7699999999999999E-2</v>
      </c>
      <c r="AZ39" s="17">
        <v>7413900</v>
      </c>
      <c r="BA39" s="41">
        <v>11112200</v>
      </c>
      <c r="BB39" s="43"/>
      <c r="BD39" s="42"/>
      <c r="BE39" s="43"/>
      <c r="BG39" s="42"/>
      <c r="BH39" s="43"/>
      <c r="BJ39" s="42"/>
      <c r="BM39" s="42"/>
    </row>
    <row r="40" spans="1:65" x14ac:dyDescent="0.2">
      <c r="A40" s="25" t="s">
        <v>259</v>
      </c>
      <c r="B40" s="26">
        <v>0.33340000000000003</v>
      </c>
      <c r="C40" s="26">
        <v>0.25879999999999997</v>
      </c>
      <c r="D40" s="26">
        <v>0.46189999999999998</v>
      </c>
      <c r="E40" s="37">
        <v>6.8199999999999997E-2</v>
      </c>
      <c r="F40" s="40">
        <v>0.1515</v>
      </c>
      <c r="G40" s="17">
        <v>37498400</v>
      </c>
      <c r="H40" s="41">
        <v>58601300</v>
      </c>
      <c r="I40" s="40">
        <v>9.9100000000000008E-2</v>
      </c>
      <c r="J40" s="17">
        <v>45767800</v>
      </c>
      <c r="K40" s="41">
        <v>47238600</v>
      </c>
      <c r="L40" s="40">
        <v>0.17079999999999998</v>
      </c>
      <c r="M40" s="17">
        <v>58025600</v>
      </c>
      <c r="N40" s="41">
        <v>63547400</v>
      </c>
      <c r="O40" s="40">
        <v>2.0400000000000001E-2</v>
      </c>
      <c r="P40" s="17">
        <v>6570500</v>
      </c>
      <c r="Q40" s="41">
        <v>8669700</v>
      </c>
      <c r="R40" s="40">
        <v>5.6500000000000002E-2</v>
      </c>
      <c r="S40" s="17">
        <v>25727000</v>
      </c>
      <c r="T40" s="41">
        <v>18564400</v>
      </c>
      <c r="U40" s="40">
        <v>1.43E-2</v>
      </c>
      <c r="V40" s="17">
        <v>9696500</v>
      </c>
      <c r="W40" s="41">
        <v>10228000</v>
      </c>
      <c r="X40" s="40">
        <v>4.2000000000000003E-2</v>
      </c>
      <c r="Y40" s="17">
        <v>20066800</v>
      </c>
      <c r="Z40" s="41">
        <v>16459400</v>
      </c>
      <c r="AA40" s="40">
        <v>2.8900000000000002E-2</v>
      </c>
      <c r="AB40" s="17">
        <v>7596600</v>
      </c>
      <c r="AC40" s="41">
        <v>11184900</v>
      </c>
      <c r="AD40" s="40">
        <v>2.9900000000000003E-2</v>
      </c>
      <c r="AE40" s="17">
        <v>11067300</v>
      </c>
      <c r="AF40" s="41">
        <v>11440200</v>
      </c>
      <c r="AG40" s="40">
        <v>1.6200000000000003E-2</v>
      </c>
      <c r="AH40" s="17">
        <v>7851800</v>
      </c>
      <c r="AI40" s="41">
        <v>5829100</v>
      </c>
      <c r="AJ40" s="40">
        <v>5.5000000000000005E-3</v>
      </c>
      <c r="AK40" s="17">
        <v>2308600</v>
      </c>
      <c r="AL40" s="41">
        <v>2620800</v>
      </c>
      <c r="AM40" s="40">
        <v>1.8E-3</v>
      </c>
      <c r="AN40" s="17">
        <v>176300</v>
      </c>
      <c r="AO40" s="41">
        <v>293600</v>
      </c>
      <c r="AP40" s="40">
        <v>5.1999999999999998E-3</v>
      </c>
      <c r="AQ40" s="17">
        <v>2749900</v>
      </c>
      <c r="AR40" s="17">
        <v>2247700</v>
      </c>
      <c r="AS40" s="40">
        <v>1.9E-2</v>
      </c>
      <c r="AT40" s="17">
        <v>11027600</v>
      </c>
      <c r="AU40" s="41">
        <v>11551900</v>
      </c>
      <c r="AV40" s="40">
        <v>2.2000000000000002E-2</v>
      </c>
      <c r="AW40" s="17">
        <v>10009800</v>
      </c>
      <c r="AX40" s="41">
        <v>7071900</v>
      </c>
      <c r="AY40" s="40">
        <v>3.27E-2</v>
      </c>
      <c r="AZ40" s="17">
        <v>13735700</v>
      </c>
      <c r="BA40" s="41">
        <v>13692800</v>
      </c>
      <c r="BB40" s="43"/>
      <c r="BD40" s="42"/>
      <c r="BE40" s="43"/>
      <c r="BG40" s="42"/>
      <c r="BH40" s="43"/>
      <c r="BJ40" s="42"/>
      <c r="BM40" s="42"/>
    </row>
    <row r="41" spans="1:65" x14ac:dyDescent="0.2">
      <c r="A41" s="25" t="s">
        <v>258</v>
      </c>
      <c r="B41" s="26">
        <v>0.30199999999999999</v>
      </c>
      <c r="C41" s="26">
        <v>0.25940000000000002</v>
      </c>
      <c r="D41" s="26">
        <v>0.42950000000000005</v>
      </c>
      <c r="E41" s="37">
        <v>7.2000000000000008E-2</v>
      </c>
      <c r="F41" s="40">
        <v>0.13769999999999999</v>
      </c>
      <c r="G41" s="17">
        <v>31133400</v>
      </c>
      <c r="H41" s="41">
        <v>41039300</v>
      </c>
      <c r="I41" s="40">
        <v>8.5999999999999993E-2</v>
      </c>
      <c r="J41" s="17">
        <v>27378900</v>
      </c>
      <c r="K41" s="41">
        <v>31035400</v>
      </c>
      <c r="L41" s="40">
        <v>0.13570000000000002</v>
      </c>
      <c r="M41" s="17">
        <v>27493600</v>
      </c>
      <c r="N41" s="41">
        <v>36987800</v>
      </c>
      <c r="O41" s="40">
        <v>2.0299999999999999E-2</v>
      </c>
      <c r="P41" s="17">
        <v>6631200</v>
      </c>
      <c r="Q41" s="41">
        <v>6272200</v>
      </c>
      <c r="R41" s="40">
        <v>6.5199999999999994E-2</v>
      </c>
      <c r="S41" s="17">
        <v>23570100</v>
      </c>
      <c r="T41" s="41">
        <v>14096000</v>
      </c>
      <c r="U41" s="40">
        <v>2.8999999999999998E-2</v>
      </c>
      <c r="V41" s="17">
        <v>14528300</v>
      </c>
      <c r="W41" s="41">
        <v>10800300</v>
      </c>
      <c r="X41" s="40">
        <v>2.7400000000000001E-2</v>
      </c>
      <c r="Y41" s="17">
        <v>8571900</v>
      </c>
      <c r="Z41" s="41">
        <v>8841700</v>
      </c>
      <c r="AA41" s="40">
        <v>3.0499999999999999E-2</v>
      </c>
      <c r="AB41" s="17">
        <v>7119400</v>
      </c>
      <c r="AC41" s="41">
        <v>7959800</v>
      </c>
      <c r="AD41" s="40">
        <v>2.29E-2</v>
      </c>
      <c r="AE41" s="17">
        <v>5693500</v>
      </c>
      <c r="AF41" s="41">
        <v>5889600</v>
      </c>
      <c r="AG41" s="40">
        <v>1.3000000000000001E-2</v>
      </c>
      <c r="AH41" s="17">
        <v>4575500</v>
      </c>
      <c r="AI41" s="41">
        <v>3204800</v>
      </c>
      <c r="AJ41" s="40">
        <v>4.5000000000000005E-3</v>
      </c>
      <c r="AK41" s="17">
        <v>1189900</v>
      </c>
      <c r="AL41" s="41">
        <v>1680800</v>
      </c>
      <c r="AM41" s="40">
        <v>2.5000000000000001E-3</v>
      </c>
      <c r="AN41" s="17">
        <v>332600</v>
      </c>
      <c r="AO41" s="41">
        <v>301700</v>
      </c>
      <c r="AP41" s="40">
        <v>3.2000000000000002E-3</v>
      </c>
      <c r="AQ41" s="17">
        <v>1118800</v>
      </c>
      <c r="AR41" s="17">
        <v>903200</v>
      </c>
      <c r="AS41" s="40">
        <v>3.1300000000000001E-2</v>
      </c>
      <c r="AT41" s="17">
        <v>7894300</v>
      </c>
      <c r="AU41" s="41">
        <v>8385500</v>
      </c>
      <c r="AV41" s="40">
        <v>2.9300000000000003E-2</v>
      </c>
      <c r="AW41" s="17">
        <v>7186700</v>
      </c>
      <c r="AX41" s="41">
        <v>7246700</v>
      </c>
      <c r="AY41" s="40">
        <v>3.2099999999999997E-2</v>
      </c>
      <c r="AZ41" s="17">
        <v>12205400</v>
      </c>
      <c r="BA41" s="41">
        <v>8238400</v>
      </c>
      <c r="BB41" s="43"/>
      <c r="BD41" s="42"/>
      <c r="BE41" s="43"/>
      <c r="BG41" s="42"/>
      <c r="BH41" s="43"/>
      <c r="BJ41" s="42"/>
      <c r="BM41" s="42"/>
    </row>
    <row r="42" spans="1:65" x14ac:dyDescent="0.2">
      <c r="A42" s="25" t="s">
        <v>257</v>
      </c>
      <c r="B42" s="26">
        <v>0.33860000000000001</v>
      </c>
      <c r="C42" s="26">
        <v>0.30210000000000004</v>
      </c>
      <c r="D42" s="26">
        <v>0.43130000000000002</v>
      </c>
      <c r="E42" s="37">
        <v>6.4199999999999993E-2</v>
      </c>
      <c r="F42" s="40">
        <v>0.15529999999999999</v>
      </c>
      <c r="G42" s="17">
        <v>51058500</v>
      </c>
      <c r="H42" s="41">
        <v>36516800</v>
      </c>
      <c r="I42" s="40">
        <v>0.1341</v>
      </c>
      <c r="J42" s="17">
        <v>72075000</v>
      </c>
      <c r="K42" s="41">
        <v>39965200</v>
      </c>
      <c r="L42" s="40">
        <v>0.11539999999999999</v>
      </c>
      <c r="M42" s="17">
        <v>44318700</v>
      </c>
      <c r="N42" s="41">
        <v>26897000</v>
      </c>
      <c r="O42" s="40">
        <v>2.6800000000000001E-2</v>
      </c>
      <c r="P42" s="17">
        <v>11668500</v>
      </c>
      <c r="Q42" s="41">
        <v>7954700</v>
      </c>
      <c r="R42" s="40">
        <v>5.4299999999999994E-2</v>
      </c>
      <c r="S42" s="17">
        <v>21023600</v>
      </c>
      <c r="T42" s="41">
        <v>14498800</v>
      </c>
      <c r="U42" s="40">
        <v>1.6899999999999998E-2</v>
      </c>
      <c r="V42" s="17">
        <v>12460000</v>
      </c>
      <c r="W42" s="41">
        <v>8197800</v>
      </c>
      <c r="X42" s="40">
        <v>2.6099999999999998E-2</v>
      </c>
      <c r="Y42" s="17">
        <v>11536400</v>
      </c>
      <c r="Z42" s="41">
        <v>7967800</v>
      </c>
      <c r="AA42" s="40">
        <v>3.4099999999999998E-2</v>
      </c>
      <c r="AB42" s="17">
        <v>11646900</v>
      </c>
      <c r="AC42" s="41">
        <v>7306800</v>
      </c>
      <c r="AD42" s="40">
        <v>2.3099999999999999E-2</v>
      </c>
      <c r="AE42" s="17">
        <v>7142200</v>
      </c>
      <c r="AF42" s="41">
        <v>4839100</v>
      </c>
      <c r="AG42" s="40">
        <v>6.1999999999999998E-3</v>
      </c>
      <c r="AH42" s="17">
        <v>2245200</v>
      </c>
      <c r="AI42" s="41">
        <v>1489600</v>
      </c>
      <c r="AJ42" s="40">
        <v>4.1999999999999997E-3</v>
      </c>
      <c r="AK42" s="17">
        <v>2038700</v>
      </c>
      <c r="AL42" s="41">
        <v>1472900</v>
      </c>
      <c r="AM42" s="40">
        <v>2.5000000000000001E-3</v>
      </c>
      <c r="AN42" s="17">
        <v>245400</v>
      </c>
      <c r="AO42" s="41">
        <v>256600</v>
      </c>
      <c r="AP42" s="40">
        <v>2E-3</v>
      </c>
      <c r="AQ42" s="17">
        <v>1119800</v>
      </c>
      <c r="AR42" s="17">
        <v>730000</v>
      </c>
      <c r="AS42" s="40">
        <v>1.47E-2</v>
      </c>
      <c r="AT42" s="17">
        <v>13229500</v>
      </c>
      <c r="AU42" s="41">
        <v>9628100</v>
      </c>
      <c r="AV42" s="40">
        <v>2.4900000000000002E-2</v>
      </c>
      <c r="AW42" s="17">
        <v>10987000</v>
      </c>
      <c r="AX42" s="41">
        <v>5881900</v>
      </c>
      <c r="AY42" s="40">
        <v>3.49E-2</v>
      </c>
      <c r="AZ42" s="17">
        <v>17917000</v>
      </c>
      <c r="BA42" s="41">
        <v>10956200</v>
      </c>
      <c r="BB42" s="43"/>
      <c r="BD42" s="42"/>
      <c r="BE42" s="43"/>
      <c r="BG42" s="42"/>
      <c r="BH42" s="43"/>
      <c r="BJ42" s="42"/>
      <c r="BM42" s="42"/>
    </row>
    <row r="43" spans="1:65" x14ac:dyDescent="0.2">
      <c r="A43" s="25" t="s">
        <v>256</v>
      </c>
      <c r="B43" s="26">
        <v>0.34420000000000001</v>
      </c>
      <c r="C43" s="26">
        <v>0.29699999999999999</v>
      </c>
      <c r="D43" s="26">
        <v>0.42149999999999999</v>
      </c>
      <c r="E43" s="37">
        <v>5.0199999999999995E-2</v>
      </c>
      <c r="F43" s="40">
        <v>0.18429999999999999</v>
      </c>
      <c r="G43" s="17">
        <v>35343500</v>
      </c>
      <c r="H43" s="41">
        <v>48958500</v>
      </c>
      <c r="I43" s="40">
        <v>9.2499999999999999E-2</v>
      </c>
      <c r="J43" s="17">
        <v>24195200</v>
      </c>
      <c r="K43" s="41">
        <v>32116500</v>
      </c>
      <c r="L43" s="40">
        <v>0.13650000000000001</v>
      </c>
      <c r="M43" s="17">
        <v>30911700</v>
      </c>
      <c r="N43" s="41">
        <v>32363300</v>
      </c>
      <c r="O43" s="40">
        <v>2.5000000000000001E-2</v>
      </c>
      <c r="P43" s="17">
        <v>5614500</v>
      </c>
      <c r="Q43" s="41">
        <v>8018100</v>
      </c>
      <c r="R43" s="40">
        <v>4.9800000000000004E-2</v>
      </c>
      <c r="S43" s="17">
        <v>15017200</v>
      </c>
      <c r="T43" s="41">
        <v>12482600</v>
      </c>
      <c r="U43" s="40">
        <v>2.35E-2</v>
      </c>
      <c r="V43" s="17">
        <v>13427600</v>
      </c>
      <c r="W43" s="41">
        <v>11099900</v>
      </c>
      <c r="X43" s="40">
        <v>2.7099999999999999E-2</v>
      </c>
      <c r="Y43" s="17">
        <v>6795800</v>
      </c>
      <c r="Z43" s="41">
        <v>8013400</v>
      </c>
      <c r="AA43" s="40">
        <v>2.8900000000000002E-2</v>
      </c>
      <c r="AB43" s="17">
        <v>5209200</v>
      </c>
      <c r="AC43" s="41">
        <v>7740800</v>
      </c>
      <c r="AD43" s="40">
        <v>1.9799999999999998E-2</v>
      </c>
      <c r="AE43" s="17">
        <v>3109400</v>
      </c>
      <c r="AF43" s="41">
        <v>4853600</v>
      </c>
      <c r="AG43" s="40">
        <v>5.6000000000000008E-3</v>
      </c>
      <c r="AH43" s="17">
        <v>1539000</v>
      </c>
      <c r="AI43" s="41">
        <v>1010100</v>
      </c>
      <c r="AJ43" s="40">
        <v>3.8E-3</v>
      </c>
      <c r="AK43" s="17">
        <v>1033600</v>
      </c>
      <c r="AL43" s="41">
        <v>1315100</v>
      </c>
      <c r="AM43" s="40">
        <v>4.0000000000000001E-3</v>
      </c>
      <c r="AN43" s="17">
        <v>744700</v>
      </c>
      <c r="AO43" s="41">
        <v>678800</v>
      </c>
      <c r="AP43" s="40">
        <v>2E-3</v>
      </c>
      <c r="AQ43" s="17">
        <v>422600</v>
      </c>
      <c r="AR43" s="17">
        <v>895700</v>
      </c>
      <c r="AS43" s="40">
        <v>2.6699999999999998E-2</v>
      </c>
      <c r="AT43" s="17">
        <v>7456700</v>
      </c>
      <c r="AU43" s="41">
        <v>10114600</v>
      </c>
      <c r="AV43" s="40">
        <v>1.55E-2</v>
      </c>
      <c r="AW43" s="17">
        <v>2872900</v>
      </c>
      <c r="AX43" s="41">
        <v>4389600</v>
      </c>
      <c r="AY43" s="40">
        <v>2.53E-2</v>
      </c>
      <c r="AZ43" s="17">
        <v>6371600</v>
      </c>
      <c r="BA43" s="41">
        <v>7869400</v>
      </c>
      <c r="BB43" s="43"/>
      <c r="BD43" s="42"/>
      <c r="BE43" s="43"/>
      <c r="BG43" s="42"/>
      <c r="BH43" s="43"/>
      <c r="BJ43" s="42"/>
      <c r="BM43" s="42"/>
    </row>
    <row r="44" spans="1:65" x14ac:dyDescent="0.2">
      <c r="A44" s="25" t="s">
        <v>255</v>
      </c>
      <c r="B44" s="26">
        <v>0.31579999999999997</v>
      </c>
      <c r="C44" s="26">
        <v>0.2437</v>
      </c>
      <c r="D44" s="26">
        <v>0.46159999999999995</v>
      </c>
      <c r="E44" s="37">
        <v>5.5E-2</v>
      </c>
      <c r="F44" s="40">
        <v>9.3599999999999989E-2</v>
      </c>
      <c r="G44" s="17">
        <v>27470700</v>
      </c>
      <c r="H44" s="41">
        <v>31205200</v>
      </c>
      <c r="I44" s="40">
        <v>0.1014</v>
      </c>
      <c r="J44" s="17">
        <v>21106200</v>
      </c>
      <c r="K44" s="41">
        <v>35151800</v>
      </c>
      <c r="L44" s="40">
        <v>0.16070000000000001</v>
      </c>
      <c r="M44" s="17">
        <v>27695100</v>
      </c>
      <c r="N44" s="41">
        <v>40303600</v>
      </c>
      <c r="O44" s="40">
        <v>2.9700000000000001E-2</v>
      </c>
      <c r="P44" s="17">
        <v>7876800</v>
      </c>
      <c r="Q44" s="41">
        <v>7344200</v>
      </c>
      <c r="R44" s="40">
        <v>3.0299999999999997E-2</v>
      </c>
      <c r="S44" s="17">
        <v>7033000</v>
      </c>
      <c r="T44" s="41">
        <v>6806200</v>
      </c>
      <c r="U44" s="40">
        <v>1.54E-2</v>
      </c>
      <c r="V44" s="17">
        <v>14691600</v>
      </c>
      <c r="W44" s="41">
        <v>19245900</v>
      </c>
      <c r="X44" s="40">
        <v>2.0499999999999997E-2</v>
      </c>
      <c r="Y44" s="17">
        <v>4963300</v>
      </c>
      <c r="Z44" s="41">
        <v>4818700</v>
      </c>
      <c r="AA44" s="40">
        <v>4.7100000000000003E-2</v>
      </c>
      <c r="AB44" s="17">
        <v>7822600</v>
      </c>
      <c r="AC44" s="41">
        <v>8802300</v>
      </c>
      <c r="AD44" s="40">
        <v>2.0099999999999996E-2</v>
      </c>
      <c r="AE44" s="17">
        <v>3272900</v>
      </c>
      <c r="AF44" s="41">
        <v>3925700</v>
      </c>
      <c r="AG44" s="40">
        <v>5.1000000000000004E-3</v>
      </c>
      <c r="AH44" s="17">
        <v>641200</v>
      </c>
      <c r="AI44" s="41">
        <v>807200</v>
      </c>
      <c r="AJ44" s="40">
        <v>3.9000000000000003E-3</v>
      </c>
      <c r="AK44" s="17">
        <v>944700</v>
      </c>
      <c r="AL44" s="41">
        <v>1035000</v>
      </c>
      <c r="AM44" s="40">
        <v>1.9E-3</v>
      </c>
      <c r="AN44" s="17">
        <v>65000</v>
      </c>
      <c r="AO44" s="41">
        <v>678800</v>
      </c>
      <c r="AP44" s="40">
        <v>3.0999999999999999E-3</v>
      </c>
      <c r="AQ44" s="17">
        <v>484100</v>
      </c>
      <c r="AR44" s="17">
        <v>1216600</v>
      </c>
      <c r="AS44" s="40">
        <v>2.7799999999999998E-2</v>
      </c>
      <c r="AT44" s="17">
        <v>8213000</v>
      </c>
      <c r="AU44" s="41">
        <v>5884700</v>
      </c>
      <c r="AV44" s="40">
        <v>2.3799999999999998E-2</v>
      </c>
      <c r="AW44" s="17">
        <v>5769700</v>
      </c>
      <c r="AX44" s="41">
        <v>4620500</v>
      </c>
      <c r="AY44" s="40">
        <v>2.4E-2</v>
      </c>
      <c r="AZ44" s="17">
        <v>6258100</v>
      </c>
      <c r="BA44" s="41">
        <v>6574000</v>
      </c>
      <c r="BB44" s="43"/>
      <c r="BD44" s="42"/>
      <c r="BE44" s="43"/>
      <c r="BG44" s="42"/>
      <c r="BH44" s="43"/>
      <c r="BJ44" s="42"/>
      <c r="BM44" s="42"/>
    </row>
    <row r="45" spans="1:65" x14ac:dyDescent="0.2">
      <c r="A45" s="25" t="s">
        <v>254</v>
      </c>
      <c r="B45" s="26">
        <v>0.3306</v>
      </c>
      <c r="C45" s="26">
        <v>0.27960000000000002</v>
      </c>
      <c r="D45" s="26">
        <v>0.43680000000000002</v>
      </c>
      <c r="E45" s="37">
        <v>5.28E-2</v>
      </c>
      <c r="F45" s="40">
        <v>0.1273</v>
      </c>
      <c r="G45" s="17">
        <v>39489900</v>
      </c>
      <c r="H45" s="41">
        <v>40391200</v>
      </c>
      <c r="I45" s="40">
        <v>0.122</v>
      </c>
      <c r="J45" s="17">
        <v>29510200</v>
      </c>
      <c r="K45" s="41">
        <v>39085400</v>
      </c>
      <c r="L45" s="40">
        <v>0.1424</v>
      </c>
      <c r="M45" s="17">
        <v>30527900</v>
      </c>
      <c r="N45" s="41">
        <v>35117500</v>
      </c>
      <c r="O45" s="40">
        <v>2.1499999999999998E-2</v>
      </c>
      <c r="P45" s="17">
        <v>5716600</v>
      </c>
      <c r="Q45" s="41">
        <v>6568800</v>
      </c>
      <c r="R45" s="40">
        <v>4.7300000000000002E-2</v>
      </c>
      <c r="S45" s="17">
        <v>10908600</v>
      </c>
      <c r="T45" s="41">
        <v>12381300</v>
      </c>
      <c r="U45" s="40">
        <v>2.2099999999999998E-2</v>
      </c>
      <c r="V45" s="17">
        <v>13575800</v>
      </c>
      <c r="W45" s="41">
        <v>8706000</v>
      </c>
      <c r="X45" s="40">
        <v>2.8399999999999998E-2</v>
      </c>
      <c r="Y45" s="17">
        <v>6943500</v>
      </c>
      <c r="Z45" s="41">
        <v>7182600</v>
      </c>
      <c r="AA45" s="40">
        <v>3.2199999999999999E-2</v>
      </c>
      <c r="AB45" s="17">
        <v>5843500</v>
      </c>
      <c r="AC45" s="41">
        <v>6141500</v>
      </c>
      <c r="AD45" s="40">
        <v>2.3300000000000001E-2</v>
      </c>
      <c r="AE45" s="17">
        <v>7681600</v>
      </c>
      <c r="AF45" s="41">
        <v>4838700</v>
      </c>
      <c r="AG45" s="40">
        <v>5.6000000000000008E-3</v>
      </c>
      <c r="AH45" s="17">
        <v>1079200</v>
      </c>
      <c r="AI45" s="41">
        <v>1455600</v>
      </c>
      <c r="AJ45" s="40">
        <v>3.9000000000000003E-3</v>
      </c>
      <c r="AK45" s="17">
        <v>1061200</v>
      </c>
      <c r="AL45" s="41">
        <v>1253400</v>
      </c>
      <c r="AM45" s="40">
        <v>2.0999999999999999E-3</v>
      </c>
      <c r="AN45" s="17">
        <v>113900</v>
      </c>
      <c r="AO45" s="41">
        <v>133600</v>
      </c>
      <c r="AP45" s="40">
        <v>2.2000000000000001E-3</v>
      </c>
      <c r="AQ45" s="17">
        <v>597200</v>
      </c>
      <c r="AR45" s="17">
        <v>689600</v>
      </c>
      <c r="AS45" s="40">
        <v>2.0199999999999999E-2</v>
      </c>
      <c r="AT45" s="17">
        <v>3635200</v>
      </c>
      <c r="AU45" s="41">
        <v>7023000</v>
      </c>
      <c r="AV45" s="40">
        <v>2.06E-2</v>
      </c>
      <c r="AW45" s="17">
        <v>4626100</v>
      </c>
      <c r="AX45" s="41">
        <v>3833100</v>
      </c>
      <c r="AY45" s="40">
        <v>2.76E-2</v>
      </c>
      <c r="AZ45" s="17">
        <v>9558200</v>
      </c>
      <c r="BA45" s="41">
        <v>5684700</v>
      </c>
      <c r="BB45" s="43"/>
      <c r="BD45" s="42"/>
      <c r="BE45" s="43"/>
      <c r="BG45" s="42"/>
      <c r="BH45" s="43"/>
      <c r="BJ45" s="42"/>
      <c r="BM45" s="42"/>
    </row>
    <row r="46" spans="1:65" x14ac:dyDescent="0.2">
      <c r="A46" s="25" t="s">
        <v>253</v>
      </c>
      <c r="B46" s="26">
        <v>0.30990000000000001</v>
      </c>
      <c r="C46" s="26">
        <v>0.33390000000000003</v>
      </c>
      <c r="D46" s="26">
        <v>0.40850000000000003</v>
      </c>
      <c r="E46" s="37">
        <v>5.0199999999999995E-2</v>
      </c>
      <c r="F46" s="40">
        <v>0.1273</v>
      </c>
      <c r="G46" s="17">
        <v>28270100</v>
      </c>
      <c r="H46" s="41">
        <v>52026400</v>
      </c>
      <c r="I46" s="40">
        <v>0.1198</v>
      </c>
      <c r="J46" s="17">
        <v>31627600</v>
      </c>
      <c r="K46" s="41">
        <v>33140100</v>
      </c>
      <c r="L46" s="40">
        <v>0.12890000000000001</v>
      </c>
      <c r="M46" s="17">
        <v>22509300</v>
      </c>
      <c r="N46" s="41">
        <v>26112900</v>
      </c>
      <c r="O46" s="40">
        <v>2.1400000000000002E-2</v>
      </c>
      <c r="P46" s="17">
        <v>4600100</v>
      </c>
      <c r="Q46" s="41">
        <v>5742300</v>
      </c>
      <c r="R46" s="40">
        <v>3.7699999999999997E-2</v>
      </c>
      <c r="S46" s="17">
        <v>7736100</v>
      </c>
      <c r="T46" s="41">
        <v>9249100</v>
      </c>
      <c r="U46" s="40">
        <v>0.02</v>
      </c>
      <c r="V46" s="17">
        <v>15961300</v>
      </c>
      <c r="W46" s="41">
        <v>13604000</v>
      </c>
      <c r="X46" s="40">
        <v>2.7200000000000002E-2</v>
      </c>
      <c r="Y46" s="17">
        <v>4927100</v>
      </c>
      <c r="Z46" s="41">
        <v>7394000</v>
      </c>
      <c r="AA46" s="40">
        <v>3.8800000000000001E-2</v>
      </c>
      <c r="AB46" s="17">
        <v>6588300</v>
      </c>
      <c r="AC46" s="41">
        <v>6100000</v>
      </c>
      <c r="AD46" s="40">
        <v>1.2699999999999999E-2</v>
      </c>
      <c r="AE46" s="17">
        <v>2200200</v>
      </c>
      <c r="AF46" s="41">
        <v>2957500</v>
      </c>
      <c r="AG46" s="40">
        <v>5.0000000000000001E-3</v>
      </c>
      <c r="AH46" s="17">
        <v>554100</v>
      </c>
      <c r="AI46" s="41">
        <v>1144700</v>
      </c>
      <c r="AJ46" s="40">
        <v>3.0000000000000001E-3</v>
      </c>
      <c r="AK46" s="17">
        <v>622400</v>
      </c>
      <c r="AL46" s="41">
        <v>1000600</v>
      </c>
      <c r="AM46" s="40">
        <v>1.1999999999999999E-3</v>
      </c>
      <c r="AN46" s="17">
        <v>65300</v>
      </c>
      <c r="AO46" s="41">
        <v>102700</v>
      </c>
      <c r="AP46" s="40">
        <v>4.1999999999999997E-3</v>
      </c>
      <c r="AQ46" s="17">
        <v>1249500</v>
      </c>
      <c r="AR46" s="17">
        <v>973000</v>
      </c>
      <c r="AS46" s="40">
        <v>2.4E-2</v>
      </c>
      <c r="AT46" s="17">
        <v>3593200</v>
      </c>
      <c r="AU46" s="41">
        <v>5933700</v>
      </c>
      <c r="AV46" s="40">
        <v>1.7100000000000001E-2</v>
      </c>
      <c r="AW46" s="17">
        <v>3230400</v>
      </c>
      <c r="AX46" s="41">
        <v>4279600</v>
      </c>
      <c r="AY46" s="40">
        <v>2.52E-2</v>
      </c>
      <c r="AZ46" s="17">
        <v>7031100</v>
      </c>
      <c r="BA46" s="41">
        <v>6210500</v>
      </c>
      <c r="BB46" s="43"/>
      <c r="BD46" s="42"/>
      <c r="BE46" s="43"/>
      <c r="BG46" s="42"/>
      <c r="BH46" s="43"/>
      <c r="BJ46" s="42"/>
      <c r="BM46" s="42"/>
    </row>
    <row r="47" spans="1:65" x14ac:dyDescent="0.2">
      <c r="A47" s="25" t="s">
        <v>252</v>
      </c>
      <c r="B47" s="26">
        <v>0.3422</v>
      </c>
      <c r="C47" s="26">
        <v>0.28550000000000003</v>
      </c>
      <c r="D47" s="26">
        <v>0.42499999999999999</v>
      </c>
      <c r="E47" s="37">
        <v>5.6500000000000002E-2</v>
      </c>
      <c r="F47" s="40">
        <v>0.14480000000000001</v>
      </c>
      <c r="G47" s="17">
        <v>67186200</v>
      </c>
      <c r="H47" s="41">
        <v>44831300</v>
      </c>
      <c r="I47" s="40">
        <v>0.14050000000000001</v>
      </c>
      <c r="J47" s="17">
        <v>68256000</v>
      </c>
      <c r="K47" s="41">
        <v>42568300</v>
      </c>
      <c r="L47" s="40">
        <v>0.15479999999999999</v>
      </c>
      <c r="M47" s="17">
        <v>56244700</v>
      </c>
      <c r="N47" s="41">
        <v>36858200</v>
      </c>
      <c r="O47" s="40">
        <v>2.4199999999999999E-2</v>
      </c>
      <c r="P47" s="17">
        <v>10376500</v>
      </c>
      <c r="Q47" s="41">
        <v>6646600</v>
      </c>
      <c r="R47" s="40">
        <v>4.8300000000000003E-2</v>
      </c>
      <c r="S47" s="17">
        <v>18962500</v>
      </c>
      <c r="T47" s="41">
        <v>12381300</v>
      </c>
      <c r="U47" s="40">
        <v>1.49E-2</v>
      </c>
      <c r="V47" s="17">
        <v>13482400</v>
      </c>
      <c r="W47" s="41">
        <v>8471100</v>
      </c>
      <c r="X47" s="40">
        <v>2.3399999999999997E-2</v>
      </c>
      <c r="Y47" s="17">
        <v>9291700</v>
      </c>
      <c r="Z47" s="41">
        <v>5849900</v>
      </c>
      <c r="AA47" s="40">
        <v>2.9600000000000001E-2</v>
      </c>
      <c r="AB47" s="17">
        <v>10512400</v>
      </c>
      <c r="AC47" s="41">
        <v>6166000</v>
      </c>
      <c r="AD47" s="40">
        <v>1.38E-2</v>
      </c>
      <c r="AE47" s="17">
        <v>4321400</v>
      </c>
      <c r="AF47" s="41">
        <v>3126900</v>
      </c>
      <c r="AG47" s="40">
        <v>5.6000000000000008E-3</v>
      </c>
      <c r="AH47" s="17">
        <v>1728100</v>
      </c>
      <c r="AI47" s="41">
        <v>1015400</v>
      </c>
      <c r="AJ47" s="40">
        <v>3.0999999999999999E-3</v>
      </c>
      <c r="AK47" s="17">
        <v>1621400</v>
      </c>
      <c r="AL47" s="41">
        <v>823300</v>
      </c>
      <c r="AM47" s="40">
        <v>2.2000000000000001E-3</v>
      </c>
      <c r="AN47" s="17">
        <v>218200</v>
      </c>
      <c r="AO47" s="41">
        <v>189900</v>
      </c>
      <c r="AP47" s="40">
        <v>2.8999999999999998E-3</v>
      </c>
      <c r="AQ47" s="17">
        <v>1408100</v>
      </c>
      <c r="AR47" s="17">
        <v>1026100</v>
      </c>
      <c r="AS47" s="40">
        <v>1.6299999999999999E-2</v>
      </c>
      <c r="AT47" s="17">
        <v>8100300</v>
      </c>
      <c r="AU47" s="41">
        <v>6162800</v>
      </c>
      <c r="AV47" s="40">
        <v>1.5700000000000002E-2</v>
      </c>
      <c r="AW47" s="17">
        <v>5614100</v>
      </c>
      <c r="AX47" s="41">
        <v>3784400</v>
      </c>
      <c r="AY47" s="40">
        <v>2.58E-2</v>
      </c>
      <c r="AZ47" s="17">
        <v>11007600</v>
      </c>
      <c r="BA47" s="41">
        <v>8012300</v>
      </c>
      <c r="BB47" s="43"/>
      <c r="BD47" s="42"/>
      <c r="BE47" s="43"/>
      <c r="BG47" s="42"/>
      <c r="BH47" s="43"/>
      <c r="BJ47" s="42"/>
      <c r="BM47" s="42"/>
    </row>
    <row r="48" spans="1:65" x14ac:dyDescent="0.2">
      <c r="A48" s="29" t="s">
        <v>251</v>
      </c>
      <c r="B48" s="26">
        <v>0.35149999999999998</v>
      </c>
      <c r="C48" s="26">
        <v>0.38009999999999999</v>
      </c>
      <c r="D48" s="26">
        <v>0.37240000000000001</v>
      </c>
      <c r="E48" s="37">
        <v>4.7699999999999992E-2</v>
      </c>
      <c r="F48" s="40">
        <v>0.15679999999999999</v>
      </c>
      <c r="G48" s="17">
        <v>57252600</v>
      </c>
      <c r="H48" s="41">
        <v>89615300</v>
      </c>
      <c r="I48" s="40">
        <v>0.1208</v>
      </c>
      <c r="J48" s="17">
        <v>35065800</v>
      </c>
      <c r="K48" s="41">
        <v>55978300</v>
      </c>
      <c r="L48" s="40">
        <v>0.12369999999999999</v>
      </c>
      <c r="M48" s="17">
        <v>23670900</v>
      </c>
      <c r="N48" s="41">
        <v>47511700</v>
      </c>
      <c r="O48" s="40">
        <v>1.9299999999999998E-2</v>
      </c>
      <c r="P48" s="17">
        <v>4593600</v>
      </c>
      <c r="Q48" s="41">
        <v>8328800</v>
      </c>
      <c r="R48" s="40">
        <v>4.4600000000000001E-2</v>
      </c>
      <c r="S48" s="17">
        <v>8006200</v>
      </c>
      <c r="T48" s="41">
        <v>9249100</v>
      </c>
      <c r="U48" s="40">
        <v>1.44E-2</v>
      </c>
      <c r="V48" s="17">
        <v>11629600</v>
      </c>
      <c r="W48" s="41">
        <v>16380700</v>
      </c>
      <c r="X48" s="40">
        <v>2.52E-2</v>
      </c>
      <c r="Y48" s="17">
        <v>5486400</v>
      </c>
      <c r="Z48" s="41">
        <v>9063200</v>
      </c>
      <c r="AA48" s="40">
        <v>2.9700000000000001E-2</v>
      </c>
      <c r="AB48" s="17">
        <v>5673800</v>
      </c>
      <c r="AC48" s="41">
        <v>9668600</v>
      </c>
      <c r="AD48" s="40">
        <v>1.1899999999999999E-2</v>
      </c>
      <c r="AE48" s="17">
        <v>3421600</v>
      </c>
      <c r="AF48" s="41">
        <v>4510500</v>
      </c>
      <c r="AG48" s="40">
        <v>4.5999999999999999E-3</v>
      </c>
      <c r="AH48" s="17">
        <v>1199700</v>
      </c>
      <c r="AI48" s="41">
        <v>1217500</v>
      </c>
      <c r="AJ48" s="40">
        <v>3.2000000000000002E-3</v>
      </c>
      <c r="AK48" s="17">
        <v>775600</v>
      </c>
      <c r="AL48" s="41">
        <v>1612200</v>
      </c>
      <c r="AM48" s="40">
        <v>1.8E-3</v>
      </c>
      <c r="AN48" s="17">
        <v>138600</v>
      </c>
      <c r="AO48" s="41">
        <v>204800</v>
      </c>
      <c r="AP48" s="40">
        <v>2.2000000000000001E-3</v>
      </c>
      <c r="AQ48" s="17">
        <v>427700</v>
      </c>
      <c r="AR48" s="17">
        <v>1394800</v>
      </c>
      <c r="AS48" s="40">
        <v>1.55E-2</v>
      </c>
      <c r="AT48" s="17">
        <v>3145800</v>
      </c>
      <c r="AU48" s="41">
        <v>7385800</v>
      </c>
      <c r="AV48" s="40">
        <v>1.15E-2</v>
      </c>
      <c r="AW48" s="17">
        <v>1886600</v>
      </c>
      <c r="AX48" s="41">
        <v>4234100</v>
      </c>
      <c r="AY48" s="40">
        <v>2.4799999999999999E-2</v>
      </c>
      <c r="AZ48" s="17">
        <v>6802200</v>
      </c>
      <c r="BA48" s="41">
        <v>11047400</v>
      </c>
      <c r="BB48" s="43"/>
      <c r="BD48" s="42"/>
      <c r="BE48" s="43"/>
      <c r="BG48" s="42"/>
      <c r="BH48" s="43"/>
      <c r="BJ48" s="42"/>
      <c r="BM48" s="42"/>
    </row>
    <row r="49" spans="1:65" x14ac:dyDescent="0.2">
      <c r="A49" s="29" t="s">
        <v>250</v>
      </c>
      <c r="B49" s="26">
        <v>0.34460000000000002</v>
      </c>
      <c r="C49" s="26">
        <v>0.31290000000000001</v>
      </c>
      <c r="D49" s="26">
        <v>0.4456</v>
      </c>
      <c r="E49" s="37">
        <v>6.2100000000000002E-2</v>
      </c>
      <c r="F49" s="40">
        <v>0.1545</v>
      </c>
      <c r="G49" s="17">
        <v>58001600</v>
      </c>
      <c r="H49" s="41">
        <v>46792700</v>
      </c>
      <c r="I49" s="40">
        <v>0.16969999999999999</v>
      </c>
      <c r="J49" s="17">
        <v>69571900</v>
      </c>
      <c r="K49" s="41">
        <v>47119600</v>
      </c>
      <c r="L49" s="40">
        <v>0.1401</v>
      </c>
      <c r="M49" s="17">
        <v>40654700</v>
      </c>
      <c r="N49" s="41">
        <v>33677900</v>
      </c>
      <c r="O49" s="40">
        <v>1.7899999999999999E-2</v>
      </c>
      <c r="P49" s="17">
        <v>5647200</v>
      </c>
      <c r="Q49" s="41">
        <v>5243500</v>
      </c>
      <c r="R49" s="40">
        <v>3.7900000000000003E-2</v>
      </c>
      <c r="S49" s="17">
        <v>12448600</v>
      </c>
      <c r="T49" s="41">
        <v>12800100</v>
      </c>
      <c r="U49" s="40">
        <v>1.3300000000000001E-2</v>
      </c>
      <c r="V49" s="17">
        <v>9864200</v>
      </c>
      <c r="W49" s="41">
        <v>11141800</v>
      </c>
      <c r="X49" s="40">
        <v>3.1699999999999999E-2</v>
      </c>
      <c r="Y49" s="17">
        <v>6410200</v>
      </c>
      <c r="Z49" s="41">
        <v>7362800</v>
      </c>
      <c r="AA49" s="40">
        <v>3.27E-2</v>
      </c>
      <c r="AB49" s="17">
        <v>7515700</v>
      </c>
      <c r="AC49" s="41">
        <v>7983100</v>
      </c>
      <c r="AD49" s="40">
        <v>1.1599999999999999E-2</v>
      </c>
      <c r="AE49" s="17">
        <v>2977000</v>
      </c>
      <c r="AF49" s="41">
        <v>2760100</v>
      </c>
      <c r="AG49" s="40">
        <v>5.0000000000000001E-3</v>
      </c>
      <c r="AH49" s="17">
        <v>1158700</v>
      </c>
      <c r="AI49" s="41">
        <v>890800</v>
      </c>
      <c r="AJ49" s="40">
        <v>3.4999999999999996E-3</v>
      </c>
      <c r="AK49" s="17">
        <v>1031300</v>
      </c>
      <c r="AL49" s="41">
        <v>1294100</v>
      </c>
      <c r="AM49" s="40">
        <v>2.0999999999999999E-3</v>
      </c>
      <c r="AN49" s="17">
        <v>289700</v>
      </c>
      <c r="AO49" s="41">
        <v>138200</v>
      </c>
      <c r="AP49" s="40">
        <v>4.0999999999999995E-3</v>
      </c>
      <c r="AQ49" s="17">
        <v>863100</v>
      </c>
      <c r="AR49" s="17">
        <v>1047200</v>
      </c>
      <c r="AS49" s="40">
        <v>1.78E-2</v>
      </c>
      <c r="AT49" s="17">
        <v>5496100</v>
      </c>
      <c r="AU49" s="41">
        <v>6370000</v>
      </c>
      <c r="AV49" s="40">
        <v>1.49E-2</v>
      </c>
      <c r="AW49" s="17">
        <v>3793500</v>
      </c>
      <c r="AX49" s="41">
        <v>4317900</v>
      </c>
      <c r="AY49" s="40">
        <v>3.4700000000000002E-2</v>
      </c>
      <c r="AZ49" s="17">
        <v>14706100</v>
      </c>
      <c r="BA49" s="41">
        <v>8837000</v>
      </c>
      <c r="BB49" s="43"/>
      <c r="BD49" s="42"/>
      <c r="BE49" s="43"/>
      <c r="BG49" s="42"/>
      <c r="BH49" s="43"/>
      <c r="BJ49" s="42"/>
      <c r="BM49" s="42"/>
    </row>
    <row r="50" spans="1:65" x14ac:dyDescent="0.2">
      <c r="A50" s="29" t="s">
        <v>249</v>
      </c>
      <c r="B50" s="26">
        <v>0.2959</v>
      </c>
      <c r="C50" s="26">
        <v>0.24850000000000003</v>
      </c>
      <c r="D50" s="26">
        <v>0.52429999999999999</v>
      </c>
      <c r="E50" s="37">
        <v>6.1799999999999994E-2</v>
      </c>
      <c r="F50" s="40">
        <v>0.13849999999999998</v>
      </c>
      <c r="G50" s="17">
        <v>72191500</v>
      </c>
      <c r="H50" s="41">
        <v>94592500</v>
      </c>
      <c r="I50" s="40">
        <v>0.17980000000000002</v>
      </c>
      <c r="J50" s="17">
        <v>82406700</v>
      </c>
      <c r="K50" s="41">
        <v>103491100</v>
      </c>
      <c r="L50" s="40">
        <v>0.16879999999999998</v>
      </c>
      <c r="M50" s="17">
        <v>54183000</v>
      </c>
      <c r="N50" s="41">
        <v>77343600</v>
      </c>
      <c r="O50" s="40">
        <v>2.5099999999999997E-2</v>
      </c>
      <c r="P50" s="17">
        <v>9584700</v>
      </c>
      <c r="Q50" s="41">
        <v>13858400</v>
      </c>
      <c r="R50" s="40">
        <v>5.3099999999999994E-2</v>
      </c>
      <c r="S50" s="17">
        <v>20559800</v>
      </c>
      <c r="T50" s="41">
        <v>17501400</v>
      </c>
      <c r="U50" s="40">
        <v>1.47E-2</v>
      </c>
      <c r="V50" s="17">
        <v>9602400</v>
      </c>
      <c r="W50" s="41">
        <v>14642800</v>
      </c>
      <c r="X50" s="40">
        <v>2.86E-2</v>
      </c>
      <c r="Y50" s="17">
        <v>12234300</v>
      </c>
      <c r="Z50" s="41">
        <v>14688200</v>
      </c>
      <c r="AA50" s="40">
        <v>4.8000000000000001E-2</v>
      </c>
      <c r="AB50" s="17">
        <v>12880100</v>
      </c>
      <c r="AC50" s="41">
        <v>17777800</v>
      </c>
      <c r="AD50" s="40">
        <v>1.32E-2</v>
      </c>
      <c r="AE50" s="17">
        <v>5279300</v>
      </c>
      <c r="AF50" s="41">
        <v>6712600</v>
      </c>
      <c r="AG50" s="40">
        <v>6.6E-3</v>
      </c>
      <c r="AH50" s="17">
        <v>2658300</v>
      </c>
      <c r="AI50" s="41">
        <v>2668600</v>
      </c>
      <c r="AJ50" s="40">
        <v>4.1999999999999997E-3</v>
      </c>
      <c r="AK50" s="17">
        <v>1788600</v>
      </c>
      <c r="AL50" s="41">
        <v>2440000</v>
      </c>
      <c r="AM50" s="40">
        <v>2.2000000000000001E-3</v>
      </c>
      <c r="AN50" s="17">
        <v>145900</v>
      </c>
      <c r="AO50" s="41">
        <v>277000</v>
      </c>
      <c r="AP50" s="40">
        <v>4.3E-3</v>
      </c>
      <c r="AQ50" s="17">
        <v>1074400</v>
      </c>
      <c r="AR50" s="17">
        <v>2144800</v>
      </c>
      <c r="AS50" s="40">
        <v>2.3700000000000002E-2</v>
      </c>
      <c r="AT50" s="17">
        <v>7495300</v>
      </c>
      <c r="AU50" s="41">
        <v>12819200</v>
      </c>
      <c r="AV50" s="40">
        <v>1.84E-2</v>
      </c>
      <c r="AW50" s="17">
        <v>6711300</v>
      </c>
      <c r="AX50" s="41">
        <v>7740200</v>
      </c>
      <c r="AY50" s="40">
        <v>3.4700000000000002E-2</v>
      </c>
      <c r="AZ50" s="17">
        <v>15062700</v>
      </c>
      <c r="BA50" s="41">
        <v>17125400</v>
      </c>
      <c r="BB50" s="43"/>
      <c r="BD50" s="42"/>
      <c r="BE50" s="43"/>
      <c r="BG50" s="42"/>
      <c r="BH50" s="43"/>
      <c r="BJ50" s="42"/>
      <c r="BM50" s="42"/>
    </row>
    <row r="51" spans="1:65" x14ac:dyDescent="0.2">
      <c r="A51" s="25" t="s">
        <v>248</v>
      </c>
      <c r="B51" s="26">
        <v>0.30099999999999999</v>
      </c>
      <c r="C51" s="26">
        <v>0.2747</v>
      </c>
      <c r="D51" s="26">
        <v>0.46860000000000002</v>
      </c>
      <c r="E51" s="37">
        <v>7.4299999999999991E-2</v>
      </c>
      <c r="F51" s="40">
        <v>0.1565</v>
      </c>
      <c r="G51" s="17">
        <v>41688200</v>
      </c>
      <c r="H51" s="41">
        <v>100677200</v>
      </c>
      <c r="I51" s="40">
        <v>0.1217</v>
      </c>
      <c r="J51" s="17">
        <v>33051300</v>
      </c>
      <c r="K51" s="41">
        <v>67956500</v>
      </c>
      <c r="L51" s="40">
        <v>0.15049999999999999</v>
      </c>
      <c r="M51" s="17">
        <v>32413000</v>
      </c>
      <c r="N51" s="41">
        <v>61625700</v>
      </c>
      <c r="O51" s="40">
        <v>2.18E-2</v>
      </c>
      <c r="P51" s="17">
        <v>6112800</v>
      </c>
      <c r="Q51" s="41">
        <v>9878800</v>
      </c>
      <c r="R51" s="40">
        <v>4.3499999999999997E-2</v>
      </c>
      <c r="S51" s="17">
        <v>7826500</v>
      </c>
      <c r="T51" s="41">
        <v>9401800</v>
      </c>
      <c r="U51" s="40">
        <v>2.53E-2</v>
      </c>
      <c r="V51" s="17">
        <v>10967500</v>
      </c>
      <c r="W51" s="41">
        <v>11910200</v>
      </c>
      <c r="X51" s="40">
        <v>4.7300000000000002E-2</v>
      </c>
      <c r="Y51" s="17">
        <v>5272600</v>
      </c>
      <c r="Z51" s="41">
        <v>14481700</v>
      </c>
      <c r="AA51" s="40">
        <v>3.2899999999999999E-2</v>
      </c>
      <c r="AB51" s="17">
        <v>6287200</v>
      </c>
      <c r="AC51" s="41">
        <v>13753800</v>
      </c>
      <c r="AD51" s="40">
        <v>1.43E-2</v>
      </c>
      <c r="AE51" s="17">
        <v>4718100</v>
      </c>
      <c r="AF51" s="41">
        <v>5563500</v>
      </c>
      <c r="AG51" s="40">
        <v>4.0999999999999995E-3</v>
      </c>
      <c r="AH51" s="17">
        <v>1081400</v>
      </c>
      <c r="AI51" s="41">
        <v>1422800</v>
      </c>
      <c r="AJ51" s="40">
        <v>3.5999999999999999E-3</v>
      </c>
      <c r="AK51" s="17">
        <v>1206500</v>
      </c>
      <c r="AL51" s="41">
        <v>1665100</v>
      </c>
      <c r="AM51" s="40">
        <v>1.8E-3</v>
      </c>
      <c r="AN51" s="17">
        <v>127900</v>
      </c>
      <c r="AO51" s="41">
        <v>286100</v>
      </c>
      <c r="AP51" s="40">
        <v>3.5999999999999999E-3</v>
      </c>
      <c r="AQ51" s="17">
        <v>455000</v>
      </c>
      <c r="AR51" s="17">
        <v>1373900</v>
      </c>
      <c r="AS51" s="40">
        <v>1.9900000000000001E-2</v>
      </c>
      <c r="AT51" s="17">
        <v>4651300</v>
      </c>
      <c r="AU51" s="41">
        <v>8906200</v>
      </c>
      <c r="AV51" s="40">
        <v>1.1299999999999999E-2</v>
      </c>
      <c r="AW51" s="17">
        <v>1932800</v>
      </c>
      <c r="AX51" s="41">
        <v>4611200</v>
      </c>
      <c r="AY51" s="40">
        <v>3.9399999999999998E-2</v>
      </c>
      <c r="AZ51" s="17">
        <v>10969000</v>
      </c>
      <c r="BA51" s="41">
        <v>17832800</v>
      </c>
      <c r="BB51" s="43"/>
      <c r="BD51" s="42"/>
      <c r="BE51" s="43"/>
      <c r="BG51" s="42"/>
      <c r="BH51" s="43"/>
      <c r="BJ51" s="42"/>
      <c r="BM51" s="42"/>
    </row>
    <row r="52" spans="1:65" x14ac:dyDescent="0.2">
      <c r="A52" s="25" t="s">
        <v>247</v>
      </c>
      <c r="B52" s="26">
        <v>0.30790000000000001</v>
      </c>
      <c r="C52" s="26">
        <v>0.313</v>
      </c>
      <c r="D52" s="26">
        <v>0.4728</v>
      </c>
      <c r="E52" s="37">
        <v>6.5199999999999994E-2</v>
      </c>
      <c r="F52" s="40">
        <v>0.1326</v>
      </c>
      <c r="G52" s="17">
        <v>85808500</v>
      </c>
      <c r="H52" s="41">
        <v>104824800</v>
      </c>
      <c r="I52" s="40">
        <v>0.14660000000000001</v>
      </c>
      <c r="J52" s="17">
        <v>77898600</v>
      </c>
      <c r="K52" s="41">
        <v>114849500</v>
      </c>
      <c r="L52" s="40">
        <v>0.16719999999999999</v>
      </c>
      <c r="M52" s="17">
        <v>65334400</v>
      </c>
      <c r="N52" s="41">
        <v>98929700</v>
      </c>
      <c r="O52" s="40">
        <v>2.2099999999999998E-2</v>
      </c>
      <c r="P52" s="17">
        <v>10886300</v>
      </c>
      <c r="Q52" s="41">
        <v>14226600</v>
      </c>
      <c r="R52" s="40">
        <v>4.6799999999999994E-2</v>
      </c>
      <c r="S52" s="17">
        <v>20671600</v>
      </c>
      <c r="T52" s="41">
        <v>23922100</v>
      </c>
      <c r="U52" s="40">
        <v>1.6899999999999998E-2</v>
      </c>
      <c r="V52" s="17">
        <v>13445300</v>
      </c>
      <c r="W52" s="41">
        <v>18442900</v>
      </c>
      <c r="X52" s="40">
        <v>2.23E-2</v>
      </c>
      <c r="Y52" s="17">
        <v>12655000</v>
      </c>
      <c r="Z52" s="41">
        <v>15274800</v>
      </c>
      <c r="AA52" s="40">
        <v>4.4299999999999999E-2</v>
      </c>
      <c r="AB52" s="17">
        <v>15847800</v>
      </c>
      <c r="AC52" s="41">
        <v>24313800</v>
      </c>
      <c r="AD52" s="40">
        <v>1.46E-2</v>
      </c>
      <c r="AE52" s="17">
        <v>6814100</v>
      </c>
      <c r="AF52" s="41">
        <v>10007600</v>
      </c>
      <c r="AG52" s="40">
        <v>5.4000000000000003E-3</v>
      </c>
      <c r="AH52" s="17">
        <v>2485300</v>
      </c>
      <c r="AI52" s="41">
        <v>3099900</v>
      </c>
      <c r="AJ52" s="40">
        <v>5.1000000000000004E-3</v>
      </c>
      <c r="AK52" s="17">
        <v>2281700</v>
      </c>
      <c r="AL52" s="41">
        <v>4216000</v>
      </c>
      <c r="AM52" s="40">
        <v>2.7000000000000001E-3</v>
      </c>
      <c r="AN52" s="17">
        <v>321400</v>
      </c>
      <c r="AO52" s="41">
        <v>366600</v>
      </c>
      <c r="AP52" s="40">
        <v>2.7000000000000001E-3</v>
      </c>
      <c r="AQ52" s="17">
        <v>1355900</v>
      </c>
      <c r="AR52" s="17">
        <v>2044600</v>
      </c>
      <c r="AS52" s="40">
        <v>2.5899999999999999E-2</v>
      </c>
      <c r="AT52" s="17">
        <v>10489900</v>
      </c>
      <c r="AU52" s="41">
        <v>22165700</v>
      </c>
      <c r="AV52" s="40">
        <v>1.4800000000000001E-2</v>
      </c>
      <c r="AW52" s="17">
        <v>6430700</v>
      </c>
      <c r="AX52" s="41">
        <v>7314000</v>
      </c>
      <c r="AY52" s="40">
        <v>2.4400000000000002E-2</v>
      </c>
      <c r="AZ52" s="17">
        <v>12105100</v>
      </c>
      <c r="BA52" s="41">
        <v>18147600</v>
      </c>
      <c r="BB52" s="43"/>
      <c r="BD52" s="42"/>
      <c r="BE52" s="43"/>
      <c r="BG52" s="42"/>
      <c r="BH52" s="43"/>
      <c r="BJ52" s="42"/>
      <c r="BM52" s="42"/>
    </row>
    <row r="53" spans="1:65" x14ac:dyDescent="0.2">
      <c r="A53" s="25" t="s">
        <v>246</v>
      </c>
      <c r="B53" s="26">
        <v>0.36979999999999996</v>
      </c>
      <c r="C53" s="26">
        <v>0.2898</v>
      </c>
      <c r="D53" s="26">
        <v>0.47090000000000004</v>
      </c>
      <c r="E53" s="37">
        <v>6.3299999999999995E-2</v>
      </c>
      <c r="F53" s="40">
        <v>0.1419</v>
      </c>
      <c r="G53" s="17">
        <v>71482700</v>
      </c>
      <c r="H53" s="41">
        <v>148676300</v>
      </c>
      <c r="I53" s="40">
        <v>0.13039999999999999</v>
      </c>
      <c r="J53" s="17">
        <v>57764000</v>
      </c>
      <c r="K53" s="41">
        <v>117901400</v>
      </c>
      <c r="L53" s="40">
        <v>0.15670000000000001</v>
      </c>
      <c r="M53" s="17">
        <v>62602800</v>
      </c>
      <c r="N53" s="41">
        <v>114887400</v>
      </c>
      <c r="O53" s="40">
        <v>2.5000000000000001E-2</v>
      </c>
      <c r="P53" s="17">
        <v>10002900</v>
      </c>
      <c r="Q53" s="41">
        <v>18447800</v>
      </c>
      <c r="R53" s="40">
        <v>5.16E-2</v>
      </c>
      <c r="S53" s="17">
        <v>14567500</v>
      </c>
      <c r="T53" s="41">
        <v>17276400</v>
      </c>
      <c r="U53" s="40">
        <v>1.6E-2</v>
      </c>
      <c r="V53" s="17">
        <v>12968700</v>
      </c>
      <c r="W53" s="41">
        <v>24456900</v>
      </c>
      <c r="X53" s="40">
        <v>3.6000000000000004E-2</v>
      </c>
      <c r="Y53" s="17">
        <v>20074400</v>
      </c>
      <c r="Z53" s="41">
        <v>27441900</v>
      </c>
      <c r="AA53" s="40">
        <v>4.7199999999999999E-2</v>
      </c>
      <c r="AB53" s="17">
        <v>10621800</v>
      </c>
      <c r="AC53" s="41">
        <v>25416700</v>
      </c>
      <c r="AD53" s="40">
        <v>1.3000000000000001E-2</v>
      </c>
      <c r="AE53" s="17">
        <v>5268100</v>
      </c>
      <c r="AF53" s="41">
        <v>11304100</v>
      </c>
      <c r="AG53" s="40">
        <v>5.0000000000000001E-3</v>
      </c>
      <c r="AH53" s="17">
        <v>1652600</v>
      </c>
      <c r="AI53" s="41">
        <v>3356900</v>
      </c>
      <c r="AJ53" s="40">
        <v>5.0000000000000001E-3</v>
      </c>
      <c r="AK53" s="17">
        <v>1676400</v>
      </c>
      <c r="AL53" s="41">
        <v>4828400</v>
      </c>
      <c r="AM53" s="40">
        <v>3.0999999999999999E-3</v>
      </c>
      <c r="AN53" s="17">
        <v>216900</v>
      </c>
      <c r="AO53" s="41">
        <v>595300</v>
      </c>
      <c r="AP53" s="40">
        <v>2.2000000000000001E-3</v>
      </c>
      <c r="AQ53" s="17">
        <v>859200</v>
      </c>
      <c r="AR53" s="17">
        <v>2296700</v>
      </c>
      <c r="AS53" s="40">
        <v>2.2099999999999998E-2</v>
      </c>
      <c r="AT53" s="17">
        <v>8944500</v>
      </c>
      <c r="AU53" s="41">
        <v>16092700</v>
      </c>
      <c r="AV53" s="40">
        <v>1.46E-2</v>
      </c>
      <c r="AW53" s="17">
        <v>4575100</v>
      </c>
      <c r="AX53" s="41">
        <v>8545900</v>
      </c>
      <c r="AY53" s="40">
        <v>3.39E-2</v>
      </c>
      <c r="AZ53" s="17">
        <v>11242200</v>
      </c>
      <c r="BA53" s="41">
        <v>33655300</v>
      </c>
      <c r="BB53" s="43"/>
      <c r="BD53" s="42"/>
      <c r="BE53" s="43"/>
      <c r="BG53" s="42"/>
      <c r="BH53" s="43"/>
      <c r="BJ53" s="42"/>
      <c r="BM53" s="42"/>
    </row>
    <row r="54" spans="1:65" x14ac:dyDescent="0.2">
      <c r="A54" s="25" t="s">
        <v>245</v>
      </c>
      <c r="B54" s="26">
        <v>0.49909999999999999</v>
      </c>
      <c r="C54" s="26">
        <v>0.4597</v>
      </c>
      <c r="D54" s="26">
        <v>0.33979999999999999</v>
      </c>
      <c r="E54" s="37">
        <v>4.3499999999999997E-2</v>
      </c>
      <c r="F54" s="40">
        <v>0.36770000000000003</v>
      </c>
      <c r="G54" s="17">
        <v>87866500</v>
      </c>
      <c r="H54" s="41">
        <v>59185700</v>
      </c>
      <c r="I54" s="40">
        <v>0.11359999999999999</v>
      </c>
      <c r="J54" s="17">
        <v>60702000</v>
      </c>
      <c r="K54" s="41">
        <v>40556900</v>
      </c>
      <c r="L54" s="40">
        <v>0.10779999999999999</v>
      </c>
      <c r="M54" s="17">
        <v>41043200</v>
      </c>
      <c r="N54" s="41">
        <v>38196900</v>
      </c>
      <c r="O54" s="40">
        <v>1.47E-2</v>
      </c>
      <c r="P54" s="17">
        <v>4727400</v>
      </c>
      <c r="Q54" s="41">
        <v>6438000</v>
      </c>
      <c r="R54" s="40">
        <v>3.2799999999999996E-2</v>
      </c>
      <c r="S54" s="17">
        <v>10369500</v>
      </c>
      <c r="T54" s="41">
        <v>30977700</v>
      </c>
      <c r="U54" s="40">
        <v>0.01</v>
      </c>
      <c r="V54" s="17">
        <v>7071500</v>
      </c>
      <c r="W54" s="41">
        <v>7668200</v>
      </c>
      <c r="X54" s="40">
        <v>1.6399999999999998E-2</v>
      </c>
      <c r="Y54" s="17">
        <v>5894900</v>
      </c>
      <c r="Z54" s="41">
        <v>6456600</v>
      </c>
      <c r="AA54" s="40">
        <v>2.69E-2</v>
      </c>
      <c r="AB54" s="17">
        <v>7289700</v>
      </c>
      <c r="AC54" s="41">
        <v>8348200</v>
      </c>
      <c r="AD54" s="40">
        <v>9.8999999999999991E-3</v>
      </c>
      <c r="AE54" s="17">
        <v>4711500</v>
      </c>
      <c r="AF54" s="41">
        <v>3241000</v>
      </c>
      <c r="AG54" s="40">
        <v>4.4000000000000003E-3</v>
      </c>
      <c r="AH54" s="17">
        <v>1164700</v>
      </c>
      <c r="AI54" s="41">
        <v>1507600</v>
      </c>
      <c r="AJ54" s="40">
        <v>2.8999999999999998E-3</v>
      </c>
      <c r="AK54" s="17">
        <v>1314100</v>
      </c>
      <c r="AL54" s="41">
        <v>1258400</v>
      </c>
      <c r="AM54" s="40">
        <v>2.7000000000000001E-3</v>
      </c>
      <c r="AN54" s="17">
        <v>220700</v>
      </c>
      <c r="AO54" s="41">
        <v>155700</v>
      </c>
      <c r="AP54" s="40">
        <v>1.5E-3</v>
      </c>
      <c r="AQ54" s="17">
        <v>594900</v>
      </c>
      <c r="AR54" s="17">
        <v>705600</v>
      </c>
      <c r="AS54" s="40">
        <v>1.49E-2</v>
      </c>
      <c r="AT54" s="17">
        <v>4944200</v>
      </c>
      <c r="AU54" s="41">
        <v>7004200</v>
      </c>
      <c r="AV54" s="40">
        <v>1.2500000000000001E-2</v>
      </c>
      <c r="AW54" s="17">
        <v>3928100</v>
      </c>
      <c r="AX54" s="41">
        <v>2855500</v>
      </c>
      <c r="AY54" s="40">
        <v>2.2700000000000001E-2</v>
      </c>
      <c r="AZ54" s="17">
        <v>9759600</v>
      </c>
      <c r="BA54" s="41">
        <v>9144800</v>
      </c>
      <c r="BB54" s="43"/>
      <c r="BD54" s="42"/>
      <c r="BE54" s="43"/>
      <c r="BG54" s="42"/>
      <c r="BH54" s="43"/>
      <c r="BJ54" s="42"/>
      <c r="BM54" s="42"/>
    </row>
    <row r="55" spans="1:65" x14ac:dyDescent="0.2">
      <c r="A55" s="25" t="s">
        <v>244</v>
      </c>
      <c r="B55" s="26">
        <v>0.26150000000000001</v>
      </c>
      <c r="C55" s="26">
        <v>0.24079999999999999</v>
      </c>
      <c r="D55" s="26">
        <v>0.51159999999999994</v>
      </c>
      <c r="E55" s="37">
        <v>7.9600000000000004E-2</v>
      </c>
      <c r="F55" s="40">
        <v>0.1173</v>
      </c>
      <c r="G55" s="17">
        <v>42870100</v>
      </c>
      <c r="H55" s="41">
        <v>49075600</v>
      </c>
      <c r="I55" s="40">
        <v>0.12659999999999999</v>
      </c>
      <c r="J55" s="17">
        <v>45132200</v>
      </c>
      <c r="K55" s="41">
        <v>39206300</v>
      </c>
      <c r="L55" s="40">
        <v>0.19120000000000001</v>
      </c>
      <c r="M55" s="17">
        <v>97488600</v>
      </c>
      <c r="N55" s="41">
        <v>45779900</v>
      </c>
      <c r="O55" s="40">
        <v>2.46E-2</v>
      </c>
      <c r="P55" s="17">
        <v>7004600</v>
      </c>
      <c r="Q55" s="41">
        <v>6631600</v>
      </c>
      <c r="R55" s="40">
        <v>6.480000000000001E-2</v>
      </c>
      <c r="S55" s="17">
        <v>18543600</v>
      </c>
      <c r="T55" s="41">
        <v>42914100</v>
      </c>
      <c r="U55" s="40">
        <v>1.49E-2</v>
      </c>
      <c r="V55" s="17">
        <v>8403900</v>
      </c>
      <c r="W55" s="41">
        <v>7527000</v>
      </c>
      <c r="X55" s="40">
        <v>3.3099999999999997E-2</v>
      </c>
      <c r="Y55" s="17">
        <v>9997700</v>
      </c>
      <c r="Z55" s="41">
        <v>9872100</v>
      </c>
      <c r="AA55" s="40">
        <v>4.3299999999999998E-2</v>
      </c>
      <c r="AB55" s="17">
        <v>8585000</v>
      </c>
      <c r="AC55" s="41">
        <v>10038500</v>
      </c>
      <c r="AD55" s="40">
        <v>1.8200000000000001E-2</v>
      </c>
      <c r="AE55" s="17">
        <v>3220300</v>
      </c>
      <c r="AF55" s="41">
        <v>4436300</v>
      </c>
      <c r="AG55" s="40">
        <v>5.8999999999999999E-3</v>
      </c>
      <c r="AH55" s="17">
        <v>1334200</v>
      </c>
      <c r="AI55" s="41">
        <v>1258900</v>
      </c>
      <c r="AJ55" s="40">
        <v>5.5000000000000005E-3</v>
      </c>
      <c r="AK55" s="17">
        <v>1450500</v>
      </c>
      <c r="AL55" s="41">
        <v>2192800</v>
      </c>
      <c r="AM55" s="40">
        <v>2.5999999999999999E-3</v>
      </c>
      <c r="AN55" s="17">
        <v>115300</v>
      </c>
      <c r="AO55" s="41">
        <v>201800</v>
      </c>
      <c r="AP55" s="40">
        <v>2.8999999999999998E-3</v>
      </c>
      <c r="AQ55" s="17">
        <v>734700</v>
      </c>
      <c r="AR55" s="17">
        <v>1377200</v>
      </c>
      <c r="AS55" s="40">
        <v>2.7900000000000001E-2</v>
      </c>
      <c r="AT55" s="17">
        <v>4191200</v>
      </c>
      <c r="AU55" s="41">
        <v>6714900</v>
      </c>
      <c r="AV55" s="40">
        <v>1.9199999999999998E-2</v>
      </c>
      <c r="AW55" s="17">
        <v>3482700</v>
      </c>
      <c r="AX55" s="41">
        <v>3941600</v>
      </c>
      <c r="AY55" s="40">
        <v>2.8000000000000001E-2</v>
      </c>
      <c r="AZ55" s="17">
        <v>10315800</v>
      </c>
      <c r="BA55" s="41">
        <v>7533200</v>
      </c>
      <c r="BB55" s="43"/>
      <c r="BD55" s="42"/>
      <c r="BE55" s="43"/>
      <c r="BG55" s="42"/>
      <c r="BH55" s="43"/>
      <c r="BJ55" s="42"/>
      <c r="BM55" s="42"/>
    </row>
    <row r="56" spans="1:65" x14ac:dyDescent="0.2">
      <c r="A56" s="25" t="s">
        <v>243</v>
      </c>
      <c r="B56" s="26">
        <v>0.33770000000000006</v>
      </c>
      <c r="C56" s="26">
        <v>0.31480000000000002</v>
      </c>
      <c r="D56" s="26">
        <v>0.44069999999999998</v>
      </c>
      <c r="E56" s="37">
        <v>5.7300000000000004E-2</v>
      </c>
      <c r="F56" s="40">
        <v>0.15590000000000001</v>
      </c>
      <c r="G56" s="17">
        <v>55655700</v>
      </c>
      <c r="H56" s="41">
        <v>81908000</v>
      </c>
      <c r="I56" s="40">
        <v>9.3100000000000002E-2</v>
      </c>
      <c r="J56" s="17">
        <v>21651500</v>
      </c>
      <c r="K56" s="41">
        <v>36669500</v>
      </c>
      <c r="L56" s="40">
        <v>0.15509999999999999</v>
      </c>
      <c r="M56" s="17">
        <v>32161800</v>
      </c>
      <c r="N56" s="41">
        <v>50678900</v>
      </c>
      <c r="O56" s="40">
        <v>1.8000000000000002E-2</v>
      </c>
      <c r="P56" s="17">
        <v>3860500</v>
      </c>
      <c r="Q56" s="41">
        <v>6955200</v>
      </c>
      <c r="R56" s="40">
        <v>2.9600000000000001E-2</v>
      </c>
      <c r="S56" s="17">
        <v>7236900</v>
      </c>
      <c r="T56" s="41">
        <v>13278100</v>
      </c>
      <c r="U56" s="40">
        <v>2.1000000000000001E-2</v>
      </c>
      <c r="V56" s="17">
        <v>8177500</v>
      </c>
      <c r="W56" s="41">
        <v>12634600</v>
      </c>
      <c r="X56" s="40">
        <v>3.9800000000000002E-2</v>
      </c>
      <c r="Y56" s="17">
        <v>7010400</v>
      </c>
      <c r="Z56" s="41">
        <v>17695900</v>
      </c>
      <c r="AA56" s="40">
        <v>3.5400000000000001E-2</v>
      </c>
      <c r="AB56" s="17">
        <v>6046200</v>
      </c>
      <c r="AC56" s="41">
        <v>10554800</v>
      </c>
      <c r="AD56" s="40">
        <v>1.3999999999999999E-2</v>
      </c>
      <c r="AE56" s="17">
        <v>2524500</v>
      </c>
      <c r="AF56" s="41">
        <v>6427200</v>
      </c>
      <c r="AG56" s="40">
        <v>5.0000000000000001E-3</v>
      </c>
      <c r="AH56" s="17">
        <v>702900</v>
      </c>
      <c r="AI56" s="41">
        <v>1185700</v>
      </c>
      <c r="AJ56" s="40">
        <v>6.0000000000000001E-3</v>
      </c>
      <c r="AK56" s="17">
        <v>1374300</v>
      </c>
      <c r="AL56" s="41">
        <v>2683000</v>
      </c>
      <c r="AM56" s="40">
        <v>1.6000000000000001E-3</v>
      </c>
      <c r="AN56" s="17">
        <v>184100</v>
      </c>
      <c r="AO56" s="41">
        <v>246300</v>
      </c>
      <c r="AP56" s="40">
        <v>2.3999999999999998E-3</v>
      </c>
      <c r="AQ56" s="17">
        <v>596300</v>
      </c>
      <c r="AR56" s="17">
        <v>1224300</v>
      </c>
      <c r="AS56" s="40">
        <v>2.1000000000000001E-2</v>
      </c>
      <c r="AT56" s="17">
        <v>5448100</v>
      </c>
      <c r="AU56" s="41">
        <v>8056400</v>
      </c>
      <c r="AV56" s="40">
        <v>1.44E-2</v>
      </c>
      <c r="AW56" s="17">
        <v>2634900</v>
      </c>
      <c r="AX56" s="41">
        <v>4132000</v>
      </c>
      <c r="AY56" s="40">
        <v>5.0700000000000002E-2</v>
      </c>
      <c r="AZ56" s="17">
        <v>19820700</v>
      </c>
      <c r="BA56" s="41">
        <v>13876600</v>
      </c>
      <c r="BB56" s="43"/>
      <c r="BD56" s="42"/>
      <c r="BE56" s="43"/>
      <c r="BG56" s="42"/>
      <c r="BH56" s="43"/>
      <c r="BJ56" s="42"/>
      <c r="BM56" s="42"/>
    </row>
    <row r="57" spans="1:65" x14ac:dyDescent="0.2">
      <c r="A57" s="25" t="s">
        <v>242</v>
      </c>
      <c r="B57" s="26">
        <v>0.29260000000000003</v>
      </c>
      <c r="C57" s="26">
        <v>0.26369999999999999</v>
      </c>
      <c r="D57" s="26">
        <v>0.4894</v>
      </c>
      <c r="E57" s="37">
        <v>6.5299999999999997E-2</v>
      </c>
      <c r="F57" s="40">
        <v>0.15359999999999999</v>
      </c>
      <c r="G57" s="17">
        <v>49924900</v>
      </c>
      <c r="H57" s="41">
        <v>39648700</v>
      </c>
      <c r="I57" s="40">
        <v>0.1381</v>
      </c>
      <c r="J57" s="17">
        <v>51111900</v>
      </c>
      <c r="K57" s="41">
        <v>39876100</v>
      </c>
      <c r="L57" s="40">
        <v>0.16510000000000002</v>
      </c>
      <c r="M57" s="17">
        <v>41513600</v>
      </c>
      <c r="N57" s="41">
        <v>45186400</v>
      </c>
      <c r="O57" s="40">
        <v>2.6499999999999999E-2</v>
      </c>
      <c r="P57" s="17">
        <v>6052300</v>
      </c>
      <c r="Q57" s="41">
        <v>5658800</v>
      </c>
      <c r="R57" s="40">
        <v>2.7300000000000001E-2</v>
      </c>
      <c r="S57" s="17">
        <v>7674000</v>
      </c>
      <c r="T57" s="41">
        <v>15060700</v>
      </c>
      <c r="U57" s="40">
        <v>1.8000000000000002E-2</v>
      </c>
      <c r="V57" s="17">
        <v>18411200</v>
      </c>
      <c r="W57" s="41">
        <v>10897300</v>
      </c>
      <c r="X57" s="40">
        <v>3.0699999999999998E-2</v>
      </c>
      <c r="Y57" s="17">
        <v>9467300</v>
      </c>
      <c r="Z57" s="41">
        <v>9081600</v>
      </c>
      <c r="AA57" s="40">
        <v>3.8599999999999995E-2</v>
      </c>
      <c r="AB57" s="17">
        <v>7385200</v>
      </c>
      <c r="AC57" s="41">
        <v>9578200</v>
      </c>
      <c r="AD57" s="40">
        <v>1.7100000000000001E-2</v>
      </c>
      <c r="AE57" s="17">
        <v>3186100</v>
      </c>
      <c r="AF57" s="41">
        <v>5087000</v>
      </c>
      <c r="AG57" s="40">
        <v>7.3000000000000001E-3</v>
      </c>
      <c r="AH57" s="17">
        <v>1586200</v>
      </c>
      <c r="AI57" s="41">
        <v>1621700</v>
      </c>
      <c r="AJ57" s="40">
        <v>7.1999999999999998E-3</v>
      </c>
      <c r="AK57" s="17">
        <v>1972900</v>
      </c>
      <c r="AL57" s="41">
        <v>2993800</v>
      </c>
      <c r="AM57" s="40">
        <v>2.8999999999999998E-3</v>
      </c>
      <c r="AN57" s="17">
        <v>281200</v>
      </c>
      <c r="AO57" s="41">
        <v>170200</v>
      </c>
      <c r="AP57" s="40">
        <v>2.5999999999999999E-3</v>
      </c>
      <c r="AQ57" s="17">
        <v>696600</v>
      </c>
      <c r="AR57" s="17">
        <v>1087200</v>
      </c>
      <c r="AS57" s="40">
        <v>2.0799999999999999E-2</v>
      </c>
      <c r="AT57" s="17">
        <v>7399600</v>
      </c>
      <c r="AU57" s="41">
        <v>9571300</v>
      </c>
      <c r="AV57" s="40">
        <v>1.66E-2</v>
      </c>
      <c r="AW57" s="17">
        <v>3713200</v>
      </c>
      <c r="AX57" s="41">
        <v>4594100</v>
      </c>
      <c r="AY57" s="40">
        <v>2.98E-2</v>
      </c>
      <c r="AZ57" s="17">
        <v>9496800</v>
      </c>
      <c r="BA57" s="41">
        <v>10427400</v>
      </c>
      <c r="BB57" s="43"/>
      <c r="BD57" s="42"/>
      <c r="BE57" s="43"/>
      <c r="BG57" s="42"/>
      <c r="BH57" s="43"/>
      <c r="BJ57" s="42"/>
      <c r="BM57" s="42"/>
    </row>
    <row r="58" spans="1:65" x14ac:dyDescent="0.2">
      <c r="A58" s="25" t="s">
        <v>241</v>
      </c>
      <c r="B58" s="26">
        <v>0.29359999999999997</v>
      </c>
      <c r="C58" s="26">
        <v>0.24789999999999998</v>
      </c>
      <c r="D58" s="26">
        <v>0.51259999999999994</v>
      </c>
      <c r="E58" s="37">
        <v>6.3700000000000007E-2</v>
      </c>
      <c r="F58" s="40">
        <v>0.14480000000000001</v>
      </c>
      <c r="G58" s="17">
        <v>64758500</v>
      </c>
      <c r="H58" s="41">
        <v>66123000</v>
      </c>
      <c r="I58" s="40">
        <v>0.1263</v>
      </c>
      <c r="J58" s="17">
        <v>37143000</v>
      </c>
      <c r="K58" s="41">
        <v>61207500</v>
      </c>
      <c r="L58" s="40">
        <v>0.1484</v>
      </c>
      <c r="M58" s="17">
        <v>48647400</v>
      </c>
      <c r="N58" s="41">
        <v>53103900</v>
      </c>
      <c r="O58" s="40">
        <v>2.5899999999999999E-2</v>
      </c>
      <c r="P58" s="17">
        <v>6139500</v>
      </c>
      <c r="Q58" s="41">
        <v>9671400</v>
      </c>
      <c r="R58" s="40">
        <v>3.3500000000000002E-2</v>
      </c>
      <c r="S58" s="17">
        <v>11440500</v>
      </c>
      <c r="T58" s="41">
        <v>11078300</v>
      </c>
      <c r="U58" s="40">
        <v>1.7100000000000001E-2</v>
      </c>
      <c r="V58" s="17">
        <v>6008300</v>
      </c>
      <c r="W58" s="41">
        <v>9440100</v>
      </c>
      <c r="X58" s="40">
        <v>2.6499999999999999E-2</v>
      </c>
      <c r="Y58" s="17">
        <v>7841600</v>
      </c>
      <c r="Z58" s="41">
        <v>12208100</v>
      </c>
      <c r="AA58" s="40">
        <v>4.0599999999999997E-2</v>
      </c>
      <c r="AB58" s="17">
        <v>8834500</v>
      </c>
      <c r="AC58" s="41">
        <v>13798500</v>
      </c>
      <c r="AD58" s="40">
        <v>1.7399999999999999E-2</v>
      </c>
      <c r="AE58" s="17">
        <v>3735600</v>
      </c>
      <c r="AF58" s="41">
        <v>7430400</v>
      </c>
      <c r="AG58" s="40">
        <v>6.9999999999999993E-3</v>
      </c>
      <c r="AH58" s="17">
        <v>1994600</v>
      </c>
      <c r="AI58" s="41">
        <v>2620700</v>
      </c>
      <c r="AJ58" s="40">
        <v>6.7000000000000002E-3</v>
      </c>
      <c r="AK58" s="17">
        <v>1656300</v>
      </c>
      <c r="AL58" s="41">
        <v>3606300</v>
      </c>
      <c r="AM58" s="40">
        <v>1.9E-3</v>
      </c>
      <c r="AN58" s="17">
        <v>225000</v>
      </c>
      <c r="AO58" s="41">
        <v>300100</v>
      </c>
      <c r="AP58" s="40">
        <v>2.5999999999999999E-3</v>
      </c>
      <c r="AQ58" s="17">
        <v>564000</v>
      </c>
      <c r="AR58" s="17">
        <v>1390800</v>
      </c>
      <c r="AS58" s="40">
        <v>2.6600000000000002E-2</v>
      </c>
      <c r="AT58" s="17">
        <v>8143500</v>
      </c>
      <c r="AU58" s="41">
        <v>17850200</v>
      </c>
      <c r="AV58" s="40">
        <v>2.12E-2</v>
      </c>
      <c r="AW58" s="17">
        <v>4212000</v>
      </c>
      <c r="AX58" s="41">
        <v>8811900</v>
      </c>
      <c r="AY58" s="40">
        <v>4.4299999999999999E-2</v>
      </c>
      <c r="AZ58" s="17">
        <v>21928400</v>
      </c>
      <c r="BA58" s="41">
        <v>15533000</v>
      </c>
      <c r="BB58" s="43"/>
      <c r="BD58" s="42"/>
      <c r="BE58" s="43"/>
      <c r="BG58" s="42"/>
      <c r="BH58" s="43"/>
      <c r="BJ58" s="42"/>
      <c r="BM58" s="42"/>
    </row>
    <row r="59" spans="1:65" x14ac:dyDescent="0.2">
      <c r="A59" s="25" t="s">
        <v>240</v>
      </c>
      <c r="B59" s="26">
        <v>0.2495</v>
      </c>
      <c r="C59" s="26">
        <v>0.23699999999999999</v>
      </c>
      <c r="D59" s="26">
        <v>0.58050000000000002</v>
      </c>
      <c r="E59" s="37">
        <v>8.0299999999999996E-2</v>
      </c>
      <c r="F59" s="40">
        <v>0.10970000000000001</v>
      </c>
      <c r="G59" s="17">
        <v>58536500</v>
      </c>
      <c r="H59" s="41">
        <v>82576000</v>
      </c>
      <c r="I59" s="40">
        <v>0.15659999999999999</v>
      </c>
      <c r="J59" s="17">
        <v>72869100</v>
      </c>
      <c r="K59" s="41">
        <v>100376300</v>
      </c>
      <c r="L59" s="40">
        <v>0.21640000000000001</v>
      </c>
      <c r="M59" s="17">
        <v>109570600</v>
      </c>
      <c r="N59" s="41">
        <v>78397900</v>
      </c>
      <c r="O59" s="40">
        <v>2.9500000000000002E-2</v>
      </c>
      <c r="P59" s="17">
        <v>10301400</v>
      </c>
      <c r="Q59" s="41">
        <v>15727500</v>
      </c>
      <c r="R59" s="40">
        <v>4.9800000000000004E-2</v>
      </c>
      <c r="S59" s="17">
        <v>17846000</v>
      </c>
      <c r="T59" s="41">
        <v>8784000</v>
      </c>
      <c r="U59" s="40">
        <v>1.34E-2</v>
      </c>
      <c r="V59" s="17">
        <v>9961500</v>
      </c>
      <c r="W59" s="41">
        <v>11185600</v>
      </c>
      <c r="X59" s="40">
        <v>5.21E-2</v>
      </c>
      <c r="Y59" s="17">
        <v>24533700</v>
      </c>
      <c r="Z59" s="41">
        <v>23204300</v>
      </c>
      <c r="AA59" s="40">
        <v>5.2000000000000005E-2</v>
      </c>
      <c r="AB59" s="17">
        <v>12469900</v>
      </c>
      <c r="AC59" s="41">
        <v>24151400</v>
      </c>
      <c r="AD59" s="40">
        <v>1.7399999999999999E-2</v>
      </c>
      <c r="AE59" s="17">
        <v>6079400</v>
      </c>
      <c r="AF59" s="41">
        <v>8491200</v>
      </c>
      <c r="AG59" s="40">
        <v>5.6999999999999993E-3</v>
      </c>
      <c r="AH59" s="17">
        <v>1387500</v>
      </c>
      <c r="AI59" s="41">
        <v>2752200</v>
      </c>
      <c r="AJ59" s="40">
        <v>5.8999999999999999E-3</v>
      </c>
      <c r="AK59" s="17">
        <v>2700100</v>
      </c>
      <c r="AL59" s="41">
        <v>3339600</v>
      </c>
      <c r="AM59" s="40">
        <v>3.2000000000000002E-3</v>
      </c>
      <c r="AN59" s="17">
        <v>333700</v>
      </c>
      <c r="AO59" s="41">
        <v>389500</v>
      </c>
      <c r="AP59" s="40">
        <v>2.3E-3</v>
      </c>
      <c r="AQ59" s="17">
        <v>1080100</v>
      </c>
      <c r="AR59" s="17">
        <v>1540300</v>
      </c>
      <c r="AS59" s="40">
        <v>2.8300000000000002E-2</v>
      </c>
      <c r="AT59" s="17">
        <v>7486300</v>
      </c>
      <c r="AU59" s="41">
        <v>11543800</v>
      </c>
      <c r="AV59" s="40">
        <v>2.0199999999999999E-2</v>
      </c>
      <c r="AW59" s="17">
        <v>4109300</v>
      </c>
      <c r="AX59" s="41">
        <v>7301400</v>
      </c>
      <c r="AY59" s="40">
        <v>2.9000000000000001E-2</v>
      </c>
      <c r="AZ59" s="17">
        <v>13786300</v>
      </c>
      <c r="BA59" s="41">
        <v>13807100</v>
      </c>
      <c r="BB59" s="43"/>
      <c r="BD59" s="42"/>
      <c r="BE59" s="43"/>
      <c r="BG59" s="42"/>
      <c r="BH59" s="43"/>
      <c r="BJ59" s="42"/>
      <c r="BM59" s="42"/>
    </row>
    <row r="60" spans="1:65" x14ac:dyDescent="0.2">
      <c r="A60" s="25" t="s">
        <v>239</v>
      </c>
      <c r="B60" s="26">
        <v>0.27510000000000001</v>
      </c>
      <c r="C60" s="26">
        <v>0.25650000000000001</v>
      </c>
      <c r="D60" s="26">
        <v>0.52689999999999992</v>
      </c>
      <c r="E60" s="37">
        <v>7.1199999999999999E-2</v>
      </c>
      <c r="F60" s="40">
        <v>0.12789999999999999</v>
      </c>
      <c r="G60" s="17">
        <v>52921500</v>
      </c>
      <c r="H60" s="41">
        <v>81449000</v>
      </c>
      <c r="I60" s="40">
        <v>0.12359999999999999</v>
      </c>
      <c r="J60" s="17">
        <v>46230500</v>
      </c>
      <c r="K60" s="41">
        <v>67600400</v>
      </c>
      <c r="L60" s="40">
        <v>0.19260000000000002</v>
      </c>
      <c r="M60" s="17">
        <v>76512000</v>
      </c>
      <c r="N60" s="41">
        <v>70565100</v>
      </c>
      <c r="O60" s="40">
        <v>2.8500000000000001E-2</v>
      </c>
      <c r="P60" s="17">
        <v>8302900</v>
      </c>
      <c r="Q60" s="41">
        <v>15729700</v>
      </c>
      <c r="R60" s="40">
        <v>4.9000000000000002E-2</v>
      </c>
      <c r="S60" s="17">
        <v>15396200</v>
      </c>
      <c r="T60" s="41">
        <v>13240100</v>
      </c>
      <c r="U60" s="40">
        <v>1.8100000000000002E-2</v>
      </c>
      <c r="V60" s="17">
        <v>13326900</v>
      </c>
      <c r="W60" s="41">
        <v>14327100</v>
      </c>
      <c r="X60" s="40">
        <v>2.9700000000000001E-2</v>
      </c>
      <c r="Y60" s="17">
        <v>13284900</v>
      </c>
      <c r="Z60" s="41">
        <v>13419700</v>
      </c>
      <c r="AA60" s="40">
        <v>5.2400000000000002E-2</v>
      </c>
      <c r="AB60" s="17">
        <v>9308300</v>
      </c>
      <c r="AC60" s="41">
        <v>15960700</v>
      </c>
      <c r="AD60" s="40">
        <v>1.6200000000000003E-2</v>
      </c>
      <c r="AE60" s="17">
        <v>4254600</v>
      </c>
      <c r="AF60" s="41">
        <v>7570800</v>
      </c>
      <c r="AG60" s="40">
        <v>6.0999999999999995E-3</v>
      </c>
      <c r="AH60" s="17">
        <v>1926000</v>
      </c>
      <c r="AI60" s="41">
        <v>2439300</v>
      </c>
      <c r="AJ60" s="40">
        <v>4.8999999999999998E-3</v>
      </c>
      <c r="AK60" s="17">
        <v>1564100</v>
      </c>
      <c r="AL60" s="41">
        <v>2830000</v>
      </c>
      <c r="AM60" s="40">
        <v>2.5999999999999999E-3</v>
      </c>
      <c r="AN60" s="17">
        <v>260900</v>
      </c>
      <c r="AO60" s="41">
        <v>335800</v>
      </c>
      <c r="AP60" s="40">
        <v>2.8999999999999998E-3</v>
      </c>
      <c r="AQ60" s="17">
        <v>868600</v>
      </c>
      <c r="AR60" s="17">
        <v>1961100</v>
      </c>
      <c r="AS60" s="40">
        <v>3.3000000000000002E-2</v>
      </c>
      <c r="AT60" s="17">
        <v>8078800</v>
      </c>
      <c r="AU60" s="41">
        <v>15354100</v>
      </c>
      <c r="AV60" s="40">
        <v>1.7299999999999999E-2</v>
      </c>
      <c r="AW60" s="17">
        <v>5649100</v>
      </c>
      <c r="AX60" s="41">
        <v>6399400</v>
      </c>
      <c r="AY60" s="40">
        <v>3.2599999999999997E-2</v>
      </c>
      <c r="AZ60" s="17">
        <v>16829200</v>
      </c>
      <c r="BA60" s="41">
        <v>12246000</v>
      </c>
      <c r="BB60" s="43"/>
      <c r="BD60" s="42"/>
      <c r="BE60" s="43"/>
      <c r="BG60" s="42"/>
      <c r="BH60" s="43"/>
      <c r="BJ60" s="42"/>
      <c r="BM60" s="42"/>
    </row>
    <row r="61" spans="1:65" x14ac:dyDescent="0.2">
      <c r="A61" s="25" t="s">
        <v>238</v>
      </c>
      <c r="B61" s="26">
        <v>0.27629999999999999</v>
      </c>
      <c r="C61" s="26">
        <v>0.25109999999999999</v>
      </c>
      <c r="D61" s="26">
        <v>0.53749999999999998</v>
      </c>
      <c r="E61" s="37">
        <v>9.5000000000000001E-2</v>
      </c>
      <c r="F61" s="40">
        <v>0.1232</v>
      </c>
      <c r="G61" s="17">
        <v>46549800</v>
      </c>
      <c r="H61" s="41">
        <v>94900800</v>
      </c>
      <c r="I61" s="40">
        <v>0.1389</v>
      </c>
      <c r="J61" s="17">
        <v>57006600</v>
      </c>
      <c r="K61" s="41">
        <v>86622000</v>
      </c>
      <c r="L61" s="40">
        <v>0.15710000000000002</v>
      </c>
      <c r="M61" s="17">
        <v>47281300</v>
      </c>
      <c r="N61" s="41">
        <v>74914400</v>
      </c>
      <c r="O61" s="40">
        <v>3.0600000000000002E-2</v>
      </c>
      <c r="P61" s="17">
        <v>9895600</v>
      </c>
      <c r="Q61" s="41">
        <v>17251600</v>
      </c>
      <c r="R61" s="40">
        <v>3.95E-2</v>
      </c>
      <c r="S61" s="17">
        <v>11274300</v>
      </c>
      <c r="T61" s="41">
        <v>22986700</v>
      </c>
      <c r="U61" s="40">
        <v>1.55E-2</v>
      </c>
      <c r="V61" s="17">
        <v>10002300</v>
      </c>
      <c r="W61" s="41">
        <v>18989800</v>
      </c>
      <c r="X61" s="40">
        <v>3.3000000000000002E-2</v>
      </c>
      <c r="Y61" s="17">
        <v>14114400</v>
      </c>
      <c r="Z61" s="41">
        <v>17784700</v>
      </c>
      <c r="AA61" s="40">
        <v>8.3800000000000013E-2</v>
      </c>
      <c r="AB61" s="17">
        <v>28326900</v>
      </c>
      <c r="AC61" s="41">
        <v>32535900</v>
      </c>
      <c r="AD61" s="40">
        <v>2.3E-2</v>
      </c>
      <c r="AE61" s="17">
        <v>10552700</v>
      </c>
      <c r="AF61" s="41">
        <v>12335000</v>
      </c>
      <c r="AG61" s="40">
        <v>7.1999999999999998E-3</v>
      </c>
      <c r="AH61" s="17">
        <v>2005200</v>
      </c>
      <c r="AI61" s="41">
        <v>2951000</v>
      </c>
      <c r="AJ61" s="40">
        <v>1.3000000000000001E-2</v>
      </c>
      <c r="AK61" s="17">
        <v>6209200</v>
      </c>
      <c r="AL61" s="41">
        <v>7176700</v>
      </c>
      <c r="AM61" s="40">
        <v>3.0000000000000001E-3</v>
      </c>
      <c r="AN61" s="17">
        <v>549300</v>
      </c>
      <c r="AO61" s="41">
        <v>718400</v>
      </c>
      <c r="AP61" s="40">
        <v>2.8000000000000004E-3</v>
      </c>
      <c r="AQ61" s="17">
        <v>1315000</v>
      </c>
      <c r="AR61" s="17">
        <v>1869800</v>
      </c>
      <c r="AS61" s="40">
        <v>3.0499999999999999E-2</v>
      </c>
      <c r="AT61" s="17">
        <v>9445000</v>
      </c>
      <c r="AU61" s="41">
        <v>15222800</v>
      </c>
      <c r="AV61" s="40">
        <v>3.95E-2</v>
      </c>
      <c r="AW61" s="17">
        <v>16522600</v>
      </c>
      <c r="AX61" s="41">
        <v>14332400</v>
      </c>
      <c r="AY61" s="40">
        <v>2.2499999999999999E-2</v>
      </c>
      <c r="AZ61" s="17">
        <v>9519100</v>
      </c>
      <c r="BA61" s="41">
        <v>12796000</v>
      </c>
      <c r="BB61" s="43"/>
      <c r="BD61" s="42"/>
      <c r="BE61" s="43"/>
      <c r="BG61" s="42"/>
      <c r="BH61" s="43"/>
      <c r="BJ61" s="42"/>
      <c r="BM61" s="42"/>
    </row>
    <row r="62" spans="1:65" x14ac:dyDescent="0.2">
      <c r="A62" s="25" t="s">
        <v>237</v>
      </c>
      <c r="B62" s="26">
        <v>0.37459999999999999</v>
      </c>
      <c r="C62" s="26">
        <v>0.3453</v>
      </c>
      <c r="D62" s="26">
        <v>0.45779999999999998</v>
      </c>
      <c r="E62" s="37">
        <v>7.6999999999999999E-2</v>
      </c>
      <c r="F62" s="40">
        <v>0.21230000000000002</v>
      </c>
      <c r="G62" s="17">
        <v>158737600</v>
      </c>
      <c r="H62" s="41">
        <v>138105600</v>
      </c>
      <c r="I62" s="40">
        <v>0.12740000000000001</v>
      </c>
      <c r="J62" s="17">
        <v>64385500</v>
      </c>
      <c r="K62" s="41">
        <v>67696500</v>
      </c>
      <c r="L62" s="40">
        <v>0.12909999999999999</v>
      </c>
      <c r="M62" s="17">
        <v>57412500</v>
      </c>
      <c r="N62" s="41">
        <v>50195700</v>
      </c>
      <c r="O62" s="40">
        <v>2.8799999999999999E-2</v>
      </c>
      <c r="P62" s="17">
        <v>15796100</v>
      </c>
      <c r="Q62" s="41">
        <v>10409200</v>
      </c>
      <c r="R62" s="40">
        <v>5.4199999999999998E-2</v>
      </c>
      <c r="S62" s="17">
        <v>23409100</v>
      </c>
      <c r="T62" s="41">
        <v>24320800</v>
      </c>
      <c r="U62" s="40">
        <v>1.3999999999999999E-2</v>
      </c>
      <c r="V62" s="17">
        <v>12469300</v>
      </c>
      <c r="W62" s="41">
        <v>11760600</v>
      </c>
      <c r="X62" s="40">
        <v>4.3299999999999998E-2</v>
      </c>
      <c r="Y62" s="17">
        <v>26434400</v>
      </c>
      <c r="Z62" s="41">
        <v>17148500</v>
      </c>
      <c r="AA62" s="40">
        <v>4.4400000000000002E-2</v>
      </c>
      <c r="AB62" s="17">
        <v>16038900</v>
      </c>
      <c r="AC62" s="41">
        <v>16571700</v>
      </c>
      <c r="AD62" s="40">
        <v>1.6500000000000001E-2</v>
      </c>
      <c r="AE62" s="17">
        <v>8864800</v>
      </c>
      <c r="AF62" s="41">
        <v>6592000</v>
      </c>
      <c r="AG62" s="40">
        <v>7.6E-3</v>
      </c>
      <c r="AH62" s="17">
        <v>3573400</v>
      </c>
      <c r="AI62" s="41">
        <v>2889500</v>
      </c>
      <c r="AJ62" s="40">
        <v>5.4000000000000003E-3</v>
      </c>
      <c r="AK62" s="17">
        <v>2106400</v>
      </c>
      <c r="AL62" s="41">
        <v>3164300</v>
      </c>
      <c r="AM62" s="40">
        <v>7.1999999999999998E-3</v>
      </c>
      <c r="AN62" s="17">
        <v>255300</v>
      </c>
      <c r="AO62" s="41">
        <v>303100</v>
      </c>
      <c r="AP62" s="40">
        <v>3.9000000000000003E-3</v>
      </c>
      <c r="AQ62" s="17">
        <v>1382800</v>
      </c>
      <c r="AR62" s="17">
        <v>1528500</v>
      </c>
      <c r="AS62" s="40">
        <v>3.2199999999999999E-2</v>
      </c>
      <c r="AT62" s="17">
        <v>17980200</v>
      </c>
      <c r="AU62" s="41">
        <v>17354500</v>
      </c>
      <c r="AV62" s="40">
        <v>1.38E-2</v>
      </c>
      <c r="AW62" s="17">
        <v>4866200</v>
      </c>
      <c r="AX62" s="41">
        <v>5483000</v>
      </c>
      <c r="AY62" s="40">
        <v>2.2599999999999999E-2</v>
      </c>
      <c r="AZ62" s="17">
        <v>10394300</v>
      </c>
      <c r="BA62" s="41">
        <v>12995000</v>
      </c>
      <c r="BB62" s="43"/>
      <c r="BD62" s="42"/>
      <c r="BE62" s="43"/>
      <c r="BG62" s="42"/>
      <c r="BH62" s="43"/>
      <c r="BJ62" s="42"/>
      <c r="BM62" s="42"/>
    </row>
    <row r="63" spans="1:65" x14ac:dyDescent="0.2">
      <c r="A63" s="25" t="s">
        <v>236</v>
      </c>
      <c r="B63" s="26">
        <v>0.2646</v>
      </c>
      <c r="C63" s="26">
        <v>0.26489999999999997</v>
      </c>
      <c r="D63" s="26">
        <v>0.48180000000000001</v>
      </c>
      <c r="E63" s="37">
        <v>8.1199999999999994E-2</v>
      </c>
      <c r="F63" s="40">
        <v>0.11939999999999999</v>
      </c>
      <c r="G63" s="17">
        <v>45849700</v>
      </c>
      <c r="H63" s="41">
        <v>68646200</v>
      </c>
      <c r="I63" s="40">
        <v>0.15340000000000001</v>
      </c>
      <c r="J63" s="17">
        <v>65899600</v>
      </c>
      <c r="K63" s="41">
        <v>75145800</v>
      </c>
      <c r="L63" s="40">
        <v>0.16699999999999998</v>
      </c>
      <c r="M63" s="17">
        <v>69609000</v>
      </c>
      <c r="N63" s="41">
        <v>57305200</v>
      </c>
      <c r="O63" s="40">
        <v>2.7799999999999998E-2</v>
      </c>
      <c r="P63" s="17">
        <v>9199900</v>
      </c>
      <c r="Q63" s="41">
        <v>13268200</v>
      </c>
      <c r="R63" s="40">
        <v>4.53E-2</v>
      </c>
      <c r="S63" s="17">
        <v>15219500</v>
      </c>
      <c r="T63" s="41">
        <v>24230400</v>
      </c>
      <c r="U63" s="40">
        <v>1.77E-2</v>
      </c>
      <c r="V63" s="17">
        <v>12653600</v>
      </c>
      <c r="W63" s="41">
        <v>15608500</v>
      </c>
      <c r="X63" s="40">
        <v>3.0200000000000001E-2</v>
      </c>
      <c r="Y63" s="17">
        <v>15673500</v>
      </c>
      <c r="Z63" s="41">
        <v>11870900</v>
      </c>
      <c r="AA63" s="40">
        <v>5.6900000000000006E-2</v>
      </c>
      <c r="AB63" s="17">
        <v>13219100</v>
      </c>
      <c r="AC63" s="41">
        <v>16348300</v>
      </c>
      <c r="AD63" s="40">
        <v>1.54E-2</v>
      </c>
      <c r="AE63" s="17">
        <v>4431900</v>
      </c>
      <c r="AF63" s="41">
        <v>7583900</v>
      </c>
      <c r="AG63" s="40">
        <v>4.6999999999999993E-3</v>
      </c>
      <c r="AH63" s="17">
        <v>1595400</v>
      </c>
      <c r="AI63" s="41">
        <v>2238400</v>
      </c>
      <c r="AJ63" s="40">
        <v>6.0000000000000001E-3</v>
      </c>
      <c r="AK63" s="17">
        <v>2373500</v>
      </c>
      <c r="AL63" s="41">
        <v>3204400</v>
      </c>
      <c r="AM63" s="40">
        <v>5.0000000000000001E-3</v>
      </c>
      <c r="AN63" s="17">
        <v>146600</v>
      </c>
      <c r="AO63" s="41">
        <v>309500</v>
      </c>
      <c r="AP63" s="40">
        <v>3.0999999999999999E-3</v>
      </c>
      <c r="AQ63" s="17">
        <v>1078500</v>
      </c>
      <c r="AR63" s="17">
        <v>1674200</v>
      </c>
      <c r="AS63" s="40">
        <v>2.2700000000000001E-2</v>
      </c>
      <c r="AT63" s="17">
        <v>5985300</v>
      </c>
      <c r="AU63" s="41">
        <v>10412200</v>
      </c>
      <c r="AV63" s="40">
        <v>1.6299999999999999E-2</v>
      </c>
      <c r="AW63" s="17">
        <v>4204800</v>
      </c>
      <c r="AX63" s="41">
        <v>7711700</v>
      </c>
      <c r="AY63" s="40">
        <v>2.5499999999999998E-2</v>
      </c>
      <c r="AZ63" s="17">
        <v>9415000</v>
      </c>
      <c r="BA63" s="41">
        <v>13643100</v>
      </c>
      <c r="BB63" s="43"/>
      <c r="BD63" s="42"/>
      <c r="BE63" s="43"/>
      <c r="BG63" s="42"/>
      <c r="BH63" s="43"/>
      <c r="BJ63" s="42"/>
      <c r="BM63" s="42"/>
    </row>
    <row r="64" spans="1:65" x14ac:dyDescent="0.2">
      <c r="A64" s="29" t="s">
        <v>235</v>
      </c>
      <c r="B64" s="26">
        <v>0.3125</v>
      </c>
      <c r="C64" s="26">
        <v>0.28949999999999998</v>
      </c>
      <c r="D64" s="26">
        <v>0.47889999999999999</v>
      </c>
      <c r="E64" s="37">
        <v>6.6000000000000003E-2</v>
      </c>
      <c r="F64" s="40">
        <v>0.1226</v>
      </c>
      <c r="G64" s="17">
        <v>58600100</v>
      </c>
      <c r="H64" s="41">
        <v>86867000</v>
      </c>
      <c r="I64" s="40">
        <v>0.129</v>
      </c>
      <c r="J64" s="17">
        <v>41240800</v>
      </c>
      <c r="K64" s="41">
        <v>70634500</v>
      </c>
      <c r="L64" s="40">
        <v>0.1472</v>
      </c>
      <c r="M64" s="17">
        <v>45650200</v>
      </c>
      <c r="N64" s="41">
        <v>57355500</v>
      </c>
      <c r="O64" s="40">
        <v>2.8500000000000001E-2</v>
      </c>
      <c r="P64" s="17">
        <v>9757100</v>
      </c>
      <c r="Q64" s="41">
        <v>11653000</v>
      </c>
      <c r="R64" s="40">
        <v>3.9199999999999999E-2</v>
      </c>
      <c r="S64" s="17">
        <v>8996400</v>
      </c>
      <c r="T64" s="41">
        <v>21658500</v>
      </c>
      <c r="U64" s="40">
        <v>3.5200000000000002E-2</v>
      </c>
      <c r="V64" s="17">
        <v>13832200</v>
      </c>
      <c r="W64" s="41">
        <v>14963300</v>
      </c>
      <c r="X64" s="40">
        <v>2.3099999999999999E-2</v>
      </c>
      <c r="Y64" s="17">
        <v>9143800</v>
      </c>
      <c r="Z64" s="41">
        <v>9468800</v>
      </c>
      <c r="AA64" s="40">
        <v>4.07E-2</v>
      </c>
      <c r="AB64" s="17">
        <v>9143800</v>
      </c>
      <c r="AC64" s="41">
        <v>9468800</v>
      </c>
      <c r="AD64" s="40">
        <v>3.0899999999999997E-2</v>
      </c>
      <c r="AE64" s="17">
        <v>4101600</v>
      </c>
      <c r="AF64" s="41">
        <v>7700700</v>
      </c>
      <c r="AG64" s="40">
        <v>5.5000000000000005E-3</v>
      </c>
      <c r="AH64" s="17">
        <v>1440300</v>
      </c>
      <c r="AI64" s="41">
        <v>2639900</v>
      </c>
      <c r="AJ64" s="40">
        <v>4.5000000000000005E-3</v>
      </c>
      <c r="AK64" s="17">
        <v>1338900</v>
      </c>
      <c r="AL64" s="41">
        <v>2471200</v>
      </c>
      <c r="AM64" s="40">
        <v>2.3E-3</v>
      </c>
      <c r="AN64" s="17">
        <v>447200</v>
      </c>
      <c r="AO64" s="41">
        <v>207900</v>
      </c>
      <c r="AP64" s="40">
        <v>2.0999999999999999E-3</v>
      </c>
      <c r="AQ64" s="17">
        <v>642000</v>
      </c>
      <c r="AR64" s="17">
        <v>1201300</v>
      </c>
      <c r="AS64" s="40">
        <v>2.6000000000000002E-2</v>
      </c>
      <c r="AT64" s="17">
        <v>5897500</v>
      </c>
      <c r="AU64" s="41">
        <v>11029000</v>
      </c>
      <c r="AV64" s="40">
        <v>0.02</v>
      </c>
      <c r="AW64" s="17">
        <v>4987400</v>
      </c>
      <c r="AX64" s="41">
        <v>6143000</v>
      </c>
      <c r="AY64" s="40">
        <v>3.1899999999999998E-2</v>
      </c>
      <c r="AZ64" s="17">
        <v>14690500</v>
      </c>
      <c r="BA64" s="41">
        <v>12876700</v>
      </c>
      <c r="BB64" s="43"/>
      <c r="BD64" s="42"/>
      <c r="BE64" s="43"/>
      <c r="BG64" s="42"/>
      <c r="BH64" s="43"/>
      <c r="BJ64" s="42"/>
      <c r="BM64" s="42"/>
    </row>
    <row r="65" spans="1:65" x14ac:dyDescent="0.2">
      <c r="A65" s="29" t="s">
        <v>234</v>
      </c>
      <c r="B65" s="26">
        <v>0.33299999999999996</v>
      </c>
      <c r="C65" s="26">
        <v>0.35920000000000002</v>
      </c>
      <c r="D65" s="26">
        <v>0.44369999999999998</v>
      </c>
      <c r="E65" s="37">
        <v>6.3099999999999989E-2</v>
      </c>
      <c r="F65" s="40">
        <v>0.17899999999999999</v>
      </c>
      <c r="G65" s="17">
        <v>70326100</v>
      </c>
      <c r="H65" s="41">
        <v>69773500</v>
      </c>
      <c r="I65" s="40">
        <v>0.16120000000000001</v>
      </c>
      <c r="J65" s="17">
        <v>77184100</v>
      </c>
      <c r="K65" s="41">
        <v>78101400</v>
      </c>
      <c r="L65" s="40">
        <v>0.12529999999999999</v>
      </c>
      <c r="M65" s="17">
        <v>43333100</v>
      </c>
      <c r="N65" s="41">
        <v>61634700</v>
      </c>
      <c r="O65" s="40">
        <v>2.46E-2</v>
      </c>
      <c r="P65" s="17">
        <v>7161600</v>
      </c>
      <c r="Q65" s="41">
        <v>10197500</v>
      </c>
      <c r="R65" s="40">
        <v>4.2800000000000005E-2</v>
      </c>
      <c r="S65" s="17">
        <v>12747000</v>
      </c>
      <c r="T65" s="41">
        <v>21537800</v>
      </c>
      <c r="U65" s="40">
        <v>1.61E-2</v>
      </c>
      <c r="V65" s="17">
        <v>13736000</v>
      </c>
      <c r="W65" s="41">
        <v>11667600</v>
      </c>
      <c r="X65" s="40">
        <v>1.6799999999999999E-2</v>
      </c>
      <c r="Y65" s="17">
        <v>5240800</v>
      </c>
      <c r="Z65" s="41">
        <v>10234900</v>
      </c>
      <c r="AA65" s="40">
        <v>3.5900000000000001E-2</v>
      </c>
      <c r="AB65" s="17">
        <v>5240800</v>
      </c>
      <c r="AC65" s="41">
        <v>10234900</v>
      </c>
      <c r="AD65" s="40">
        <v>1.7100000000000001E-2</v>
      </c>
      <c r="AE65" s="17">
        <v>6464200</v>
      </c>
      <c r="AF65" s="41">
        <v>8936400</v>
      </c>
      <c r="AG65" s="40">
        <v>5.1999999999999998E-3</v>
      </c>
      <c r="AH65" s="17">
        <v>1852600</v>
      </c>
      <c r="AI65" s="41">
        <v>2250500</v>
      </c>
      <c r="AJ65" s="40">
        <v>0.01</v>
      </c>
      <c r="AK65" s="17">
        <v>5109800</v>
      </c>
      <c r="AL65" s="41">
        <v>4374900</v>
      </c>
      <c r="AM65" s="40">
        <v>2.0999999999999999E-3</v>
      </c>
      <c r="AN65" s="17">
        <v>291400</v>
      </c>
      <c r="AO65" s="41">
        <v>402400</v>
      </c>
      <c r="AP65" s="40">
        <v>2.5999999999999999E-3</v>
      </c>
      <c r="AQ65" s="17">
        <v>684100</v>
      </c>
      <c r="AR65" s="17">
        <v>1363200</v>
      </c>
      <c r="AS65" s="40">
        <v>1.8600000000000002E-2</v>
      </c>
      <c r="AT65" s="17">
        <v>4627200</v>
      </c>
      <c r="AU65" s="41">
        <v>10876200</v>
      </c>
      <c r="AV65" s="40">
        <v>1.7399999999999999E-2</v>
      </c>
      <c r="AW65" s="17">
        <v>7301200</v>
      </c>
      <c r="AX65" s="41">
        <v>6428500</v>
      </c>
      <c r="AY65" s="40">
        <v>3.7100000000000001E-2</v>
      </c>
      <c r="AZ65" s="17">
        <v>23559100</v>
      </c>
      <c r="BA65" s="41">
        <v>12055500</v>
      </c>
      <c r="BB65" s="43"/>
      <c r="BD65" s="42"/>
      <c r="BE65" s="43"/>
      <c r="BG65" s="42"/>
      <c r="BH65" s="43"/>
      <c r="BJ65" s="42"/>
      <c r="BM65" s="42"/>
    </row>
    <row r="66" spans="1:65" x14ac:dyDescent="0.2">
      <c r="A66" s="29" t="s">
        <v>233</v>
      </c>
      <c r="B66" s="26">
        <v>0.27379999999999999</v>
      </c>
      <c r="C66" s="26">
        <v>0.2838</v>
      </c>
      <c r="D66" s="26">
        <v>0.50970000000000004</v>
      </c>
      <c r="E66" s="37">
        <v>7.8299999999999995E-2</v>
      </c>
      <c r="F66" s="40">
        <v>8.1300000000000011E-2</v>
      </c>
      <c r="G66" s="17">
        <v>38874500</v>
      </c>
      <c r="H66" s="41">
        <v>54190300</v>
      </c>
      <c r="I66" s="40">
        <v>0.1384</v>
      </c>
      <c r="J66" s="17">
        <v>43223000</v>
      </c>
      <c r="K66" s="41">
        <v>65246500</v>
      </c>
      <c r="L66" s="40">
        <v>0.16309999999999999</v>
      </c>
      <c r="M66" s="17">
        <v>57064400</v>
      </c>
      <c r="N66" s="41">
        <v>53660900</v>
      </c>
      <c r="O66" s="40">
        <v>1.9099999999999999E-2</v>
      </c>
      <c r="P66" s="17">
        <v>5736800</v>
      </c>
      <c r="Q66" s="41">
        <v>8546800</v>
      </c>
      <c r="R66" s="40">
        <v>7.6999999999999999E-2</v>
      </c>
      <c r="S66" s="17">
        <v>24769400</v>
      </c>
      <c r="T66" s="41">
        <v>27175300</v>
      </c>
      <c r="U66" s="40">
        <v>5.9200000000000003E-2</v>
      </c>
      <c r="V66" s="17">
        <v>14549900</v>
      </c>
      <c r="W66" s="41">
        <v>10330100</v>
      </c>
      <c r="X66" s="40">
        <v>2.1700000000000001E-2</v>
      </c>
      <c r="Y66" s="17">
        <v>7473500</v>
      </c>
      <c r="Z66" s="41">
        <v>10229200</v>
      </c>
      <c r="AA66" s="40">
        <v>5.8099999999999999E-2</v>
      </c>
      <c r="AB66" s="17">
        <v>7473500</v>
      </c>
      <c r="AC66" s="41">
        <v>10229200</v>
      </c>
      <c r="AD66" s="40">
        <v>2.7999999999999997E-2</v>
      </c>
      <c r="AE66" s="17">
        <v>14647700</v>
      </c>
      <c r="AF66" s="41">
        <v>8822800</v>
      </c>
      <c r="AG66" s="40">
        <v>1.0500000000000001E-2</v>
      </c>
      <c r="AH66" s="17">
        <v>4234300</v>
      </c>
      <c r="AI66" s="41">
        <v>3773500</v>
      </c>
      <c r="AJ66" s="40">
        <v>5.1999999999999998E-3</v>
      </c>
      <c r="AK66" s="17">
        <v>2288900</v>
      </c>
      <c r="AL66" s="41">
        <v>2392700</v>
      </c>
      <c r="AM66" s="40">
        <v>2E-3</v>
      </c>
      <c r="AN66" s="17">
        <v>349300</v>
      </c>
      <c r="AO66" s="41">
        <v>184200</v>
      </c>
      <c r="AP66" s="40">
        <v>3.2000000000000002E-3</v>
      </c>
      <c r="AQ66" s="17">
        <v>1153800</v>
      </c>
      <c r="AR66" s="17">
        <v>1746300</v>
      </c>
      <c r="AS66" s="40">
        <v>2.5600000000000001E-2</v>
      </c>
      <c r="AT66" s="17">
        <v>8582000</v>
      </c>
      <c r="AU66" s="41">
        <v>11383800</v>
      </c>
      <c r="AV66" s="40">
        <v>1.5800000000000002E-2</v>
      </c>
      <c r="AW66" s="17">
        <v>5371100</v>
      </c>
      <c r="AX66" s="41">
        <v>5649000</v>
      </c>
      <c r="AY66" s="40">
        <v>1.8100000000000002E-2</v>
      </c>
      <c r="AZ66" s="17">
        <v>8628600</v>
      </c>
      <c r="BA66" s="41">
        <v>6943800</v>
      </c>
      <c r="BB66" s="43"/>
      <c r="BD66" s="42"/>
      <c r="BE66" s="43"/>
      <c r="BG66" s="42"/>
      <c r="BH66" s="43"/>
      <c r="BJ66" s="42"/>
      <c r="BM66" s="42"/>
    </row>
    <row r="67" spans="1:65" x14ac:dyDescent="0.2">
      <c r="A67" s="25" t="s">
        <v>232</v>
      </c>
      <c r="B67" s="26">
        <v>0.25700000000000001</v>
      </c>
      <c r="C67" s="26">
        <v>0.25700000000000001</v>
      </c>
      <c r="D67" s="26">
        <v>0.52759999999999996</v>
      </c>
      <c r="E67" s="37">
        <v>7.3099999999999998E-2</v>
      </c>
      <c r="F67" s="40">
        <v>0.1002</v>
      </c>
      <c r="G67" s="17"/>
      <c r="H67" s="41"/>
      <c r="I67" s="40">
        <v>0.19059999999999999</v>
      </c>
      <c r="J67" s="17"/>
      <c r="K67" s="41"/>
      <c r="L67" s="40">
        <v>0.1641</v>
      </c>
      <c r="M67" s="17"/>
      <c r="N67" s="41"/>
      <c r="O67" s="40">
        <v>3.0899999999999997E-2</v>
      </c>
      <c r="Q67" s="42"/>
      <c r="R67" s="40">
        <v>3.6200000000000003E-2</v>
      </c>
      <c r="T67" s="41"/>
      <c r="U67" s="40">
        <v>1.41E-2</v>
      </c>
      <c r="W67" s="41"/>
      <c r="X67" s="40">
        <v>1.8700000000000001E-2</v>
      </c>
      <c r="Y67" s="17"/>
      <c r="Z67" s="41"/>
      <c r="AA67" s="40">
        <v>4.0800000000000003E-2</v>
      </c>
      <c r="AC67" s="42"/>
      <c r="AD67" s="40">
        <v>1.1699999999999999E-2</v>
      </c>
      <c r="AF67" s="42"/>
      <c r="AG67" s="40">
        <v>4.8999999999999998E-3</v>
      </c>
      <c r="AH67" s="17"/>
      <c r="AI67" s="42"/>
      <c r="AJ67" s="40">
        <v>6.3E-3</v>
      </c>
      <c r="AL67" s="42"/>
      <c r="AM67" s="40">
        <v>3.3E-3</v>
      </c>
      <c r="AN67" s="17"/>
      <c r="AO67" s="41"/>
      <c r="AP67" s="40">
        <v>2.3E-3</v>
      </c>
      <c r="AQ67" s="17"/>
      <c r="AR67" s="42"/>
      <c r="AS67" s="40">
        <v>3.3500000000000002E-2</v>
      </c>
      <c r="AU67" s="42"/>
      <c r="AV67" s="40">
        <v>1.55E-2</v>
      </c>
      <c r="AW67" s="17"/>
      <c r="AX67" s="42"/>
      <c r="AY67" s="40">
        <v>2.1499999999999998E-2</v>
      </c>
      <c r="BA67" s="41"/>
      <c r="BB67" s="43"/>
      <c r="BD67" s="42"/>
      <c r="BE67" s="43"/>
      <c r="BG67" s="42"/>
      <c r="BH67" s="43"/>
      <c r="BJ67" s="42"/>
      <c r="BM67" s="42"/>
    </row>
    <row r="68" spans="1:65" x14ac:dyDescent="0.2">
      <c r="A68" s="25" t="s">
        <v>231</v>
      </c>
      <c r="B68" s="26">
        <v>0.24379999999999999</v>
      </c>
      <c r="C68" s="26">
        <v>0.22839999999999999</v>
      </c>
      <c r="D68" s="26">
        <v>0.57279999999999998</v>
      </c>
      <c r="E68" s="37">
        <v>0.08</v>
      </c>
      <c r="F68" s="40">
        <v>0.1076</v>
      </c>
      <c r="G68" s="17"/>
      <c r="H68" s="41"/>
      <c r="I68" s="40">
        <v>0.1789</v>
      </c>
      <c r="J68" s="17"/>
      <c r="K68" s="41"/>
      <c r="L68" s="40">
        <v>0.2087</v>
      </c>
      <c r="M68" s="17"/>
      <c r="N68" s="41"/>
      <c r="O68" s="40">
        <v>3.2300000000000002E-2</v>
      </c>
      <c r="Q68" s="42"/>
      <c r="R68" s="40">
        <v>4.8000000000000001E-2</v>
      </c>
      <c r="T68" s="42"/>
      <c r="U68" s="40">
        <v>1.7500000000000002E-2</v>
      </c>
      <c r="W68" s="42"/>
      <c r="X68" s="40">
        <v>2.63E-2</v>
      </c>
      <c r="Y68" s="17"/>
      <c r="Z68" s="41"/>
      <c r="AA68" s="40">
        <v>6.3700000000000007E-2</v>
      </c>
      <c r="AC68" s="42"/>
      <c r="AD68" s="40">
        <v>1.6500000000000001E-2</v>
      </c>
      <c r="AF68" s="42"/>
      <c r="AG68" s="40">
        <v>5.1999999999999998E-3</v>
      </c>
      <c r="AI68" s="42"/>
      <c r="AJ68" s="40">
        <v>5.8999999999999999E-3</v>
      </c>
      <c r="AL68" s="42"/>
      <c r="AM68" s="40">
        <v>2.2000000000000001E-3</v>
      </c>
      <c r="AO68" s="42"/>
      <c r="AP68" s="40">
        <v>3.4000000000000002E-3</v>
      </c>
      <c r="AR68" s="42"/>
      <c r="AS68" s="40">
        <v>3.0600000000000002E-2</v>
      </c>
      <c r="AU68" s="42"/>
      <c r="AV68" s="40">
        <v>1.4800000000000001E-2</v>
      </c>
      <c r="AX68" s="42"/>
      <c r="AY68" s="40">
        <v>0.02</v>
      </c>
      <c r="BA68" s="42"/>
      <c r="BB68" s="43"/>
      <c r="BD68" s="42"/>
      <c r="BE68" s="43"/>
      <c r="BG68" s="42"/>
      <c r="BH68" s="43"/>
      <c r="BJ68" s="42"/>
      <c r="BM68" s="42"/>
    </row>
    <row r="69" spans="1:65" x14ac:dyDescent="0.2">
      <c r="A69" s="25" t="s">
        <v>230</v>
      </c>
      <c r="B69" s="26">
        <v>0.37119999999999997</v>
      </c>
      <c r="C69" s="26">
        <v>0.37119999999999997</v>
      </c>
      <c r="D69" s="26">
        <v>0.47299999999999998</v>
      </c>
      <c r="E69" s="37">
        <v>5.9800000000000006E-2</v>
      </c>
      <c r="F69" s="40">
        <v>0.23329999999999998</v>
      </c>
      <c r="G69" s="17"/>
      <c r="H69" s="41"/>
      <c r="I69" s="40">
        <v>0.12670000000000001</v>
      </c>
      <c r="J69" s="17"/>
      <c r="K69" s="41"/>
      <c r="L69" s="40">
        <v>0.13100000000000001</v>
      </c>
      <c r="M69" s="17"/>
      <c r="N69" s="41"/>
      <c r="O69" s="40">
        <v>3.1400000000000004E-2</v>
      </c>
      <c r="Q69" s="42"/>
      <c r="R69" s="40">
        <v>6.5799999999999997E-2</v>
      </c>
      <c r="T69" s="42"/>
      <c r="U69" s="40">
        <v>1.34E-2</v>
      </c>
      <c r="W69" s="42"/>
      <c r="X69" s="40">
        <v>1.8500000000000003E-2</v>
      </c>
      <c r="Y69" s="17"/>
      <c r="Z69" s="41"/>
      <c r="AA69" s="40">
        <v>5.45E-2</v>
      </c>
      <c r="AC69" s="42"/>
      <c r="AD69" s="40">
        <v>1.2800000000000001E-2</v>
      </c>
      <c r="AF69" s="42"/>
      <c r="AG69" s="40">
        <v>4.4000000000000003E-3</v>
      </c>
      <c r="AI69" s="42"/>
      <c r="AJ69" s="40">
        <v>5.3E-3</v>
      </c>
      <c r="AL69" s="42"/>
      <c r="AM69" s="40">
        <v>2.3E-3</v>
      </c>
      <c r="AO69" s="42"/>
      <c r="AP69" s="40">
        <v>3.7000000000000002E-3</v>
      </c>
      <c r="AR69" s="42"/>
      <c r="AS69" s="40">
        <v>5.7099999999999998E-2</v>
      </c>
      <c r="AU69" s="42"/>
      <c r="AV69" s="40">
        <v>1.37E-2</v>
      </c>
      <c r="AX69" s="42"/>
      <c r="AY69" s="40">
        <v>2.3099999999999999E-2</v>
      </c>
      <c r="BA69" s="42"/>
      <c r="BB69" s="43"/>
      <c r="BD69" s="42"/>
      <c r="BE69" s="43"/>
      <c r="BG69" s="42"/>
      <c r="BH69" s="43"/>
      <c r="BJ69" s="42"/>
      <c r="BM69" s="42"/>
    </row>
    <row r="70" spans="1:65" x14ac:dyDescent="0.2">
      <c r="A70" s="25" t="s">
        <v>228</v>
      </c>
      <c r="B70" s="26">
        <v>0.26329999999999998</v>
      </c>
      <c r="C70" s="26">
        <v>0.2455</v>
      </c>
      <c r="D70" s="26">
        <v>0.56679999999999997</v>
      </c>
      <c r="E70" s="37">
        <v>8.09E-2</v>
      </c>
      <c r="F70" s="40">
        <v>0.1079</v>
      </c>
      <c r="G70" s="17"/>
      <c r="H70" s="41"/>
      <c r="I70" s="40">
        <v>0.16980000000000001</v>
      </c>
      <c r="J70" s="17"/>
      <c r="K70" s="41"/>
      <c r="L70" s="40">
        <v>0.20610000000000001</v>
      </c>
      <c r="M70" s="17"/>
      <c r="N70" s="41"/>
      <c r="O70" s="40">
        <v>3.6600000000000001E-2</v>
      </c>
      <c r="Q70" s="42"/>
      <c r="R70" s="40">
        <v>4.4500000000000005E-2</v>
      </c>
      <c r="T70" s="42"/>
      <c r="U70" s="40">
        <v>1.38E-2</v>
      </c>
      <c r="W70" s="42"/>
      <c r="X70" s="40">
        <v>2.63E-2</v>
      </c>
      <c r="Y70" s="17"/>
      <c r="Z70" s="42"/>
      <c r="AA70" s="40">
        <v>6.4600000000000005E-2</v>
      </c>
      <c r="AC70" s="42"/>
      <c r="AD70" s="40">
        <v>1.6299999999999999E-2</v>
      </c>
      <c r="AF70" s="42"/>
      <c r="AG70" s="40">
        <v>6.0000000000000001E-3</v>
      </c>
      <c r="AI70" s="42"/>
      <c r="AJ70" s="40">
        <v>6.4000000000000003E-3</v>
      </c>
      <c r="AL70" s="42"/>
      <c r="AM70" s="40">
        <v>1.6000000000000001E-3</v>
      </c>
      <c r="AO70" s="42"/>
      <c r="AP70" s="40">
        <v>3.2000000000000002E-3</v>
      </c>
      <c r="AR70" s="42"/>
      <c r="AS70" s="40">
        <v>2.2799999999999997E-2</v>
      </c>
      <c r="AU70" s="42"/>
      <c r="AV70" s="40">
        <v>1.7100000000000001E-2</v>
      </c>
      <c r="AX70" s="42"/>
      <c r="AY70" s="40">
        <v>2.0799999999999999E-2</v>
      </c>
      <c r="BA70" s="42"/>
      <c r="BB70" s="43"/>
      <c r="BD70" s="42"/>
      <c r="BE70" s="43"/>
      <c r="BG70" s="42"/>
      <c r="BH70" s="43"/>
      <c r="BJ70" s="42"/>
      <c r="BM70" s="42"/>
    </row>
    <row r="71" spans="1:65" x14ac:dyDescent="0.2">
      <c r="A71" s="25" t="s">
        <v>227</v>
      </c>
      <c r="B71" s="26">
        <v>0.34539999999999998</v>
      </c>
      <c r="C71" s="26">
        <v>0.3322</v>
      </c>
      <c r="D71" s="26">
        <v>0.4526</v>
      </c>
      <c r="E71" s="37">
        <v>5.5500000000000001E-2</v>
      </c>
      <c r="F71" s="40">
        <v>0.19079999999999997</v>
      </c>
      <c r="G71" s="17"/>
      <c r="H71" s="41"/>
      <c r="I71" s="40">
        <v>0.12920000000000001</v>
      </c>
      <c r="J71" s="17"/>
      <c r="K71" s="41"/>
      <c r="L71" s="40">
        <v>0.13739999999999999</v>
      </c>
      <c r="M71" s="17"/>
      <c r="N71" s="41"/>
      <c r="O71" s="40">
        <v>2.4500000000000001E-2</v>
      </c>
      <c r="Q71" s="42"/>
      <c r="R71" s="40">
        <v>3.3500000000000002E-2</v>
      </c>
      <c r="T71" s="42"/>
      <c r="U71" s="40">
        <v>1.78E-2</v>
      </c>
      <c r="W71" s="42"/>
      <c r="X71" s="40">
        <v>1.8700000000000001E-2</v>
      </c>
      <c r="Y71" s="17"/>
      <c r="Z71" s="42"/>
      <c r="AA71" s="40">
        <v>4.7899999999999998E-2</v>
      </c>
      <c r="AC71" s="42"/>
      <c r="AD71" s="40">
        <v>1.6899999999999998E-2</v>
      </c>
      <c r="AF71" s="42"/>
      <c r="AG71" s="40">
        <v>6.5000000000000006E-3</v>
      </c>
      <c r="AI71" s="42"/>
      <c r="AJ71" s="40">
        <v>4.8999999999999998E-3</v>
      </c>
      <c r="AL71" s="42"/>
      <c r="AM71" s="40">
        <v>1.6000000000000001E-3</v>
      </c>
      <c r="AO71" s="42"/>
      <c r="AP71" s="40">
        <v>2.5999999999999999E-3</v>
      </c>
      <c r="AR71" s="42"/>
      <c r="AS71" s="40">
        <v>2.6699999999999998E-2</v>
      </c>
      <c r="AU71" s="42"/>
      <c r="AV71" s="40">
        <v>1.49E-2</v>
      </c>
      <c r="AX71" s="42"/>
      <c r="AY71" s="40">
        <v>4.4900000000000002E-2</v>
      </c>
      <c r="BA71" s="42"/>
      <c r="BB71" s="43"/>
      <c r="BD71" s="42"/>
      <c r="BE71" s="43"/>
      <c r="BG71" s="42"/>
      <c r="BH71" s="43"/>
      <c r="BJ71" s="42"/>
      <c r="BM71" s="42"/>
    </row>
    <row r="72" spans="1:65" x14ac:dyDescent="0.2">
      <c r="A72" s="25" t="s">
        <v>226</v>
      </c>
      <c r="B72" s="26">
        <v>0.28889999999999999</v>
      </c>
      <c r="C72" s="26">
        <v>0.2848</v>
      </c>
      <c r="D72" s="26">
        <v>0.46500000000000002</v>
      </c>
      <c r="E72" s="37">
        <v>8.0299999999999996E-2</v>
      </c>
      <c r="F72" s="40">
        <v>8.8499999999999995E-2</v>
      </c>
      <c r="G72" s="17"/>
      <c r="H72" s="41"/>
      <c r="I72" s="40">
        <v>0.11460000000000001</v>
      </c>
      <c r="J72" s="17"/>
      <c r="K72" s="41"/>
      <c r="L72" s="40">
        <v>0.13449999999999998</v>
      </c>
      <c r="M72" s="17"/>
      <c r="N72" s="41"/>
      <c r="O72" s="40">
        <v>3.04E-2</v>
      </c>
      <c r="Q72" s="42"/>
      <c r="R72" s="40">
        <v>8.4199999999999997E-2</v>
      </c>
      <c r="T72" s="42"/>
      <c r="U72" s="40">
        <v>1.3899999999999999E-2</v>
      </c>
      <c r="W72" s="42"/>
      <c r="X72" s="40">
        <v>2.2599999999999999E-2</v>
      </c>
      <c r="Y72" s="17"/>
      <c r="Z72" s="42"/>
      <c r="AA72" s="40">
        <v>7.46E-2</v>
      </c>
      <c r="AC72" s="42"/>
      <c r="AD72" s="40">
        <v>1.47E-2</v>
      </c>
      <c r="AF72" s="42"/>
      <c r="AG72" s="40">
        <v>4.5999999999999999E-3</v>
      </c>
      <c r="AI72" s="42"/>
      <c r="AJ72" s="40">
        <v>4.4000000000000003E-3</v>
      </c>
      <c r="AL72" s="42"/>
      <c r="AM72" s="40">
        <v>2E-3</v>
      </c>
      <c r="AO72" s="42"/>
      <c r="AP72" s="40">
        <v>3.0999999999999999E-3</v>
      </c>
      <c r="AR72" s="42"/>
      <c r="AS72" s="40">
        <v>1.3300000000000001E-2</v>
      </c>
      <c r="AU72" s="42"/>
      <c r="AV72" s="40">
        <v>1.5700000000000002E-2</v>
      </c>
      <c r="AX72" s="42"/>
      <c r="AY72" s="40">
        <v>2.1000000000000001E-2</v>
      </c>
      <c r="BA72" s="42"/>
      <c r="BB72" s="43"/>
      <c r="BD72" s="42"/>
      <c r="BE72" s="43"/>
      <c r="BG72" s="42"/>
      <c r="BH72" s="43"/>
      <c r="BJ72" s="42"/>
      <c r="BM72" s="42"/>
    </row>
    <row r="73" spans="1:65" x14ac:dyDescent="0.2">
      <c r="A73" s="25" t="s">
        <v>225</v>
      </c>
      <c r="B73" s="26">
        <v>0.2626</v>
      </c>
      <c r="C73" s="26">
        <v>0.25219999999999998</v>
      </c>
      <c r="D73" s="26">
        <v>0.54079999999999995</v>
      </c>
      <c r="E73" s="37">
        <v>9.06E-2</v>
      </c>
      <c r="F73" s="40">
        <v>8.2200000000000009E-2</v>
      </c>
      <c r="G73" s="17"/>
      <c r="H73" s="41"/>
      <c r="I73" s="40">
        <v>0.16190000000000002</v>
      </c>
      <c r="J73" s="17"/>
      <c r="K73" s="41"/>
      <c r="L73" s="40">
        <v>0.20319999999999999</v>
      </c>
      <c r="M73" s="17"/>
      <c r="N73" s="41"/>
      <c r="O73" s="40">
        <v>3.7599999999999995E-2</v>
      </c>
      <c r="Q73" s="42"/>
      <c r="R73" s="40">
        <v>4.8399999999999999E-2</v>
      </c>
      <c r="T73" s="42"/>
      <c r="U73" s="40">
        <v>1.83E-2</v>
      </c>
      <c r="W73" s="42"/>
      <c r="X73" s="40">
        <v>2.3799999999999998E-2</v>
      </c>
      <c r="Z73" s="42"/>
      <c r="AA73" s="40">
        <v>0.06</v>
      </c>
      <c r="AC73" s="42"/>
      <c r="AD73" s="40">
        <v>1.8100000000000002E-2</v>
      </c>
      <c r="AF73" s="42"/>
      <c r="AG73" s="40">
        <v>6.8999999999999999E-3</v>
      </c>
      <c r="AI73" s="42"/>
      <c r="AJ73" s="40">
        <v>8.3000000000000001E-3</v>
      </c>
      <c r="AL73" s="42"/>
      <c r="AM73" s="40">
        <v>3.5999999999999999E-3</v>
      </c>
      <c r="AO73" s="42"/>
      <c r="AP73" s="40">
        <v>2.8000000000000004E-3</v>
      </c>
      <c r="AR73" s="42"/>
      <c r="AS73" s="40">
        <v>1.9699999999999999E-2</v>
      </c>
      <c r="AU73" s="42"/>
      <c r="AV73" s="40">
        <v>2.7099999999999999E-2</v>
      </c>
      <c r="AX73" s="42"/>
      <c r="AY73" s="40">
        <v>3.0599999999999999E-2</v>
      </c>
      <c r="BA73" s="42"/>
      <c r="BB73" s="43"/>
      <c r="BD73" s="42"/>
      <c r="BE73" s="43"/>
      <c r="BG73" s="42"/>
      <c r="BH73" s="43"/>
      <c r="BJ73" s="42"/>
      <c r="BM73" s="42"/>
    </row>
    <row r="74" spans="1:65" x14ac:dyDescent="0.2">
      <c r="A74" s="25" t="s">
        <v>223</v>
      </c>
      <c r="B74" s="26">
        <v>0.26090000000000002</v>
      </c>
      <c r="C74" s="26">
        <v>0.27029999999999998</v>
      </c>
      <c r="D74" s="26">
        <v>0.54949999999999999</v>
      </c>
      <c r="E74" s="37">
        <v>7.6100000000000001E-2</v>
      </c>
      <c r="F74" s="40">
        <v>9.6300000000000011E-2</v>
      </c>
      <c r="G74" s="17"/>
      <c r="H74" s="41"/>
      <c r="I74" s="40">
        <v>0.1457</v>
      </c>
      <c r="J74" s="17"/>
      <c r="K74" s="41"/>
      <c r="L74" s="40">
        <v>0.20710000000000001</v>
      </c>
      <c r="M74" s="17"/>
      <c r="N74" s="41"/>
      <c r="O74" s="40">
        <v>3.3500000000000002E-2</v>
      </c>
      <c r="Q74" s="42"/>
      <c r="R74" s="40">
        <v>5.8400000000000001E-2</v>
      </c>
      <c r="T74" s="42"/>
      <c r="U74" s="40">
        <v>2.3599999999999999E-2</v>
      </c>
      <c r="W74" s="42"/>
      <c r="X74" s="40">
        <v>2.0099999999999996E-2</v>
      </c>
      <c r="Z74" s="42"/>
      <c r="AA74" s="40">
        <v>5.5399999999999998E-2</v>
      </c>
      <c r="AC74" s="42"/>
      <c r="AD74" s="40">
        <v>1.77E-2</v>
      </c>
      <c r="AF74" s="42"/>
      <c r="AG74" s="40">
        <v>8.6999999999999994E-3</v>
      </c>
      <c r="AI74" s="42"/>
      <c r="AJ74" s="40">
        <v>7.9000000000000008E-3</v>
      </c>
      <c r="AL74" s="42"/>
      <c r="AM74" s="40">
        <v>2.3999999999999998E-3</v>
      </c>
      <c r="AO74" s="42"/>
      <c r="AP74" s="40">
        <v>5.4000000000000003E-3</v>
      </c>
      <c r="AR74" s="42"/>
      <c r="AS74" s="40">
        <v>2.41E-2</v>
      </c>
      <c r="AU74" s="42"/>
      <c r="AV74" s="40">
        <v>1.7000000000000001E-2</v>
      </c>
      <c r="AX74" s="42"/>
      <c r="AY74" s="40">
        <v>2.1299999999999999E-2</v>
      </c>
      <c r="BA74" s="42"/>
      <c r="BB74" s="43"/>
      <c r="BD74" s="42"/>
      <c r="BE74" s="43"/>
      <c r="BG74" s="42"/>
      <c r="BH74" s="43"/>
      <c r="BJ74" s="42"/>
      <c r="BM74" s="42"/>
    </row>
    <row r="75" spans="1:65" x14ac:dyDescent="0.2">
      <c r="A75" s="25" t="s">
        <v>222</v>
      </c>
      <c r="B75" s="26">
        <v>0.2576</v>
      </c>
      <c r="C75" s="26">
        <v>0.24590000000000001</v>
      </c>
      <c r="D75" s="26">
        <v>0.60520000000000007</v>
      </c>
      <c r="E75" s="37">
        <v>8.6800000000000002E-2</v>
      </c>
      <c r="F75" s="40">
        <v>8.1699999999999995E-2</v>
      </c>
      <c r="G75" s="17"/>
      <c r="H75" s="41"/>
      <c r="I75" s="40">
        <v>0.22739999999999999</v>
      </c>
      <c r="J75" s="17"/>
      <c r="K75" s="41"/>
      <c r="L75" s="40">
        <v>0.1298</v>
      </c>
      <c r="M75" s="17"/>
      <c r="N75" s="41"/>
      <c r="O75" s="40">
        <v>5.1500000000000004E-2</v>
      </c>
      <c r="Q75" s="42"/>
      <c r="R75" s="40">
        <v>4.8600000000000004E-2</v>
      </c>
      <c r="T75" s="42"/>
      <c r="U75" s="40">
        <v>0.02</v>
      </c>
      <c r="W75" s="42"/>
      <c r="X75" s="40">
        <v>4.9200000000000001E-2</v>
      </c>
      <c r="Z75" s="42"/>
      <c r="AA75" s="40">
        <v>5.7500000000000002E-2</v>
      </c>
      <c r="AC75" s="42"/>
      <c r="AD75" s="40">
        <v>3.7699999999999997E-2</v>
      </c>
      <c r="AF75" s="42"/>
      <c r="AG75" s="40">
        <v>7.7000000000000002E-3</v>
      </c>
      <c r="AI75" s="42"/>
      <c r="AJ75" s="40">
        <v>8.8999999999999999E-3</v>
      </c>
      <c r="AL75" s="42"/>
      <c r="AM75" s="40">
        <v>3.3E-3</v>
      </c>
      <c r="AO75" s="42"/>
      <c r="AP75" s="40">
        <v>5.1999999999999998E-3</v>
      </c>
      <c r="AR75" s="42"/>
      <c r="AS75" s="40">
        <v>2.87E-2</v>
      </c>
      <c r="AU75" s="42"/>
      <c r="AV75" s="40">
        <v>2.29E-2</v>
      </c>
      <c r="AX75" s="42"/>
      <c r="AY75" s="40">
        <v>3.39E-2</v>
      </c>
      <c r="BA75" s="42"/>
      <c r="BB75" s="43"/>
      <c r="BD75" s="42"/>
      <c r="BE75" s="43"/>
      <c r="BG75" s="42"/>
      <c r="BH75" s="43"/>
      <c r="BJ75" s="42"/>
      <c r="BM75" s="42"/>
    </row>
    <row r="76" spans="1:65" x14ac:dyDescent="0.2">
      <c r="A76" s="25" t="s">
        <v>221</v>
      </c>
      <c r="B76" s="26">
        <v>0.26989999999999997</v>
      </c>
      <c r="C76" s="26">
        <v>0.25840000000000002</v>
      </c>
      <c r="D76" s="26">
        <v>0.53049999999999997</v>
      </c>
      <c r="E76" s="37">
        <v>7.6999999999999999E-2</v>
      </c>
      <c r="F76" s="40">
        <v>0.1008</v>
      </c>
      <c r="G76" s="17"/>
      <c r="H76" s="41"/>
      <c r="I76" s="40">
        <v>0.21760000000000002</v>
      </c>
      <c r="J76" s="17"/>
      <c r="K76" s="41"/>
      <c r="L76" s="40">
        <v>0.1048</v>
      </c>
      <c r="M76" s="17"/>
      <c r="N76" s="41"/>
      <c r="O76" s="40">
        <v>3.8199999999999998E-2</v>
      </c>
      <c r="Q76" s="42"/>
      <c r="R76" s="40">
        <v>5.7300000000000004E-2</v>
      </c>
      <c r="T76" s="42"/>
      <c r="U76" s="40">
        <v>2.7799999999999998E-2</v>
      </c>
      <c r="W76" s="42"/>
      <c r="X76" s="40">
        <v>2.2499999999999999E-2</v>
      </c>
      <c r="Z76" s="42"/>
      <c r="AA76" s="40">
        <v>6.25E-2</v>
      </c>
      <c r="AC76" s="42"/>
      <c r="AD76" s="40">
        <v>1.77E-2</v>
      </c>
      <c r="AF76" s="42"/>
      <c r="AG76" s="40">
        <v>1.26E-2</v>
      </c>
      <c r="AI76" s="42"/>
      <c r="AJ76" s="40">
        <v>9.5999999999999992E-3</v>
      </c>
      <c r="AL76" s="42"/>
      <c r="AM76" s="40">
        <v>3.2000000000000002E-3</v>
      </c>
      <c r="AO76" s="42"/>
      <c r="AP76" s="40">
        <v>2.5000000000000001E-3</v>
      </c>
      <c r="AR76" s="42"/>
      <c r="AS76" s="40">
        <v>2.35E-2</v>
      </c>
      <c r="AU76" s="42"/>
      <c r="AV76" s="40">
        <v>2.9500000000000002E-2</v>
      </c>
      <c r="AX76" s="42"/>
      <c r="AY76" s="40">
        <v>3.0099999999999998E-2</v>
      </c>
      <c r="BA76" s="42"/>
      <c r="BB76" s="43"/>
      <c r="BD76" s="42"/>
      <c r="BE76" s="43"/>
      <c r="BG76" s="42"/>
      <c r="BH76" s="43"/>
      <c r="BJ76" s="42"/>
      <c r="BM76" s="42"/>
    </row>
    <row r="77" spans="1:65" x14ac:dyDescent="0.2">
      <c r="A77" s="25" t="s">
        <v>220</v>
      </c>
      <c r="B77" s="26">
        <v>0.30030000000000001</v>
      </c>
      <c r="C77" s="26">
        <v>0.26469999999999999</v>
      </c>
      <c r="D77" s="26">
        <v>0.50460000000000005</v>
      </c>
      <c r="E77" s="37">
        <v>7.1599999999999997E-2</v>
      </c>
      <c r="F77" s="40">
        <v>0.1047</v>
      </c>
      <c r="G77" s="17"/>
      <c r="H77" s="41"/>
      <c r="I77" s="40">
        <v>0.16339999999999999</v>
      </c>
      <c r="J77" s="17"/>
      <c r="K77" s="41"/>
      <c r="L77" s="40">
        <v>0.10710000000000001</v>
      </c>
      <c r="M77" s="17"/>
      <c r="N77" s="41"/>
      <c r="O77" s="40">
        <v>4.7100000000000003E-2</v>
      </c>
      <c r="Q77" s="42"/>
      <c r="R77" s="40">
        <v>6.25E-2</v>
      </c>
      <c r="T77" s="42"/>
      <c r="U77" s="40">
        <v>2.5099999999999997E-2</v>
      </c>
      <c r="W77" s="42"/>
      <c r="X77" s="40">
        <v>2.4399999999999998E-2</v>
      </c>
      <c r="Z77" s="42"/>
      <c r="AA77" s="40">
        <v>5.3899999999999997E-2</v>
      </c>
      <c r="AC77" s="42"/>
      <c r="AD77" s="40">
        <v>2.1600000000000001E-2</v>
      </c>
      <c r="AF77" s="42"/>
      <c r="AG77" s="40">
        <v>7.1999999999999998E-3</v>
      </c>
      <c r="AI77" s="42"/>
      <c r="AJ77" s="40">
        <v>8.8000000000000005E-3</v>
      </c>
      <c r="AL77" s="42"/>
      <c r="AM77" s="40">
        <v>5.3E-3</v>
      </c>
      <c r="AO77" s="42"/>
      <c r="AP77" s="40">
        <v>2.5000000000000001E-3</v>
      </c>
      <c r="AR77" s="42"/>
      <c r="AS77" s="40">
        <v>1.67E-2</v>
      </c>
      <c r="AU77" s="42"/>
      <c r="AV77" s="40">
        <v>2.4799999999999999E-2</v>
      </c>
      <c r="AX77" s="42"/>
      <c r="AY77" s="40">
        <v>3.9800000000000002E-2</v>
      </c>
      <c r="BA77" s="42"/>
      <c r="BB77" s="43"/>
      <c r="BD77" s="42"/>
      <c r="BE77" s="43"/>
      <c r="BG77" s="42"/>
      <c r="BH77" s="43"/>
      <c r="BJ77" s="42"/>
      <c r="BM77" s="42"/>
    </row>
    <row r="78" spans="1:65" x14ac:dyDescent="0.2">
      <c r="A78" s="25" t="s">
        <v>218</v>
      </c>
      <c r="B78" s="26">
        <v>0.32390000000000002</v>
      </c>
      <c r="C78" s="26">
        <v>0.29249999999999998</v>
      </c>
      <c r="D78" s="26">
        <v>0.46729999999999999</v>
      </c>
      <c r="E78" s="37">
        <v>7.3300000000000004E-2</v>
      </c>
      <c r="F78" s="40">
        <v>0.1298</v>
      </c>
      <c r="G78" s="17"/>
      <c r="H78" s="41"/>
      <c r="I78" s="40">
        <v>0.15179999999999999</v>
      </c>
      <c r="J78" s="17"/>
      <c r="K78" s="41"/>
      <c r="L78" s="40">
        <v>0.1085</v>
      </c>
      <c r="M78" s="17"/>
      <c r="N78" s="41"/>
      <c r="O78" s="40">
        <v>3.4200000000000001E-2</v>
      </c>
      <c r="Q78" s="42"/>
      <c r="R78" s="40">
        <v>5.2499999999999998E-2</v>
      </c>
      <c r="T78" s="42"/>
      <c r="U78" s="40">
        <v>2.1700000000000001E-2</v>
      </c>
      <c r="W78" s="42"/>
      <c r="X78" s="40">
        <v>2.6499999999999999E-2</v>
      </c>
      <c r="Z78" s="42"/>
      <c r="AA78" s="40">
        <v>4.4900000000000002E-2</v>
      </c>
      <c r="AC78" s="42"/>
      <c r="AD78" s="40">
        <v>1.6200000000000003E-2</v>
      </c>
      <c r="AF78" s="42"/>
      <c r="AG78" s="40">
        <v>6.6E-3</v>
      </c>
      <c r="AI78" s="42"/>
      <c r="AJ78" s="40">
        <v>1.3500000000000002E-2</v>
      </c>
      <c r="AL78" s="42"/>
      <c r="AM78" s="40">
        <v>6.0000000000000001E-3</v>
      </c>
      <c r="AO78" s="42"/>
      <c r="AP78" s="40">
        <v>2E-3</v>
      </c>
      <c r="AR78" s="42"/>
      <c r="AS78" s="40">
        <v>1.9599999999999999E-2</v>
      </c>
      <c r="AU78" s="42"/>
      <c r="AV78" s="40">
        <v>2.2400000000000003E-2</v>
      </c>
      <c r="AX78" s="42"/>
      <c r="AY78" s="40">
        <v>4.9500000000000002E-2</v>
      </c>
      <c r="BA78" s="42"/>
      <c r="BB78" s="43"/>
      <c r="BD78" s="42"/>
      <c r="BE78" s="43"/>
      <c r="BG78" s="42"/>
      <c r="BH78" s="43"/>
      <c r="BJ78" s="42"/>
      <c r="BM78" s="42"/>
    </row>
    <row r="79" spans="1:65" x14ac:dyDescent="0.2">
      <c r="A79" s="25" t="s">
        <v>217</v>
      </c>
      <c r="B79" s="26">
        <v>0.32619999999999999</v>
      </c>
      <c r="C79" s="26">
        <v>0.32090000000000002</v>
      </c>
      <c r="D79" s="26">
        <v>0.48100000000000004</v>
      </c>
      <c r="E79" s="37">
        <v>6.88E-2</v>
      </c>
      <c r="F79" s="40">
        <v>0.15039999999999998</v>
      </c>
      <c r="G79" s="17"/>
      <c r="H79" s="41"/>
      <c r="I79" s="40">
        <v>0.1646</v>
      </c>
      <c r="J79" s="17"/>
      <c r="K79" s="41"/>
      <c r="L79" s="40">
        <v>0.11699999999999999</v>
      </c>
      <c r="M79" s="17"/>
      <c r="N79" s="41"/>
      <c r="O79" s="40">
        <v>3.4200000000000001E-2</v>
      </c>
      <c r="Q79" s="42"/>
      <c r="R79" s="40">
        <v>6.4299999999999996E-2</v>
      </c>
      <c r="T79" s="42"/>
      <c r="U79" s="40">
        <v>2.0499999999999997E-2</v>
      </c>
      <c r="W79" s="42"/>
      <c r="X79" s="40">
        <v>1.83E-2</v>
      </c>
      <c r="Z79" s="42"/>
      <c r="AA79" s="40">
        <v>5.4100000000000002E-2</v>
      </c>
      <c r="AC79" s="42"/>
      <c r="AD79" s="40">
        <v>1.26E-2</v>
      </c>
      <c r="AF79" s="42"/>
      <c r="AG79" s="40">
        <v>4.7999999999999996E-3</v>
      </c>
      <c r="AI79" s="42"/>
      <c r="AJ79" s="40">
        <v>6.5000000000000006E-3</v>
      </c>
      <c r="AL79" s="42"/>
      <c r="AM79" s="40">
        <v>3.9000000000000003E-3</v>
      </c>
      <c r="AO79" s="42"/>
      <c r="AP79" s="40">
        <v>2.3999999999999998E-3</v>
      </c>
      <c r="AR79" s="42"/>
      <c r="AS79" s="40">
        <v>1.7399999999999999E-2</v>
      </c>
      <c r="AU79" s="42"/>
      <c r="AV79" s="40">
        <v>2.2099999999999998E-2</v>
      </c>
      <c r="AX79" s="42"/>
      <c r="AY79" s="40">
        <v>3.09E-2</v>
      </c>
      <c r="BA79" s="42"/>
      <c r="BB79" s="43"/>
      <c r="BD79" s="42"/>
      <c r="BE79" s="43"/>
      <c r="BG79" s="42"/>
      <c r="BH79" s="43"/>
      <c r="BJ79" s="42"/>
      <c r="BM79" s="42"/>
    </row>
    <row r="80" spans="1:65" x14ac:dyDescent="0.2">
      <c r="A80" s="25" t="s">
        <v>216</v>
      </c>
      <c r="B80" s="26">
        <v>0.26119999999999999</v>
      </c>
      <c r="C80" s="26">
        <v>0.25609999999999999</v>
      </c>
      <c r="D80" s="26">
        <v>0.53539999999999999</v>
      </c>
      <c r="E80" s="37">
        <v>7.85E-2</v>
      </c>
      <c r="F80" s="40">
        <v>0.11550000000000001</v>
      </c>
      <c r="G80" s="17"/>
      <c r="H80" s="41"/>
      <c r="I80" s="40">
        <v>0.24909999999999999</v>
      </c>
      <c r="J80" s="17"/>
      <c r="K80" s="41"/>
      <c r="L80" s="40">
        <v>0.11840000000000001</v>
      </c>
      <c r="M80" s="17"/>
      <c r="N80" s="41"/>
      <c r="O80" s="40">
        <v>3.0800000000000001E-2</v>
      </c>
      <c r="Q80" s="42"/>
      <c r="R80" s="40">
        <v>5.3099999999999994E-2</v>
      </c>
      <c r="T80" s="42"/>
      <c r="U80" s="40">
        <v>1.9599999999999999E-2</v>
      </c>
      <c r="W80" s="42"/>
      <c r="X80" s="40">
        <v>2.8999999999999998E-2</v>
      </c>
      <c r="Z80" s="42"/>
      <c r="AA80" s="40">
        <v>4.4000000000000004E-2</v>
      </c>
      <c r="AC80" s="42"/>
      <c r="AD80" s="40">
        <v>1.7399999999999999E-2</v>
      </c>
      <c r="AF80" s="42"/>
      <c r="AG80" s="40">
        <v>8.6E-3</v>
      </c>
      <c r="AI80" s="42"/>
      <c r="AJ80" s="40">
        <v>6.1999999999999998E-3</v>
      </c>
      <c r="AL80" s="42"/>
      <c r="AM80" s="40">
        <v>3.3E-3</v>
      </c>
      <c r="AO80" s="42"/>
      <c r="AP80" s="40">
        <v>2.3E-3</v>
      </c>
      <c r="AR80" s="42"/>
      <c r="AS80" s="40">
        <v>2.4199999999999999E-2</v>
      </c>
      <c r="AU80" s="42"/>
      <c r="AV80" s="40">
        <v>2.7799999999999998E-2</v>
      </c>
      <c r="AX80" s="42"/>
      <c r="AY80" s="40">
        <v>2.6599999999999999E-2</v>
      </c>
      <c r="BA80" s="42"/>
      <c r="BB80" s="43"/>
      <c r="BD80" s="42"/>
      <c r="BE80" s="43"/>
      <c r="BG80" s="42"/>
      <c r="BH80" s="43"/>
      <c r="BJ80" s="42"/>
      <c r="BM80" s="42"/>
    </row>
    <row r="81" spans="1:65" x14ac:dyDescent="0.2">
      <c r="A81" s="25" t="s">
        <v>213</v>
      </c>
      <c r="B81" s="26">
        <v>0.30380000000000001</v>
      </c>
      <c r="C81" s="26">
        <v>0.27129999999999999</v>
      </c>
      <c r="D81" s="26">
        <v>0.45039999999999997</v>
      </c>
      <c r="E81" s="37">
        <v>0.1114</v>
      </c>
      <c r="F81" s="40">
        <v>0.11609999999999999</v>
      </c>
      <c r="G81" s="17"/>
      <c r="H81" s="41"/>
      <c r="I81" s="40">
        <v>0.13159999999999999</v>
      </c>
      <c r="J81" s="17"/>
      <c r="K81" s="41"/>
      <c r="L81" s="40">
        <v>0.16519999999999999</v>
      </c>
      <c r="M81" s="17"/>
      <c r="N81" s="41"/>
      <c r="O81" s="40">
        <v>2.46E-2</v>
      </c>
      <c r="Q81" s="42"/>
      <c r="R81" s="40">
        <v>5.0799999999999998E-2</v>
      </c>
      <c r="T81" s="42"/>
      <c r="U81" s="40">
        <v>1.9199999999999998E-2</v>
      </c>
      <c r="W81" s="42"/>
      <c r="X81" s="40">
        <v>2.8799999999999999E-2</v>
      </c>
      <c r="Z81" s="42"/>
      <c r="AA81" s="40">
        <v>5.7300000000000004E-2</v>
      </c>
      <c r="AC81" s="42"/>
      <c r="AD81" s="40">
        <v>2.0499999999999997E-2</v>
      </c>
      <c r="AF81" s="42"/>
      <c r="AG81" s="40">
        <v>4.6999999999999993E-3</v>
      </c>
      <c r="AI81" s="42"/>
      <c r="AJ81" s="40">
        <v>6.5000000000000006E-3</v>
      </c>
      <c r="AL81" s="42"/>
      <c r="AM81" s="40">
        <v>4.3E-3</v>
      </c>
      <c r="AO81" s="42"/>
      <c r="AP81" s="40">
        <v>2.5000000000000001E-3</v>
      </c>
      <c r="AR81" s="42"/>
      <c r="AS81" s="40">
        <v>3.7200000000000004E-2</v>
      </c>
      <c r="AU81" s="42"/>
      <c r="AV81" s="40">
        <v>1.6500000000000001E-2</v>
      </c>
      <c r="AX81" s="42"/>
      <c r="AY81" s="40">
        <v>2.0899999999999998E-2</v>
      </c>
      <c r="BA81" s="42"/>
      <c r="BB81" s="43"/>
      <c r="BD81" s="42"/>
      <c r="BE81" s="43"/>
      <c r="BG81" s="42"/>
      <c r="BH81" s="43"/>
      <c r="BJ81" s="42"/>
      <c r="BM81" s="42"/>
    </row>
    <row r="82" spans="1:65" x14ac:dyDescent="0.2">
      <c r="A82" s="25" t="s">
        <v>212</v>
      </c>
      <c r="B82" s="26">
        <v>0.2873</v>
      </c>
      <c r="C82" s="26">
        <v>0.2611</v>
      </c>
      <c r="D82" s="26">
        <v>0.4531</v>
      </c>
      <c r="E82" s="37">
        <v>6.9900000000000004E-2</v>
      </c>
      <c r="F82" s="40">
        <v>0.1216</v>
      </c>
      <c r="G82" s="17"/>
      <c r="H82" s="41"/>
      <c r="I82" s="40">
        <v>0.14510000000000001</v>
      </c>
      <c r="J82" s="17"/>
      <c r="K82" s="41"/>
      <c r="L82" s="40">
        <v>0.1143</v>
      </c>
      <c r="M82" s="17"/>
      <c r="N82" s="41"/>
      <c r="O82" s="40">
        <v>2.3099999999999999E-2</v>
      </c>
      <c r="Q82" s="42"/>
      <c r="R82" s="40">
        <v>5.4900000000000004E-2</v>
      </c>
      <c r="T82" s="42"/>
      <c r="U82" s="40">
        <v>2.63E-2</v>
      </c>
      <c r="W82" s="42"/>
      <c r="X82" s="40">
        <v>1.8200000000000001E-2</v>
      </c>
      <c r="Z82" s="42"/>
      <c r="AA82" s="40">
        <v>7.2999999999999995E-2</v>
      </c>
      <c r="AC82" s="42"/>
      <c r="AD82" s="40">
        <v>1.3100000000000001E-2</v>
      </c>
      <c r="AF82" s="42"/>
      <c r="AG82" s="40">
        <v>5.0000000000000001E-3</v>
      </c>
      <c r="AI82" s="42"/>
      <c r="AJ82" s="40">
        <v>7.4999999999999997E-3</v>
      </c>
      <c r="AL82" s="42"/>
      <c r="AM82" s="40">
        <v>6.3E-3</v>
      </c>
      <c r="AO82" s="42"/>
      <c r="AP82" s="40">
        <v>2.7000000000000001E-3</v>
      </c>
      <c r="AR82" s="42"/>
      <c r="AS82" s="40">
        <v>2.1499999999999998E-2</v>
      </c>
      <c r="AU82" s="42"/>
      <c r="AV82" s="40">
        <v>2.0199999999999999E-2</v>
      </c>
      <c r="AX82" s="42"/>
      <c r="AY82" s="40">
        <v>4.4499999999999998E-2</v>
      </c>
      <c r="BA82" s="42"/>
      <c r="BB82" s="43"/>
      <c r="BD82" s="42"/>
      <c r="BE82" s="43"/>
      <c r="BG82" s="42"/>
      <c r="BH82" s="43"/>
      <c r="BJ82" s="42"/>
      <c r="BM82" s="42"/>
    </row>
    <row r="83" spans="1:65" x14ac:dyDescent="0.2">
      <c r="A83" s="25" t="s">
        <v>210</v>
      </c>
      <c r="B83" s="26">
        <v>0.28220000000000001</v>
      </c>
      <c r="C83" s="26">
        <v>0.25730000000000003</v>
      </c>
      <c r="D83" s="26">
        <v>0.49020000000000002</v>
      </c>
      <c r="E83" s="37">
        <v>8.900000000000001E-2</v>
      </c>
      <c r="F83" s="40">
        <v>0.13350000000000001</v>
      </c>
      <c r="G83" s="17"/>
      <c r="H83" s="41"/>
      <c r="I83" s="40">
        <v>0.1229</v>
      </c>
      <c r="J83" s="17"/>
      <c r="K83" s="41"/>
      <c r="L83" s="40">
        <v>0.17219999999999999</v>
      </c>
      <c r="M83" s="17"/>
      <c r="N83" s="41"/>
      <c r="O83" s="40">
        <v>4.6699999999999998E-2</v>
      </c>
      <c r="Q83" s="42"/>
      <c r="R83" s="40">
        <v>5.7599999999999998E-2</v>
      </c>
      <c r="T83" s="42"/>
      <c r="U83" s="40">
        <v>1.5800000000000002E-2</v>
      </c>
      <c r="W83" s="42"/>
      <c r="X83" s="40">
        <v>2.2400000000000003E-2</v>
      </c>
      <c r="Z83" s="42"/>
      <c r="AA83" s="40">
        <v>4.8399999999999999E-2</v>
      </c>
      <c r="AC83" s="42"/>
      <c r="AD83" s="40">
        <v>1.5100000000000001E-2</v>
      </c>
      <c r="AF83" s="42"/>
      <c r="AG83" s="40">
        <v>8.3000000000000001E-3</v>
      </c>
      <c r="AI83" s="42"/>
      <c r="AJ83" s="40">
        <v>7.6E-3</v>
      </c>
      <c r="AL83" s="42"/>
      <c r="AM83" s="40">
        <v>5.0000000000000001E-3</v>
      </c>
      <c r="AO83" s="42"/>
      <c r="AP83" s="40">
        <v>1.8E-3</v>
      </c>
      <c r="AR83" s="42"/>
      <c r="AS83" s="40">
        <v>2.4500000000000001E-2</v>
      </c>
      <c r="AU83" s="42"/>
      <c r="AV83" s="40">
        <v>1.8700000000000001E-2</v>
      </c>
      <c r="AX83" s="42"/>
      <c r="AY83" s="40">
        <v>2.6599999999999999E-2</v>
      </c>
      <c r="BA83" s="42"/>
      <c r="BB83" s="43"/>
      <c r="BD83" s="42"/>
      <c r="BE83" s="43"/>
      <c r="BG83" s="42"/>
      <c r="BH83" s="43"/>
      <c r="BJ83" s="42"/>
      <c r="BM83" s="42"/>
    </row>
    <row r="84" spans="1:65" x14ac:dyDescent="0.2">
      <c r="A84" s="25" t="s">
        <v>205</v>
      </c>
      <c r="B84" s="26">
        <v>0.28870000000000001</v>
      </c>
      <c r="C84" s="26">
        <v>0.2717</v>
      </c>
      <c r="D84" s="26">
        <v>0.50979999999999992</v>
      </c>
      <c r="E84" s="37">
        <v>7.7300000000000008E-2</v>
      </c>
      <c r="F84" s="40">
        <v>0.14649999999999999</v>
      </c>
      <c r="G84" s="17"/>
      <c r="H84" s="41"/>
      <c r="I84" s="40">
        <v>0.18079999999999999</v>
      </c>
      <c r="J84" s="17"/>
      <c r="K84" s="41"/>
      <c r="L84" s="40">
        <v>0.10710000000000001</v>
      </c>
      <c r="M84" s="17"/>
      <c r="N84" s="41"/>
      <c r="O84" s="40">
        <v>2.4799999999999999E-2</v>
      </c>
      <c r="Q84" s="42"/>
      <c r="R84" s="40">
        <v>4.9200000000000001E-2</v>
      </c>
      <c r="T84" s="42"/>
      <c r="U84" s="40">
        <v>2.3799999999999998E-2</v>
      </c>
      <c r="W84" s="42"/>
      <c r="X84" s="40">
        <v>2.3E-2</v>
      </c>
      <c r="Z84" s="42"/>
      <c r="AA84" s="40">
        <v>8.0700000000000008E-2</v>
      </c>
      <c r="AC84" s="42"/>
      <c r="AD84" s="40">
        <v>2.4700000000000003E-2</v>
      </c>
      <c r="AF84" s="42"/>
      <c r="AG84" s="40">
        <v>4.8999999999999998E-3</v>
      </c>
      <c r="AI84" s="42"/>
      <c r="AJ84" s="40">
        <v>5.8999999999999999E-3</v>
      </c>
      <c r="AL84" s="42"/>
      <c r="AM84" s="40">
        <v>4.4000000000000003E-3</v>
      </c>
      <c r="AO84" s="42"/>
      <c r="AP84" s="40">
        <v>5.1999999999999998E-3</v>
      </c>
      <c r="AR84" s="42"/>
      <c r="AS84" s="40">
        <v>4.0899999999999999E-2</v>
      </c>
      <c r="AU84" s="42"/>
      <c r="AV84" s="40">
        <v>1.9E-2</v>
      </c>
      <c r="AX84" s="42"/>
      <c r="AY84" s="40">
        <v>2.2200000000000001E-2</v>
      </c>
      <c r="BA84" s="42"/>
      <c r="BB84" s="43"/>
      <c r="BD84" s="42"/>
      <c r="BE84" s="43"/>
      <c r="BG84" s="42"/>
      <c r="BH84" s="43"/>
      <c r="BJ84" s="42"/>
      <c r="BM84" s="42"/>
    </row>
    <row r="85" spans="1:65" x14ac:dyDescent="0.2">
      <c r="A85" s="25" t="s">
        <v>201</v>
      </c>
      <c r="B85" s="26">
        <v>0.32100000000000001</v>
      </c>
      <c r="C85" s="26">
        <v>0.32170000000000004</v>
      </c>
      <c r="D85" s="26">
        <v>0.45990000000000003</v>
      </c>
      <c r="E85" s="37">
        <v>6.4100000000000004E-2</v>
      </c>
      <c r="F85" s="40">
        <v>0.14510000000000001</v>
      </c>
      <c r="G85" s="17"/>
      <c r="H85" s="41"/>
      <c r="I85" s="40">
        <v>0.17430000000000001</v>
      </c>
      <c r="J85" s="17"/>
      <c r="K85" s="41"/>
      <c r="L85" s="40">
        <v>0.13470000000000001</v>
      </c>
      <c r="M85" s="17"/>
      <c r="N85" s="41"/>
      <c r="O85" s="40">
        <v>2.41E-2</v>
      </c>
      <c r="Q85" s="42"/>
      <c r="R85" s="40">
        <v>5.0499999999999996E-2</v>
      </c>
      <c r="T85" s="42"/>
      <c r="U85" s="40">
        <v>1.7399999999999999E-2</v>
      </c>
      <c r="W85" s="42"/>
      <c r="X85" s="40">
        <v>0.02</v>
      </c>
      <c r="Z85" s="42"/>
      <c r="AA85" s="40">
        <v>4.0500000000000001E-2</v>
      </c>
      <c r="AC85" s="42"/>
      <c r="AD85" s="40">
        <v>1.9E-2</v>
      </c>
      <c r="AF85" s="42"/>
      <c r="AG85" s="40">
        <v>5.1999999999999998E-3</v>
      </c>
      <c r="AI85" s="42"/>
      <c r="AJ85" s="40">
        <v>9.5999999999999992E-3</v>
      </c>
      <c r="AL85" s="42"/>
      <c r="AM85" s="40">
        <v>5.3E-3</v>
      </c>
      <c r="AO85" s="42"/>
      <c r="AP85" s="40">
        <v>2.5999999999999999E-3</v>
      </c>
      <c r="AR85" s="42"/>
      <c r="AS85" s="40">
        <v>1.8500000000000003E-2</v>
      </c>
      <c r="AU85" s="42"/>
      <c r="AV85" s="40">
        <v>2.06E-2</v>
      </c>
      <c r="AX85" s="42"/>
      <c r="AY85" s="40">
        <v>2.8000000000000001E-2</v>
      </c>
      <c r="BA85" s="42"/>
      <c r="BB85" s="43"/>
      <c r="BD85" s="42"/>
      <c r="BE85" s="43"/>
      <c r="BG85" s="42"/>
      <c r="BH85" s="43"/>
      <c r="BJ85" s="42"/>
      <c r="BM85" s="42"/>
    </row>
    <row r="86" spans="1:65" x14ac:dyDescent="0.2">
      <c r="A86" s="25" t="s">
        <v>197</v>
      </c>
      <c r="B86" s="26">
        <v>0.3221</v>
      </c>
      <c r="C86" s="26">
        <v>0.34960000000000002</v>
      </c>
      <c r="D86" s="26">
        <v>0.42799999999999999</v>
      </c>
      <c r="E86" s="37">
        <v>7.6499999999999999E-2</v>
      </c>
      <c r="F86" s="40">
        <v>0.13</v>
      </c>
      <c r="G86" s="17"/>
      <c r="H86" s="41"/>
      <c r="I86" s="40">
        <v>0.13140000000000002</v>
      </c>
      <c r="J86" s="17"/>
      <c r="K86" s="41"/>
      <c r="L86" s="40">
        <v>7.2700000000000001E-2</v>
      </c>
      <c r="M86" s="17"/>
      <c r="N86" s="41"/>
      <c r="O86" s="40">
        <v>2.3799999999999998E-2</v>
      </c>
      <c r="Q86" s="42"/>
      <c r="R86" s="40">
        <v>5.5999999999999994E-2</v>
      </c>
      <c r="T86" s="42"/>
      <c r="U86" s="40">
        <v>1.11E-2</v>
      </c>
      <c r="W86" s="42"/>
      <c r="X86" s="40">
        <v>5.9299999999999999E-2</v>
      </c>
      <c r="Z86" s="42"/>
      <c r="AA86" s="40">
        <v>4.1299999999999996E-2</v>
      </c>
      <c r="AC86" s="42"/>
      <c r="AD86" s="40">
        <v>2.1400000000000002E-2</v>
      </c>
      <c r="AF86" s="42"/>
      <c r="AG86" s="40">
        <v>5.3E-3</v>
      </c>
      <c r="AI86" s="42"/>
      <c r="AJ86" s="40">
        <v>1.0200000000000001E-2</v>
      </c>
      <c r="AL86" s="42"/>
      <c r="AM86" s="40">
        <v>8.5000000000000006E-3</v>
      </c>
      <c r="AO86" s="42"/>
      <c r="AP86" s="40">
        <v>2.2000000000000001E-3</v>
      </c>
      <c r="AR86" s="42"/>
      <c r="AS86" s="40">
        <v>3.73E-2</v>
      </c>
      <c r="AU86" s="42"/>
      <c r="AV86" s="40">
        <v>2.5000000000000001E-2</v>
      </c>
      <c r="AX86" s="42"/>
      <c r="AY86" s="40">
        <v>2.9899999999999999E-2</v>
      </c>
      <c r="BA86" s="42"/>
      <c r="BB86" s="43"/>
      <c r="BD86" s="42"/>
      <c r="BE86" s="43"/>
      <c r="BG86" s="42"/>
      <c r="BH86" s="43"/>
      <c r="BJ86" s="42"/>
      <c r="BM86" s="42"/>
    </row>
    <row r="87" spans="1:65" x14ac:dyDescent="0.2">
      <c r="A87" s="25" t="s">
        <v>194</v>
      </c>
      <c r="B87" s="26">
        <v>0.3639</v>
      </c>
      <c r="C87" s="26">
        <v>0.35299999999999998</v>
      </c>
      <c r="D87" s="26">
        <v>0.4022</v>
      </c>
      <c r="E87" s="37">
        <v>6.6600000000000006E-2</v>
      </c>
      <c r="F87" s="40">
        <v>0.1125</v>
      </c>
      <c r="G87" s="17"/>
      <c r="H87" s="41"/>
      <c r="I87" s="40">
        <v>0.13390000000000002</v>
      </c>
      <c r="J87" s="17"/>
      <c r="K87" s="41"/>
      <c r="L87" s="40">
        <v>0.11599999999999999</v>
      </c>
      <c r="M87" s="17"/>
      <c r="N87" s="41"/>
      <c r="O87" s="40">
        <v>2.5600000000000001E-2</v>
      </c>
      <c r="Q87" s="42"/>
      <c r="R87" s="40">
        <v>0.12130000000000001</v>
      </c>
      <c r="T87" s="42"/>
      <c r="U87" s="40">
        <v>1.3100000000000001E-2</v>
      </c>
      <c r="W87" s="42"/>
      <c r="X87" s="40">
        <v>2.7999999999999997E-2</v>
      </c>
      <c r="Z87" s="42"/>
      <c r="AA87" s="40">
        <v>4.4999999999999998E-2</v>
      </c>
      <c r="AC87" s="42"/>
      <c r="AD87" s="40">
        <v>1.2699999999999999E-2</v>
      </c>
      <c r="AF87" s="42"/>
      <c r="AG87" s="40">
        <v>7.0999999999999995E-3</v>
      </c>
      <c r="AI87" s="42"/>
      <c r="AJ87" s="40">
        <v>9.7999999999999997E-3</v>
      </c>
      <c r="AL87" s="42"/>
      <c r="AM87" s="40">
        <v>3.4000000000000002E-3</v>
      </c>
      <c r="AO87" s="42"/>
      <c r="AP87" s="40">
        <v>2.8000000000000004E-3</v>
      </c>
      <c r="AR87" s="42"/>
      <c r="AS87" s="40">
        <v>1.3899999999999999E-2</v>
      </c>
      <c r="AU87" s="42"/>
      <c r="AV87" s="40">
        <v>1.7100000000000001E-2</v>
      </c>
      <c r="AX87" s="42"/>
      <c r="AY87" s="40">
        <v>2.3300000000000001E-2</v>
      </c>
      <c r="BA87" s="42"/>
      <c r="BB87" s="43"/>
      <c r="BD87" s="42"/>
      <c r="BE87" s="43"/>
      <c r="BG87" s="42"/>
      <c r="BH87" s="43"/>
      <c r="BJ87" s="42"/>
      <c r="BM87" s="42"/>
    </row>
    <row r="88" spans="1:65" x14ac:dyDescent="0.2">
      <c r="A88" s="25" t="s">
        <v>191</v>
      </c>
      <c r="B88" s="26">
        <v>0.314</v>
      </c>
      <c r="C88" s="26">
        <v>0.28850000000000003</v>
      </c>
      <c r="D88" s="26">
        <v>0.44420000000000004</v>
      </c>
      <c r="E88" s="37">
        <v>8.1000000000000003E-2</v>
      </c>
      <c r="F88" s="40">
        <v>0.11599999999999999</v>
      </c>
      <c r="G88" s="17"/>
      <c r="H88" s="41"/>
      <c r="I88" s="40">
        <v>0.17800000000000002</v>
      </c>
      <c r="J88" s="17"/>
      <c r="K88" s="41"/>
      <c r="L88" s="40">
        <v>9.0800000000000006E-2</v>
      </c>
      <c r="M88" s="17"/>
      <c r="N88" s="41"/>
      <c r="O88" s="40">
        <v>2.69E-2</v>
      </c>
      <c r="Q88" s="42"/>
      <c r="R88" s="40">
        <v>4.3099999999999999E-2</v>
      </c>
      <c r="T88" s="42"/>
      <c r="U88" s="40">
        <v>1.2800000000000001E-2</v>
      </c>
      <c r="W88" s="42"/>
      <c r="X88" s="40">
        <v>2.1000000000000001E-2</v>
      </c>
      <c r="Z88" s="42"/>
      <c r="AA88" s="40">
        <v>5.0900000000000001E-2</v>
      </c>
      <c r="AC88" s="42"/>
      <c r="AD88" s="40">
        <v>2.0499999999999997E-2</v>
      </c>
      <c r="AF88" s="42"/>
      <c r="AG88" s="40">
        <v>8.3000000000000001E-3</v>
      </c>
      <c r="AI88" s="42"/>
      <c r="AJ88" s="40">
        <v>2.18E-2</v>
      </c>
      <c r="AL88" s="42"/>
      <c r="AM88" s="40">
        <v>4.3E-3</v>
      </c>
      <c r="AO88" s="42"/>
      <c r="AP88" s="40">
        <v>2.2000000000000001E-3</v>
      </c>
      <c r="AR88" s="42"/>
      <c r="AS88" s="40">
        <v>1.1200000000000002E-2</v>
      </c>
      <c r="AU88" s="42"/>
      <c r="AV88" s="40">
        <v>2.7900000000000001E-2</v>
      </c>
      <c r="AX88" s="42"/>
      <c r="AY88" s="40">
        <v>2.8299999999999999E-2</v>
      </c>
      <c r="BA88" s="42"/>
      <c r="BB88" s="43"/>
      <c r="BD88" s="42"/>
      <c r="BE88" s="43"/>
      <c r="BG88" s="42"/>
      <c r="BH88" s="43"/>
      <c r="BJ88" s="42"/>
      <c r="BM88" s="42"/>
    </row>
    <row r="89" spans="1:65" x14ac:dyDescent="0.2">
      <c r="A89" s="25" t="s">
        <v>123</v>
      </c>
      <c r="B89" s="26">
        <v>0.3569</v>
      </c>
      <c r="C89" s="26">
        <v>0.35820000000000002</v>
      </c>
      <c r="D89" s="26">
        <v>0.42159999999999997</v>
      </c>
      <c r="E89" s="37">
        <v>6.6699999999999995E-2</v>
      </c>
      <c r="F89" s="40">
        <v>0.1802</v>
      </c>
      <c r="G89" s="17"/>
      <c r="H89" s="41"/>
      <c r="I89" s="40">
        <v>0.1134</v>
      </c>
      <c r="J89" s="17"/>
      <c r="K89" s="41"/>
      <c r="L89" s="40">
        <v>0.1134</v>
      </c>
      <c r="M89" s="17"/>
      <c r="N89" s="41"/>
      <c r="O89" s="40">
        <v>2.5899999999999999E-2</v>
      </c>
      <c r="Q89" s="42"/>
      <c r="R89" s="40">
        <v>3.95E-2</v>
      </c>
      <c r="T89" s="42"/>
      <c r="U89" s="40">
        <v>1.2699999999999999E-2</v>
      </c>
      <c r="W89" s="42"/>
      <c r="X89" s="40">
        <v>1.9099999999999999E-2</v>
      </c>
      <c r="Z89" s="42"/>
      <c r="AA89" s="40">
        <v>5.6100000000000004E-2</v>
      </c>
      <c r="AC89" s="42"/>
      <c r="AD89" s="40">
        <v>1.46E-2</v>
      </c>
      <c r="AF89" s="42"/>
      <c r="AG89" s="40">
        <v>5.1999999999999998E-3</v>
      </c>
      <c r="AI89" s="42"/>
      <c r="AJ89" s="40">
        <v>1.0200000000000001E-2</v>
      </c>
      <c r="AL89" s="42"/>
      <c r="AM89" s="40">
        <v>3.8E-3</v>
      </c>
      <c r="AO89" s="42"/>
      <c r="AP89" s="40">
        <v>2E-3</v>
      </c>
      <c r="AR89" s="42"/>
      <c r="AS89" s="40">
        <v>1.77E-2</v>
      </c>
      <c r="AU89" s="42"/>
      <c r="AV89" s="40">
        <v>2.3599999999999999E-2</v>
      </c>
      <c r="AX89" s="42"/>
      <c r="AY89" s="40">
        <v>2.12E-2</v>
      </c>
      <c r="BA89" s="42"/>
      <c r="BB89" s="43"/>
      <c r="BD89" s="42"/>
      <c r="BE89" s="43"/>
      <c r="BG89" s="42"/>
      <c r="BH89" s="43"/>
      <c r="BJ89" s="42"/>
      <c r="BM89" s="42"/>
    </row>
    <row r="90" spans="1:65" x14ac:dyDescent="0.2">
      <c r="A90" s="25" t="s">
        <v>122</v>
      </c>
      <c r="B90" s="26">
        <v>0.30159999999999998</v>
      </c>
      <c r="C90" s="26">
        <v>0.25370000000000004</v>
      </c>
      <c r="D90" s="26">
        <v>0.41840000000000005</v>
      </c>
      <c r="E90" s="37">
        <v>0.11699999999999999</v>
      </c>
      <c r="F90" s="40">
        <v>0.1174</v>
      </c>
      <c r="G90" s="17"/>
      <c r="H90" s="41"/>
      <c r="I90" s="40">
        <v>9.4499999999999987E-2</v>
      </c>
      <c r="J90" s="17"/>
      <c r="K90" s="41"/>
      <c r="L90" s="40">
        <v>0.1047</v>
      </c>
      <c r="M90" s="17"/>
      <c r="N90" s="41"/>
      <c r="O90" s="40">
        <v>2.64E-2</v>
      </c>
      <c r="Q90" s="42"/>
      <c r="R90" s="40">
        <v>4.9500000000000002E-2</v>
      </c>
      <c r="T90" s="42"/>
      <c r="U90" s="40">
        <v>1.4800000000000001E-2</v>
      </c>
      <c r="W90" s="42"/>
      <c r="X90" s="40">
        <v>3.0299999999999997E-2</v>
      </c>
      <c r="Z90" s="42"/>
      <c r="AA90" s="40">
        <v>7.51E-2</v>
      </c>
      <c r="AC90" s="42"/>
      <c r="AD90" s="40">
        <v>2.3199999999999998E-2</v>
      </c>
      <c r="AF90" s="42"/>
      <c r="AG90" s="40">
        <v>8.0000000000000002E-3</v>
      </c>
      <c r="AI90" s="42"/>
      <c r="AJ90" s="40">
        <v>5.3E-3</v>
      </c>
      <c r="AL90" s="42"/>
      <c r="AM90" s="40">
        <v>5.1999999999999998E-3</v>
      </c>
      <c r="AO90" s="42"/>
      <c r="AP90" s="40">
        <v>2.3999999999999998E-3</v>
      </c>
      <c r="AR90" s="42"/>
      <c r="AS90" s="40">
        <v>1.5600000000000001E-2</v>
      </c>
      <c r="AU90" s="42"/>
      <c r="AV90" s="40">
        <v>2.0199999999999999E-2</v>
      </c>
      <c r="AX90" s="42"/>
      <c r="AY90" s="40">
        <v>3.27E-2</v>
      </c>
      <c r="BA90" s="42"/>
      <c r="BB90" s="43"/>
      <c r="BD90" s="42"/>
      <c r="BE90" s="43"/>
      <c r="BG90" s="42"/>
      <c r="BH90" s="43"/>
      <c r="BJ90" s="42"/>
      <c r="BM90" s="42"/>
    </row>
    <row r="91" spans="1:65" x14ac:dyDescent="0.2">
      <c r="A91" s="25" t="s">
        <v>121</v>
      </c>
      <c r="B91" s="26">
        <v>0.36170000000000002</v>
      </c>
      <c r="C91" s="26">
        <v>0.35920000000000002</v>
      </c>
      <c r="D91" s="26">
        <v>0.3962</v>
      </c>
      <c r="E91" s="37">
        <v>6.8000000000000005E-2</v>
      </c>
      <c r="F91" s="40">
        <v>0.16239999999999999</v>
      </c>
      <c r="G91" s="17"/>
      <c r="H91" s="41"/>
      <c r="I91" s="40">
        <v>0.12210000000000001</v>
      </c>
      <c r="J91" s="17"/>
      <c r="K91" s="41"/>
      <c r="L91" s="40">
        <v>0.1023</v>
      </c>
      <c r="M91" s="17"/>
      <c r="N91" s="41"/>
      <c r="O91" s="40">
        <v>2.64E-2</v>
      </c>
      <c r="Q91" s="42"/>
      <c r="R91" s="40">
        <v>5.8200000000000002E-2</v>
      </c>
      <c r="T91" s="42"/>
      <c r="U91" s="40">
        <v>1.1200000000000002E-2</v>
      </c>
      <c r="W91" s="42"/>
      <c r="X91" s="40">
        <v>1.7899999999999999E-2</v>
      </c>
      <c r="Z91" s="42"/>
      <c r="AA91" s="40">
        <v>4.8300000000000003E-2</v>
      </c>
      <c r="AC91" s="42"/>
      <c r="AD91" s="40">
        <v>1.66E-2</v>
      </c>
      <c r="AF91" s="42"/>
      <c r="AG91" s="40">
        <v>4.0000000000000001E-3</v>
      </c>
      <c r="AI91" s="42"/>
      <c r="AJ91" s="40">
        <v>4.5999999999999999E-3</v>
      </c>
      <c r="AL91" s="42"/>
      <c r="AM91" s="40">
        <v>3.0999999999999999E-3</v>
      </c>
      <c r="AO91" s="42"/>
      <c r="AP91" s="40">
        <v>2.3999999999999998E-3</v>
      </c>
      <c r="AR91" s="42"/>
      <c r="AS91" s="40">
        <v>1.5900000000000001E-2</v>
      </c>
      <c r="AU91" s="42"/>
      <c r="AV91" s="40">
        <v>3.7499999999999999E-2</v>
      </c>
      <c r="AX91" s="42"/>
      <c r="AY91" s="40">
        <v>2.1399999999999999E-2</v>
      </c>
      <c r="BA91" s="42"/>
      <c r="BB91" s="43"/>
      <c r="BD91" s="42"/>
      <c r="BE91" s="43"/>
      <c r="BG91" s="42"/>
      <c r="BH91" s="43"/>
      <c r="BJ91" s="42"/>
      <c r="BM91" s="42"/>
    </row>
    <row r="92" spans="1:65" x14ac:dyDescent="0.2">
      <c r="A92" s="25" t="s">
        <v>120</v>
      </c>
      <c r="B92" s="26">
        <v>0.30879999999999996</v>
      </c>
      <c r="C92" s="26">
        <v>0.31</v>
      </c>
      <c r="D92" s="26">
        <v>0.4592</v>
      </c>
      <c r="E92" s="37">
        <v>6.4600000000000005E-2</v>
      </c>
      <c r="F92" s="40">
        <v>0.11320000000000001</v>
      </c>
      <c r="G92" s="17"/>
      <c r="H92" s="41"/>
      <c r="I92" s="40">
        <v>0.14760000000000001</v>
      </c>
      <c r="J92" s="17"/>
      <c r="K92" s="41"/>
      <c r="L92" s="40">
        <v>0.12759999999999999</v>
      </c>
      <c r="M92" s="17"/>
      <c r="N92" s="41"/>
      <c r="O92" s="40">
        <v>2.1000000000000001E-2</v>
      </c>
      <c r="Q92" s="42"/>
      <c r="R92" s="40">
        <v>4.1399999999999999E-2</v>
      </c>
      <c r="T92" s="42"/>
      <c r="U92" s="40">
        <v>1.4199999999999999E-2</v>
      </c>
      <c r="W92" s="42"/>
      <c r="X92" s="40">
        <v>1.8799999999999997E-2</v>
      </c>
      <c r="Z92" s="42"/>
      <c r="AA92" s="40">
        <v>6.3200000000000006E-2</v>
      </c>
      <c r="AC92" s="42"/>
      <c r="AD92" s="40">
        <v>1.8100000000000002E-2</v>
      </c>
      <c r="AF92" s="42"/>
      <c r="AG92" s="40">
        <v>4.6999999999999993E-3</v>
      </c>
      <c r="AI92" s="42"/>
      <c r="AJ92" s="40">
        <v>4.1999999999999997E-3</v>
      </c>
      <c r="AL92" s="42"/>
      <c r="AM92" s="40">
        <v>3.0000000000000001E-3</v>
      </c>
      <c r="AO92" s="42"/>
      <c r="AP92" s="40">
        <v>3.0999999999999999E-3</v>
      </c>
      <c r="AR92" s="42"/>
      <c r="AS92" s="40">
        <v>2.7300000000000001E-2</v>
      </c>
      <c r="AU92" s="42"/>
      <c r="AV92" s="40">
        <v>1.78E-2</v>
      </c>
      <c r="AX92" s="42"/>
      <c r="AY92" s="40">
        <v>2.4799999999999999E-2</v>
      </c>
      <c r="BA92" s="42"/>
      <c r="BB92" s="43"/>
      <c r="BD92" s="42"/>
      <c r="BE92" s="43"/>
      <c r="BG92" s="42"/>
      <c r="BH92" s="43"/>
      <c r="BJ92" s="42"/>
      <c r="BM92" s="42"/>
    </row>
    <row r="93" spans="1:65" x14ac:dyDescent="0.2">
      <c r="A93" s="25" t="s">
        <v>119</v>
      </c>
      <c r="B93" s="26">
        <v>0.34990000000000004</v>
      </c>
      <c r="C93" s="26">
        <v>0.32369999999999999</v>
      </c>
      <c r="D93" s="26">
        <v>0.45140000000000002</v>
      </c>
      <c r="E93" s="37">
        <v>6.3299999999999995E-2</v>
      </c>
      <c r="F93" s="40">
        <v>0.10980000000000001</v>
      </c>
      <c r="G93" s="17"/>
      <c r="H93" s="41"/>
      <c r="I93" s="40">
        <v>0.14730000000000001</v>
      </c>
      <c r="J93" s="17"/>
      <c r="K93" s="41"/>
      <c r="L93" s="40">
        <v>9.9900000000000003E-2</v>
      </c>
      <c r="M93" s="17"/>
      <c r="N93" s="41"/>
      <c r="O93" s="40">
        <v>2.7300000000000001E-2</v>
      </c>
      <c r="Q93" s="42"/>
      <c r="R93" s="40">
        <v>7.3399999999999993E-2</v>
      </c>
      <c r="T93" s="42"/>
      <c r="U93" s="40">
        <v>1.9599999999999999E-2</v>
      </c>
      <c r="W93" s="42"/>
      <c r="X93" s="40">
        <v>0.04</v>
      </c>
      <c r="Z93" s="42"/>
      <c r="AA93" s="40">
        <v>5.2400000000000002E-2</v>
      </c>
      <c r="AC93" s="42"/>
      <c r="AD93" s="40">
        <v>1.5300000000000001E-2</v>
      </c>
      <c r="AF93" s="42"/>
      <c r="AG93" s="40">
        <v>3.8E-3</v>
      </c>
      <c r="AI93" s="42"/>
      <c r="AJ93" s="40">
        <v>4.4000000000000003E-3</v>
      </c>
      <c r="AL93" s="42"/>
      <c r="AM93" s="40">
        <v>4.5999999999999999E-3</v>
      </c>
      <c r="AO93" s="42"/>
      <c r="AP93" s="40">
        <v>3.7000000000000002E-3</v>
      </c>
      <c r="AR93" s="42"/>
      <c r="AS93" s="40">
        <v>1.9299999999999998E-2</v>
      </c>
      <c r="AU93" s="42"/>
      <c r="AV93" s="40">
        <v>2.6000000000000002E-2</v>
      </c>
      <c r="AX93" s="42"/>
      <c r="AY93" s="40">
        <v>3.4599999999999999E-2</v>
      </c>
      <c r="BA93" s="42"/>
      <c r="BB93" s="43"/>
      <c r="BD93" s="42"/>
      <c r="BE93" s="43"/>
      <c r="BG93" s="42"/>
      <c r="BH93" s="43"/>
      <c r="BJ93" s="42"/>
      <c r="BM93" s="42"/>
    </row>
    <row r="94" spans="1:65" x14ac:dyDescent="0.2">
      <c r="A94" s="25" t="s">
        <v>141</v>
      </c>
      <c r="B94" s="26">
        <v>0.2712</v>
      </c>
      <c r="C94" s="26">
        <v>0.26640000000000003</v>
      </c>
      <c r="D94" s="26">
        <v>0.48020000000000002</v>
      </c>
      <c r="E94" s="37">
        <v>9.1799999999999993E-2</v>
      </c>
      <c r="F94" s="40">
        <v>0.11720000000000001</v>
      </c>
      <c r="G94" s="17"/>
      <c r="H94" s="41"/>
      <c r="I94" s="40">
        <v>0.1283</v>
      </c>
      <c r="J94" s="17"/>
      <c r="K94" s="41"/>
      <c r="L94" s="40">
        <v>0.16440000000000002</v>
      </c>
      <c r="M94" s="17"/>
      <c r="N94" s="41"/>
      <c r="O94" s="40">
        <v>3.0299999999999997E-2</v>
      </c>
      <c r="Q94" s="42"/>
      <c r="R94" s="40">
        <v>3.9399999999999998E-2</v>
      </c>
      <c r="T94" s="42"/>
      <c r="U94" s="40">
        <v>2.1099999999999997E-2</v>
      </c>
      <c r="W94" s="42"/>
      <c r="X94" s="40">
        <v>1.7299999999999999E-2</v>
      </c>
      <c r="Z94" s="42"/>
      <c r="AA94" s="40">
        <v>5.3899999999999997E-2</v>
      </c>
      <c r="AC94" s="42"/>
      <c r="AD94" s="40">
        <v>2.1099999999999997E-2</v>
      </c>
      <c r="AF94" s="42"/>
      <c r="AG94" s="40">
        <v>4.3E-3</v>
      </c>
      <c r="AI94" s="42"/>
      <c r="AJ94" s="40">
        <v>4.3E-3</v>
      </c>
      <c r="AL94" s="42"/>
      <c r="AM94" s="40">
        <v>3.2000000000000002E-3</v>
      </c>
      <c r="AO94" s="42"/>
      <c r="AP94" s="40">
        <v>6.8000000000000005E-3</v>
      </c>
      <c r="AR94" s="42"/>
      <c r="AS94" s="40">
        <v>2.5600000000000001E-2</v>
      </c>
      <c r="AU94" s="42"/>
      <c r="AV94" s="40">
        <v>2.1099999999999997E-2</v>
      </c>
      <c r="AX94" s="42"/>
      <c r="AY94" s="40">
        <v>5.3900000000000003E-2</v>
      </c>
      <c r="BA94" s="42"/>
      <c r="BB94" s="43"/>
      <c r="BD94" s="42"/>
      <c r="BE94" s="43"/>
      <c r="BG94" s="42"/>
      <c r="BH94" s="43"/>
      <c r="BJ94" s="42"/>
      <c r="BM94" s="42"/>
    </row>
    <row r="95" spans="1:65" x14ac:dyDescent="0.2">
      <c r="A95" s="25" t="s">
        <v>142</v>
      </c>
      <c r="B95" s="26">
        <v>0.34570000000000001</v>
      </c>
      <c r="C95" s="26">
        <v>0.34049999999999997</v>
      </c>
      <c r="D95" s="26">
        <v>0.435</v>
      </c>
      <c r="E95" s="37">
        <v>5.7000000000000002E-2</v>
      </c>
      <c r="F95" s="40">
        <v>0.15810000000000002</v>
      </c>
      <c r="G95" s="17"/>
      <c r="H95" s="41"/>
      <c r="I95" s="40">
        <v>0.10949999999999999</v>
      </c>
      <c r="J95" s="17"/>
      <c r="K95" s="41"/>
      <c r="L95" s="40">
        <v>0.106</v>
      </c>
      <c r="M95" s="17"/>
      <c r="N95" s="41"/>
      <c r="O95" s="40">
        <v>2.6000000000000002E-2</v>
      </c>
      <c r="Q95" s="42"/>
      <c r="R95" s="40">
        <v>6.9500000000000006E-2</v>
      </c>
      <c r="T95" s="42"/>
      <c r="U95" s="40">
        <v>1.34E-2</v>
      </c>
      <c r="W95" s="42"/>
      <c r="X95" s="40">
        <v>1.95E-2</v>
      </c>
      <c r="Z95" s="42"/>
      <c r="AA95" s="40">
        <v>7.9000000000000001E-2</v>
      </c>
      <c r="AC95" s="42"/>
      <c r="AD95" s="40">
        <v>1.72E-2</v>
      </c>
      <c r="AF95" s="42"/>
      <c r="AG95" s="40">
        <v>6.3E-3</v>
      </c>
      <c r="AI95" s="42"/>
      <c r="AJ95" s="40">
        <v>7.0999999999999995E-3</v>
      </c>
      <c r="AL95" s="42"/>
      <c r="AM95" s="40">
        <v>1.9E-3</v>
      </c>
      <c r="AO95" s="42"/>
      <c r="AP95" s="40">
        <v>6.6E-3</v>
      </c>
      <c r="AR95" s="42"/>
      <c r="AS95" s="40">
        <v>2.87E-2</v>
      </c>
      <c r="AU95" s="42"/>
      <c r="AV95" s="40">
        <v>1.7500000000000002E-2</v>
      </c>
      <c r="AX95" s="42"/>
      <c r="AY95" s="40">
        <v>3.1E-2</v>
      </c>
      <c r="BA95" s="42"/>
      <c r="BB95" s="43"/>
      <c r="BD95" s="42"/>
      <c r="BE95" s="43"/>
      <c r="BG95" s="42"/>
      <c r="BH95" s="43"/>
      <c r="BJ95" s="42"/>
      <c r="BM95" s="42"/>
    </row>
    <row r="96" spans="1:65" x14ac:dyDescent="0.2">
      <c r="A96" s="25" t="s">
        <v>143</v>
      </c>
      <c r="B96" s="26">
        <v>0.30380000000000001</v>
      </c>
      <c r="C96" s="26">
        <v>0.27960000000000002</v>
      </c>
      <c r="D96" s="26">
        <v>0.50649999999999995</v>
      </c>
      <c r="E96" s="37">
        <v>5.33E-2</v>
      </c>
      <c r="F96" s="40">
        <v>0.2072</v>
      </c>
      <c r="G96" s="17"/>
      <c r="H96" s="41"/>
      <c r="I96" s="40">
        <v>0.161</v>
      </c>
      <c r="J96" s="17"/>
      <c r="K96" s="41"/>
      <c r="L96" s="40">
        <v>0.13339999999999999</v>
      </c>
      <c r="M96" s="17"/>
      <c r="N96" s="41"/>
      <c r="O96" s="40">
        <v>1.8100000000000002E-2</v>
      </c>
      <c r="Q96" s="42"/>
      <c r="R96" s="40">
        <v>4.0399999999999998E-2</v>
      </c>
      <c r="T96" s="42"/>
      <c r="U96" s="40">
        <v>2.0199999999999999E-2</v>
      </c>
      <c r="W96" s="42"/>
      <c r="X96" s="40">
        <v>1.84E-2</v>
      </c>
      <c r="Z96" s="42"/>
      <c r="AA96" s="40">
        <v>6.0599999999999994E-2</v>
      </c>
      <c r="AC96" s="42"/>
      <c r="AD96" s="40">
        <v>1.9299999999999998E-2</v>
      </c>
      <c r="AE96" s="26"/>
      <c r="AF96" s="37"/>
      <c r="AG96" s="40">
        <v>5.4000000000000003E-3</v>
      </c>
      <c r="AI96" s="42"/>
      <c r="AJ96" s="40">
        <v>3.4999999999999996E-3</v>
      </c>
      <c r="AL96" s="42"/>
      <c r="AM96" s="40">
        <v>2.3E-3</v>
      </c>
      <c r="AO96" s="42"/>
      <c r="AP96" s="40">
        <v>5.3E-3</v>
      </c>
      <c r="AR96" s="42"/>
      <c r="AS96" s="40">
        <v>1.6399999999999998E-2</v>
      </c>
      <c r="AU96" s="42"/>
      <c r="AV96" s="40">
        <v>2.3199999999999998E-2</v>
      </c>
      <c r="AX96" s="42"/>
      <c r="AY96" s="40"/>
      <c r="BA96" s="42"/>
      <c r="BB96" s="43"/>
      <c r="BD96" s="42"/>
      <c r="BE96" s="43"/>
      <c r="BG96" s="42"/>
      <c r="BH96" s="43"/>
      <c r="BJ96" s="42"/>
      <c r="BM96" s="42"/>
    </row>
    <row r="97" spans="1:65" x14ac:dyDescent="0.2">
      <c r="A97" s="25" t="s">
        <v>144</v>
      </c>
      <c r="B97" s="26">
        <v>0.30079999999999996</v>
      </c>
      <c r="C97" s="26">
        <v>0.2732</v>
      </c>
      <c r="D97" s="26">
        <v>0.54239999999999999</v>
      </c>
      <c r="E97" s="37">
        <v>5.5E-2</v>
      </c>
      <c r="F97" s="40">
        <v>0.18079999999999999</v>
      </c>
      <c r="G97" s="17"/>
      <c r="H97" s="41"/>
      <c r="I97" s="40">
        <v>0.19640000000000002</v>
      </c>
      <c r="J97" s="17"/>
      <c r="K97" s="41"/>
      <c r="L97" s="40">
        <v>0.1457</v>
      </c>
      <c r="M97" s="17"/>
      <c r="N97" s="41"/>
      <c r="O97" s="40">
        <v>2.2200000000000001E-2</v>
      </c>
      <c r="Q97" s="42"/>
      <c r="R97" s="40">
        <v>4.9599999999999998E-2</v>
      </c>
      <c r="T97" s="42"/>
      <c r="U97" s="40">
        <v>3.2400000000000005E-2</v>
      </c>
      <c r="W97" s="42"/>
      <c r="X97" s="40">
        <v>3.1300000000000001E-2</v>
      </c>
      <c r="Z97" s="42"/>
      <c r="AA97" s="40">
        <v>5.45E-2</v>
      </c>
      <c r="AC97" s="42"/>
      <c r="AD97" s="40">
        <v>1.9699999999999999E-2</v>
      </c>
      <c r="AE97" s="26"/>
      <c r="AF97" s="37"/>
      <c r="AG97" s="40">
        <v>4.5000000000000005E-3</v>
      </c>
      <c r="AI97" s="42"/>
      <c r="AJ97" s="40">
        <v>4.3E-3</v>
      </c>
      <c r="AL97" s="42"/>
      <c r="AM97" s="40">
        <v>2.7000000000000001E-3</v>
      </c>
      <c r="AO97" s="42"/>
      <c r="AP97" s="40">
        <v>3.2000000000000002E-3</v>
      </c>
      <c r="AR97" s="42"/>
      <c r="AS97" s="40">
        <v>1.8799999999999997E-2</v>
      </c>
      <c r="AU97" s="42"/>
      <c r="AV97" s="40">
        <v>2.1600000000000001E-2</v>
      </c>
      <c r="AX97" s="42"/>
      <c r="AY97" s="40"/>
      <c r="BA97" s="42"/>
      <c r="BB97" s="43"/>
      <c r="BD97" s="42"/>
      <c r="BE97" s="43"/>
      <c r="BG97" s="42"/>
      <c r="BH97" s="43"/>
      <c r="BJ97" s="42"/>
      <c r="BM97" s="42"/>
    </row>
    <row r="98" spans="1:65" x14ac:dyDescent="0.2">
      <c r="A98" s="25" t="s">
        <v>145</v>
      </c>
      <c r="B98" s="26">
        <v>0.3856</v>
      </c>
      <c r="C98" s="26">
        <v>0.3579</v>
      </c>
      <c r="D98" s="26">
        <v>0.37409999999999999</v>
      </c>
      <c r="E98" s="37">
        <v>6.5599999999999992E-2</v>
      </c>
      <c r="F98" s="40">
        <v>0.27649999999999997</v>
      </c>
      <c r="G98" s="17"/>
      <c r="H98" s="41"/>
      <c r="I98" s="40">
        <v>0.11710000000000001</v>
      </c>
      <c r="J98" s="17"/>
      <c r="K98" s="41"/>
      <c r="L98" s="40">
        <v>9.6099999999999991E-2</v>
      </c>
      <c r="M98" s="17"/>
      <c r="N98" s="41"/>
      <c r="O98" s="40">
        <v>2.0499999999999997E-2</v>
      </c>
      <c r="Q98" s="42"/>
      <c r="R98" s="40">
        <v>4.0999999999999995E-2</v>
      </c>
      <c r="T98" s="42"/>
      <c r="U98" s="40">
        <v>1.9799999999999998E-2</v>
      </c>
      <c r="W98" s="42"/>
      <c r="X98" s="40">
        <v>2.0199999999999999E-2</v>
      </c>
      <c r="Z98" s="42"/>
      <c r="AA98" s="40">
        <v>6.1799999999999994E-2</v>
      </c>
      <c r="AC98" s="42"/>
      <c r="AD98" s="40">
        <v>2.1099999999999997E-2</v>
      </c>
      <c r="AE98" s="26"/>
      <c r="AF98" s="37"/>
      <c r="AG98" s="40">
        <v>4.5000000000000005E-3</v>
      </c>
      <c r="AI98" s="42"/>
      <c r="AJ98" s="40">
        <v>4.6999999999999993E-3</v>
      </c>
      <c r="AL98" s="42"/>
      <c r="AM98" s="40">
        <v>2.2000000000000001E-3</v>
      </c>
      <c r="AO98" s="42"/>
      <c r="AP98" s="40">
        <v>4.0000000000000001E-3</v>
      </c>
      <c r="AR98" s="42"/>
      <c r="AS98" s="40">
        <v>1.5300000000000001E-2</v>
      </c>
      <c r="AU98" s="42"/>
      <c r="AV98" s="40">
        <v>8.1000000000000013E-3</v>
      </c>
      <c r="AX98" s="42"/>
      <c r="AY98" s="40"/>
      <c r="BA98" s="42"/>
      <c r="BB98" s="43"/>
      <c r="BD98" s="42"/>
      <c r="BE98" s="43"/>
      <c r="BG98" s="42"/>
      <c r="BH98" s="43"/>
      <c r="BJ98" s="42"/>
      <c r="BM98" s="42"/>
    </row>
    <row r="99" spans="1:65" x14ac:dyDescent="0.2">
      <c r="A99" s="25" t="s">
        <v>146</v>
      </c>
      <c r="B99" s="26">
        <v>0.2697</v>
      </c>
      <c r="C99" s="26">
        <v>0.27779999999999999</v>
      </c>
      <c r="D99" s="26">
        <v>0.48100000000000004</v>
      </c>
      <c r="E99" s="37">
        <v>4.6399999999999997E-2</v>
      </c>
      <c r="F99" s="40">
        <v>0.2029</v>
      </c>
      <c r="G99" s="17"/>
      <c r="H99" s="41"/>
      <c r="I99" s="40">
        <v>0.1399</v>
      </c>
      <c r="J99" s="17"/>
      <c r="K99" s="41"/>
      <c r="L99" s="40">
        <v>0.2014</v>
      </c>
      <c r="M99" s="17"/>
      <c r="N99" s="41"/>
      <c r="O99" s="40">
        <v>2.1299999999999999E-2</v>
      </c>
      <c r="Q99" s="42"/>
      <c r="R99" s="40">
        <v>3.85E-2</v>
      </c>
      <c r="T99" s="42"/>
      <c r="U99" s="40">
        <v>2.6499999999999999E-2</v>
      </c>
      <c r="W99" s="42"/>
      <c r="X99" s="40">
        <v>1.3000000000000001E-2</v>
      </c>
      <c r="Z99" s="42"/>
      <c r="AA99" s="40">
        <v>4.3200000000000002E-2</v>
      </c>
      <c r="AC99" s="42"/>
      <c r="AD99" s="40">
        <v>1.6E-2</v>
      </c>
      <c r="AE99" s="26"/>
      <c r="AF99" s="37"/>
      <c r="AG99" s="40">
        <v>4.0000000000000001E-3</v>
      </c>
      <c r="AI99" s="42"/>
      <c r="AJ99" s="40">
        <v>3.3E-3</v>
      </c>
      <c r="AL99" s="42"/>
      <c r="AM99" s="40">
        <v>1.6000000000000001E-3</v>
      </c>
      <c r="AO99" s="42"/>
      <c r="AP99" s="40">
        <v>3.8E-3</v>
      </c>
      <c r="AR99" s="42"/>
      <c r="AS99" s="40">
        <v>1.46E-2</v>
      </c>
      <c r="AU99" s="42"/>
      <c r="AV99" s="40">
        <v>1.1399999999999999E-2</v>
      </c>
      <c r="AX99" s="42"/>
      <c r="AY99" s="40"/>
      <c r="BA99" s="42"/>
      <c r="BB99" s="43"/>
      <c r="BD99" s="42"/>
      <c r="BE99" s="43"/>
      <c r="BG99" s="42"/>
      <c r="BH99" s="43"/>
      <c r="BJ99" s="42"/>
      <c r="BM99" s="42"/>
    </row>
    <row r="100" spans="1:65" x14ac:dyDescent="0.2">
      <c r="A100" s="25" t="s">
        <v>147</v>
      </c>
      <c r="B100" s="26">
        <v>0.27279999999999999</v>
      </c>
      <c r="C100" s="26">
        <v>0.27679999999999999</v>
      </c>
      <c r="D100" s="26">
        <v>0.39549999999999996</v>
      </c>
      <c r="E100" s="37">
        <v>6.0700000000000004E-2</v>
      </c>
      <c r="F100" s="40">
        <v>0.1946</v>
      </c>
      <c r="G100" s="17"/>
      <c r="H100" s="41"/>
      <c r="I100" s="40">
        <v>8.5199999999999998E-2</v>
      </c>
      <c r="J100" s="17"/>
      <c r="K100" s="41"/>
      <c r="L100" s="40">
        <v>0.1011</v>
      </c>
      <c r="M100" s="17"/>
      <c r="N100" s="41"/>
      <c r="O100" s="40">
        <v>4.4500000000000005E-2</v>
      </c>
      <c r="Q100" s="42"/>
      <c r="R100" s="40">
        <v>4.4600000000000001E-2</v>
      </c>
      <c r="T100" s="42"/>
      <c r="U100" s="40">
        <v>3.5900000000000001E-2</v>
      </c>
      <c r="W100" s="42"/>
      <c r="X100" s="40">
        <v>1.61E-2</v>
      </c>
      <c r="Z100" s="42"/>
      <c r="AA100" s="40">
        <v>4.41E-2</v>
      </c>
      <c r="AC100" s="42"/>
      <c r="AD100" s="40">
        <v>3.0699999999999998E-2</v>
      </c>
      <c r="AE100" s="26"/>
      <c r="AF100" s="37"/>
      <c r="AG100" s="40">
        <v>5.8999999999999999E-3</v>
      </c>
      <c r="AI100" s="42"/>
      <c r="AJ100" s="40">
        <v>3.5999999999999999E-3</v>
      </c>
      <c r="AL100" s="42"/>
      <c r="AM100" s="40">
        <v>2.2000000000000001E-3</v>
      </c>
      <c r="AO100" s="42"/>
      <c r="AP100" s="40">
        <v>3.3E-3</v>
      </c>
      <c r="AR100" s="42"/>
      <c r="AS100" s="40">
        <v>1.5600000000000001E-2</v>
      </c>
      <c r="AU100" s="42"/>
      <c r="AV100" s="40">
        <v>1.23E-2</v>
      </c>
      <c r="AX100" s="42"/>
      <c r="AY100" s="40"/>
      <c r="BA100" s="42"/>
      <c r="BB100" s="43"/>
      <c r="BD100" s="42"/>
      <c r="BE100" s="43"/>
      <c r="BG100" s="42"/>
      <c r="BH100" s="43"/>
      <c r="BJ100" s="42"/>
      <c r="BM100" s="42"/>
    </row>
    <row r="101" spans="1:65" x14ac:dyDescent="0.2">
      <c r="A101" s="25" t="s">
        <v>148</v>
      </c>
      <c r="B101" s="26">
        <v>0.37990000000000002</v>
      </c>
      <c r="C101" s="26">
        <v>0.26700000000000002</v>
      </c>
      <c r="D101" s="26">
        <v>0.37939999999999996</v>
      </c>
      <c r="E101" s="37">
        <v>5.8700000000000002E-2</v>
      </c>
      <c r="F101" s="40">
        <v>0.1711</v>
      </c>
      <c r="G101" s="17"/>
      <c r="H101" s="41"/>
      <c r="I101" s="40">
        <v>0.16390000000000002</v>
      </c>
      <c r="J101" s="17"/>
      <c r="K101" s="41"/>
      <c r="L101" s="40">
        <v>9.74E-2</v>
      </c>
      <c r="M101" s="17"/>
      <c r="N101" s="41"/>
      <c r="O101" s="40">
        <v>1.5700000000000002E-2</v>
      </c>
      <c r="Q101" s="42"/>
      <c r="R101" s="40">
        <v>5.6799999999999996E-2</v>
      </c>
      <c r="T101" s="42"/>
      <c r="U101" s="40">
        <v>2.07E-2</v>
      </c>
      <c r="W101" s="42"/>
      <c r="X101" s="40">
        <v>1.26E-2</v>
      </c>
      <c r="Z101" s="42"/>
      <c r="AA101" s="40">
        <v>4.24E-2</v>
      </c>
      <c r="AC101" s="42"/>
      <c r="AD101" s="40">
        <v>1.3300000000000001E-2</v>
      </c>
      <c r="AE101" s="26"/>
      <c r="AF101" s="37"/>
      <c r="AG101" s="40">
        <v>4.6999999999999993E-3</v>
      </c>
      <c r="AI101" s="42"/>
      <c r="AJ101" s="40">
        <v>2.8000000000000004E-3</v>
      </c>
      <c r="AL101" s="42"/>
      <c r="AM101" s="40">
        <v>3.2000000000000002E-3</v>
      </c>
      <c r="AO101" s="42"/>
      <c r="AP101" s="40">
        <v>3.7000000000000002E-3</v>
      </c>
      <c r="AR101" s="42"/>
      <c r="AS101" s="40">
        <v>1.34E-2</v>
      </c>
      <c r="AU101" s="42"/>
      <c r="AV101" s="40">
        <v>1.0700000000000001E-2</v>
      </c>
      <c r="AX101" s="42"/>
      <c r="AY101" s="40"/>
      <c r="BA101" s="42"/>
      <c r="BB101" s="43"/>
      <c r="BD101" s="42"/>
      <c r="BE101" s="43"/>
      <c r="BG101" s="42"/>
      <c r="BH101" s="43"/>
      <c r="BJ101" s="42"/>
      <c r="BM101" s="42"/>
    </row>
    <row r="102" spans="1:65" x14ac:dyDescent="0.2">
      <c r="A102" s="25" t="s">
        <v>149</v>
      </c>
      <c r="B102" s="26">
        <v>0.30130000000000001</v>
      </c>
      <c r="C102" s="26">
        <v>0.25190000000000001</v>
      </c>
      <c r="D102" s="26">
        <v>0.42409999999999998</v>
      </c>
      <c r="E102" s="37">
        <v>7.3399999999999993E-2</v>
      </c>
      <c r="F102" s="40">
        <v>0.17579999999999998</v>
      </c>
      <c r="G102" s="17"/>
      <c r="H102" s="41"/>
      <c r="I102" s="40">
        <v>8.3599999999999994E-2</v>
      </c>
      <c r="J102" s="17"/>
      <c r="K102" s="41"/>
      <c r="L102" s="40">
        <v>8.6899999999999991E-2</v>
      </c>
      <c r="M102" s="17"/>
      <c r="N102" s="41"/>
      <c r="O102" s="40">
        <v>3.6499999999999998E-2</v>
      </c>
      <c r="Q102" s="42"/>
      <c r="R102" s="40">
        <v>6.6000000000000003E-2</v>
      </c>
      <c r="T102" s="42"/>
      <c r="U102" s="40">
        <v>2.46E-2</v>
      </c>
      <c r="W102" s="42"/>
      <c r="X102" s="40">
        <v>2.6600000000000002E-2</v>
      </c>
      <c r="Z102" s="42"/>
      <c r="AA102" s="40">
        <v>7.0800000000000002E-2</v>
      </c>
      <c r="AC102" s="42"/>
      <c r="AD102" s="40">
        <v>2.5399999999999999E-2</v>
      </c>
      <c r="AE102" s="26"/>
      <c r="AF102" s="37"/>
      <c r="AG102" s="40">
        <v>1.11E-2</v>
      </c>
      <c r="AI102" s="42"/>
      <c r="AJ102" s="40">
        <v>5.5000000000000005E-3</v>
      </c>
      <c r="AL102" s="42"/>
      <c r="AM102" s="40">
        <v>2E-3</v>
      </c>
      <c r="AO102" s="42"/>
      <c r="AP102" s="40">
        <v>9.0000000000000011E-3</v>
      </c>
      <c r="AR102" s="42"/>
      <c r="AS102" s="40">
        <v>1.34E-2</v>
      </c>
      <c r="AU102" s="42"/>
      <c r="AV102" s="40">
        <v>1.38E-2</v>
      </c>
      <c r="AX102" s="42"/>
      <c r="AY102" s="40"/>
      <c r="BA102" s="42"/>
      <c r="BB102" s="43"/>
      <c r="BD102" s="42"/>
      <c r="BE102" s="43"/>
      <c r="BG102" s="42"/>
      <c r="BH102" s="43"/>
      <c r="BJ102" s="42"/>
      <c r="BM102" s="42"/>
    </row>
    <row r="103" spans="1:65" x14ac:dyDescent="0.2">
      <c r="A103" s="25" t="s">
        <v>150</v>
      </c>
      <c r="B103" s="26">
        <v>0.26079999999999998</v>
      </c>
      <c r="C103" s="26">
        <v>0.2848</v>
      </c>
      <c r="D103" s="26">
        <v>0.37540000000000001</v>
      </c>
      <c r="E103" s="37">
        <v>5.9800000000000006E-2</v>
      </c>
      <c r="F103" s="40">
        <v>0.20149999999999998</v>
      </c>
      <c r="G103" s="17"/>
      <c r="H103" s="41"/>
      <c r="I103" s="40">
        <v>8.4199999999999997E-2</v>
      </c>
      <c r="J103" s="17"/>
      <c r="K103" s="41"/>
      <c r="L103" s="40">
        <v>7.5499999999999998E-2</v>
      </c>
      <c r="M103" s="17"/>
      <c r="N103" s="41"/>
      <c r="O103" s="40">
        <v>2.7200000000000002E-2</v>
      </c>
      <c r="Q103" s="42"/>
      <c r="R103" s="40">
        <v>8.5699999999999998E-2</v>
      </c>
      <c r="T103" s="42"/>
      <c r="U103" s="40">
        <v>1.9199999999999998E-2</v>
      </c>
      <c r="W103" s="42"/>
      <c r="X103" s="40">
        <v>1.43E-2</v>
      </c>
      <c r="Z103" s="42"/>
      <c r="AA103" s="40">
        <v>6.7400000000000002E-2</v>
      </c>
      <c r="AC103" s="42"/>
      <c r="AD103" s="40">
        <v>1.21E-2</v>
      </c>
      <c r="AE103" s="26"/>
      <c r="AF103" s="37"/>
      <c r="AG103" s="40">
        <v>3.3E-3</v>
      </c>
      <c r="AI103" s="42"/>
      <c r="AJ103" s="40">
        <v>3.5999999999999999E-3</v>
      </c>
      <c r="AL103" s="42"/>
      <c r="AM103" s="40">
        <v>2.8000000000000004E-3</v>
      </c>
      <c r="AO103" s="42"/>
      <c r="AP103" s="40">
        <v>3.9000000000000003E-3</v>
      </c>
      <c r="AR103" s="42"/>
      <c r="AS103" s="40">
        <v>1.7600000000000001E-2</v>
      </c>
      <c r="AU103" s="42"/>
      <c r="AV103" s="40">
        <v>2.3399999999999997E-2</v>
      </c>
      <c r="AX103" s="42"/>
      <c r="AY103" s="40"/>
      <c r="BA103" s="42"/>
      <c r="BB103" s="43"/>
      <c r="BD103" s="42"/>
      <c r="BE103" s="43"/>
      <c r="BG103" s="42"/>
      <c r="BH103" s="43"/>
      <c r="BJ103" s="42"/>
      <c r="BM103" s="42"/>
    </row>
    <row r="104" spans="1:65" x14ac:dyDescent="0.2">
      <c r="A104" s="25" t="s">
        <v>151</v>
      </c>
      <c r="B104" s="26">
        <v>0.31219999999999998</v>
      </c>
      <c r="C104" s="26">
        <v>0.27149999999999996</v>
      </c>
      <c r="D104" s="26">
        <v>0.44259999999999999</v>
      </c>
      <c r="E104" s="37">
        <v>6.9699999999999998E-2</v>
      </c>
      <c r="F104" s="40">
        <v>0.1772</v>
      </c>
      <c r="G104" s="17"/>
      <c r="H104" s="41"/>
      <c r="I104" s="40">
        <v>0.1082</v>
      </c>
      <c r="J104" s="17"/>
      <c r="K104" s="41"/>
      <c r="L104" s="40">
        <v>0.14349999999999999</v>
      </c>
      <c r="M104" s="17"/>
      <c r="N104" s="41"/>
      <c r="O104" s="40">
        <v>2.9900000000000003E-2</v>
      </c>
      <c r="Q104" s="42"/>
      <c r="R104" s="40">
        <v>7.7199999999999991E-2</v>
      </c>
      <c r="T104" s="42"/>
      <c r="U104" s="40">
        <v>1.9E-2</v>
      </c>
      <c r="W104" s="42"/>
      <c r="X104" s="40">
        <v>2.87E-2</v>
      </c>
      <c r="Z104" s="42"/>
      <c r="AA104" s="40">
        <v>5.3800000000000001E-2</v>
      </c>
      <c r="AC104" s="42"/>
      <c r="AD104" s="40">
        <v>1.1699999999999999E-2</v>
      </c>
      <c r="AE104" s="26"/>
      <c r="AF104" s="37"/>
      <c r="AG104" s="40">
        <v>2.2000000000000001E-3</v>
      </c>
      <c r="AI104" s="42"/>
      <c r="AJ104" s="40">
        <v>1.44E-2</v>
      </c>
      <c r="AL104" s="42"/>
      <c r="AM104" s="40">
        <v>1.1999999999999999E-3</v>
      </c>
      <c r="AO104" s="42"/>
      <c r="AP104" s="40">
        <v>4.3E-3</v>
      </c>
      <c r="AR104" s="42"/>
      <c r="AS104" s="40">
        <v>1.11E-2</v>
      </c>
      <c r="AU104" s="42"/>
      <c r="AV104" s="40">
        <v>2.1000000000000001E-2</v>
      </c>
      <c r="AX104" s="42"/>
      <c r="AY104" s="40"/>
      <c r="AZ104" s="26"/>
      <c r="BA104" s="37"/>
      <c r="BB104" s="43"/>
      <c r="BD104" s="42"/>
      <c r="BE104" s="43"/>
      <c r="BG104" s="42"/>
      <c r="BH104" s="43"/>
      <c r="BJ104" s="42"/>
      <c r="BM104" s="42"/>
    </row>
    <row r="105" spans="1:65" x14ac:dyDescent="0.2">
      <c r="A105" s="25" t="s">
        <v>152</v>
      </c>
      <c r="B105" s="26">
        <v>0.3085</v>
      </c>
      <c r="C105" s="26">
        <v>0.28039999999999998</v>
      </c>
      <c r="D105" s="26">
        <v>0.35240000000000005</v>
      </c>
      <c r="E105" s="37">
        <v>5.2499999999999998E-2</v>
      </c>
      <c r="F105" s="40">
        <v>0.20649999999999999</v>
      </c>
      <c r="G105" s="17"/>
      <c r="H105" s="41"/>
      <c r="I105" s="40">
        <v>8.6300000000000002E-2</v>
      </c>
      <c r="J105" s="17"/>
      <c r="K105" s="41"/>
      <c r="L105" s="40">
        <v>8.9399999999999993E-2</v>
      </c>
      <c r="M105" s="17"/>
      <c r="N105" s="41"/>
      <c r="O105" s="40">
        <v>1.4199999999999999E-2</v>
      </c>
      <c r="Q105" s="42"/>
      <c r="R105" s="40">
        <v>6.7799999999999999E-2</v>
      </c>
      <c r="T105" s="42"/>
      <c r="U105" s="40">
        <v>3.2300000000000002E-2</v>
      </c>
      <c r="W105" s="42"/>
      <c r="X105" s="40">
        <v>1.46E-2</v>
      </c>
      <c r="Z105" s="42"/>
      <c r="AA105" s="40">
        <v>4.4900000000000002E-2</v>
      </c>
      <c r="AC105" s="42"/>
      <c r="AD105" s="40">
        <v>1.9099999999999999E-2</v>
      </c>
      <c r="AE105" s="26"/>
      <c r="AF105" s="37"/>
      <c r="AG105" s="40">
        <v>2E-3</v>
      </c>
      <c r="AI105" s="42"/>
      <c r="AJ105" s="40">
        <v>7.1999999999999998E-3</v>
      </c>
      <c r="AL105" s="42"/>
      <c r="AM105" s="40">
        <v>1.8E-3</v>
      </c>
      <c r="AO105" s="42"/>
      <c r="AP105" s="40">
        <v>2.3999999999999998E-3</v>
      </c>
      <c r="AR105" s="42"/>
      <c r="AS105" s="40">
        <v>1.3000000000000001E-2</v>
      </c>
      <c r="AU105" s="42"/>
      <c r="AV105" s="40">
        <v>1.5100000000000001E-2</v>
      </c>
      <c r="AX105" s="42"/>
      <c r="AY105" s="40"/>
      <c r="AZ105" s="26"/>
      <c r="BA105" s="37"/>
      <c r="BB105" s="43"/>
      <c r="BD105" s="42"/>
      <c r="BE105" s="43"/>
      <c r="BG105" s="42"/>
      <c r="BH105" s="43"/>
      <c r="BJ105" s="42"/>
      <c r="BM105" s="42"/>
    </row>
    <row r="106" spans="1:65" x14ac:dyDescent="0.2">
      <c r="A106" s="25" t="s">
        <v>153</v>
      </c>
      <c r="B106" s="26">
        <v>0.33909999999999996</v>
      </c>
      <c r="C106" s="26">
        <v>0.2974</v>
      </c>
      <c r="D106" s="26">
        <v>0.39500000000000002</v>
      </c>
      <c r="E106" s="37">
        <v>5.6399999999999999E-2</v>
      </c>
      <c r="F106" s="40">
        <v>0.19469999999999998</v>
      </c>
      <c r="G106" s="17"/>
      <c r="H106" s="41"/>
      <c r="I106" s="40">
        <v>0.16440000000000002</v>
      </c>
      <c r="J106" s="17"/>
      <c r="K106" s="41"/>
      <c r="L106" s="40">
        <v>9.2899999999999996E-2</v>
      </c>
      <c r="M106" s="17"/>
      <c r="N106" s="41"/>
      <c r="O106" s="40">
        <v>1.3899999999999999E-2</v>
      </c>
      <c r="Q106" s="42"/>
      <c r="R106" s="40">
        <v>4.6300000000000001E-2</v>
      </c>
      <c r="T106" s="42"/>
      <c r="U106" s="40">
        <v>2.7300000000000001E-2</v>
      </c>
      <c r="W106" s="42"/>
      <c r="X106" s="40">
        <v>2.1000000000000001E-2</v>
      </c>
      <c r="Z106" s="42"/>
      <c r="AA106" s="40">
        <v>5.0199999999999995E-2</v>
      </c>
      <c r="AC106" s="42"/>
      <c r="AD106" s="40">
        <v>0.02</v>
      </c>
      <c r="AE106" s="26"/>
      <c r="AF106" s="37"/>
      <c r="AG106" s="40">
        <v>2.0999999999999999E-3</v>
      </c>
      <c r="AI106" s="42"/>
      <c r="AJ106" s="40">
        <v>9.5999999999999992E-3</v>
      </c>
      <c r="AL106" s="42"/>
      <c r="AM106" s="40">
        <v>2.5000000000000001E-3</v>
      </c>
      <c r="AO106" s="42"/>
      <c r="AP106" s="40">
        <v>4.0999999999999995E-3</v>
      </c>
      <c r="AR106" s="42"/>
      <c r="AS106" s="40">
        <v>1.2199999999999999E-2</v>
      </c>
      <c r="AU106" s="42"/>
      <c r="AV106" s="40">
        <v>8.3000000000000001E-3</v>
      </c>
      <c r="AX106" s="42"/>
      <c r="AY106" s="40"/>
      <c r="AZ106" s="26"/>
      <c r="BA106" s="37"/>
      <c r="BB106" s="43"/>
      <c r="BD106" s="42"/>
      <c r="BE106" s="43"/>
      <c r="BG106" s="42"/>
      <c r="BH106" s="43"/>
      <c r="BJ106" s="42"/>
      <c r="BM106" s="42"/>
    </row>
    <row r="107" spans="1:65" x14ac:dyDescent="0.2">
      <c r="A107" s="25" t="s">
        <v>154</v>
      </c>
      <c r="B107" s="26">
        <v>0.34369999999999995</v>
      </c>
      <c r="C107" s="26">
        <v>0.29189999999999999</v>
      </c>
      <c r="D107" s="26">
        <v>0.43640000000000001</v>
      </c>
      <c r="E107" s="37">
        <v>0.06</v>
      </c>
      <c r="F107" s="40">
        <v>0.19870000000000002</v>
      </c>
      <c r="G107" s="17"/>
      <c r="H107" s="41"/>
      <c r="I107" s="40">
        <v>0.11689999999999999</v>
      </c>
      <c r="J107" s="17"/>
      <c r="K107" s="41"/>
      <c r="L107" s="40">
        <v>8.1300000000000011E-2</v>
      </c>
      <c r="M107" s="17"/>
      <c r="N107" s="41"/>
      <c r="O107" s="40">
        <v>1.7299999999999999E-2</v>
      </c>
      <c r="Q107" s="42"/>
      <c r="R107" s="40">
        <v>5.6299999999999996E-2</v>
      </c>
      <c r="T107" s="42"/>
      <c r="U107" s="40">
        <v>2.4700000000000003E-2</v>
      </c>
      <c r="W107" s="42"/>
      <c r="X107" s="40">
        <v>2.5899999999999999E-2</v>
      </c>
      <c r="Z107" s="42"/>
      <c r="AA107" s="40">
        <v>0.1133</v>
      </c>
      <c r="AC107" s="42"/>
      <c r="AD107" s="40">
        <v>1.5800000000000002E-2</v>
      </c>
      <c r="AE107" s="26"/>
      <c r="AF107" s="37"/>
      <c r="AG107" s="40">
        <v>2.0999999999999999E-3</v>
      </c>
      <c r="AI107" s="42"/>
      <c r="AJ107" s="40">
        <v>8.3999999999999995E-3</v>
      </c>
      <c r="AL107" s="42"/>
      <c r="AM107" s="40">
        <v>2.2000000000000001E-3</v>
      </c>
      <c r="AO107" s="42"/>
      <c r="AP107" s="40">
        <v>2E-3</v>
      </c>
      <c r="AR107" s="42"/>
      <c r="AS107" s="40">
        <v>1.1899999999999999E-2</v>
      </c>
      <c r="AU107" s="42"/>
      <c r="AV107" s="40">
        <v>1.6500000000000001E-2</v>
      </c>
      <c r="AX107" s="42"/>
      <c r="AY107" s="40"/>
      <c r="AZ107" s="26"/>
      <c r="BA107" s="37"/>
      <c r="BB107" s="43"/>
      <c r="BD107" s="42"/>
      <c r="BE107" s="43"/>
      <c r="BG107" s="42"/>
      <c r="BH107" s="43"/>
      <c r="BJ107" s="42"/>
      <c r="BM107" s="42"/>
    </row>
    <row r="108" spans="1:65" x14ac:dyDescent="0.2">
      <c r="A108" s="25" t="s">
        <v>155</v>
      </c>
      <c r="B108" s="26">
        <v>0.32479999999999998</v>
      </c>
      <c r="C108" s="26">
        <v>0.30409999999999998</v>
      </c>
      <c r="D108" s="26">
        <v>0.44579999999999997</v>
      </c>
      <c r="E108" s="37">
        <v>4.5599999999999995E-2</v>
      </c>
      <c r="F108" s="40">
        <v>0.19149999999999998</v>
      </c>
      <c r="G108" s="17"/>
      <c r="H108" s="41"/>
      <c r="I108" s="40">
        <v>0.10349999999999999</v>
      </c>
      <c r="J108" s="17"/>
      <c r="K108" s="41"/>
      <c r="L108" s="40">
        <v>0.1245</v>
      </c>
      <c r="M108" s="17"/>
      <c r="N108" s="41"/>
      <c r="O108" s="40">
        <v>2.7999999999999997E-2</v>
      </c>
      <c r="Q108" s="42"/>
      <c r="R108" s="40">
        <v>0.1222</v>
      </c>
      <c r="T108" s="42"/>
      <c r="U108" s="40">
        <v>1.83E-2</v>
      </c>
      <c r="W108" s="42"/>
      <c r="X108" s="40">
        <v>1.6399999999999998E-2</v>
      </c>
      <c r="Z108" s="42"/>
      <c r="AA108" s="40">
        <v>8.8399999999999992E-2</v>
      </c>
      <c r="AC108" s="42"/>
      <c r="AD108" s="40">
        <v>1.1699999999999999E-2</v>
      </c>
      <c r="AE108" s="26"/>
      <c r="AF108" s="37"/>
      <c r="AG108" s="40">
        <v>2.3999999999999998E-3</v>
      </c>
      <c r="AI108" s="42"/>
      <c r="AJ108" s="40">
        <v>3.3E-3</v>
      </c>
      <c r="AL108" s="42"/>
      <c r="AM108" s="40">
        <v>2.0999999999999999E-3</v>
      </c>
      <c r="AO108" s="42"/>
      <c r="AP108" s="40">
        <v>2.7000000000000001E-3</v>
      </c>
      <c r="AR108" s="42"/>
      <c r="AS108" s="40">
        <v>1.1299999999999999E-2</v>
      </c>
      <c r="AU108" s="42"/>
      <c r="AV108" s="40">
        <v>8.3999999999999995E-3</v>
      </c>
      <c r="AX108" s="42"/>
      <c r="AY108" s="40"/>
      <c r="AZ108" s="26"/>
      <c r="BA108" s="37"/>
      <c r="BB108" s="43"/>
      <c r="BD108" s="42"/>
      <c r="BE108" s="43"/>
      <c r="BG108" s="42"/>
      <c r="BH108" s="43"/>
      <c r="BJ108" s="42"/>
      <c r="BM108" s="42"/>
    </row>
    <row r="109" spans="1:65" x14ac:dyDescent="0.2">
      <c r="A109" s="25" t="s">
        <v>156</v>
      </c>
      <c r="B109" s="26">
        <v>0.35840000000000005</v>
      </c>
      <c r="C109" s="26">
        <v>0.33950000000000002</v>
      </c>
      <c r="D109" s="26">
        <v>0.375</v>
      </c>
      <c r="E109" s="37">
        <v>5.5999999999999994E-2</v>
      </c>
      <c r="F109" s="40">
        <v>0.23329999999999998</v>
      </c>
      <c r="G109" s="17"/>
      <c r="H109" s="41"/>
      <c r="I109" s="40">
        <v>0.13150000000000001</v>
      </c>
      <c r="J109" s="17"/>
      <c r="K109" s="41"/>
      <c r="L109" s="40">
        <v>9.6500000000000002E-2</v>
      </c>
      <c r="M109" s="17"/>
      <c r="N109" s="41"/>
      <c r="O109" s="40">
        <v>2.23E-2</v>
      </c>
      <c r="Q109" s="42"/>
      <c r="R109" s="40">
        <v>4.9699999999999994E-2</v>
      </c>
      <c r="T109" s="42"/>
      <c r="U109" s="40">
        <v>3.61E-2</v>
      </c>
      <c r="W109" s="42"/>
      <c r="X109" s="40">
        <v>2.2200000000000001E-2</v>
      </c>
      <c r="Z109" s="42"/>
      <c r="AA109" s="40">
        <v>3.4200000000000001E-2</v>
      </c>
      <c r="AC109" s="42"/>
      <c r="AD109" s="40">
        <v>1.6899999999999998E-2</v>
      </c>
      <c r="AE109" s="26"/>
      <c r="AF109" s="37"/>
      <c r="AG109" s="40">
        <v>3.3E-3</v>
      </c>
      <c r="AI109" s="42"/>
      <c r="AJ109" s="40">
        <v>4.3E-3</v>
      </c>
      <c r="AL109" s="42"/>
      <c r="AM109" s="40">
        <v>3.0000000000000001E-3</v>
      </c>
      <c r="AO109" s="42"/>
      <c r="AP109" s="40">
        <v>3.7000000000000002E-3</v>
      </c>
      <c r="AR109" s="42"/>
      <c r="AS109" s="40">
        <v>2.2099999999999998E-2</v>
      </c>
      <c r="AU109" s="42"/>
      <c r="AV109" s="40">
        <v>1.44E-2</v>
      </c>
      <c r="AX109" s="42"/>
      <c r="AY109" s="40"/>
      <c r="AZ109" s="26"/>
      <c r="BA109" s="37"/>
      <c r="BB109" s="43"/>
      <c r="BD109" s="42"/>
      <c r="BE109" s="43"/>
      <c r="BG109" s="42"/>
      <c r="BH109" s="43"/>
      <c r="BJ109" s="42"/>
      <c r="BM109" s="42"/>
    </row>
    <row r="110" spans="1:65" x14ac:dyDescent="0.2">
      <c r="A110" s="25">
        <v>45309</v>
      </c>
      <c r="B110" s="26">
        <v>0.32030000000000003</v>
      </c>
      <c r="C110" s="26">
        <v>0.2747</v>
      </c>
      <c r="D110" s="26">
        <v>0.41229999999999994</v>
      </c>
      <c r="E110" s="37">
        <v>5.6600000000000004E-2</v>
      </c>
      <c r="F110" s="40">
        <v>0.19760000000000003</v>
      </c>
      <c r="G110" s="17"/>
      <c r="H110" s="41"/>
      <c r="I110" s="40">
        <v>0.1091</v>
      </c>
      <c r="J110" s="17"/>
      <c r="K110" s="41"/>
      <c r="L110" s="40">
        <v>0.1489</v>
      </c>
      <c r="M110" s="17"/>
      <c r="N110" s="41"/>
      <c r="O110" s="40">
        <v>1.6399999999999998E-2</v>
      </c>
      <c r="Q110" s="42"/>
      <c r="R110" s="40">
        <v>6.4100000000000004E-2</v>
      </c>
      <c r="T110" s="42"/>
      <c r="U110" s="40">
        <v>3.0099999999999998E-2</v>
      </c>
      <c r="W110" s="42"/>
      <c r="X110" s="40">
        <v>2.23E-2</v>
      </c>
      <c r="Z110" s="42"/>
      <c r="AA110" s="40">
        <v>4.58E-2</v>
      </c>
      <c r="AC110" s="42"/>
      <c r="AD110" s="40">
        <v>1.7899999999999999E-2</v>
      </c>
      <c r="AE110" s="26"/>
      <c r="AF110" s="37"/>
      <c r="AG110" s="40">
        <v>4.0999999999999995E-3</v>
      </c>
      <c r="AI110" s="42"/>
      <c r="AJ110" s="40">
        <v>4.4000000000000003E-3</v>
      </c>
      <c r="AL110" s="42"/>
      <c r="AM110" s="40">
        <v>2.5999999999999999E-3</v>
      </c>
      <c r="AO110" s="42"/>
      <c r="AP110" s="40">
        <v>3.5999999999999999E-3</v>
      </c>
      <c r="AR110" s="42"/>
      <c r="AS110" s="40">
        <v>1.38E-2</v>
      </c>
      <c r="AU110" s="42"/>
      <c r="AV110" s="40">
        <v>8.8999999999999999E-3</v>
      </c>
      <c r="AX110" s="42"/>
      <c r="AY110" s="40"/>
      <c r="AZ110" s="26"/>
      <c r="BA110" s="37"/>
      <c r="BB110" s="43"/>
      <c r="BD110" s="42"/>
      <c r="BE110" s="43"/>
      <c r="BG110" s="42"/>
      <c r="BH110" s="43"/>
      <c r="BJ110" s="42"/>
      <c r="BM110" s="42"/>
    </row>
    <row r="111" spans="1:65" x14ac:dyDescent="0.2">
      <c r="A111" s="25" t="s">
        <v>157</v>
      </c>
      <c r="B111" s="26">
        <v>0.33529999999999999</v>
      </c>
      <c r="C111" s="26">
        <v>0.23960000000000001</v>
      </c>
      <c r="D111" s="26">
        <v>0.43979999999999997</v>
      </c>
      <c r="E111" s="37">
        <v>5.4699999999999999E-2</v>
      </c>
      <c r="F111" s="40">
        <v>0.16260000000000002</v>
      </c>
      <c r="G111" s="17"/>
      <c r="H111" s="41"/>
      <c r="I111" s="40">
        <v>0.19519999999999998</v>
      </c>
      <c r="J111" s="17"/>
      <c r="K111" s="41"/>
      <c r="L111" s="40">
        <v>0.10529999999999999</v>
      </c>
      <c r="M111" s="17"/>
      <c r="N111" s="41"/>
      <c r="O111" s="40">
        <v>1.38E-2</v>
      </c>
      <c r="Q111" s="42"/>
      <c r="R111" s="40">
        <v>6.7599999999999993E-2</v>
      </c>
      <c r="T111" s="42"/>
      <c r="U111" s="40">
        <v>2.69E-2</v>
      </c>
      <c r="W111" s="42"/>
      <c r="X111" s="40">
        <v>1.9099999999999999E-2</v>
      </c>
      <c r="Z111" s="42"/>
      <c r="AA111" s="40">
        <v>4.1799999999999997E-2</v>
      </c>
      <c r="AC111" s="42"/>
      <c r="AD111" s="40">
        <v>1.7399999999999999E-2</v>
      </c>
      <c r="AE111" s="26"/>
      <c r="AF111" s="37"/>
      <c r="AG111" s="40">
        <v>4.4000000000000003E-3</v>
      </c>
      <c r="AI111" s="42"/>
      <c r="AJ111" s="40">
        <v>3.4999999999999996E-3</v>
      </c>
      <c r="AL111" s="42"/>
      <c r="AM111" s="40">
        <v>1.8E-3</v>
      </c>
      <c r="AO111" s="42"/>
      <c r="AP111" s="40">
        <v>2.3999999999999998E-3</v>
      </c>
      <c r="AR111" s="42"/>
      <c r="AS111" s="40">
        <v>1.3899999999999999E-2</v>
      </c>
      <c r="AU111" s="42"/>
      <c r="AV111" s="40">
        <v>7.8000000000000005E-3</v>
      </c>
      <c r="AX111" s="42"/>
      <c r="AY111" s="40"/>
      <c r="AZ111" s="26"/>
      <c r="BA111" s="37"/>
      <c r="BB111" s="43"/>
      <c r="BD111" s="42"/>
      <c r="BE111" s="43"/>
      <c r="BG111" s="42"/>
      <c r="BH111" s="43"/>
      <c r="BJ111" s="42"/>
      <c r="BM111" s="42"/>
    </row>
    <row r="112" spans="1:65" x14ac:dyDescent="0.2">
      <c r="A112" s="25" t="s">
        <v>158</v>
      </c>
      <c r="B112" s="26">
        <v>0.36820000000000003</v>
      </c>
      <c r="C112" s="26">
        <v>0.28039999999999998</v>
      </c>
      <c r="D112" s="26">
        <v>0.4022</v>
      </c>
      <c r="E112" s="37">
        <v>6.7299999999999999E-2</v>
      </c>
      <c r="F112" s="40">
        <v>0.18600000000000003</v>
      </c>
      <c r="G112" s="17"/>
      <c r="H112" s="41"/>
      <c r="I112" s="40">
        <v>0.1176</v>
      </c>
      <c r="J112" s="17"/>
      <c r="K112" s="41"/>
      <c r="L112" s="40">
        <v>9.3100000000000002E-2</v>
      </c>
      <c r="M112" s="17"/>
      <c r="N112" s="41"/>
      <c r="O112" s="40">
        <v>1.4999999999999999E-2</v>
      </c>
      <c r="Q112" s="42"/>
      <c r="R112" s="40">
        <v>0.10589999999999999</v>
      </c>
      <c r="T112" s="42"/>
      <c r="U112" s="40">
        <v>4.1200000000000001E-2</v>
      </c>
      <c r="W112" s="42"/>
      <c r="X112" s="40">
        <v>1.5900000000000001E-2</v>
      </c>
      <c r="Z112" s="42"/>
      <c r="AA112" s="40">
        <v>5.0599999999999999E-2</v>
      </c>
      <c r="AC112" s="42"/>
      <c r="AD112" s="40">
        <v>1.47E-2</v>
      </c>
      <c r="AE112" s="26"/>
      <c r="AF112" s="37"/>
      <c r="AG112" s="40">
        <v>3.7000000000000002E-3</v>
      </c>
      <c r="AI112" s="42"/>
      <c r="AJ112" s="40">
        <v>4.8999999999999998E-3</v>
      </c>
      <c r="AL112" s="42"/>
      <c r="AM112" s="40">
        <v>2.7000000000000001E-3</v>
      </c>
      <c r="AO112" s="42"/>
      <c r="AP112" s="40">
        <v>3.5999999999999999E-3</v>
      </c>
      <c r="AR112" s="42"/>
      <c r="AS112" s="40">
        <v>1.5900000000000001E-2</v>
      </c>
      <c r="AU112" s="42"/>
      <c r="AV112" s="40">
        <v>8.8999999999999999E-3</v>
      </c>
      <c r="AX112" s="42"/>
      <c r="AY112" s="40"/>
      <c r="AZ112" s="26"/>
      <c r="BA112" s="37"/>
      <c r="BB112" s="43"/>
      <c r="BD112" s="42"/>
      <c r="BE112" s="43"/>
      <c r="BG112" s="42"/>
      <c r="BH112" s="43"/>
      <c r="BJ112" s="42"/>
      <c r="BM112" s="42"/>
    </row>
    <row r="113" spans="1:65" x14ac:dyDescent="0.2">
      <c r="A113" s="25" t="s">
        <v>159</v>
      </c>
      <c r="B113" s="26">
        <v>0.36749999999999999</v>
      </c>
      <c r="C113" s="26">
        <v>0.26750000000000002</v>
      </c>
      <c r="D113" s="26">
        <v>0.37180000000000002</v>
      </c>
      <c r="E113" s="37">
        <v>7.0400000000000004E-2</v>
      </c>
      <c r="F113" s="40">
        <v>0.20149999999999998</v>
      </c>
      <c r="G113" s="17"/>
      <c r="H113" s="41"/>
      <c r="I113" s="40">
        <v>0.125</v>
      </c>
      <c r="J113" s="17"/>
      <c r="K113" s="41"/>
      <c r="L113" s="40">
        <v>9.5000000000000001E-2</v>
      </c>
      <c r="M113" s="17"/>
      <c r="N113" s="41"/>
      <c r="O113" s="40">
        <v>1.6799999999999999E-2</v>
      </c>
      <c r="Q113" s="42"/>
      <c r="R113" s="40">
        <v>4.2699999999999995E-2</v>
      </c>
      <c r="T113" s="42"/>
      <c r="U113" s="40">
        <v>2.52E-2</v>
      </c>
      <c r="W113" s="42"/>
      <c r="X113" s="40">
        <v>2.3399999999999997E-2</v>
      </c>
      <c r="Z113" s="42"/>
      <c r="AA113" s="40">
        <v>4.9200000000000001E-2</v>
      </c>
      <c r="AC113" s="42"/>
      <c r="AD113" s="40">
        <v>1.6200000000000003E-2</v>
      </c>
      <c r="AE113" s="26"/>
      <c r="AF113" s="37"/>
      <c r="AG113" s="40">
        <v>3.4999999999999996E-3</v>
      </c>
      <c r="AI113" s="42"/>
      <c r="AJ113" s="40">
        <v>4.1999999999999997E-3</v>
      </c>
      <c r="AL113" s="42"/>
      <c r="AM113" s="40">
        <v>2.3999999999999998E-3</v>
      </c>
      <c r="AO113" s="42"/>
      <c r="AP113" s="40">
        <v>2.3E-3</v>
      </c>
      <c r="AR113" s="42"/>
      <c r="AS113" s="40">
        <v>1.84E-2</v>
      </c>
      <c r="AU113" s="42"/>
      <c r="AV113" s="40">
        <v>7.4000000000000003E-3</v>
      </c>
      <c r="AX113" s="42"/>
      <c r="AY113" s="40"/>
      <c r="AZ113" s="26"/>
      <c r="BA113" s="37"/>
      <c r="BB113" s="43"/>
      <c r="BD113" s="42"/>
      <c r="BE113" s="43"/>
      <c r="BG113" s="42"/>
      <c r="BH113" s="43"/>
      <c r="BJ113" s="42"/>
      <c r="BM113" s="42"/>
    </row>
    <row r="114" spans="1:65" x14ac:dyDescent="0.2">
      <c r="A114" s="25" t="s">
        <v>160</v>
      </c>
      <c r="B114" s="26">
        <v>0.35460000000000003</v>
      </c>
      <c r="C114" s="26">
        <v>0.2964</v>
      </c>
      <c r="D114" s="26">
        <v>0.40139999999999998</v>
      </c>
      <c r="E114" s="37">
        <v>8.6199999999999999E-2</v>
      </c>
      <c r="F114" s="40">
        <v>0.2311</v>
      </c>
      <c r="G114" s="17"/>
      <c r="H114" s="41"/>
      <c r="I114" s="40">
        <v>0.11109999999999999</v>
      </c>
      <c r="J114" s="17"/>
      <c r="K114" s="41"/>
      <c r="L114" s="40">
        <v>0.1162</v>
      </c>
      <c r="M114" s="17"/>
      <c r="N114" s="41"/>
      <c r="O114" s="40">
        <v>1.9699999999999999E-2</v>
      </c>
      <c r="Q114" s="42"/>
      <c r="R114" s="40">
        <v>4.82E-2</v>
      </c>
      <c r="T114" s="42"/>
      <c r="U114" s="40">
        <v>1.55E-2</v>
      </c>
      <c r="W114" s="42"/>
      <c r="X114" s="40">
        <v>2.2000000000000002E-2</v>
      </c>
      <c r="Z114" s="42"/>
      <c r="AA114" s="40">
        <v>2.8300000000000002E-2</v>
      </c>
      <c r="AC114" s="42"/>
      <c r="AD114" s="40">
        <v>1.6200000000000003E-2</v>
      </c>
      <c r="AE114" s="26"/>
      <c r="AF114" s="37"/>
      <c r="AG114" s="40">
        <v>4.0999999999999995E-3</v>
      </c>
      <c r="AI114" s="42"/>
      <c r="AJ114" s="40">
        <v>5.1000000000000004E-3</v>
      </c>
      <c r="AL114" s="42"/>
      <c r="AM114" s="40">
        <v>3.5999999999999999E-3</v>
      </c>
      <c r="AO114" s="42"/>
      <c r="AP114" s="40">
        <v>3.0999999999999999E-3</v>
      </c>
      <c r="AR114" s="42"/>
      <c r="AS114" s="40">
        <v>2.7900000000000001E-2</v>
      </c>
      <c r="AU114" s="42"/>
      <c r="AV114" s="40">
        <v>1.1399999999999999E-2</v>
      </c>
      <c r="AX114" s="42"/>
      <c r="AY114" s="40"/>
      <c r="AZ114" s="26"/>
      <c r="BA114" s="37"/>
      <c r="BB114" s="43"/>
      <c r="BD114" s="42"/>
      <c r="BE114" s="43"/>
      <c r="BG114" s="42"/>
      <c r="BH114" s="43"/>
      <c r="BJ114" s="42"/>
      <c r="BM114" s="42"/>
    </row>
    <row r="115" spans="1:65" x14ac:dyDescent="0.2">
      <c r="A115" s="25" t="s">
        <v>161</v>
      </c>
      <c r="B115" s="26">
        <v>0.33390000000000003</v>
      </c>
      <c r="C115" s="26">
        <v>0.2676</v>
      </c>
      <c r="D115" s="26">
        <v>0.37060000000000004</v>
      </c>
      <c r="E115" s="37">
        <v>5.6399999999999999E-2</v>
      </c>
      <c r="F115" s="40">
        <v>0.21489999999999998</v>
      </c>
      <c r="G115" s="17"/>
      <c r="H115" s="41"/>
      <c r="I115" s="40">
        <v>0.13689999999999999</v>
      </c>
      <c r="J115" s="17"/>
      <c r="K115" s="41"/>
      <c r="L115" s="40">
        <v>7.3599999999999999E-2</v>
      </c>
      <c r="M115" s="17"/>
      <c r="N115" s="41"/>
      <c r="O115" s="40">
        <v>1.67E-2</v>
      </c>
      <c r="Q115" s="42"/>
      <c r="R115" s="40">
        <v>3.9599999999999996E-2</v>
      </c>
      <c r="T115" s="42"/>
      <c r="U115" s="40">
        <v>1.44E-2</v>
      </c>
      <c r="W115" s="42"/>
      <c r="X115" s="40">
        <v>1.84E-2</v>
      </c>
      <c r="Z115" s="42"/>
      <c r="AA115" s="40">
        <v>2.0400000000000001E-2</v>
      </c>
      <c r="AC115" s="42"/>
      <c r="AD115" s="40">
        <v>1.15E-2</v>
      </c>
      <c r="AE115" s="26"/>
      <c r="AF115" s="37"/>
      <c r="AG115" s="40">
        <v>3.4999999999999996E-3</v>
      </c>
      <c r="AI115" s="42"/>
      <c r="AJ115" s="40">
        <v>3.2000000000000002E-3</v>
      </c>
      <c r="AL115" s="42"/>
      <c r="AM115" s="40">
        <v>2.5000000000000001E-3</v>
      </c>
      <c r="AO115" s="42"/>
      <c r="AP115" s="40">
        <v>2.5000000000000001E-3</v>
      </c>
      <c r="AR115" s="42"/>
      <c r="AS115" s="40">
        <v>2.0799999999999999E-2</v>
      </c>
      <c r="AU115" s="42"/>
      <c r="AV115" s="40">
        <v>7.9000000000000008E-3</v>
      </c>
      <c r="AX115" s="42"/>
      <c r="AY115" s="40"/>
      <c r="AZ115" s="26"/>
      <c r="BA115" s="37"/>
      <c r="BB115" s="43"/>
      <c r="BD115" s="42"/>
      <c r="BE115" s="43"/>
      <c r="BG115" s="42"/>
      <c r="BH115" s="43"/>
      <c r="BJ115" s="42"/>
      <c r="BM115" s="42"/>
    </row>
    <row r="116" spans="1:65" x14ac:dyDescent="0.2">
      <c r="A116" s="25" t="s">
        <v>162</v>
      </c>
      <c r="B116" s="26">
        <v>0.37070000000000003</v>
      </c>
      <c r="C116" s="26">
        <v>0.27140000000000003</v>
      </c>
      <c r="D116" s="26">
        <v>0.37530000000000002</v>
      </c>
      <c r="E116" s="37">
        <v>7.5899999999999995E-2</v>
      </c>
      <c r="F116" s="40">
        <v>0.19899999999999998</v>
      </c>
      <c r="G116" s="17"/>
      <c r="H116" s="41"/>
      <c r="I116" s="40">
        <v>0.1079</v>
      </c>
      <c r="J116" s="17"/>
      <c r="K116" s="41"/>
      <c r="L116" s="40">
        <v>9.9299999999999999E-2</v>
      </c>
      <c r="M116" s="17"/>
      <c r="N116" s="41"/>
      <c r="O116" s="40">
        <v>1.89E-2</v>
      </c>
      <c r="Q116" s="42"/>
      <c r="R116" s="40">
        <v>6.7199999999999996E-2</v>
      </c>
      <c r="T116" s="42"/>
      <c r="U116" s="40">
        <v>1.7899999999999999E-2</v>
      </c>
      <c r="W116" s="42"/>
      <c r="X116" s="40">
        <v>2.2400000000000003E-2</v>
      </c>
      <c r="Z116" s="42"/>
      <c r="AA116" s="40">
        <v>2.69E-2</v>
      </c>
      <c r="AC116" s="42"/>
      <c r="AD116" s="40">
        <v>2.1600000000000001E-2</v>
      </c>
      <c r="AE116" s="26"/>
      <c r="AF116" s="37"/>
      <c r="AG116" s="40">
        <v>2.5000000000000001E-3</v>
      </c>
      <c r="AI116" s="42"/>
      <c r="AJ116" s="40">
        <v>3.5999999999999999E-3</v>
      </c>
      <c r="AL116" s="42"/>
      <c r="AM116" s="40">
        <v>3.4000000000000002E-3</v>
      </c>
      <c r="AO116" s="42"/>
      <c r="AP116" s="40">
        <v>3.4000000000000002E-3</v>
      </c>
      <c r="AR116" s="42"/>
      <c r="AS116" s="40">
        <v>1.9099999999999999E-2</v>
      </c>
      <c r="AU116" s="42"/>
      <c r="AV116" s="40">
        <v>1.18E-2</v>
      </c>
      <c r="AX116" s="42"/>
      <c r="AY116" s="40"/>
      <c r="AZ116" s="26"/>
      <c r="BA116" s="37"/>
      <c r="BB116" s="43"/>
      <c r="BD116" s="42"/>
      <c r="BE116" s="43"/>
      <c r="BG116" s="42"/>
      <c r="BH116" s="43"/>
      <c r="BJ116" s="42"/>
      <c r="BM116" s="42"/>
    </row>
    <row r="117" spans="1:65" x14ac:dyDescent="0.2">
      <c r="A117" s="25" t="s">
        <v>163</v>
      </c>
      <c r="B117" s="26">
        <v>0.27960000000000002</v>
      </c>
      <c r="C117" s="26">
        <v>0.22690000000000002</v>
      </c>
      <c r="D117" s="26">
        <v>0.44119999999999998</v>
      </c>
      <c r="E117" s="37">
        <v>7.9899999999999999E-2</v>
      </c>
      <c r="F117" s="40">
        <v>0.14419999999999999</v>
      </c>
      <c r="G117" s="17"/>
      <c r="H117" s="41"/>
      <c r="I117" s="40">
        <v>0.1074</v>
      </c>
      <c r="J117" s="17"/>
      <c r="K117" s="41"/>
      <c r="L117" s="40">
        <v>0.11349999999999999</v>
      </c>
      <c r="M117" s="17"/>
      <c r="N117" s="41"/>
      <c r="O117" s="40">
        <v>2.2599999999999999E-2</v>
      </c>
      <c r="Q117" s="42"/>
      <c r="R117" s="40">
        <v>7.0999999999999994E-2</v>
      </c>
      <c r="T117" s="42"/>
      <c r="U117" s="40">
        <v>2.06E-2</v>
      </c>
      <c r="W117" s="42"/>
      <c r="X117" s="40">
        <v>3.4599999999999999E-2</v>
      </c>
      <c r="Z117" s="42"/>
      <c r="AA117" s="40">
        <v>2.5699999999999997E-2</v>
      </c>
      <c r="AC117" s="42"/>
      <c r="AD117" s="40">
        <v>2.0099999999999996E-2</v>
      </c>
      <c r="AE117" s="26"/>
      <c r="AF117" s="37"/>
      <c r="AG117" s="40">
        <v>7.3000000000000001E-3</v>
      </c>
      <c r="AI117" s="42"/>
      <c r="AJ117" s="40">
        <v>4.5000000000000005E-3</v>
      </c>
      <c r="AL117" s="42"/>
      <c r="AM117" s="40">
        <v>3.2000000000000002E-3</v>
      </c>
      <c r="AO117" s="42"/>
      <c r="AP117" s="40">
        <v>2.3E-3</v>
      </c>
      <c r="AR117" s="42"/>
      <c r="AS117" s="40">
        <v>2.46E-2</v>
      </c>
      <c r="AU117" s="42"/>
      <c r="AV117" s="40">
        <v>1.54E-2</v>
      </c>
      <c r="AX117" s="42"/>
      <c r="AY117" s="40"/>
      <c r="AZ117" s="26"/>
      <c r="BA117" s="37"/>
      <c r="BB117" s="43"/>
      <c r="BD117" s="42"/>
      <c r="BE117" s="43"/>
      <c r="BG117" s="42"/>
      <c r="BH117" s="43"/>
      <c r="BJ117" s="42"/>
      <c r="BM117" s="42"/>
    </row>
    <row r="118" spans="1:65" x14ac:dyDescent="0.2">
      <c r="A118" s="25" t="s">
        <v>164</v>
      </c>
      <c r="B118" s="26">
        <v>0.30609999999999998</v>
      </c>
      <c r="C118" s="26">
        <v>0.21870000000000001</v>
      </c>
      <c r="D118" s="26">
        <v>0.41249999999999998</v>
      </c>
      <c r="E118" s="37">
        <v>7.8200000000000006E-2</v>
      </c>
      <c r="F118" s="40">
        <v>0.1343</v>
      </c>
      <c r="G118" s="17"/>
      <c r="H118" s="41"/>
      <c r="I118" s="40">
        <v>0.10220000000000001</v>
      </c>
      <c r="J118" s="17"/>
      <c r="K118" s="41"/>
      <c r="L118" s="40">
        <v>0.1288</v>
      </c>
      <c r="M118" s="17"/>
      <c r="N118" s="41"/>
      <c r="O118" s="40">
        <v>1.4800000000000001E-2</v>
      </c>
      <c r="Q118" s="42"/>
      <c r="R118" s="40">
        <v>6.0599999999999994E-2</v>
      </c>
      <c r="T118" s="42"/>
      <c r="U118" s="40">
        <v>1.8200000000000001E-2</v>
      </c>
      <c r="W118" s="42"/>
      <c r="X118" s="40">
        <v>1.95E-2</v>
      </c>
      <c r="Z118" s="42"/>
      <c r="AA118" s="40">
        <v>2.7999999999999997E-2</v>
      </c>
      <c r="AC118" s="42"/>
      <c r="AD118" s="40">
        <v>1.3500000000000002E-2</v>
      </c>
      <c r="AE118" s="26"/>
      <c r="AF118" s="37"/>
      <c r="AG118" s="40">
        <v>4.1999999999999997E-3</v>
      </c>
      <c r="AI118" s="42"/>
      <c r="AJ118" s="40">
        <v>3.8E-3</v>
      </c>
      <c r="AL118" s="42"/>
      <c r="AM118" s="40">
        <v>3.8E-3</v>
      </c>
      <c r="AO118" s="42"/>
      <c r="AP118" s="40">
        <v>4.8999999999999998E-3</v>
      </c>
      <c r="AR118" s="42"/>
      <c r="AS118" s="40">
        <v>1.6E-2</v>
      </c>
      <c r="AU118" s="42"/>
      <c r="AV118" s="40">
        <v>1.1000000000000001E-2</v>
      </c>
      <c r="AX118" s="42"/>
      <c r="AY118" s="40"/>
      <c r="AZ118" s="26"/>
      <c r="BA118" s="37"/>
      <c r="BB118" s="43"/>
      <c r="BD118" s="42"/>
      <c r="BE118" s="43"/>
      <c r="BG118" s="42"/>
      <c r="BH118" s="43"/>
      <c r="BJ118" s="42"/>
      <c r="BM118" s="42"/>
    </row>
    <row r="119" spans="1:65" x14ac:dyDescent="0.2">
      <c r="A119" s="25" t="s">
        <v>165</v>
      </c>
      <c r="B119" s="26">
        <v>0.29699999999999999</v>
      </c>
      <c r="C119" s="26">
        <v>0.23769999999999999</v>
      </c>
      <c r="D119" s="26">
        <v>0.39840000000000003</v>
      </c>
      <c r="E119" s="37">
        <v>9.1400000000000009E-2</v>
      </c>
      <c r="F119" s="40">
        <v>0.1578</v>
      </c>
      <c r="G119" s="17"/>
      <c r="H119" s="41"/>
      <c r="I119" s="40">
        <v>0.1106</v>
      </c>
      <c r="J119" s="17"/>
      <c r="K119" s="41"/>
      <c r="L119" s="40">
        <v>0.1079</v>
      </c>
      <c r="M119" s="17"/>
      <c r="N119" s="41"/>
      <c r="O119" s="40">
        <v>1.9099999999999999E-2</v>
      </c>
      <c r="Q119" s="42"/>
      <c r="R119" s="40">
        <v>4.7599999999999996E-2</v>
      </c>
      <c r="T119" s="42"/>
      <c r="U119" s="40">
        <v>2.2799999999999997E-2</v>
      </c>
      <c r="W119" s="42"/>
      <c r="X119" s="40">
        <v>1.5600000000000001E-2</v>
      </c>
      <c r="Z119" s="42"/>
      <c r="AA119" s="40">
        <v>2.7300000000000001E-2</v>
      </c>
      <c r="AC119" s="42"/>
      <c r="AD119" s="40">
        <v>1.3899999999999999E-2</v>
      </c>
      <c r="AE119" s="26"/>
      <c r="AF119" s="37"/>
      <c r="AG119" s="40">
        <v>4.0000000000000001E-3</v>
      </c>
      <c r="AI119" s="42"/>
      <c r="AJ119" s="40">
        <v>7.4999999999999997E-3</v>
      </c>
      <c r="AL119" s="42"/>
      <c r="AM119" s="40">
        <v>4.5000000000000005E-3</v>
      </c>
      <c r="AO119" s="42"/>
      <c r="AP119" s="40">
        <v>4.5000000000000005E-3</v>
      </c>
      <c r="AR119" s="42"/>
      <c r="AS119" s="40">
        <v>2.7400000000000001E-2</v>
      </c>
      <c r="AU119" s="42"/>
      <c r="AV119" s="40">
        <v>9.3999999999999986E-3</v>
      </c>
      <c r="AX119" s="42"/>
      <c r="AY119" s="40"/>
      <c r="AZ119" s="26"/>
      <c r="BA119" s="37"/>
      <c r="BB119" s="43"/>
      <c r="BD119" s="42"/>
      <c r="BE119" s="43"/>
      <c r="BG119" s="42"/>
      <c r="BH119" s="43"/>
      <c r="BJ119" s="42"/>
      <c r="BM119" s="42"/>
    </row>
    <row r="120" spans="1:65" x14ac:dyDescent="0.2">
      <c r="A120" s="25" t="s">
        <v>166</v>
      </c>
      <c r="B120" s="26">
        <v>0.36979999999999996</v>
      </c>
      <c r="C120" s="26">
        <v>0.31759999999999999</v>
      </c>
      <c r="D120" s="26">
        <v>0.38469999999999999</v>
      </c>
      <c r="E120" s="37">
        <v>1.54E-2</v>
      </c>
      <c r="F120" s="40">
        <v>0.21710000000000002</v>
      </c>
      <c r="G120" s="17"/>
      <c r="H120" s="41"/>
      <c r="I120" s="40">
        <v>0.1588</v>
      </c>
      <c r="J120" s="17"/>
      <c r="K120" s="41"/>
      <c r="L120" s="40">
        <v>8.3400000000000002E-2</v>
      </c>
      <c r="M120" s="17"/>
      <c r="N120" s="41"/>
      <c r="O120" s="40">
        <v>2.1000000000000001E-2</v>
      </c>
      <c r="Q120" s="42"/>
      <c r="R120" s="40">
        <v>5.1799999999999999E-2</v>
      </c>
      <c r="T120" s="42"/>
      <c r="U120" s="40">
        <v>1.6E-2</v>
      </c>
      <c r="W120" s="42"/>
      <c r="X120" s="40">
        <v>1.9099999999999999E-2</v>
      </c>
      <c r="Z120" s="42"/>
      <c r="AA120" s="40">
        <v>2.2499999999999999E-2</v>
      </c>
      <c r="AC120" s="42"/>
      <c r="AD120" s="40">
        <v>1.4499999999999999E-2</v>
      </c>
      <c r="AE120" s="26"/>
      <c r="AF120" s="37"/>
      <c r="AG120" s="40">
        <v>3.0000000000000001E-3</v>
      </c>
      <c r="AI120" s="42"/>
      <c r="AJ120" s="40">
        <v>4.3E-3</v>
      </c>
      <c r="AL120" s="42"/>
      <c r="AM120" s="40">
        <v>4.0000000000000002E-4</v>
      </c>
      <c r="AO120" s="42"/>
      <c r="AP120" s="40">
        <v>2.2000000000000001E-3</v>
      </c>
      <c r="AR120" s="42"/>
      <c r="AS120" s="40">
        <v>2.5000000000000001E-2</v>
      </c>
      <c r="AU120" s="42"/>
      <c r="AV120" s="40">
        <v>1.41E-2</v>
      </c>
      <c r="AX120" s="42"/>
      <c r="AY120" s="40"/>
      <c r="AZ120" s="26"/>
      <c r="BA120" s="37"/>
      <c r="BB120" s="43"/>
      <c r="BD120" s="42"/>
      <c r="BE120" s="43"/>
      <c r="BG120" s="42"/>
      <c r="BH120" s="43"/>
      <c r="BJ120" s="42"/>
      <c r="BM120" s="42"/>
    </row>
    <row r="121" spans="1:65" x14ac:dyDescent="0.2">
      <c r="A121" s="25" t="s">
        <v>167</v>
      </c>
      <c r="B121" s="26">
        <v>0.27639999999999998</v>
      </c>
      <c r="C121" s="26">
        <v>0.20449999999999999</v>
      </c>
      <c r="D121" s="26">
        <v>0.36969999999999997</v>
      </c>
      <c r="E121" s="37">
        <v>1.83E-2</v>
      </c>
      <c r="F121" s="40">
        <v>0.13819999999999999</v>
      </c>
      <c r="G121" s="17"/>
      <c r="H121" s="41"/>
      <c r="I121" s="40">
        <v>8.8699999999999987E-2</v>
      </c>
      <c r="J121" s="17"/>
      <c r="K121" s="41"/>
      <c r="L121" s="40">
        <v>6.480000000000001E-2</v>
      </c>
      <c r="M121" s="17"/>
      <c r="N121" s="41"/>
      <c r="O121" s="40">
        <v>2.1600000000000001E-2</v>
      </c>
      <c r="Q121" s="42"/>
      <c r="R121" s="40">
        <v>4.5599999999999995E-2</v>
      </c>
      <c r="T121" s="42"/>
      <c r="U121" s="40">
        <v>2.46E-2</v>
      </c>
      <c r="W121" s="42"/>
      <c r="X121" s="40">
        <v>1.5600000000000001E-2</v>
      </c>
      <c r="Z121" s="42"/>
      <c r="AA121" s="40">
        <v>5.6600000000000004E-2</v>
      </c>
      <c r="AC121" s="42"/>
      <c r="AD121" s="40">
        <v>1.2800000000000001E-2</v>
      </c>
      <c r="AE121" s="26"/>
      <c r="AF121" s="37"/>
      <c r="AG121" s="40">
        <v>5.5000000000000005E-3</v>
      </c>
      <c r="AI121" s="42"/>
      <c r="AJ121" s="40">
        <v>6.8999999999999999E-3</v>
      </c>
      <c r="AL121" s="42"/>
      <c r="AM121" s="40">
        <v>2.9999999999999997E-4</v>
      </c>
      <c r="AO121" s="42"/>
      <c r="AP121" s="40">
        <v>9.1999999999999998E-3</v>
      </c>
      <c r="AR121" s="42"/>
      <c r="AS121" s="40">
        <v>2.41E-2</v>
      </c>
      <c r="AU121" s="42"/>
      <c r="AV121" s="40">
        <v>8.6999999999999994E-3</v>
      </c>
      <c r="AX121" s="42"/>
      <c r="AY121" s="40"/>
      <c r="AZ121" s="26"/>
      <c r="BA121" s="37"/>
      <c r="BB121" s="43"/>
      <c r="BD121" s="42"/>
      <c r="BE121" s="43"/>
      <c r="BG121" s="42"/>
      <c r="BH121" s="43"/>
      <c r="BJ121" s="42"/>
      <c r="BM121" s="42"/>
    </row>
    <row r="122" spans="1:65" x14ac:dyDescent="0.2">
      <c r="A122" s="25" t="s">
        <v>168</v>
      </c>
      <c r="B122" s="26">
        <v>0.25540000000000002</v>
      </c>
      <c r="C122" s="26">
        <v>0.18940000000000001</v>
      </c>
      <c r="D122" s="26">
        <v>0.47979999999999995</v>
      </c>
      <c r="E122" s="37">
        <v>9.6600000000000005E-2</v>
      </c>
      <c r="F122" s="40">
        <v>0.1137</v>
      </c>
      <c r="G122" s="17"/>
      <c r="H122" s="41"/>
      <c r="I122" s="40">
        <v>0.17010000000000003</v>
      </c>
      <c r="J122" s="17"/>
      <c r="K122" s="41"/>
      <c r="L122" s="40">
        <v>9.1499999999999998E-2</v>
      </c>
      <c r="M122" s="17"/>
      <c r="N122" s="41"/>
      <c r="O122" s="40">
        <v>1.9E-2</v>
      </c>
      <c r="Q122" s="42"/>
      <c r="R122" s="40">
        <v>5.8200000000000002E-2</v>
      </c>
      <c r="T122" s="42"/>
      <c r="U122" s="40">
        <v>1.84E-2</v>
      </c>
      <c r="W122" s="42"/>
      <c r="X122" s="40">
        <v>1.4999999999999999E-2</v>
      </c>
      <c r="Z122" s="42"/>
      <c r="AA122" s="40">
        <v>2.41E-2</v>
      </c>
      <c r="AC122" s="42"/>
      <c r="AD122" s="40">
        <v>1.1000000000000001E-2</v>
      </c>
      <c r="AE122" s="26"/>
      <c r="AF122" s="37"/>
      <c r="AG122" s="40">
        <v>3.5999999999999999E-3</v>
      </c>
      <c r="AI122" s="42"/>
      <c r="AJ122" s="40">
        <v>4.0000000000000001E-3</v>
      </c>
      <c r="AL122" s="42"/>
      <c r="AM122" s="40">
        <v>9.5999999999999992E-3</v>
      </c>
      <c r="AO122" s="42"/>
      <c r="AP122" s="40">
        <v>1.8E-3</v>
      </c>
      <c r="AR122" s="42"/>
      <c r="AS122" s="40">
        <v>6.0400000000000002E-2</v>
      </c>
      <c r="AU122" s="42"/>
      <c r="AV122" s="40">
        <v>1.38E-2</v>
      </c>
      <c r="AX122" s="42"/>
      <c r="AY122" s="40"/>
      <c r="AZ122" s="26"/>
      <c r="BA122" s="37"/>
      <c r="BB122" s="43"/>
      <c r="BD122" s="42"/>
      <c r="BE122" s="43"/>
      <c r="BG122" s="42"/>
      <c r="BH122" s="43"/>
      <c r="BJ122" s="42"/>
      <c r="BM122" s="42"/>
    </row>
    <row r="123" spans="1:65" x14ac:dyDescent="0.2">
      <c r="F123" s="26"/>
      <c r="H123" s="17"/>
    </row>
  </sheetData>
  <mergeCells count="26">
    <mergeCell ref="A1:A2"/>
    <mergeCell ref="BN1:BP1"/>
    <mergeCell ref="U1:W1"/>
    <mergeCell ref="X1:Z1"/>
    <mergeCell ref="AA1:AC1"/>
    <mergeCell ref="B1:B2"/>
    <mergeCell ref="C1:C2"/>
    <mergeCell ref="D1:D2"/>
    <mergeCell ref="E1:E2"/>
    <mergeCell ref="F1:H1"/>
    <mergeCell ref="I1:K1"/>
    <mergeCell ref="L1:N1"/>
    <mergeCell ref="O1:Q1"/>
    <mergeCell ref="R1:T1"/>
    <mergeCell ref="AD1:AF1"/>
    <mergeCell ref="AG1:AI1"/>
    <mergeCell ref="AJ1:AL1"/>
    <mergeCell ref="AM1:AO1"/>
    <mergeCell ref="AP1:AR1"/>
    <mergeCell ref="BH1:BJ1"/>
    <mergeCell ref="BK1:BM1"/>
    <mergeCell ref="AS1:AU1"/>
    <mergeCell ref="AV1:AX1"/>
    <mergeCell ref="AY1:BA1"/>
    <mergeCell ref="BB1:BD1"/>
    <mergeCell ref="BE1:BG1"/>
  </mergeCells>
  <conditionalFormatting sqref="I104:I122 I73:I83 I29:I55">
    <cfRule type="cellIs" dxfId="224" priority="197" operator="greaterThan">
      <formula>AVERAGE($I29:I46)+AVERAGE($I29:I46)*0.2</formula>
    </cfRule>
  </conditionalFormatting>
  <conditionalFormatting sqref="AA35:AA55 AA73:AA83 AA101:AA122">
    <cfRule type="cellIs" dxfId="223" priority="194" operator="greaterThan">
      <formula>AVERAGE($AA35:AA52)+AVERAGE($AA35:AA52)*0.2</formula>
    </cfRule>
  </conditionalFormatting>
  <conditionalFormatting sqref="AD73:AD83 AD101:AF122 AD8:AD55">
    <cfRule type="cellIs" dxfId="222" priority="193" operator="greaterThan">
      <formula>AVERAGE($AD8:AD27)+AVERAGE($AD8:AD27)*0.2</formula>
    </cfRule>
  </conditionalFormatting>
  <conditionalFormatting sqref="AG112:AG122 AG91:AG100">
    <cfRule type="cellIs" dxfId="221" priority="192" operator="greaterThan">
      <formula>AVERAGE($AG91:AG101)+AVERAGE($AG91:AG101)*0.2</formula>
    </cfRule>
  </conditionalFormatting>
  <conditionalFormatting sqref="AJ8:AJ122">
    <cfRule type="cellIs" dxfId="220" priority="191" operator="greaterThan">
      <formula>AVERAGE($AJ8:AJ27)+AVERAGE($AJ8:AJ27)*0.2</formula>
    </cfRule>
  </conditionalFormatting>
  <conditionalFormatting sqref="AM9:AM122">
    <cfRule type="cellIs" dxfId="219" priority="190" operator="greaterThan">
      <formula>AVERAGE($AM9:AM28)+AVERAGE($AM9:AM28)*0.2</formula>
    </cfRule>
  </conditionalFormatting>
  <conditionalFormatting sqref="AP101:AP122">
    <cfRule type="cellIs" dxfId="218" priority="189" operator="greaterThan">
      <formula>AVERAGE($AP101:AP118)+AVERAGE($AP101:AP118)*0.2</formula>
    </cfRule>
  </conditionalFormatting>
  <conditionalFormatting sqref="AV8:AV122">
    <cfRule type="cellIs" dxfId="217" priority="187" operator="greaterThan">
      <formula>AVERAGE($AV8:AV27)+AVERAGE($AV8:AV27)*0.2</formula>
    </cfRule>
  </conditionalFormatting>
  <conditionalFormatting sqref="U110:U111">
    <cfRule type="cellIs" dxfId="216" priority="205" operator="greaterThan">
      <formula>AVERAGE($U110:U122)+AVERAGE($U110:U122)*0.2</formula>
    </cfRule>
  </conditionalFormatting>
  <conditionalFormatting sqref="R110:R111">
    <cfRule type="cellIs" dxfId="215" priority="206" operator="greaterThan">
      <formula>AVERAGE($R110:R122)+AVERAGE($R110:R122)*0.2</formula>
    </cfRule>
  </conditionalFormatting>
  <conditionalFormatting sqref="O110:O111">
    <cfRule type="cellIs" dxfId="214" priority="207" operator="greaterThan">
      <formula>AVERAGE($O110:O122)+AVERAGE($O110:O122)*0.2</formula>
    </cfRule>
  </conditionalFormatting>
  <conditionalFormatting sqref="L110:L111">
    <cfRule type="cellIs" dxfId="213" priority="208" operator="greaterThan">
      <formula>AVERAGE($L110:L122)+AVERAGE($L110:L122)*0.2</formula>
    </cfRule>
  </conditionalFormatting>
  <conditionalFormatting sqref="I110:I111">
    <cfRule type="cellIs" dxfId="212" priority="209" operator="greaterThan">
      <formula>AVERAGE($I110:I122)+AVERAGE($I110:I122)*0.2</formula>
    </cfRule>
  </conditionalFormatting>
  <conditionalFormatting sqref="F110:F111">
    <cfRule type="cellIs" dxfId="211" priority="210" operator="greaterThan">
      <formula>AVERAGE($F110:F122)+AVERAGE($F110:F122)*0.2</formula>
    </cfRule>
  </conditionalFormatting>
  <conditionalFormatting sqref="X110:X111">
    <cfRule type="cellIs" dxfId="210" priority="211" operator="greaterThan">
      <formula>AVERAGE($X110:X122)+AVERAGE($X110:X122)*0.2</formula>
    </cfRule>
  </conditionalFormatting>
  <conditionalFormatting sqref="AA110:AA111">
    <cfRule type="cellIs" dxfId="209" priority="212" operator="greaterThan">
      <formula>AVERAGE($AA110:AA122)+AVERAGE($AA110:AA122)*0.2</formula>
    </cfRule>
  </conditionalFormatting>
  <conditionalFormatting sqref="AD110:AF111">
    <cfRule type="cellIs" dxfId="208" priority="213" operator="greaterThan">
      <formula>AVERAGE($AD110:AD122)+AVERAGE($AD110:AD122)*0.2</formula>
    </cfRule>
  </conditionalFormatting>
  <conditionalFormatting sqref="AG8:AG122">
    <cfRule type="cellIs" dxfId="207" priority="214" operator="greaterThan">
      <formula>AVERAGE($AG8:AG27)+AVERAGE($AG8:AG27)*0.2</formula>
    </cfRule>
  </conditionalFormatting>
  <conditionalFormatting sqref="AJ110:AJ111">
    <cfRule type="cellIs" dxfId="206" priority="215" operator="greaterThan">
      <formula>AVERAGE($AJ110:AJ122)+AVERAGE($AJ110:AJ122)*0.2</formula>
    </cfRule>
  </conditionalFormatting>
  <conditionalFormatting sqref="AM110:AM111">
    <cfRule type="cellIs" dxfId="205" priority="216" operator="greaterThan">
      <formula>AVERAGE($AM110:AM122)+AVERAGE($AM110:AM122)*0.2</formula>
    </cfRule>
  </conditionalFormatting>
  <conditionalFormatting sqref="AP110:AP111">
    <cfRule type="cellIs" dxfId="204" priority="217" operator="greaterThan">
      <formula>AVERAGE($AP110:AP122)+AVERAGE($AP110:AP122)*0.2</formula>
    </cfRule>
  </conditionalFormatting>
  <conditionalFormatting sqref="AS110:AS111">
    <cfRule type="cellIs" dxfId="203" priority="218" operator="greaterThan">
      <formula>AVERAGE($AS110:AS122)+AVERAGE($AS110:AS122)*0.2</formula>
    </cfRule>
  </conditionalFormatting>
  <conditionalFormatting sqref="AV110:AV111">
    <cfRule type="cellIs" dxfId="202" priority="219" operator="greaterThan">
      <formula>AVERAGE($AV110:AV122)+AVERAGE($AV110:AV122)*0.2</formula>
    </cfRule>
  </conditionalFormatting>
  <conditionalFormatting sqref="U109">
    <cfRule type="cellIs" dxfId="201" priority="220" operator="greaterThan">
      <formula>AVERAGE($U109:U120)+AVERAGE($U109:U120)*0.2</formula>
    </cfRule>
  </conditionalFormatting>
  <conditionalFormatting sqref="R109">
    <cfRule type="cellIs" dxfId="200" priority="221" operator="greaterThan">
      <formula>AVERAGE($R109:R120)+AVERAGE($R109:R120)*0.2</formula>
    </cfRule>
  </conditionalFormatting>
  <conditionalFormatting sqref="O109">
    <cfRule type="cellIs" dxfId="199" priority="222" operator="greaterThan">
      <formula>AVERAGE($O109:O120)+AVERAGE($O109:O120)*0.2</formula>
    </cfRule>
  </conditionalFormatting>
  <conditionalFormatting sqref="L109">
    <cfRule type="cellIs" dxfId="198" priority="223" operator="greaterThan">
      <formula>AVERAGE($L109:L120)+AVERAGE($L109:L120)*0.2</formula>
    </cfRule>
  </conditionalFormatting>
  <conditionalFormatting sqref="I109">
    <cfRule type="cellIs" dxfId="197" priority="224" operator="greaterThan">
      <formula>AVERAGE($I109:I120)+AVERAGE($I109:I120)*0.2</formula>
    </cfRule>
  </conditionalFormatting>
  <conditionalFormatting sqref="X109">
    <cfRule type="cellIs" dxfId="196" priority="226" operator="greaterThan">
      <formula>AVERAGE($X109:X120)+AVERAGE($X109:X120)*0.2</formula>
    </cfRule>
  </conditionalFormatting>
  <conditionalFormatting sqref="AA109">
    <cfRule type="cellIs" dxfId="195" priority="227" operator="greaterThan">
      <formula>AVERAGE($AA109:AA120)+AVERAGE($AA109:AA120)*0.2</formula>
    </cfRule>
  </conditionalFormatting>
  <conditionalFormatting sqref="AD109:AF109">
    <cfRule type="cellIs" dxfId="194" priority="228" operator="greaterThan">
      <formula>AVERAGE($AD109:AD120)+AVERAGE($AD109:AD120)*0.2</formula>
    </cfRule>
  </conditionalFormatting>
  <conditionalFormatting sqref="AG109 AG61:AG66 AG89:AG90">
    <cfRule type="cellIs" dxfId="193" priority="229" operator="greaterThan">
      <formula>AVERAGE($AG61:AG72)+AVERAGE($AG61:AG72)*0.2</formula>
    </cfRule>
  </conditionalFormatting>
  <conditionalFormatting sqref="AJ109">
    <cfRule type="cellIs" dxfId="192" priority="230" operator="greaterThan">
      <formula>AVERAGE($AJ109:AJ120)+AVERAGE($AJ109:AJ120)*0.2</formula>
    </cfRule>
  </conditionalFormatting>
  <conditionalFormatting sqref="AM109">
    <cfRule type="cellIs" dxfId="191" priority="231" operator="greaterThan">
      <formula>AVERAGE($AM109:AM120)+AVERAGE($AM109:AM120)*0.2</formula>
    </cfRule>
  </conditionalFormatting>
  <conditionalFormatting sqref="AP109">
    <cfRule type="cellIs" dxfId="190" priority="232" operator="greaterThan">
      <formula>AVERAGE($AP109:AP120)+AVERAGE($AP109:AP120)*0.2</formula>
    </cfRule>
  </conditionalFormatting>
  <conditionalFormatting sqref="AS109">
    <cfRule type="cellIs" dxfId="189" priority="233" operator="greaterThan">
      <formula>AVERAGE($AS109:AS120)+AVERAGE($AS109:AS120)*0.2</formula>
    </cfRule>
  </conditionalFormatting>
  <conditionalFormatting sqref="AV109">
    <cfRule type="cellIs" dxfId="188" priority="234" operator="greaterThan">
      <formula>AVERAGE($AV109:AV120)+AVERAGE($AV109:AV120)*0.2</formula>
    </cfRule>
  </conditionalFormatting>
  <conditionalFormatting sqref="AG103">
    <cfRule type="cellIs" dxfId="187" priority="186" operator="greaterThan">
      <formula>AVERAGE($AG103:AG115)+AVERAGE($AG103:AG115)*0.2</formula>
    </cfRule>
  </conditionalFormatting>
  <conditionalFormatting sqref="F56:F72 F84:F85">
    <cfRule type="cellIs" dxfId="186" priority="241" operator="greaterThan">
      <formula>AVERAGE($F56:F72)+AVERAGE($F56:F72)*0.2</formula>
    </cfRule>
  </conditionalFormatting>
  <conditionalFormatting sqref="X56:X72 X84:X85">
    <cfRule type="cellIs" dxfId="185" priority="245" operator="greaterThan">
      <formula>AVERAGE($X56:X72)+AVERAGE($X56:X72)*0.2</formula>
    </cfRule>
  </conditionalFormatting>
  <conditionalFormatting sqref="AJ56:AJ72 AJ84:AJ85">
    <cfRule type="cellIs" dxfId="184" priority="251" operator="greaterThan">
      <formula>AVERAGE($AJ56:AJ72)+AVERAGE($AJ56:AJ72)*0.2</formula>
    </cfRule>
  </conditionalFormatting>
  <conditionalFormatting sqref="AM56:AM72 AM84:AM85">
    <cfRule type="cellIs" dxfId="183" priority="255" operator="greaterThan">
      <formula>AVERAGE($AM56:AM72)+AVERAGE($AM56:AM72)*0.2</formula>
    </cfRule>
  </conditionalFormatting>
  <conditionalFormatting sqref="AS56:AS72 AS84:AS85">
    <cfRule type="cellIs" dxfId="182" priority="259" operator="greaterThan">
      <formula>AVERAGE($AS56:AS72)+AVERAGE($AS56:AS72)*0.2</formula>
    </cfRule>
  </conditionalFormatting>
  <conditionalFormatting sqref="AV56:AV72 AV84:AV85">
    <cfRule type="cellIs" dxfId="181" priority="263" operator="greaterThan">
      <formula>AVERAGE($AV56:AV72)+AVERAGE($AV56:AV72)*0.2</formula>
    </cfRule>
  </conditionalFormatting>
  <conditionalFormatting sqref="F62:F72 F90:F91">
    <cfRule type="cellIs" dxfId="180" priority="268" operator="greaterThan">
      <formula>AVERAGE($F62:F72)+AVERAGE($F62:F72)*0.2</formula>
    </cfRule>
  </conditionalFormatting>
  <conditionalFormatting sqref="O56:O72 O84:O85">
    <cfRule type="cellIs" dxfId="179" priority="276" operator="greaterThan">
      <formula>AVERAGE($O56:O72)+AVERAGE($O56:O72)*0.2</formula>
    </cfRule>
  </conditionalFormatting>
  <conditionalFormatting sqref="R56:R72 R84:R85">
    <cfRule type="cellIs" dxfId="178" priority="280" operator="greaterThan">
      <formula>AVERAGE($R56:R72)+AVERAGE($R56:R72)*0.2</formula>
    </cfRule>
  </conditionalFormatting>
  <conditionalFormatting sqref="U56:U72 U84:U85">
    <cfRule type="cellIs" dxfId="177" priority="284" operator="greaterThan">
      <formula>AVERAGE($U56:U72)+AVERAGE($U56:U72)*0.2</formula>
    </cfRule>
  </conditionalFormatting>
  <conditionalFormatting sqref="I56:I72 I84:I85">
    <cfRule type="cellIs" dxfId="176" priority="288" operator="greaterThan">
      <formula>AVERAGE($I56:I72)+AVERAGE($I56:I72)*0.2</formula>
    </cfRule>
  </conditionalFormatting>
  <conditionalFormatting sqref="AD56:AD72 AD84:AD85">
    <cfRule type="cellIs" dxfId="175" priority="295" operator="greaterThan">
      <formula>AVERAGE($AD56:AD72)+AVERAGE($AD56:AD72)*0.2</formula>
    </cfRule>
  </conditionalFormatting>
  <conditionalFormatting sqref="AS56:AS72 AS84:AS85">
    <cfRule type="cellIs" dxfId="174" priority="299" stopIfTrue="1" operator="greaterThan">
      <formula>AVERAGE($AS56:AS72)+AVERAGE($AS56:AS72)*0.2</formula>
    </cfRule>
  </conditionalFormatting>
  <conditionalFormatting sqref="U86:U100">
    <cfRule type="cellIs" dxfId="173" priority="307" operator="greaterThan">
      <formula>AVERAGE($U86:U101)+AVERAGE($U86:U101)*0.2</formula>
    </cfRule>
  </conditionalFormatting>
  <conditionalFormatting sqref="R86:R100">
    <cfRule type="cellIs" dxfId="172" priority="310" operator="greaterThan">
      <formula>AVERAGE($R86:R101)+AVERAGE($R86:R101)*0.2</formula>
    </cfRule>
  </conditionalFormatting>
  <conditionalFormatting sqref="O86:O100">
    <cfRule type="cellIs" dxfId="171" priority="313" operator="greaterThan">
      <formula>AVERAGE($O86:O101)+AVERAGE($O86:O101)*0.2</formula>
    </cfRule>
  </conditionalFormatting>
  <conditionalFormatting sqref="L86:L100">
    <cfRule type="cellIs" dxfId="170" priority="316" operator="greaterThan">
      <formula>AVERAGE($L86:L101)+AVERAGE($L86:L101)*0.2</formula>
    </cfRule>
  </conditionalFormatting>
  <conditionalFormatting sqref="I98 I86:I96">
    <cfRule type="cellIs" dxfId="169" priority="318" operator="greaterThan">
      <formula>AVERAGE($I86:I101)+AVERAGE($I86:I101)*0.2</formula>
    </cfRule>
  </conditionalFormatting>
  <conditionalFormatting sqref="F86:F100">
    <cfRule type="cellIs" dxfId="168" priority="324" operator="greaterThan">
      <formula>AVERAGE($F86:F101)+AVERAGE($F86:F101)*0.2</formula>
    </cfRule>
  </conditionalFormatting>
  <conditionalFormatting sqref="X86:X100">
    <cfRule type="cellIs" dxfId="167" priority="328" operator="greaterThan">
      <formula>AVERAGE($X86:X101)+AVERAGE($X86:X101)*0.2</formula>
    </cfRule>
  </conditionalFormatting>
  <conditionalFormatting sqref="AA86:AA100">
    <cfRule type="cellIs" dxfId="166" priority="332" operator="greaterThan">
      <formula>AVERAGE($AA86:AA101)+AVERAGE($AA86:AA101)*0.2</formula>
    </cfRule>
  </conditionalFormatting>
  <conditionalFormatting sqref="AD96:AF100 AD86:AD95">
    <cfRule type="cellIs" dxfId="165" priority="336" operator="greaterThan">
      <formula>AVERAGE($AD86:AD101)+AVERAGE($AD86:AD101)*0.2</formula>
    </cfRule>
  </conditionalFormatting>
  <conditionalFormatting sqref="AJ86:AJ100">
    <cfRule type="cellIs" dxfId="164" priority="340" operator="greaterThan">
      <formula>AVERAGE($AJ86:AJ101)+AVERAGE($AJ86:AJ101)*0.2</formula>
    </cfRule>
  </conditionalFormatting>
  <conditionalFormatting sqref="AM86:AM100">
    <cfRule type="cellIs" dxfId="163" priority="344" operator="greaterThan">
      <formula>AVERAGE($AM86:AM101)+AVERAGE($AM86:AM101)*0.2</formula>
    </cfRule>
  </conditionalFormatting>
  <conditionalFormatting sqref="AP8:AP122">
    <cfRule type="cellIs" dxfId="162" priority="346" operator="greaterThan">
      <formula>AVERAGE($AP25:AP1048566)+AVERAGE($AP25:AP1048566)*0.2</formula>
    </cfRule>
  </conditionalFormatting>
  <conditionalFormatting sqref="AS86:AS100">
    <cfRule type="cellIs" dxfId="161" priority="350" operator="greaterThan">
      <formula>AVERAGE($AS86:AS101)+AVERAGE($AS86:AS101)*0.2</formula>
    </cfRule>
  </conditionalFormatting>
  <conditionalFormatting sqref="AV86:AV100">
    <cfRule type="cellIs" dxfId="160" priority="354" operator="greaterThan">
      <formula>AVERAGE($AV86:AV101)+AVERAGE($AV86:AV101)*0.2</formula>
    </cfRule>
  </conditionalFormatting>
  <conditionalFormatting sqref="F92:F100">
    <cfRule type="cellIs" dxfId="159" priority="362" operator="greaterThan">
      <formula>AVERAGE($F92:F101)+AVERAGE($F92:F101)*0.2</formula>
    </cfRule>
  </conditionalFormatting>
  <conditionalFormatting sqref="AS86:AS100">
    <cfRule type="cellIs" dxfId="158" priority="378" stopIfTrue="1" operator="greaterThan">
      <formula>AVERAGE($AS86:AS101)+AVERAGE($AS86:AS101)*0.2</formula>
    </cfRule>
  </conditionalFormatting>
  <conditionalFormatting sqref="AY93">
    <cfRule type="cellIs" dxfId="157" priority="166" operator="greaterThan">
      <formula>3.4</formula>
    </cfRule>
  </conditionalFormatting>
  <conditionalFormatting sqref="AY3:AY95">
    <cfRule type="cellIs" dxfId="156" priority="165" operator="greaterThan">
      <formula>AVERAGE($AY3:AY22)+AVERAGE($AY3:AY22)*0.2</formula>
    </cfRule>
  </conditionalFormatting>
  <conditionalFormatting sqref="D21:D122">
    <cfRule type="cellIs" dxfId="155" priority="164" operator="greaterThan">
      <formula>AVERAGE($D21:D35)+AVERAGE($D21:D35)*0.1</formula>
    </cfRule>
  </conditionalFormatting>
  <conditionalFormatting sqref="AY3:AY95">
    <cfRule type="cellIs" dxfId="154" priority="161" operator="lessThan">
      <formula>AVERAGE($AY3:AY22)-AVERAGE($AY3:AY22)*0.2</formula>
    </cfRule>
  </conditionalFormatting>
  <conditionalFormatting sqref="AV8:AV122">
    <cfRule type="cellIs" dxfId="153" priority="160" operator="lessThan">
      <formula>AVERAGE($AV8:AV27)-AVERAGE($AV8:AV27)*0.2</formula>
    </cfRule>
  </conditionalFormatting>
  <conditionalFormatting sqref="AS8:AS122">
    <cfRule type="cellIs" dxfId="152" priority="156" operator="lessThan">
      <formula>AVERAGE($AS8:AS27)-AVERAGE($AS8:AS27)*0.2</formula>
    </cfRule>
    <cfRule type="cellIs" dxfId="151" priority="159" operator="greaterThan">
      <formula>AVERAGE($AS8:AS27)+AVERAGE($AS8:AS27)*0.2</formula>
    </cfRule>
  </conditionalFormatting>
  <conditionalFormatting sqref="AP8:AP122">
    <cfRule type="cellIs" dxfId="150" priority="155" operator="lessThan">
      <formula>AVERAGE($AP24:AP1048565)-AVERAGE($AP24:AP1048565)*0.2</formula>
    </cfRule>
  </conditionalFormatting>
  <conditionalFormatting sqref="AM9:AM122">
    <cfRule type="cellIs" dxfId="149" priority="154" operator="lessThan">
      <formula>AVERAGE($AM9:AM28)-AVERAGE($AM9:AM28)*0.2</formula>
    </cfRule>
  </conditionalFormatting>
  <conditionalFormatting sqref="AJ8:AJ122">
    <cfRule type="cellIs" dxfId="148" priority="153" operator="lessThan">
      <formula>AVERAGE($AJ8:AJ27)-AVERAGE($AJ8:AJ27)*0.2</formula>
    </cfRule>
  </conditionalFormatting>
  <conditionalFormatting sqref="AG8:AG122">
    <cfRule type="cellIs" dxfId="147" priority="152" operator="lessThan">
      <formula>AVERAGE($AG8:AG27)-AVERAGE($AG8:AG27)*0.2</formula>
    </cfRule>
  </conditionalFormatting>
  <conditionalFormatting sqref="AD8:AD18">
    <cfRule type="cellIs" dxfId="146" priority="151" operator="lessThan">
      <formula>AVERAGE($AD8:AD27)-AVERAGE($AD8:AD27)*0.2</formula>
    </cfRule>
  </conditionalFormatting>
  <conditionalFormatting sqref="AA8:AA122">
    <cfRule type="cellIs" dxfId="145" priority="149" operator="greaterThan">
      <formula>AVERAGE($AA8:AA27)+AVERAGE($AA8:AA27)*0.2</formula>
    </cfRule>
    <cfRule type="cellIs" dxfId="144" priority="150" operator="lessThan">
      <formula>AVERAGE($AA8:AA27)-AVERAGE($AA8:AA27)*0.2</formula>
    </cfRule>
  </conditionalFormatting>
  <conditionalFormatting sqref="X8:X122">
    <cfRule type="cellIs" dxfId="143" priority="147" operator="lessThan">
      <formula>AVERAGE($X8:X27)-AVERAGE($X8:X27)*0.2</formula>
    </cfRule>
    <cfRule type="cellIs" dxfId="142" priority="148" operator="greaterThan">
      <formula>AVERAGE($X8:X27)+AVERAGE($X8:X27)*0.2</formula>
    </cfRule>
  </conditionalFormatting>
  <conditionalFormatting sqref="U8:U122">
    <cfRule type="cellIs" dxfId="141" priority="145" operator="greaterThan">
      <formula>AVERAGE($U8:U27)+AVERAGE($U8:U27)*0.2</formula>
    </cfRule>
    <cfRule type="cellIs" dxfId="140" priority="146" operator="lessThan">
      <formula>AVERAGE($U8:U27)-AVERAGE($U8:U27)*0.2</formula>
    </cfRule>
  </conditionalFormatting>
  <conditionalFormatting sqref="R8:R122">
    <cfRule type="cellIs" dxfId="139" priority="143" operator="lessThan">
      <formula>AVERAGE($R8:R27)-AVERAGE($R8:R27)*0.2</formula>
    </cfRule>
    <cfRule type="cellIs" dxfId="138" priority="144" operator="greaterThan">
      <formula>AVERAGE($R8:R27)+AVERAGE($R8:R27)*0.2</formula>
    </cfRule>
  </conditionalFormatting>
  <conditionalFormatting sqref="O8:O122">
    <cfRule type="cellIs" dxfId="137" priority="141" operator="greaterThan">
      <formula>AVERAGE($O8:O27)+AVERAGE($O8:O27)*0.2</formula>
    </cfRule>
    <cfRule type="cellIs" dxfId="136" priority="142" operator="lessThan">
      <formula>AVERAGE($O8:O27)-AVERAGE($O8:O27)*0.2</formula>
    </cfRule>
  </conditionalFormatting>
  <conditionalFormatting sqref="L3:L122">
    <cfRule type="cellIs" dxfId="135" priority="139" operator="lessThan">
      <formula>AVERAGE($L3:L22)-AVERAGE($L3:L22)*0.2</formula>
    </cfRule>
    <cfRule type="cellIs" dxfId="134" priority="140" operator="greaterThan">
      <formula>AVERAGE($L3:L22)+AVERAGE($L3:L22)*0.2</formula>
    </cfRule>
  </conditionalFormatting>
  <conditionalFormatting sqref="I8:I122">
    <cfRule type="cellIs" dxfId="133" priority="137" operator="greaterThan">
      <formula>AVERAGE($I8:I27)+AVERAGE($I8:I27)*0.2</formula>
    </cfRule>
    <cfRule type="cellIs" dxfId="132" priority="138" operator="lessThan">
      <formula>AVERAGE($I8:I27)-AVERAGE($I8:I27)*0.2</formula>
    </cfRule>
  </conditionalFormatting>
  <conditionalFormatting sqref="F8:F123">
    <cfRule type="cellIs" dxfId="131" priority="135" operator="lessThan">
      <formula>AVERAGE($F8:F27)-AVERAGE($F8:F27)*0.2</formula>
    </cfRule>
    <cfRule type="cellIs" dxfId="130" priority="136" operator="greaterThan">
      <formula>AVERAGE($F8:F27)+AVERAGE($F8:F27)*0.2</formula>
    </cfRule>
  </conditionalFormatting>
  <conditionalFormatting sqref="E6:E122">
    <cfRule type="cellIs" dxfId="129" priority="133" operator="greaterThan">
      <formula>AVERAGE($E6:E25)+AVERAGE($E6:E25)*0.2</formula>
    </cfRule>
    <cfRule type="cellIs" dxfId="128" priority="134" operator="lessThan">
      <formula>AVERAGE($E6:E25)-AVERAGE($E6:E25)*0.2</formula>
    </cfRule>
  </conditionalFormatting>
  <conditionalFormatting sqref="C6:C122">
    <cfRule type="cellIs" dxfId="127" priority="131" operator="lessThan">
      <formula>AVERAGE($C6:C25)-AVERAGE($C6:C25)*0.2</formula>
    </cfRule>
    <cfRule type="cellIs" dxfId="126" priority="132" operator="greaterThan">
      <formula>AVERAGE($C6:C25)+AVERAGE($C6:C25)*0.2</formula>
    </cfRule>
  </conditionalFormatting>
  <conditionalFormatting sqref="B4:B122">
    <cfRule type="cellIs" dxfId="125" priority="129" operator="greaterThan">
      <formula>AVERAGE($B4:B23)+AVERAGE($B4:B23)*0.2</formula>
    </cfRule>
    <cfRule type="cellIs" dxfId="124" priority="130" operator="lessThan">
      <formula>AVERAGE($B4:B23)-AVERAGE($B4:B23)*0.2</formula>
    </cfRule>
  </conditionalFormatting>
  <conditionalFormatting sqref="X16">
    <cfRule type="cellIs" dxfId="123" priority="127" operator="lessThan">
      <formula>AVERAGE($X16:X35)-AVERAGE($X16:X35)*0.2</formula>
    </cfRule>
    <cfRule type="cellIs" dxfId="122" priority="128" operator="greaterThan">
      <formula>AVERAGE($X16:X35)+AVERAGE($X16:X35)*0.2</formula>
    </cfRule>
  </conditionalFormatting>
  <conditionalFormatting sqref="I7">
    <cfRule type="cellIs" dxfId="121" priority="415" operator="greaterThan">
      <formula>AVERAGE($I7:I26)+AVERAGE($I7:I26)*0.2</formula>
    </cfRule>
    <cfRule type="cellIs" dxfId="120" priority="416" operator="lessThan">
      <formula>AVERAGE($I7:I26)-AVERAGE($I7:I26)*0.2</formula>
    </cfRule>
  </conditionalFormatting>
  <conditionalFormatting sqref="K7:K67 N64:N67 N7:N59">
    <cfRule type="cellIs" dxfId="119" priority="126" operator="greaterThan">
      <formula>J7+(J7*0.25)</formula>
    </cfRule>
  </conditionalFormatting>
  <conditionalFormatting sqref="J7:J67 M6:M58 M64:M66">
    <cfRule type="cellIs" dxfId="118" priority="125" operator="greaterThan">
      <formula>K6+(K6*0.25)</formula>
    </cfRule>
  </conditionalFormatting>
  <conditionalFormatting sqref="G7:G44">
    <cfRule type="cellIs" dxfId="117" priority="124" operator="greaterThan">
      <formula>H7+(H7*0.25)</formula>
    </cfRule>
  </conditionalFormatting>
  <conditionalFormatting sqref="H3:H69">
    <cfRule type="cellIs" dxfId="116" priority="123" operator="greaterThan">
      <formula>G3+(G3*0.25)</formula>
    </cfRule>
  </conditionalFormatting>
  <conditionalFormatting sqref="P7:P66">
    <cfRule type="cellIs" dxfId="115" priority="120" operator="greaterThan">
      <formula>Q7+(Q7*0.25)</formula>
    </cfRule>
  </conditionalFormatting>
  <conditionalFormatting sqref="Q7:Q66">
    <cfRule type="cellIs" dxfId="114" priority="119" operator="greaterThan">
      <formula>P7+(P7*0.25)</formula>
    </cfRule>
  </conditionalFormatting>
  <conditionalFormatting sqref="S6:S66">
    <cfRule type="cellIs" dxfId="113" priority="118" operator="greaterThan">
      <formula>T6+(T6*0.25)</formula>
    </cfRule>
  </conditionalFormatting>
  <conditionalFormatting sqref="T7:T67">
    <cfRule type="cellIs" dxfId="112" priority="117" operator="greaterThan">
      <formula>S7+(S7*0.25)</formula>
    </cfRule>
  </conditionalFormatting>
  <conditionalFormatting sqref="W5:W67">
    <cfRule type="cellIs" dxfId="111" priority="116" operator="greaterThan">
      <formula>V5+(V5*0.25)</formula>
    </cfRule>
  </conditionalFormatting>
  <conditionalFormatting sqref="V7:V66">
    <cfRule type="cellIs" dxfId="110" priority="115" operator="greaterThan">
      <formula>W7+(W7*0.25)</formula>
    </cfRule>
  </conditionalFormatting>
  <conditionalFormatting sqref="Y7:Y72">
    <cfRule type="cellIs" dxfId="109" priority="114" operator="greaterThan">
      <formula>Z7+(Z7*0.25)</formula>
    </cfRule>
  </conditionalFormatting>
  <conditionalFormatting sqref="Z7:Z69">
    <cfRule type="cellIs" dxfId="108" priority="113" operator="greaterThan">
      <formula>Y7+(Y7*0.25)</formula>
    </cfRule>
  </conditionalFormatting>
  <conditionalFormatting sqref="AB7:AB66">
    <cfRule type="cellIs" dxfId="107" priority="112" operator="greaterThan">
      <formula>AC7+(AC7*0.25)</formula>
    </cfRule>
  </conditionalFormatting>
  <conditionalFormatting sqref="AC3:AC66">
    <cfRule type="cellIs" dxfId="106" priority="111" operator="greaterThan">
      <formula>AB3+(AB3*0.25)</formula>
    </cfRule>
  </conditionalFormatting>
  <conditionalFormatting sqref="AE6:AE66">
    <cfRule type="cellIs" dxfId="105" priority="110" operator="greaterThan">
      <formula>AF6+(AF6*0.25)</formula>
    </cfRule>
  </conditionalFormatting>
  <conditionalFormatting sqref="AF7:AF66">
    <cfRule type="cellIs" dxfId="104" priority="109" operator="greaterThan">
      <formula>AE7+(AE7*0.25)</formula>
    </cfRule>
  </conditionalFormatting>
  <conditionalFormatting sqref="AH7:AH67">
    <cfRule type="cellIs" dxfId="103" priority="108" operator="greaterThan">
      <formula>AI7+(AI7*0.25)</formula>
    </cfRule>
  </conditionalFormatting>
  <conditionalFormatting sqref="AI7:AI66">
    <cfRule type="cellIs" dxfId="102" priority="107" operator="greaterThan">
      <formula>AH7+(AH7*0.25)</formula>
    </cfRule>
  </conditionalFormatting>
  <conditionalFormatting sqref="AK7:AK66">
    <cfRule type="cellIs" dxfId="101" priority="106" operator="greaterThan">
      <formula>AL7+(AL7*0.25)</formula>
    </cfRule>
  </conditionalFormatting>
  <conditionalFormatting sqref="AL5:AL66">
    <cfRule type="cellIs" dxfId="100" priority="105" operator="greaterThan">
      <formula>AK5+(AK5*0.25)</formula>
    </cfRule>
  </conditionalFormatting>
  <conditionalFormatting sqref="AO7:AO67">
    <cfRule type="cellIs" dxfId="0" priority="104" operator="greaterThan">
      <formula>AN7+(AN7*0.25)</formula>
    </cfRule>
  </conditionalFormatting>
  <conditionalFormatting sqref="AN3:AN67">
    <cfRule type="cellIs" dxfId="99" priority="103" operator="greaterThan">
      <formula>AO3+(AO3*0.25)</formula>
    </cfRule>
  </conditionalFormatting>
  <conditionalFormatting sqref="AR3:AR66">
    <cfRule type="cellIs" dxfId="98" priority="102" operator="greaterThan">
      <formula>AQ3+(AQ3*0.25)</formula>
    </cfRule>
  </conditionalFormatting>
  <conditionalFormatting sqref="AQ7:AQ66">
    <cfRule type="cellIs" dxfId="97" priority="101" operator="greaterThan">
      <formula>AR7+(AR7*0.25)</formula>
    </cfRule>
  </conditionalFormatting>
  <conditionalFormatting sqref="AU5:AU66">
    <cfRule type="cellIs" dxfId="96" priority="99" operator="greaterThan">
      <formula>AT5+(AT5*0.25)</formula>
    </cfRule>
  </conditionalFormatting>
  <conditionalFormatting sqref="AX5:AX66">
    <cfRule type="cellIs" dxfId="95" priority="98" operator="greaterThan">
      <formula>AW5+(AW5*0.25)</formula>
    </cfRule>
  </conditionalFormatting>
  <conditionalFormatting sqref="AW7:AW67">
    <cfRule type="cellIs" dxfId="94" priority="97" operator="greaterThan">
      <formula>AX7+(AX7*0.25)</formula>
    </cfRule>
  </conditionalFormatting>
  <conditionalFormatting sqref="BA3:BA67">
    <cfRule type="cellIs" dxfId="93" priority="96" operator="greaterThan">
      <formula>AZ3+(AZ3*0.25)</formula>
    </cfRule>
  </conditionalFormatting>
  <conditionalFormatting sqref="AZ7:AZ66">
    <cfRule type="cellIs" dxfId="92" priority="95" operator="greaterThan">
      <formula>BA7+(BA7*0.25)</formula>
    </cfRule>
  </conditionalFormatting>
  <conditionalFormatting sqref="BD6:BD22">
    <cfRule type="cellIs" dxfId="91" priority="94" operator="greaterThan">
      <formula>BC6+(BC6*0.25)</formula>
    </cfRule>
  </conditionalFormatting>
  <conditionalFormatting sqref="BC7:BC22">
    <cfRule type="cellIs" dxfId="90" priority="93" operator="greaterThan">
      <formula>BD7+(BD7*0.25)</formula>
    </cfRule>
  </conditionalFormatting>
  <conditionalFormatting sqref="BF6:BF22">
    <cfRule type="cellIs" dxfId="89" priority="92" operator="greaterThan">
      <formula>BG6+(BG6*0.25)</formula>
    </cfRule>
  </conditionalFormatting>
  <conditionalFormatting sqref="BG7:BG22">
    <cfRule type="cellIs" dxfId="88" priority="91" operator="greaterThan">
      <formula>BF7+(BF7*0.25)</formula>
    </cfRule>
  </conditionalFormatting>
  <conditionalFormatting sqref="BI5:BI23">
    <cfRule type="cellIs" dxfId="87" priority="90" operator="greaterThan">
      <formula>BJ5+(BJ5*0.25)</formula>
    </cfRule>
  </conditionalFormatting>
  <conditionalFormatting sqref="BJ7:BJ22">
    <cfRule type="cellIs" dxfId="86" priority="89" operator="greaterThan">
      <formula>BI7+(BI7*0.25)</formula>
    </cfRule>
  </conditionalFormatting>
  <conditionalFormatting sqref="BB3:BB24">
    <cfRule type="cellIs" dxfId="85" priority="88" operator="greaterThan">
      <formula>AVERAGE($BB4:BB23)+AVERAGE($BB4:BB23)*0.2</formula>
    </cfRule>
  </conditionalFormatting>
  <conditionalFormatting sqref="BB3:BB22">
    <cfRule type="cellIs" dxfId="84" priority="87" operator="lessThan">
      <formula>AVERAGE($BB3:BB22)-AVERAGE($BB3:BB22)*0.2</formula>
    </cfRule>
  </conditionalFormatting>
  <conditionalFormatting sqref="I3:I6">
    <cfRule type="cellIs" dxfId="83" priority="85" operator="greaterThan">
      <formula>AVERAGE($I3:I22)+AVERAGE($I3:I22)*0.2</formula>
    </cfRule>
    <cfRule type="cellIs" dxfId="82" priority="86" operator="lessThan">
      <formula>AVERAGE($I3:I22)-AVERAGE($I3:I22)*0.2</formula>
    </cfRule>
  </conditionalFormatting>
  <conditionalFormatting sqref="O5:O6">
    <cfRule type="cellIs" dxfId="81" priority="83" operator="greaterThan">
      <formula>AVERAGE($O5:O24)+AVERAGE($O5:O24)*0.2</formula>
    </cfRule>
    <cfRule type="cellIs" dxfId="80" priority="84" operator="lessThan">
      <formula>AVERAGE($O5:O24)-AVERAGE($O5:O24)*0.2</formula>
    </cfRule>
  </conditionalFormatting>
  <conditionalFormatting sqref="R6">
    <cfRule type="cellIs" dxfId="79" priority="79" operator="lessThan">
      <formula>AVERAGE($R6:R25)-AVERAGE($R6:R25)*0.2</formula>
    </cfRule>
    <cfRule type="cellIs" dxfId="78" priority="80" operator="greaterThan">
      <formula>AVERAGE($R6:R25)+AVERAGE($R6:R25)*0.2</formula>
    </cfRule>
  </conditionalFormatting>
  <conditionalFormatting sqref="X6">
    <cfRule type="cellIs" dxfId="77" priority="77" operator="lessThan">
      <formula>AVERAGE($X6:X25)-AVERAGE($X6:X25)*0.2</formula>
    </cfRule>
    <cfRule type="cellIs" dxfId="76" priority="78" operator="greaterThan">
      <formula>AVERAGE($X6:X25)+AVERAGE($X6:X25)*0.2</formula>
    </cfRule>
  </conditionalFormatting>
  <conditionalFormatting sqref="AA3:AA6">
    <cfRule type="cellIs" dxfId="75" priority="75" operator="greaterThan">
      <formula>AVERAGE($AA3:AA22)+AVERAGE($AA3:AA22)*0.2</formula>
    </cfRule>
    <cfRule type="cellIs" dxfId="74" priority="76" operator="lessThan">
      <formula>AVERAGE($AA3:AA22)-AVERAGE($AA3:AA22)*0.2</formula>
    </cfRule>
  </conditionalFormatting>
  <conditionalFormatting sqref="AG3:AG6">
    <cfRule type="cellIs" dxfId="73" priority="72" operator="greaterThan">
      <formula>AVERAGE($AG3:AG22)+AVERAGE($AG3:AG22)*0.2</formula>
    </cfRule>
  </conditionalFormatting>
  <conditionalFormatting sqref="AG3:AG6">
    <cfRule type="cellIs" dxfId="72" priority="71" operator="lessThan">
      <formula>AVERAGE($AG3:AG22)-AVERAGE($AG3:AG22)*0.2</formula>
    </cfRule>
  </conditionalFormatting>
  <conditionalFormatting sqref="AJ5:AJ6">
    <cfRule type="cellIs" dxfId="71" priority="70" operator="greaterThan">
      <formula>AVERAGE($AJ5:AJ24)+AVERAGE($AJ5:AJ24)*0.2</formula>
    </cfRule>
  </conditionalFormatting>
  <conditionalFormatting sqref="AJ5:AJ6">
    <cfRule type="cellIs" dxfId="70" priority="69" operator="lessThan">
      <formula>AVERAGE($AJ5:AJ24)-AVERAGE($AJ5:AJ24)*0.2</formula>
    </cfRule>
  </conditionalFormatting>
  <conditionalFormatting sqref="AM3:AM6">
    <cfRule type="cellIs" dxfId="69" priority="68" operator="greaterThan">
      <formula>AVERAGE($AM3:AM22)+AVERAGE($AM3:AM22)*0.2</formula>
    </cfRule>
  </conditionalFormatting>
  <conditionalFormatting sqref="AM3:AM6">
    <cfRule type="cellIs" dxfId="68" priority="67" operator="lessThan">
      <formula>AVERAGE($AM3:AM22)-AVERAGE($AM3:AM22)*0.2</formula>
    </cfRule>
  </conditionalFormatting>
  <conditionalFormatting sqref="AP5:AP6">
    <cfRule type="cellIs" dxfId="67" priority="66" operator="greaterThan">
      <formula>AVERAGE($AP22:AP1048563)+AVERAGE($AP22:AP1048563)*0.2</formula>
    </cfRule>
  </conditionalFormatting>
  <conditionalFormatting sqref="AP5:AP6">
    <cfRule type="cellIs" dxfId="66" priority="65" operator="lessThan">
      <formula>AVERAGE($AP21:AP1048562)-AVERAGE($AP21:AP1048562)*0.2</formula>
    </cfRule>
  </conditionalFormatting>
  <conditionalFormatting sqref="AS3:AS6">
    <cfRule type="cellIs" dxfId="65" priority="63" operator="lessThan">
      <formula>AVERAGE($AS3:AS22)-AVERAGE($AS3:AS22)*0.2</formula>
    </cfRule>
    <cfRule type="cellIs" dxfId="64" priority="64" operator="greaterThan">
      <formula>AVERAGE($AS3:AS22)+AVERAGE($AS3:AS22)*0.2</formula>
    </cfRule>
  </conditionalFormatting>
  <conditionalFormatting sqref="AV3:AV6">
    <cfRule type="cellIs" dxfId="63" priority="62" operator="greaterThan">
      <formula>AVERAGE($AV3:AV22)+AVERAGE($AV3:AV22)*0.2</formula>
    </cfRule>
  </conditionalFormatting>
  <conditionalFormatting sqref="AV3:AV6">
    <cfRule type="cellIs" dxfId="62" priority="61" operator="lessThan">
      <formula>AVERAGE($AV3:AV22)-AVERAGE($AV3:AV22)*0.2</formula>
    </cfRule>
  </conditionalFormatting>
  <conditionalFormatting sqref="F3:F6">
    <cfRule type="cellIs" dxfId="61" priority="59" operator="lessThan">
      <formula>AVERAGE($F3:F22)-AVERAGE($F3:F22)*0.2</formula>
    </cfRule>
    <cfRule type="cellIs" dxfId="60" priority="60" operator="greaterThan">
      <formula>AVERAGE($F3:F22)+AVERAGE($F3:F22)*0.2</formula>
    </cfRule>
  </conditionalFormatting>
  <conditionalFormatting sqref="U6">
    <cfRule type="cellIs" dxfId="59" priority="57" operator="greaterThan">
      <formula>AVERAGE($U6:U25)+AVERAGE($U6:U25)*0.2</formula>
    </cfRule>
    <cfRule type="cellIs" dxfId="58" priority="58" operator="lessThan">
      <formula>AVERAGE($U6:U25)-AVERAGE($U6:U25)*0.2</formula>
    </cfRule>
  </conditionalFormatting>
  <conditionalFormatting sqref="AD6">
    <cfRule type="cellIs" dxfId="57" priority="56" operator="greaterThan">
      <formula>AVERAGE($AD6:AD25)+AVERAGE($AD6:AD25)*0.2</formula>
    </cfRule>
  </conditionalFormatting>
  <conditionalFormatting sqref="AD6">
    <cfRule type="cellIs" dxfId="56" priority="55" operator="lessThan">
      <formula>AVERAGE($AD6:AD25)-AVERAGE($AD6:AD25)*0.2</formula>
    </cfRule>
  </conditionalFormatting>
  <conditionalFormatting sqref="K3:K5">
    <cfRule type="cellIs" dxfId="55" priority="54" operator="greaterThan">
      <formula>J3+(J3*0.25)</formula>
    </cfRule>
  </conditionalFormatting>
  <conditionalFormatting sqref="N3:N5">
    <cfRule type="cellIs" dxfId="54" priority="53" operator="greaterThan">
      <formula>M3+(M3*0.25)</formula>
    </cfRule>
  </conditionalFormatting>
  <conditionalFormatting sqref="P5">
    <cfRule type="cellIs" dxfId="53" priority="52" operator="greaterThan">
      <formula>Q5+(Q5*0.25)</formula>
    </cfRule>
  </conditionalFormatting>
  <conditionalFormatting sqref="R5">
    <cfRule type="cellIs" dxfId="52" priority="50" operator="lessThan">
      <formula>AVERAGE($R5:R24)-AVERAGE($R5:R24)*0.2</formula>
    </cfRule>
    <cfRule type="cellIs" dxfId="51" priority="51" operator="greaterThan">
      <formula>AVERAGE($R5:R24)+AVERAGE($R5:R24)*0.2</formula>
    </cfRule>
  </conditionalFormatting>
  <conditionalFormatting sqref="U5">
    <cfRule type="cellIs" dxfId="50" priority="48" operator="greaterThan">
      <formula>AVERAGE($U5:U24)+AVERAGE($U5:U24)*0.2</formula>
    </cfRule>
    <cfRule type="cellIs" dxfId="49" priority="49" operator="lessThan">
      <formula>AVERAGE($U5:U24)-AVERAGE($U5:U24)*0.2</formula>
    </cfRule>
  </conditionalFormatting>
  <conditionalFormatting sqref="X5">
    <cfRule type="cellIs" dxfId="48" priority="46" operator="lessThan">
      <formula>AVERAGE($X5:X24)-AVERAGE($X5:X24)*0.2</formula>
    </cfRule>
    <cfRule type="cellIs" dxfId="47" priority="47" operator="greaterThan">
      <formula>AVERAGE($X5:X24)+AVERAGE($X5:X24)*0.2</formula>
    </cfRule>
  </conditionalFormatting>
  <conditionalFormatting sqref="Z5">
    <cfRule type="cellIs" dxfId="46" priority="45" operator="greaterThan">
      <formula>Y5+(Y5*0.25)</formula>
    </cfRule>
  </conditionalFormatting>
  <conditionalFormatting sqref="AD3:AD5">
    <cfRule type="cellIs" dxfId="45" priority="44" operator="greaterThan">
      <formula>AVERAGE($AD3:AD22)+AVERAGE($AD3:AD22)*0.2</formula>
    </cfRule>
  </conditionalFormatting>
  <conditionalFormatting sqref="AD3:AD5">
    <cfRule type="cellIs" dxfId="44" priority="43" operator="lessThan">
      <formula>AVERAGE($AD3:AD22)-AVERAGE($AD3:AD22)*0.2</formula>
    </cfRule>
  </conditionalFormatting>
  <conditionalFormatting sqref="AF5">
    <cfRule type="cellIs" dxfId="43" priority="42" operator="greaterThan">
      <formula>AE5+(AE5*0.25)</formula>
    </cfRule>
  </conditionalFormatting>
  <conditionalFormatting sqref="AH5:AH6">
    <cfRule type="cellIs" dxfId="42" priority="41" operator="greaterThan">
      <formula>AI5+(AI5*0.25)</formula>
    </cfRule>
  </conditionalFormatting>
  <conditionalFormatting sqref="BC4">
    <cfRule type="cellIs" dxfId="41" priority="40" operator="greaterThan">
      <formula>BD4+(BD4*0.25)</formula>
    </cfRule>
  </conditionalFormatting>
  <conditionalFormatting sqref="M4">
    <cfRule type="cellIs" dxfId="40" priority="39" operator="greaterThan">
      <formula>N4+(N4*0.25)</formula>
    </cfRule>
  </conditionalFormatting>
  <conditionalFormatting sqref="O4">
    <cfRule type="cellIs" dxfId="39" priority="37" operator="greaterThan">
      <formula>AVERAGE($O4:O23)+AVERAGE($O4:O23)*0.2</formula>
    </cfRule>
    <cfRule type="cellIs" dxfId="38" priority="38" operator="lessThan">
      <formula>AVERAGE($O4:O23)-AVERAGE($O4:O23)*0.2</formula>
    </cfRule>
  </conditionalFormatting>
  <conditionalFormatting sqref="R3:R4">
    <cfRule type="cellIs" dxfId="37" priority="35" operator="lessThan">
      <formula>AVERAGE($R3:R22)-AVERAGE($R3:R22)*0.2</formula>
    </cfRule>
    <cfRule type="cellIs" dxfId="36" priority="36" operator="greaterThan">
      <formula>AVERAGE($R3:R22)+AVERAGE($R3:R22)*0.2</formula>
    </cfRule>
  </conditionalFormatting>
  <conditionalFormatting sqref="T3:T5">
    <cfRule type="cellIs" dxfId="35" priority="34" operator="greaterThan">
      <formula>S3+(S3*0.25)</formula>
    </cfRule>
  </conditionalFormatting>
  <conditionalFormatting sqref="X4">
    <cfRule type="cellIs" dxfId="34" priority="30" operator="lessThan">
      <formula>AVERAGE($X4:X23)-AVERAGE($X4:X23)*0.2</formula>
    </cfRule>
    <cfRule type="cellIs" dxfId="33" priority="31" operator="greaterThan">
      <formula>AVERAGE($X4:X23)+AVERAGE($X4:X23)*0.2</formula>
    </cfRule>
  </conditionalFormatting>
  <conditionalFormatting sqref="Z3:Z4">
    <cfRule type="cellIs" dxfId="32" priority="29" operator="greaterThan">
      <formula>Y3+(Y3*0.25)</formula>
    </cfRule>
  </conditionalFormatting>
  <conditionalFormatting sqref="AH4">
    <cfRule type="cellIs" dxfId="31" priority="28" operator="greaterThan">
      <formula>AI4+(AI4*0.25)</formula>
    </cfRule>
  </conditionalFormatting>
  <conditionalFormatting sqref="AF3:AF4">
    <cfRule type="cellIs" dxfId="30" priority="27" operator="greaterThan">
      <formula>AE3+(AE3*0.25)</formula>
    </cfRule>
  </conditionalFormatting>
  <conditionalFormatting sqref="AP4">
    <cfRule type="cellIs" dxfId="29" priority="26" operator="greaterThan">
      <formula>AVERAGE($AP21:AP1048562)+AVERAGE($AP21:AP1048562)*0.2</formula>
    </cfRule>
  </conditionalFormatting>
  <conditionalFormatting sqref="AP4">
    <cfRule type="cellIs" dxfId="28" priority="25" operator="lessThan">
      <formula>AVERAGE($AP20:AP1048561)-AVERAGE($AP20:AP1048561)*0.2</formula>
    </cfRule>
  </conditionalFormatting>
  <conditionalFormatting sqref="AW4">
    <cfRule type="cellIs" dxfId="27" priority="24" operator="greaterThan">
      <formula>AX4+(AX4*0.25)</formula>
    </cfRule>
  </conditionalFormatting>
  <conditionalFormatting sqref="U4">
    <cfRule type="cellIs" dxfId="26" priority="22" operator="greaterThan">
      <formula>AVERAGE($U4:U23)+AVERAGE($U4:U23)*0.2</formula>
    </cfRule>
    <cfRule type="cellIs" dxfId="25" priority="23" operator="lessThan">
      <formula>AVERAGE($U4:U23)-AVERAGE($U4:U23)*0.2</formula>
    </cfRule>
  </conditionalFormatting>
  <conditionalFormatting sqref="C4:C5">
    <cfRule type="cellIs" dxfId="24" priority="20" operator="lessThan">
      <formula>AVERAGE($C4:C23)-AVERAGE($C4:C23)*0.2</formula>
    </cfRule>
    <cfRule type="cellIs" dxfId="23" priority="21" operator="greaterThan">
      <formula>AVERAGE($C4:C23)+AVERAGE($C4:C23)*0.2</formula>
    </cfRule>
  </conditionalFormatting>
  <conditionalFormatting sqref="U3">
    <cfRule type="cellIs" dxfId="22" priority="18" operator="greaterThan">
      <formula>AVERAGE($U3:U22)+AVERAGE($U3:U22)*0.2</formula>
    </cfRule>
    <cfRule type="cellIs" dxfId="21" priority="19" operator="lessThan">
      <formula>AVERAGE($U3:U22)-AVERAGE($U3:U22)*0.2</formula>
    </cfRule>
  </conditionalFormatting>
  <conditionalFormatting sqref="W3">
    <cfRule type="cellIs" dxfId="20" priority="17" operator="greaterThan">
      <formula>V3+(V3*0.25)</formula>
    </cfRule>
  </conditionalFormatting>
  <conditionalFormatting sqref="X3">
    <cfRule type="cellIs" dxfId="19" priority="15" operator="lessThan">
      <formula>AVERAGE($X3:X22)-AVERAGE($X3:X22)*0.2</formula>
    </cfRule>
    <cfRule type="cellIs" dxfId="18" priority="16" operator="greaterThan">
      <formula>AVERAGE($X3:X22)+AVERAGE($X3:X22)*0.2</formula>
    </cfRule>
  </conditionalFormatting>
  <conditionalFormatting sqref="AI3">
    <cfRule type="cellIs" dxfId="17" priority="14" operator="greaterThan">
      <formula>AH3+(AH3*0.25)</formula>
    </cfRule>
  </conditionalFormatting>
  <conditionalFormatting sqref="AL3">
    <cfRule type="cellIs" dxfId="16" priority="13" operator="greaterThan">
      <formula>AK3+(AK3*0.25)</formula>
    </cfRule>
  </conditionalFormatting>
  <conditionalFormatting sqref="AJ3">
    <cfRule type="cellIs" dxfId="15" priority="12" operator="greaterThan">
      <formula>AVERAGE($AJ3:AJ22)+AVERAGE($AJ3:AJ22)*0.2</formula>
    </cfRule>
  </conditionalFormatting>
  <conditionalFormatting sqref="AJ3">
    <cfRule type="cellIs" dxfId="14" priority="11" operator="lessThan">
      <formula>AVERAGE($AJ3:AJ22)-AVERAGE($AJ3:AJ22)*0.2</formula>
    </cfRule>
  </conditionalFormatting>
  <conditionalFormatting sqref="AO3">
    <cfRule type="cellIs" dxfId="13" priority="10" operator="greaterThan">
      <formula>AN3+(AN3*0.25)</formula>
    </cfRule>
  </conditionalFormatting>
  <conditionalFormatting sqref="AP3">
    <cfRule type="cellIs" dxfId="12" priority="9" operator="greaterThan">
      <formula>AVERAGE($AP20:AP1048561)+AVERAGE($AP20:AP1048561)*0.2</formula>
    </cfRule>
  </conditionalFormatting>
  <conditionalFormatting sqref="AP3">
    <cfRule type="cellIs" dxfId="11" priority="8" operator="lessThan">
      <formula>AVERAGE($AP19:AP1048560)-AVERAGE($AP19:AP1048560)*0.2</formula>
    </cfRule>
  </conditionalFormatting>
  <conditionalFormatting sqref="AU3">
    <cfRule type="cellIs" dxfId="10" priority="7" operator="greaterThan">
      <formula>AT3+(AT3*0.25)</formula>
    </cfRule>
  </conditionalFormatting>
  <conditionalFormatting sqref="AX3">
    <cfRule type="cellIs" dxfId="9" priority="6" operator="greaterThan">
      <formula>AW3+(AW3*0.25)</formula>
    </cfRule>
  </conditionalFormatting>
  <conditionalFormatting sqref="BD3">
    <cfRule type="cellIs" dxfId="8" priority="5" operator="greaterThan">
      <formula>BC3+(BC3*0.25)</formula>
    </cfRule>
  </conditionalFormatting>
  <conditionalFormatting sqref="BG3">
    <cfRule type="cellIs" dxfId="7" priority="4" operator="greaterThan">
      <formula>BF3+(BF3*0.25)</formula>
    </cfRule>
  </conditionalFormatting>
  <conditionalFormatting sqref="BJ3">
    <cfRule type="cellIs" dxfId="6" priority="3" operator="greaterThan">
      <formula>BI3+(BI3*0.25)</formula>
    </cfRule>
  </conditionalFormatting>
  <conditionalFormatting sqref="AT3:AT66">
    <cfRule type="cellIs" dxfId="5" priority="2" operator="greaterThan">
      <formula>AU3+(AU3*0.25)</formula>
    </cfRule>
  </conditionalFormatting>
  <conditionalFormatting sqref="AQ67">
    <cfRule type="cellIs" dxfId="4" priority="1" operator="greaterThan">
      <formula>AR67+(AR67*0.25)</formula>
    </cfRule>
  </conditionalFormatting>
  <conditionalFormatting sqref="N60:N63">
    <cfRule type="cellIs" dxfId="3" priority="418" operator="greaterThan">
      <formula>M59+(M59*0.25)</formula>
    </cfRule>
  </conditionalFormatting>
  <conditionalFormatting sqref="M59:M62">
    <cfRule type="cellIs" dxfId="2" priority="421" operator="greaterThan">
      <formula>N60+(N60*0.25)</formula>
    </cfRule>
  </conditionalFormatting>
  <conditionalFormatting sqref="M63">
    <cfRule type="cellIs" dxfId="1" priority="422" operator="greaterThan">
      <formula>#REF!+(#REF!*0.25)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sheetPr codeName="Sheet2">
    <tabColor theme="9" tint="0.59999389629810485"/>
  </sheetPr>
  <dimension ref="A1:O183"/>
  <sheetViews>
    <sheetView topLeftCell="A87" workbookViewId="0">
      <selection activeCell="E29" sqref="E29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3.33203125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5.6640625" customWidth="1"/>
    <col min="15" max="15" width="15.1640625" customWidth="1"/>
  </cols>
  <sheetData>
    <row r="1" spans="1:15" x14ac:dyDescent="0.2">
      <c r="A1" s="28" t="s">
        <v>117</v>
      </c>
      <c r="B1" s="27" t="s">
        <v>176</v>
      </c>
    </row>
    <row r="2" spans="1:15" x14ac:dyDescent="0.2">
      <c r="A2" s="741" t="s">
        <v>440</v>
      </c>
      <c r="B2" s="45" t="s">
        <v>169</v>
      </c>
      <c r="C2" s="45" t="s">
        <v>106</v>
      </c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</row>
    <row r="3" spans="1:15" x14ac:dyDescent="0.2">
      <c r="A3" s="741"/>
      <c r="B3" s="45" t="s">
        <v>193</v>
      </c>
      <c r="C3" s="676">
        <v>3535686405</v>
      </c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</row>
    <row r="4" spans="1:15" x14ac:dyDescent="0.2">
      <c r="A4" s="741">
        <v>45470</v>
      </c>
      <c r="B4" s="45" t="s">
        <v>173</v>
      </c>
      <c r="C4" s="45"/>
      <c r="D4" s="45"/>
      <c r="E4" s="45"/>
      <c r="F4" s="742" t="s">
        <v>206</v>
      </c>
      <c r="G4" s="742" t="s">
        <v>413</v>
      </c>
      <c r="H4" s="742" t="s">
        <v>188</v>
      </c>
      <c r="I4" s="45"/>
      <c r="J4" s="45"/>
      <c r="K4" s="45"/>
      <c r="L4" s="45"/>
      <c r="M4" s="45"/>
      <c r="N4" s="45"/>
      <c r="O4" s="45"/>
    </row>
    <row r="5" spans="1:15" x14ac:dyDescent="0.2">
      <c r="A5" s="741" t="s">
        <v>432</v>
      </c>
      <c r="B5" s="45" t="s">
        <v>172</v>
      </c>
      <c r="C5" s="45"/>
      <c r="D5" s="45"/>
      <c r="E5" s="45"/>
      <c r="F5" s="742" t="s">
        <v>206</v>
      </c>
      <c r="G5" s="742" t="s">
        <v>413</v>
      </c>
      <c r="H5" s="742" t="s">
        <v>188</v>
      </c>
      <c r="I5" s="45"/>
      <c r="J5" s="45"/>
      <c r="K5" s="45"/>
      <c r="L5" s="45"/>
      <c r="M5" s="45"/>
      <c r="N5" s="45"/>
      <c r="O5" s="45"/>
    </row>
    <row r="6" spans="1:15" x14ac:dyDescent="0.2">
      <c r="A6" s="741" t="s">
        <v>432</v>
      </c>
      <c r="B6" s="45" t="s">
        <v>169</v>
      </c>
      <c r="C6" s="45" t="s">
        <v>18</v>
      </c>
      <c r="D6" s="45" t="s">
        <v>41</v>
      </c>
      <c r="E6" s="45" t="s">
        <v>70</v>
      </c>
      <c r="F6" s="742" t="s">
        <v>206</v>
      </c>
      <c r="G6" s="742" t="s">
        <v>413</v>
      </c>
      <c r="H6" s="742" t="s">
        <v>188</v>
      </c>
      <c r="I6" s="45" t="s">
        <v>318</v>
      </c>
      <c r="J6" s="45" t="s">
        <v>65</v>
      </c>
      <c r="K6" s="45" t="s">
        <v>76</v>
      </c>
      <c r="L6" s="45" t="s">
        <v>433</v>
      </c>
      <c r="M6" s="45"/>
      <c r="N6" s="45"/>
      <c r="O6" s="45"/>
    </row>
    <row r="7" spans="1:15" x14ac:dyDescent="0.2">
      <c r="A7" s="741" t="s">
        <v>432</v>
      </c>
      <c r="B7" s="45" t="s">
        <v>193</v>
      </c>
      <c r="C7" s="676">
        <v>105638310000</v>
      </c>
      <c r="D7" s="676">
        <v>51981640000</v>
      </c>
      <c r="E7" s="676">
        <v>42721330000</v>
      </c>
      <c r="F7" s="676">
        <v>11375620000</v>
      </c>
      <c r="G7" s="676">
        <v>7136560000</v>
      </c>
      <c r="H7" s="676">
        <v>6518380000</v>
      </c>
      <c r="I7" s="676">
        <v>3607350000</v>
      </c>
      <c r="J7" s="676">
        <v>3242210000</v>
      </c>
      <c r="K7" s="676">
        <v>1707840000</v>
      </c>
      <c r="L7" s="676">
        <v>70650000</v>
      </c>
      <c r="M7" s="45"/>
      <c r="N7" s="45"/>
      <c r="O7" s="45"/>
    </row>
    <row r="8" spans="1:15" x14ac:dyDescent="0.2">
      <c r="A8" s="741" t="s">
        <v>431</v>
      </c>
      <c r="B8" s="45" t="s">
        <v>173</v>
      </c>
      <c r="C8" s="45"/>
      <c r="D8" s="742" t="s">
        <v>300</v>
      </c>
      <c r="E8" s="45"/>
      <c r="F8" s="742"/>
      <c r="G8" s="742" t="s">
        <v>292</v>
      </c>
      <c r="H8" s="45"/>
      <c r="I8" s="45"/>
      <c r="J8" s="45"/>
      <c r="K8" s="45"/>
      <c r="L8" s="45"/>
      <c r="M8" s="45"/>
      <c r="N8" s="45"/>
      <c r="O8" s="45"/>
    </row>
    <row r="9" spans="1:15" x14ac:dyDescent="0.2">
      <c r="A9" s="741"/>
      <c r="B9" s="45" t="s">
        <v>172</v>
      </c>
      <c r="C9" s="45"/>
      <c r="D9" s="742" t="s">
        <v>300</v>
      </c>
      <c r="E9" s="742" t="s">
        <v>188</v>
      </c>
      <c r="F9" s="742"/>
      <c r="G9" s="742"/>
      <c r="H9" s="45"/>
      <c r="I9" s="45"/>
      <c r="J9" s="45"/>
      <c r="K9" s="45"/>
      <c r="L9" s="45"/>
      <c r="M9" s="45"/>
      <c r="N9" s="45"/>
      <c r="O9" s="45"/>
    </row>
    <row r="10" spans="1:15" x14ac:dyDescent="0.2">
      <c r="A10" s="741"/>
      <c r="B10" s="45" t="s">
        <v>169</v>
      </c>
      <c r="C10" s="45" t="s">
        <v>83</v>
      </c>
      <c r="D10" s="742" t="s">
        <v>300</v>
      </c>
      <c r="E10" s="742" t="s">
        <v>188</v>
      </c>
      <c r="F10" s="742" t="s">
        <v>65</v>
      </c>
      <c r="G10" s="742"/>
      <c r="H10" s="45"/>
      <c r="I10" s="45"/>
      <c r="J10" s="45"/>
      <c r="K10" s="45"/>
      <c r="L10" s="45"/>
      <c r="M10" s="45"/>
      <c r="N10" s="45"/>
      <c r="O10" s="45"/>
    </row>
    <row r="11" spans="1:15" x14ac:dyDescent="0.2">
      <c r="A11" s="741"/>
      <c r="B11" s="45" t="s">
        <v>193</v>
      </c>
      <c r="C11" s="676">
        <v>79804570000</v>
      </c>
      <c r="D11" s="676">
        <v>10770240000</v>
      </c>
      <c r="E11" s="676">
        <v>3886830000</v>
      </c>
      <c r="F11" s="676">
        <v>1929570000</v>
      </c>
      <c r="G11" s="676">
        <v>38490000</v>
      </c>
      <c r="H11" s="45"/>
      <c r="I11" s="45"/>
      <c r="J11" s="45"/>
      <c r="K11" s="45"/>
      <c r="L11" s="45"/>
      <c r="M11" s="45"/>
      <c r="N11" s="45"/>
      <c r="O11" s="45"/>
    </row>
    <row r="12" spans="1:15" x14ac:dyDescent="0.2">
      <c r="A12" s="741" t="s">
        <v>430</v>
      </c>
      <c r="B12" s="45" t="s">
        <v>173</v>
      </c>
      <c r="C12" s="742" t="s">
        <v>9</v>
      </c>
      <c r="D12" s="742" t="s">
        <v>297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</row>
    <row r="13" spans="1:15" x14ac:dyDescent="0.2">
      <c r="A13" s="741"/>
      <c r="B13" s="45" t="s">
        <v>172</v>
      </c>
      <c r="C13" s="742" t="s">
        <v>9</v>
      </c>
      <c r="D13" s="742" t="s">
        <v>297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</row>
    <row r="14" spans="1:15" x14ac:dyDescent="0.2">
      <c r="A14" s="741"/>
      <c r="B14" s="45" t="s">
        <v>169</v>
      </c>
      <c r="C14" s="742" t="s">
        <v>9</v>
      </c>
      <c r="D14" s="742" t="s">
        <v>297</v>
      </c>
      <c r="E14" s="45" t="s">
        <v>289</v>
      </c>
      <c r="F14" s="45" t="s">
        <v>329</v>
      </c>
      <c r="G14" s="45"/>
      <c r="H14" s="45"/>
      <c r="I14" s="45"/>
      <c r="J14" s="45"/>
      <c r="K14" s="45"/>
      <c r="L14" s="45"/>
      <c r="M14" s="45"/>
      <c r="N14" s="45"/>
      <c r="O14" s="45"/>
    </row>
    <row r="15" spans="1:15" x14ac:dyDescent="0.2">
      <c r="A15" s="741"/>
      <c r="B15" s="45" t="s">
        <v>193</v>
      </c>
      <c r="C15" s="676">
        <v>86304280000</v>
      </c>
      <c r="D15" s="676">
        <v>5203573288</v>
      </c>
      <c r="E15" s="676">
        <v>3644290000</v>
      </c>
      <c r="F15" s="676">
        <v>314312488</v>
      </c>
      <c r="G15" s="45"/>
      <c r="H15" s="45"/>
      <c r="I15" s="45"/>
      <c r="J15" s="45"/>
      <c r="K15" s="45"/>
      <c r="L15" s="45"/>
      <c r="M15" s="45"/>
      <c r="N15" s="45"/>
      <c r="O15" s="45"/>
    </row>
    <row r="16" spans="1:15" x14ac:dyDescent="0.2">
      <c r="A16" s="741" t="s">
        <v>423</v>
      </c>
      <c r="B16" s="45" t="s">
        <v>173</v>
      </c>
      <c r="C16" s="45"/>
      <c r="D16" s="742" t="s">
        <v>382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2">
      <c r="A17" s="741"/>
      <c r="B17" s="45" t="s">
        <v>172</v>
      </c>
      <c r="C17" s="45"/>
      <c r="D17" s="742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2">
      <c r="A18" s="741"/>
      <c r="B18" s="45" t="s">
        <v>169</v>
      </c>
      <c r="C18" s="45" t="s">
        <v>13</v>
      </c>
      <c r="D18" s="742"/>
      <c r="E18" s="45" t="s">
        <v>348</v>
      </c>
      <c r="F18" s="45" t="s">
        <v>379</v>
      </c>
      <c r="G18" s="45" t="s">
        <v>297</v>
      </c>
      <c r="H18" s="45" t="s">
        <v>285</v>
      </c>
      <c r="I18" s="45"/>
      <c r="J18" s="45"/>
      <c r="K18" s="45"/>
      <c r="L18" s="45"/>
      <c r="M18" s="45"/>
      <c r="N18" s="45"/>
      <c r="O18" s="45"/>
    </row>
    <row r="19" spans="1:15" x14ac:dyDescent="0.2">
      <c r="A19" s="741"/>
      <c r="B19" s="45" t="s">
        <v>193</v>
      </c>
      <c r="C19" s="676">
        <v>25649900000</v>
      </c>
      <c r="D19" s="676">
        <v>7088630000</v>
      </c>
      <c r="E19" s="676">
        <v>4487740000</v>
      </c>
      <c r="F19" s="676">
        <v>2463430000</v>
      </c>
      <c r="G19" s="676">
        <v>963712005</v>
      </c>
      <c r="H19" s="676">
        <v>96408224</v>
      </c>
      <c r="I19" s="45"/>
      <c r="J19" s="45"/>
      <c r="K19" s="45"/>
      <c r="L19" s="45"/>
      <c r="M19" s="45"/>
      <c r="N19" s="45"/>
      <c r="O19" s="45"/>
    </row>
    <row r="20" spans="1:15" x14ac:dyDescent="0.2">
      <c r="A20" s="741" t="s">
        <v>421</v>
      </c>
      <c r="B20" s="45" t="s">
        <v>173</v>
      </c>
      <c r="C20" s="45"/>
      <c r="D20" s="742" t="s">
        <v>315</v>
      </c>
      <c r="E20" s="742" t="s">
        <v>30</v>
      </c>
      <c r="F20" s="742" t="s">
        <v>200</v>
      </c>
      <c r="G20" s="45"/>
      <c r="H20" s="742" t="s">
        <v>170</v>
      </c>
      <c r="I20" s="742" t="s">
        <v>347</v>
      </c>
      <c r="J20" s="45"/>
      <c r="K20" s="45"/>
      <c r="L20" s="45"/>
      <c r="M20" s="45"/>
      <c r="N20" s="45"/>
      <c r="O20" s="45"/>
    </row>
    <row r="21" spans="1:15" x14ac:dyDescent="0.2">
      <c r="A21" s="741"/>
      <c r="B21" s="45" t="s">
        <v>172</v>
      </c>
      <c r="C21" s="742" t="s">
        <v>109</v>
      </c>
      <c r="D21" s="742" t="s">
        <v>315</v>
      </c>
      <c r="E21" s="742" t="s">
        <v>30</v>
      </c>
      <c r="F21" s="742" t="s">
        <v>200</v>
      </c>
      <c r="G21" s="45"/>
      <c r="H21" s="742" t="s">
        <v>170</v>
      </c>
      <c r="I21" s="742" t="s">
        <v>347</v>
      </c>
      <c r="J21" s="45"/>
      <c r="K21" s="45"/>
      <c r="L21" s="45"/>
      <c r="M21" s="45"/>
      <c r="N21" s="45"/>
      <c r="O21" s="45"/>
    </row>
    <row r="22" spans="1:15" x14ac:dyDescent="0.2">
      <c r="A22" s="741"/>
      <c r="B22" s="45" t="s">
        <v>169</v>
      </c>
      <c r="C22" s="742" t="s">
        <v>109</v>
      </c>
      <c r="D22" s="742" t="s">
        <v>315</v>
      </c>
      <c r="E22" s="742" t="s">
        <v>30</v>
      </c>
      <c r="F22" s="742" t="s">
        <v>200</v>
      </c>
      <c r="G22" s="45" t="s">
        <v>105</v>
      </c>
      <c r="H22" s="742" t="s">
        <v>170</v>
      </c>
      <c r="I22" s="742" t="s">
        <v>347</v>
      </c>
      <c r="J22" s="45" t="s">
        <v>103</v>
      </c>
      <c r="K22" s="45" t="s">
        <v>334</v>
      </c>
      <c r="L22" s="45"/>
      <c r="M22" s="45"/>
      <c r="N22" s="45"/>
      <c r="O22" s="45"/>
    </row>
    <row r="23" spans="1:15" x14ac:dyDescent="0.2">
      <c r="A23" s="741"/>
      <c r="B23" s="45" t="s">
        <v>193</v>
      </c>
      <c r="C23" s="676">
        <v>60661160000</v>
      </c>
      <c r="D23" s="676">
        <v>56368580000</v>
      </c>
      <c r="E23" s="676">
        <v>43053350000</v>
      </c>
      <c r="F23" s="676">
        <v>28999950000</v>
      </c>
      <c r="G23" s="676">
        <v>10229777184</v>
      </c>
      <c r="H23" s="676">
        <v>4375032765</v>
      </c>
      <c r="I23" s="676">
        <v>3940340000</v>
      </c>
      <c r="J23" s="676">
        <v>2812861528</v>
      </c>
      <c r="K23" s="676">
        <v>1569995627</v>
      </c>
      <c r="L23" s="45"/>
      <c r="M23" s="45"/>
      <c r="N23" s="45"/>
      <c r="O23" s="45"/>
    </row>
    <row r="24" spans="1:15" x14ac:dyDescent="0.2">
      <c r="A24" s="741" t="s">
        <v>417</v>
      </c>
      <c r="B24" s="45" t="s">
        <v>173</v>
      </c>
      <c r="C24" s="742" t="s">
        <v>40</v>
      </c>
      <c r="D24" s="45"/>
      <c r="E24" s="45"/>
      <c r="F24" s="45"/>
      <c r="G24" s="742" t="s">
        <v>347</v>
      </c>
      <c r="H24" s="45"/>
      <c r="I24" s="742" t="s">
        <v>207</v>
      </c>
      <c r="J24" s="45"/>
      <c r="K24" s="45"/>
      <c r="L24" s="45"/>
      <c r="M24" s="45"/>
      <c r="N24" s="45"/>
      <c r="O24" s="45"/>
    </row>
    <row r="25" spans="1:15" x14ac:dyDescent="0.2">
      <c r="A25" s="741"/>
      <c r="B25" s="45" t="s">
        <v>172</v>
      </c>
      <c r="C25" s="742" t="s">
        <v>40</v>
      </c>
      <c r="D25" s="45"/>
      <c r="E25" s="45"/>
      <c r="F25" s="45"/>
      <c r="G25" s="742" t="s">
        <v>347</v>
      </c>
      <c r="H25" s="45"/>
      <c r="I25" s="742" t="s">
        <v>207</v>
      </c>
      <c r="J25" s="45"/>
      <c r="K25" s="45"/>
      <c r="L25" s="45"/>
      <c r="M25" s="45"/>
      <c r="N25" s="45"/>
      <c r="O25" s="45"/>
    </row>
    <row r="26" spans="1:15" x14ac:dyDescent="0.2">
      <c r="A26" s="741"/>
      <c r="B26" s="45" t="s">
        <v>169</v>
      </c>
      <c r="C26" s="742" t="s">
        <v>40</v>
      </c>
      <c r="D26" s="45" t="s">
        <v>16</v>
      </c>
      <c r="E26" s="45" t="s">
        <v>384</v>
      </c>
      <c r="F26" s="45" t="s">
        <v>60</v>
      </c>
      <c r="G26" s="742" t="s">
        <v>347</v>
      </c>
      <c r="H26" s="45" t="s">
        <v>190</v>
      </c>
      <c r="I26" s="742" t="s">
        <v>207</v>
      </c>
      <c r="J26" s="45"/>
      <c r="K26" s="45"/>
      <c r="L26" s="45"/>
      <c r="M26" s="45"/>
      <c r="N26" s="45"/>
      <c r="O26" s="45"/>
    </row>
    <row r="27" spans="1:15" x14ac:dyDescent="0.2">
      <c r="A27" s="741"/>
      <c r="B27" s="45" t="s">
        <v>193</v>
      </c>
      <c r="C27" s="676">
        <v>108709280000</v>
      </c>
      <c r="D27" s="676">
        <v>41297840000</v>
      </c>
      <c r="E27" s="676">
        <v>27726090000</v>
      </c>
      <c r="F27" s="676">
        <v>10006206561</v>
      </c>
      <c r="G27" s="676">
        <v>3099050000</v>
      </c>
      <c r="H27" s="676">
        <v>1863860000</v>
      </c>
      <c r="I27" s="676">
        <v>58199591</v>
      </c>
      <c r="J27" s="45"/>
      <c r="K27" s="45"/>
      <c r="L27" s="45"/>
      <c r="M27" s="45"/>
      <c r="N27" s="45"/>
      <c r="O27" s="45"/>
    </row>
    <row r="28" spans="1:15" x14ac:dyDescent="0.2">
      <c r="A28" s="741" t="s">
        <v>416</v>
      </c>
      <c r="B28" s="45" t="s">
        <v>173</v>
      </c>
      <c r="C28" s="742" t="s">
        <v>290</v>
      </c>
      <c r="D28" s="742" t="s">
        <v>71</v>
      </c>
      <c r="E28" s="45"/>
      <c r="F28" s="45"/>
      <c r="G28" s="742" t="s">
        <v>402</v>
      </c>
      <c r="H28" s="45"/>
      <c r="I28" s="45"/>
      <c r="J28" s="45"/>
      <c r="K28" s="742" t="s">
        <v>352</v>
      </c>
      <c r="L28" s="742" t="s">
        <v>292</v>
      </c>
      <c r="M28" s="45"/>
      <c r="N28" s="45"/>
      <c r="O28" s="45"/>
    </row>
    <row r="29" spans="1:15" x14ac:dyDescent="0.2">
      <c r="A29" s="741"/>
      <c r="B29" s="45" t="s">
        <v>172</v>
      </c>
      <c r="C29" s="742" t="s">
        <v>290</v>
      </c>
      <c r="D29" s="742" t="s">
        <v>71</v>
      </c>
      <c r="E29" s="45"/>
      <c r="F29" s="45"/>
      <c r="G29" s="742" t="s">
        <v>402</v>
      </c>
      <c r="H29" s="742" t="s">
        <v>180</v>
      </c>
      <c r="I29" s="45"/>
      <c r="J29" s="45"/>
      <c r="K29" s="742" t="s">
        <v>352</v>
      </c>
      <c r="L29" s="742" t="s">
        <v>292</v>
      </c>
      <c r="M29" s="45"/>
      <c r="N29" s="45"/>
      <c r="O29" s="45"/>
    </row>
    <row r="30" spans="1:15" x14ac:dyDescent="0.2">
      <c r="A30" s="741"/>
      <c r="B30" s="45" t="s">
        <v>169</v>
      </c>
      <c r="C30" s="742" t="s">
        <v>290</v>
      </c>
      <c r="D30" s="742" t="s">
        <v>71</v>
      </c>
      <c r="E30" s="45" t="s">
        <v>384</v>
      </c>
      <c r="F30" s="45" t="s">
        <v>60</v>
      </c>
      <c r="G30" s="742" t="s">
        <v>402</v>
      </c>
      <c r="H30" s="742" t="s">
        <v>180</v>
      </c>
      <c r="I30" s="45" t="s">
        <v>379</v>
      </c>
      <c r="J30" s="45" t="s">
        <v>190</v>
      </c>
      <c r="K30" s="742" t="s">
        <v>352</v>
      </c>
      <c r="L30" s="742" t="s">
        <v>292</v>
      </c>
      <c r="M30" s="45" t="s">
        <v>35</v>
      </c>
      <c r="N30" s="45"/>
      <c r="O30" s="45"/>
    </row>
    <row r="31" spans="1:15" x14ac:dyDescent="0.2">
      <c r="A31" s="741"/>
      <c r="B31" s="45" t="s">
        <v>193</v>
      </c>
      <c r="C31" s="676">
        <v>70195610000</v>
      </c>
      <c r="D31" s="676">
        <v>53765870000</v>
      </c>
      <c r="E31" s="676">
        <v>26414280000</v>
      </c>
      <c r="F31" s="676">
        <v>6594188759</v>
      </c>
      <c r="G31" s="676">
        <v>5376740000</v>
      </c>
      <c r="H31" s="676">
        <v>3192430000</v>
      </c>
      <c r="I31" s="676">
        <v>1133460000</v>
      </c>
      <c r="J31" s="676">
        <v>958740000</v>
      </c>
      <c r="K31" s="676">
        <v>386624852</v>
      </c>
      <c r="L31" s="676">
        <v>36600000</v>
      </c>
      <c r="M31" s="676">
        <v>1300000</v>
      </c>
      <c r="N31" s="45"/>
      <c r="O31" s="45"/>
    </row>
    <row r="32" spans="1:15" x14ac:dyDescent="0.2">
      <c r="A32" s="741" t="s">
        <v>414</v>
      </c>
      <c r="B32" s="45" t="s">
        <v>173</v>
      </c>
      <c r="C32" s="742" t="s">
        <v>280</v>
      </c>
      <c r="D32" s="742" t="s">
        <v>315</v>
      </c>
      <c r="E32" s="45"/>
      <c r="F32" s="742" t="s">
        <v>279</v>
      </c>
      <c r="G32" s="45"/>
      <c r="H32" s="742" t="s">
        <v>171</v>
      </c>
      <c r="I32" s="45"/>
      <c r="J32" s="45"/>
      <c r="K32" s="742" t="s">
        <v>317</v>
      </c>
      <c r="L32" s="45"/>
      <c r="M32" s="45"/>
      <c r="N32" s="45"/>
      <c r="O32" s="45"/>
    </row>
    <row r="33" spans="1:15" x14ac:dyDescent="0.2">
      <c r="A33" s="741"/>
      <c r="B33" s="45" t="s">
        <v>172</v>
      </c>
      <c r="C33" s="742" t="s">
        <v>280</v>
      </c>
      <c r="D33" s="742" t="s">
        <v>315</v>
      </c>
      <c r="E33" s="742" t="s">
        <v>181</v>
      </c>
      <c r="F33" s="742" t="s">
        <v>279</v>
      </c>
      <c r="G33" s="45"/>
      <c r="H33" s="742" t="s">
        <v>171</v>
      </c>
      <c r="I33" s="45"/>
      <c r="J33" s="45"/>
      <c r="K33" s="742" t="s">
        <v>317</v>
      </c>
      <c r="L33" s="45"/>
      <c r="M33" s="45"/>
      <c r="N33" s="45"/>
      <c r="O33" s="45"/>
    </row>
    <row r="34" spans="1:15" x14ac:dyDescent="0.2">
      <c r="A34" s="741"/>
      <c r="B34" s="45" t="s">
        <v>169</v>
      </c>
      <c r="C34" s="742" t="s">
        <v>280</v>
      </c>
      <c r="D34" s="742" t="s">
        <v>315</v>
      </c>
      <c r="E34" s="742"/>
      <c r="F34" s="742" t="s">
        <v>279</v>
      </c>
      <c r="G34" s="45" t="s">
        <v>332</v>
      </c>
      <c r="H34" s="742" t="s">
        <v>171</v>
      </c>
      <c r="I34" s="45" t="s">
        <v>215</v>
      </c>
      <c r="J34" s="45" t="s">
        <v>105</v>
      </c>
      <c r="K34" s="742" t="s">
        <v>317</v>
      </c>
      <c r="L34" s="45" t="s">
        <v>190</v>
      </c>
      <c r="M34" s="45" t="s">
        <v>296</v>
      </c>
      <c r="N34" s="45"/>
      <c r="O34" s="45"/>
    </row>
    <row r="35" spans="1:15" x14ac:dyDescent="0.2">
      <c r="A35" s="741"/>
      <c r="B35" s="45" t="s">
        <v>193</v>
      </c>
      <c r="C35" s="676">
        <v>101237567321</v>
      </c>
      <c r="D35" s="676">
        <v>37402010000</v>
      </c>
      <c r="E35" s="676">
        <v>22565510000</v>
      </c>
      <c r="F35" s="676">
        <v>20559600000</v>
      </c>
      <c r="G35" s="676">
        <v>17229870000</v>
      </c>
      <c r="H35" s="676">
        <v>14340690000</v>
      </c>
      <c r="I35" s="676">
        <v>11716700000</v>
      </c>
      <c r="J35" s="676">
        <v>9620757992</v>
      </c>
      <c r="K35" s="676">
        <v>9085252101</v>
      </c>
      <c r="L35" s="676">
        <v>665240000</v>
      </c>
      <c r="M35" s="676">
        <v>55117693</v>
      </c>
      <c r="N35" s="45"/>
      <c r="O35" s="45"/>
    </row>
    <row r="36" spans="1:15" x14ac:dyDescent="0.2">
      <c r="A36" s="741" t="s">
        <v>412</v>
      </c>
      <c r="B36" s="45" t="s">
        <v>173</v>
      </c>
      <c r="C36" s="742" t="s">
        <v>45</v>
      </c>
      <c r="D36" s="742" t="s">
        <v>339</v>
      </c>
      <c r="E36" s="45"/>
      <c r="F36" s="45"/>
      <c r="G36" s="742" t="s">
        <v>315</v>
      </c>
      <c r="H36" s="742" t="s">
        <v>80</v>
      </c>
      <c r="I36" s="45"/>
      <c r="J36" s="742" t="s">
        <v>406</v>
      </c>
      <c r="K36" s="45"/>
      <c r="L36" s="742" t="s">
        <v>347</v>
      </c>
      <c r="M36" s="45"/>
      <c r="N36" s="45"/>
      <c r="O36" s="45"/>
    </row>
    <row r="37" spans="1:15" x14ac:dyDescent="0.2">
      <c r="A37" s="741"/>
      <c r="B37" s="45" t="s">
        <v>172</v>
      </c>
      <c r="C37" s="742" t="s">
        <v>45</v>
      </c>
      <c r="D37" s="742" t="s">
        <v>339</v>
      </c>
      <c r="E37" s="45"/>
      <c r="F37" s="45"/>
      <c r="G37" s="742" t="s">
        <v>315</v>
      </c>
      <c r="H37" s="742" t="s">
        <v>80</v>
      </c>
      <c r="I37" s="45"/>
      <c r="J37" s="742" t="s">
        <v>406</v>
      </c>
      <c r="K37" s="45"/>
      <c r="L37" s="742" t="s">
        <v>347</v>
      </c>
      <c r="M37" s="45"/>
      <c r="N37" s="45"/>
      <c r="O37" s="45"/>
    </row>
    <row r="38" spans="1:15" x14ac:dyDescent="0.2">
      <c r="A38" s="741"/>
      <c r="B38" s="45" t="s">
        <v>169</v>
      </c>
      <c r="C38" s="742" t="s">
        <v>45</v>
      </c>
      <c r="D38" s="742" t="s">
        <v>339</v>
      </c>
      <c r="E38" s="45" t="s">
        <v>98</v>
      </c>
      <c r="F38" s="45" t="s">
        <v>109</v>
      </c>
      <c r="G38" s="742" t="s">
        <v>315</v>
      </c>
      <c r="H38" s="742" t="s">
        <v>80</v>
      </c>
      <c r="I38" s="45" t="s">
        <v>209</v>
      </c>
      <c r="J38" s="742" t="s">
        <v>406</v>
      </c>
      <c r="K38" s="45" t="s">
        <v>195</v>
      </c>
      <c r="L38" s="742" t="s">
        <v>347</v>
      </c>
      <c r="M38" s="45" t="s">
        <v>413</v>
      </c>
      <c r="N38" s="45"/>
      <c r="O38" s="45"/>
    </row>
    <row r="39" spans="1:15" x14ac:dyDescent="0.2">
      <c r="A39" s="741"/>
      <c r="B39" s="45" t="s">
        <v>193</v>
      </c>
      <c r="C39" s="676">
        <v>106096210000</v>
      </c>
      <c r="D39" s="676">
        <v>90501320000</v>
      </c>
      <c r="E39" s="676">
        <v>45175040000</v>
      </c>
      <c r="F39" s="676">
        <v>41196700000</v>
      </c>
      <c r="G39" s="676">
        <v>37351250000</v>
      </c>
      <c r="H39" s="676">
        <v>24356180000</v>
      </c>
      <c r="I39" s="676">
        <v>15492340000</v>
      </c>
      <c r="J39" s="676">
        <v>7276150000</v>
      </c>
      <c r="K39" s="676">
        <v>4754650000</v>
      </c>
      <c r="L39" s="676">
        <v>2107410000</v>
      </c>
      <c r="M39" s="676">
        <v>1378720000</v>
      </c>
      <c r="N39" s="45"/>
      <c r="O39" s="45"/>
    </row>
    <row r="40" spans="1:15" x14ac:dyDescent="0.2">
      <c r="A40" s="741" t="s">
        <v>410</v>
      </c>
      <c r="B40" s="45" t="s">
        <v>173</v>
      </c>
      <c r="C40" s="45"/>
      <c r="D40" s="45"/>
      <c r="E40" s="742" t="s">
        <v>284</v>
      </c>
      <c r="F40" s="742" t="s">
        <v>71</v>
      </c>
      <c r="G40" s="45"/>
      <c r="H40" s="742" t="s">
        <v>406</v>
      </c>
      <c r="I40" s="45"/>
      <c r="J40" s="45"/>
      <c r="K40" s="742" t="s">
        <v>352</v>
      </c>
      <c r="L40" s="45"/>
      <c r="M40" s="45"/>
      <c r="N40" s="45"/>
      <c r="O40" s="45"/>
    </row>
    <row r="41" spans="1:15" x14ac:dyDescent="0.2">
      <c r="A41" s="741"/>
      <c r="B41" s="45" t="s">
        <v>172</v>
      </c>
      <c r="C41" s="45"/>
      <c r="D41" s="45"/>
      <c r="E41" s="742" t="s">
        <v>284</v>
      </c>
      <c r="F41" s="742" t="s">
        <v>71</v>
      </c>
      <c r="G41" s="45"/>
      <c r="H41" s="742" t="s">
        <v>406</v>
      </c>
      <c r="I41" s="45"/>
      <c r="J41" s="742" t="s">
        <v>388</v>
      </c>
      <c r="K41" s="742" t="s">
        <v>352</v>
      </c>
      <c r="L41" s="45"/>
      <c r="M41" s="45"/>
      <c r="N41" s="45"/>
      <c r="O41" s="45"/>
    </row>
    <row r="42" spans="1:15" x14ac:dyDescent="0.2">
      <c r="A42" s="741"/>
      <c r="B42" s="45" t="s">
        <v>169</v>
      </c>
      <c r="C42" s="45" t="s">
        <v>5</v>
      </c>
      <c r="D42" s="45" t="s">
        <v>28</v>
      </c>
      <c r="E42" s="742" t="s">
        <v>284</v>
      </c>
      <c r="F42" s="742" t="s">
        <v>71</v>
      </c>
      <c r="G42" s="45" t="s">
        <v>401</v>
      </c>
      <c r="H42" s="742" t="s">
        <v>406</v>
      </c>
      <c r="I42" s="45" t="s">
        <v>304</v>
      </c>
      <c r="J42" s="742" t="s">
        <v>388</v>
      </c>
      <c r="K42" s="742" t="s">
        <v>352</v>
      </c>
      <c r="L42" s="45"/>
      <c r="M42" s="45"/>
      <c r="N42" s="45"/>
      <c r="O42" s="45"/>
    </row>
    <row r="43" spans="1:15" x14ac:dyDescent="0.2">
      <c r="A43" s="741"/>
      <c r="B43" s="45" t="s">
        <v>193</v>
      </c>
      <c r="C43" s="676">
        <v>74435390000</v>
      </c>
      <c r="D43" s="676">
        <v>63260800000</v>
      </c>
      <c r="E43" s="676">
        <v>47945250000</v>
      </c>
      <c r="F43" s="676">
        <v>45482850000</v>
      </c>
      <c r="G43" s="676">
        <v>5040830000</v>
      </c>
      <c r="H43" s="676">
        <v>3545680000</v>
      </c>
      <c r="I43" s="676">
        <v>2229490000</v>
      </c>
      <c r="J43" s="676">
        <v>179500000</v>
      </c>
      <c r="K43" s="676">
        <v>18564177</v>
      </c>
      <c r="L43" s="45"/>
      <c r="M43" s="45"/>
      <c r="N43" s="45"/>
      <c r="O43" s="45"/>
    </row>
    <row r="44" spans="1:15" x14ac:dyDescent="0.2">
      <c r="A44" s="741" t="s">
        <v>405</v>
      </c>
      <c r="B44" s="45" t="s">
        <v>173</v>
      </c>
      <c r="C44" s="45"/>
      <c r="D44" s="45"/>
      <c r="E44" s="45"/>
      <c r="F44" s="742" t="s">
        <v>315</v>
      </c>
      <c r="G44" s="45"/>
      <c r="H44" s="45"/>
      <c r="I44" s="45"/>
      <c r="J44" s="45"/>
      <c r="K44" s="45"/>
      <c r="L44" s="45"/>
      <c r="M44" s="45"/>
      <c r="N44" s="45"/>
      <c r="O44" s="45"/>
    </row>
    <row r="45" spans="1:15" x14ac:dyDescent="0.2">
      <c r="A45" s="741"/>
      <c r="B45" s="45" t="s">
        <v>172</v>
      </c>
      <c r="C45" s="45"/>
      <c r="D45" s="45"/>
      <c r="E45" s="742" t="s">
        <v>17</v>
      </c>
      <c r="F45" s="742" t="s">
        <v>315</v>
      </c>
      <c r="G45" s="45"/>
      <c r="H45" s="742" t="s">
        <v>184</v>
      </c>
      <c r="I45" s="45"/>
      <c r="J45" s="45"/>
      <c r="K45" s="45"/>
      <c r="L45" s="45"/>
      <c r="M45" s="45"/>
      <c r="N45" s="45"/>
      <c r="O45" s="45"/>
    </row>
    <row r="46" spans="1:15" x14ac:dyDescent="0.2">
      <c r="A46" s="741"/>
      <c r="B46" s="45" t="s">
        <v>169</v>
      </c>
      <c r="C46" s="45" t="s">
        <v>38</v>
      </c>
      <c r="D46" s="45" t="s">
        <v>68</v>
      </c>
      <c r="E46" s="742" t="s">
        <v>17</v>
      </c>
      <c r="F46" s="742" t="s">
        <v>315</v>
      </c>
      <c r="G46" s="45" t="s">
        <v>9</v>
      </c>
      <c r="H46" s="742" t="s">
        <v>184</v>
      </c>
      <c r="I46" s="45" t="s">
        <v>182</v>
      </c>
      <c r="J46" s="45" t="s">
        <v>335</v>
      </c>
      <c r="K46" s="45" t="s">
        <v>388</v>
      </c>
      <c r="L46" s="45"/>
      <c r="M46" s="45"/>
      <c r="N46" s="45"/>
      <c r="O46" s="45"/>
    </row>
    <row r="47" spans="1:15" x14ac:dyDescent="0.2">
      <c r="A47" s="741"/>
      <c r="B47" s="45" t="s">
        <v>193</v>
      </c>
      <c r="C47" s="676">
        <v>153919130000</v>
      </c>
      <c r="D47" s="676">
        <v>49051460000</v>
      </c>
      <c r="E47" s="676">
        <v>36370320000</v>
      </c>
      <c r="F47" s="676">
        <v>35042070000</v>
      </c>
      <c r="G47" s="676">
        <v>22275040000</v>
      </c>
      <c r="H47" s="676">
        <v>16311240000</v>
      </c>
      <c r="I47" s="676">
        <v>11664180000</v>
      </c>
      <c r="J47" s="676">
        <v>170523821</v>
      </c>
      <c r="K47" s="676">
        <v>44750000</v>
      </c>
      <c r="L47" s="45"/>
      <c r="M47" s="45"/>
      <c r="N47" s="45"/>
      <c r="O47" s="45"/>
    </row>
    <row r="48" spans="1:15" x14ac:dyDescent="0.2">
      <c r="A48" s="741" t="s">
        <v>396</v>
      </c>
      <c r="B48" s="45" t="s">
        <v>172</v>
      </c>
      <c r="C48" s="45"/>
      <c r="D48" s="45"/>
      <c r="E48" s="45"/>
      <c r="F48" s="742" t="s">
        <v>17</v>
      </c>
      <c r="G48" s="45"/>
      <c r="H48" s="742" t="s">
        <v>184</v>
      </c>
      <c r="I48" s="45"/>
      <c r="J48" s="45"/>
      <c r="K48" s="45"/>
      <c r="L48" s="45"/>
      <c r="M48" s="45"/>
      <c r="N48" s="45"/>
      <c r="O48" s="45"/>
    </row>
    <row r="49" spans="1:15" x14ac:dyDescent="0.2">
      <c r="A49" s="741"/>
      <c r="B49" s="45" t="s">
        <v>169</v>
      </c>
      <c r="C49" s="45" t="s">
        <v>5</v>
      </c>
      <c r="D49" s="45" t="s">
        <v>32</v>
      </c>
      <c r="E49" s="45" t="s">
        <v>70</v>
      </c>
      <c r="F49" s="742" t="s">
        <v>17</v>
      </c>
      <c r="G49" s="45" t="s">
        <v>107</v>
      </c>
      <c r="H49" s="742" t="s">
        <v>184</v>
      </c>
      <c r="I49" s="45" t="s">
        <v>370</v>
      </c>
      <c r="J49" s="45" t="s">
        <v>334</v>
      </c>
      <c r="K49" s="45"/>
      <c r="L49" s="45"/>
      <c r="M49" s="45"/>
      <c r="N49" s="45"/>
      <c r="O49" s="45"/>
    </row>
    <row r="50" spans="1:15" x14ac:dyDescent="0.2">
      <c r="A50" s="741"/>
      <c r="B50" s="45" t="s">
        <v>193</v>
      </c>
      <c r="C50" s="676">
        <v>61180010000</v>
      </c>
      <c r="D50" s="676">
        <v>46631300519</v>
      </c>
      <c r="E50" s="676">
        <v>31756230000</v>
      </c>
      <c r="F50" s="676">
        <v>23171170000</v>
      </c>
      <c r="G50" s="676">
        <v>15403560000</v>
      </c>
      <c r="H50" s="676">
        <v>11347750000</v>
      </c>
      <c r="I50" s="676">
        <v>4900150000</v>
      </c>
      <c r="J50" s="676">
        <v>1505663074</v>
      </c>
      <c r="K50" s="45"/>
      <c r="L50" s="45"/>
      <c r="M50" s="45"/>
      <c r="N50" s="45"/>
      <c r="O50" s="45"/>
    </row>
    <row r="51" spans="1:15" x14ac:dyDescent="0.2">
      <c r="A51" s="741" t="s">
        <v>393</v>
      </c>
      <c r="B51" s="45" t="s">
        <v>173</v>
      </c>
      <c r="C51" s="45"/>
      <c r="D51" s="742" t="s">
        <v>339</v>
      </c>
      <c r="E51" s="45"/>
      <c r="F51" s="45"/>
      <c r="G51" s="742" t="s">
        <v>316</v>
      </c>
      <c r="H51" s="742" t="s">
        <v>317</v>
      </c>
      <c r="I51" s="742" t="s">
        <v>385</v>
      </c>
      <c r="J51" s="45"/>
      <c r="K51" s="45"/>
      <c r="L51" s="45"/>
      <c r="M51" s="45"/>
      <c r="N51" s="45"/>
      <c r="O51" s="45"/>
    </row>
    <row r="52" spans="1:15" x14ac:dyDescent="0.2">
      <c r="A52" s="741"/>
      <c r="B52" s="45" t="s">
        <v>172</v>
      </c>
      <c r="C52" s="45"/>
      <c r="D52" s="742" t="s">
        <v>339</v>
      </c>
      <c r="E52" s="45"/>
      <c r="F52" s="45"/>
      <c r="G52" s="742" t="s">
        <v>316</v>
      </c>
      <c r="H52" s="742" t="s">
        <v>317</v>
      </c>
      <c r="I52" s="742" t="s">
        <v>385</v>
      </c>
      <c r="J52" s="45"/>
      <c r="K52" s="45"/>
      <c r="L52" s="45"/>
      <c r="M52" s="45"/>
      <c r="N52" s="45"/>
      <c r="O52" s="45"/>
    </row>
    <row r="53" spans="1:15" x14ac:dyDescent="0.2">
      <c r="A53" s="741"/>
      <c r="B53" s="45" t="s">
        <v>169</v>
      </c>
      <c r="C53" s="45" t="s">
        <v>64</v>
      </c>
      <c r="D53" s="742" t="s">
        <v>339</v>
      </c>
      <c r="E53" s="45" t="s">
        <v>394</v>
      </c>
      <c r="F53" s="45" t="s">
        <v>367</v>
      </c>
      <c r="G53" s="742" t="s">
        <v>316</v>
      </c>
      <c r="H53" s="742" t="s">
        <v>317</v>
      </c>
      <c r="I53" s="742" t="s">
        <v>385</v>
      </c>
      <c r="J53" s="45" t="s">
        <v>188</v>
      </c>
      <c r="K53" s="45"/>
      <c r="L53" s="45"/>
      <c r="M53" s="45"/>
      <c r="N53" s="45"/>
      <c r="O53" s="45"/>
    </row>
    <row r="54" spans="1:15" x14ac:dyDescent="0.2">
      <c r="A54" s="741"/>
      <c r="B54" s="45" t="s">
        <v>193</v>
      </c>
      <c r="C54" s="676">
        <v>71237770000</v>
      </c>
      <c r="D54" s="676">
        <v>30282240000</v>
      </c>
      <c r="E54" s="676">
        <v>12089760000</v>
      </c>
      <c r="F54" s="676">
        <v>8056050000</v>
      </c>
      <c r="G54" s="676">
        <v>7693288958</v>
      </c>
      <c r="H54" s="676">
        <v>4345653063</v>
      </c>
      <c r="I54" s="676">
        <v>1730660000</v>
      </c>
      <c r="J54" s="676">
        <v>1430540000</v>
      </c>
      <c r="K54" s="45"/>
      <c r="L54" s="45"/>
      <c r="M54" s="45"/>
      <c r="N54" s="45"/>
      <c r="O54" s="45"/>
    </row>
    <row r="55" spans="1:15" x14ac:dyDescent="0.2">
      <c r="A55" s="741" t="s">
        <v>392</v>
      </c>
      <c r="B55" s="45" t="s">
        <v>173</v>
      </c>
      <c r="C55" s="45"/>
      <c r="D55" s="45"/>
      <c r="E55" s="742" t="s">
        <v>198</v>
      </c>
      <c r="F55" s="742" t="s">
        <v>300</v>
      </c>
      <c r="G55" s="45"/>
      <c r="H55" s="45"/>
      <c r="I55" s="45"/>
      <c r="J55" s="45"/>
      <c r="K55" s="45"/>
      <c r="L55" s="45"/>
      <c r="M55" s="45"/>
      <c r="N55" s="45"/>
      <c r="O55" s="45"/>
    </row>
    <row r="56" spans="1:15" x14ac:dyDescent="0.2">
      <c r="A56" s="741"/>
      <c r="B56" s="45" t="s">
        <v>172</v>
      </c>
      <c r="C56" s="45"/>
      <c r="D56" s="45"/>
      <c r="E56" s="742" t="s">
        <v>198</v>
      </c>
      <c r="F56" s="742" t="s">
        <v>300</v>
      </c>
      <c r="G56" s="45"/>
      <c r="H56" s="742" t="s">
        <v>170</v>
      </c>
      <c r="I56" s="45"/>
      <c r="J56" s="45"/>
      <c r="K56" s="45"/>
      <c r="L56" s="45"/>
      <c r="M56" s="45"/>
      <c r="N56" s="45"/>
      <c r="O56" s="45"/>
    </row>
    <row r="57" spans="1:15" x14ac:dyDescent="0.2">
      <c r="A57" s="741"/>
      <c r="B57" s="45" t="s">
        <v>169</v>
      </c>
      <c r="C57" s="45" t="s">
        <v>31</v>
      </c>
      <c r="D57" s="45" t="s">
        <v>202</v>
      </c>
      <c r="E57" s="742" t="s">
        <v>198</v>
      </c>
      <c r="F57" s="742" t="s">
        <v>300</v>
      </c>
      <c r="G57" s="45" t="s">
        <v>60</v>
      </c>
      <c r="H57" s="742" t="s">
        <v>170</v>
      </c>
      <c r="I57" s="45"/>
      <c r="J57" s="45"/>
      <c r="K57" s="45"/>
      <c r="L57" s="45"/>
      <c r="M57" s="45"/>
      <c r="N57" s="45"/>
      <c r="O57" s="45"/>
    </row>
    <row r="58" spans="1:15" x14ac:dyDescent="0.2">
      <c r="A58" s="741"/>
      <c r="B58" s="45" t="s">
        <v>193</v>
      </c>
      <c r="C58" s="676">
        <v>44818930000</v>
      </c>
      <c r="D58" s="676">
        <v>30813230000</v>
      </c>
      <c r="E58" s="676">
        <v>14730430000</v>
      </c>
      <c r="F58" s="676">
        <v>2650620000</v>
      </c>
      <c r="G58" s="676">
        <v>975337494</v>
      </c>
      <c r="H58" s="676">
        <v>975163604</v>
      </c>
      <c r="I58" s="45"/>
      <c r="J58" s="45"/>
      <c r="K58" s="45"/>
      <c r="L58" s="45"/>
      <c r="M58" s="45"/>
      <c r="N58" s="45"/>
      <c r="O58" s="45"/>
    </row>
    <row r="59" spans="1:15" x14ac:dyDescent="0.2">
      <c r="A59" s="741" t="s">
        <v>387</v>
      </c>
      <c r="B59" s="45" t="s">
        <v>173</v>
      </c>
      <c r="C59" s="45"/>
      <c r="D59" s="742" t="s">
        <v>284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</row>
    <row r="60" spans="1:15" x14ac:dyDescent="0.2">
      <c r="A60" s="741"/>
      <c r="B60" s="45" t="s">
        <v>172</v>
      </c>
      <c r="C60" s="45"/>
      <c r="D60" s="742" t="s">
        <v>284</v>
      </c>
      <c r="E60" s="742" t="s">
        <v>184</v>
      </c>
      <c r="F60" s="45"/>
      <c r="G60" s="45"/>
      <c r="H60" s="45"/>
      <c r="I60" s="45"/>
      <c r="J60" s="45"/>
      <c r="K60" s="45"/>
      <c r="L60" s="45"/>
      <c r="M60" s="45"/>
      <c r="N60" s="45"/>
      <c r="O60" s="45"/>
    </row>
    <row r="61" spans="1:15" x14ac:dyDescent="0.2">
      <c r="A61" s="741"/>
      <c r="B61" s="45" t="s">
        <v>169</v>
      </c>
      <c r="C61" s="45" t="s">
        <v>290</v>
      </c>
      <c r="D61" s="742" t="s">
        <v>284</v>
      </c>
      <c r="E61" s="742" t="s">
        <v>184</v>
      </c>
      <c r="F61" s="45" t="s">
        <v>318</v>
      </c>
      <c r="G61" s="45" t="s">
        <v>329</v>
      </c>
      <c r="H61" s="45"/>
      <c r="I61" s="45"/>
      <c r="J61" s="45"/>
      <c r="K61" s="45"/>
      <c r="L61" s="45"/>
      <c r="M61" s="45"/>
      <c r="N61" s="45"/>
      <c r="O61" s="45"/>
    </row>
    <row r="62" spans="1:15" x14ac:dyDescent="0.2">
      <c r="A62" s="741"/>
      <c r="B62" s="45" t="s">
        <v>193</v>
      </c>
      <c r="C62" s="676">
        <v>64029050000</v>
      </c>
      <c r="D62" s="676">
        <v>23496270000</v>
      </c>
      <c r="E62" s="676">
        <v>8068080000</v>
      </c>
      <c r="F62" s="676">
        <v>2792560000</v>
      </c>
      <c r="G62" s="676">
        <v>258519525</v>
      </c>
      <c r="H62" s="45"/>
      <c r="I62" s="45"/>
      <c r="J62" s="45"/>
      <c r="K62" s="45"/>
      <c r="L62" s="45"/>
      <c r="M62" s="45"/>
      <c r="N62" s="45"/>
      <c r="O62" s="45"/>
    </row>
    <row r="63" spans="1:15" x14ac:dyDescent="0.2">
      <c r="A63" s="741" t="s">
        <v>383</v>
      </c>
      <c r="B63" s="45" t="s">
        <v>172</v>
      </c>
      <c r="C63" s="742" t="s">
        <v>43</v>
      </c>
      <c r="D63" s="45"/>
      <c r="E63" s="742" t="s">
        <v>317</v>
      </c>
      <c r="F63" s="45"/>
      <c r="G63" s="45"/>
      <c r="H63" s="45"/>
      <c r="I63" s="45"/>
      <c r="J63" s="45"/>
      <c r="K63" s="45"/>
      <c r="L63" s="45"/>
      <c r="M63" s="45"/>
      <c r="N63" s="45"/>
      <c r="O63" s="45"/>
    </row>
    <row r="64" spans="1:15" x14ac:dyDescent="0.2">
      <c r="A64" s="741"/>
      <c r="B64" s="45" t="s">
        <v>169</v>
      </c>
      <c r="C64" s="742" t="s">
        <v>43</v>
      </c>
      <c r="D64" s="45" t="s">
        <v>384</v>
      </c>
      <c r="E64" s="742" t="s">
        <v>209</v>
      </c>
      <c r="F64" s="45" t="s">
        <v>195</v>
      </c>
      <c r="G64" s="45" t="s">
        <v>317</v>
      </c>
      <c r="H64" s="45" t="s">
        <v>385</v>
      </c>
      <c r="I64" s="45" t="s">
        <v>386</v>
      </c>
      <c r="J64" s="45" t="s">
        <v>329</v>
      </c>
      <c r="K64" s="45"/>
      <c r="L64" s="45"/>
      <c r="M64" s="45"/>
      <c r="N64" s="45"/>
      <c r="O64" s="45"/>
    </row>
    <row r="65" spans="1:15" x14ac:dyDescent="0.2">
      <c r="A65" s="741"/>
      <c r="B65" s="45" t="s">
        <v>193</v>
      </c>
      <c r="C65" s="676">
        <v>42918423314</v>
      </c>
      <c r="D65" s="676">
        <v>18239496999</v>
      </c>
      <c r="E65" s="676">
        <v>13330160000</v>
      </c>
      <c r="F65" s="676">
        <v>3628023574</v>
      </c>
      <c r="G65" s="676">
        <v>1776228047</v>
      </c>
      <c r="H65" s="676">
        <v>849426693</v>
      </c>
      <c r="I65" s="676">
        <v>510341667</v>
      </c>
      <c r="J65" s="676">
        <v>118861057</v>
      </c>
      <c r="K65" s="45"/>
      <c r="L65" s="45"/>
      <c r="M65" s="45"/>
      <c r="N65" s="45"/>
      <c r="O65" s="45"/>
    </row>
    <row r="66" spans="1:15" x14ac:dyDescent="0.2">
      <c r="A66" s="741" t="s">
        <v>381</v>
      </c>
      <c r="B66" s="45" t="s">
        <v>173</v>
      </c>
      <c r="C66" s="742" t="s">
        <v>26</v>
      </c>
      <c r="D66" s="45"/>
      <c r="E66" s="45"/>
      <c r="F66" s="45"/>
      <c r="G66" s="742" t="s">
        <v>63</v>
      </c>
      <c r="H66" s="45"/>
      <c r="I66" s="742" t="s">
        <v>189</v>
      </c>
      <c r="J66" s="45"/>
      <c r="K66" s="742" t="s">
        <v>382</v>
      </c>
      <c r="L66" s="45"/>
      <c r="M66" s="742" t="s">
        <v>352</v>
      </c>
      <c r="N66" s="45"/>
      <c r="O66" s="45"/>
    </row>
    <row r="67" spans="1:15" x14ac:dyDescent="0.2">
      <c r="A67" s="741"/>
      <c r="B67" s="45" t="s">
        <v>172</v>
      </c>
      <c r="C67" s="742" t="s">
        <v>26</v>
      </c>
      <c r="D67" s="45"/>
      <c r="E67" s="45"/>
      <c r="F67" s="45"/>
      <c r="G67" s="742" t="s">
        <v>63</v>
      </c>
      <c r="H67" s="45"/>
      <c r="I67" s="742" t="s">
        <v>189</v>
      </c>
      <c r="J67" s="45"/>
      <c r="K67" s="742" t="s">
        <v>382</v>
      </c>
      <c r="L67" s="45"/>
      <c r="M67" s="742" t="s">
        <v>352</v>
      </c>
      <c r="N67" s="45"/>
      <c r="O67" s="45"/>
    </row>
    <row r="68" spans="1:15" x14ac:dyDescent="0.2">
      <c r="A68" s="741"/>
      <c r="B68" s="45" t="s">
        <v>169</v>
      </c>
      <c r="C68" s="742" t="s">
        <v>26</v>
      </c>
      <c r="D68" s="45" t="s">
        <v>24</v>
      </c>
      <c r="E68" s="45" t="s">
        <v>28</v>
      </c>
      <c r="F68" s="45" t="s">
        <v>39</v>
      </c>
      <c r="G68" s="742" t="s">
        <v>63</v>
      </c>
      <c r="H68" s="45" t="s">
        <v>288</v>
      </c>
      <c r="I68" s="742" t="s">
        <v>189</v>
      </c>
      <c r="J68" s="45" t="s">
        <v>183</v>
      </c>
      <c r="K68" s="742" t="s">
        <v>382</v>
      </c>
      <c r="L68" s="45" t="s">
        <v>278</v>
      </c>
      <c r="M68" s="742" t="s">
        <v>352</v>
      </c>
      <c r="N68" s="45"/>
      <c r="O68" s="45"/>
    </row>
    <row r="69" spans="1:15" x14ac:dyDescent="0.2">
      <c r="A69" s="741"/>
      <c r="B69" s="45" t="s">
        <v>193</v>
      </c>
      <c r="C69" s="676">
        <v>138622680000</v>
      </c>
      <c r="D69" s="676">
        <v>121133470000</v>
      </c>
      <c r="E69" s="676">
        <v>38300430000</v>
      </c>
      <c r="F69" s="676">
        <v>30810070000</v>
      </c>
      <c r="G69" s="676">
        <v>29585200000</v>
      </c>
      <c r="H69" s="676">
        <v>18768370000</v>
      </c>
      <c r="I69" s="676">
        <v>8390300000</v>
      </c>
      <c r="J69" s="676">
        <v>6597860000</v>
      </c>
      <c r="K69" s="676">
        <v>3367980000</v>
      </c>
      <c r="L69" s="676">
        <v>2966550000</v>
      </c>
      <c r="M69" s="676">
        <v>9326916</v>
      </c>
      <c r="N69" s="45"/>
      <c r="O69" s="45"/>
    </row>
    <row r="70" spans="1:15" x14ac:dyDescent="0.2">
      <c r="A70" s="741" t="s">
        <v>378</v>
      </c>
      <c r="B70" s="45" t="s">
        <v>173</v>
      </c>
      <c r="C70" s="45"/>
      <c r="D70" s="45"/>
      <c r="E70" s="45"/>
      <c r="F70" s="45"/>
      <c r="G70" s="742" t="s">
        <v>339</v>
      </c>
      <c r="H70" s="45"/>
      <c r="I70" s="45"/>
      <c r="J70" s="45"/>
      <c r="K70" s="742" t="s">
        <v>187</v>
      </c>
      <c r="L70" s="45"/>
      <c r="M70" s="45"/>
      <c r="N70" s="45"/>
      <c r="O70" s="45"/>
    </row>
    <row r="71" spans="1:15" x14ac:dyDescent="0.2">
      <c r="A71" s="741"/>
      <c r="B71" s="45" t="s">
        <v>172</v>
      </c>
      <c r="C71" s="742" t="s">
        <v>45</v>
      </c>
      <c r="D71" s="45"/>
      <c r="E71" s="45"/>
      <c r="F71" s="45"/>
      <c r="G71" s="742" t="s">
        <v>339</v>
      </c>
      <c r="H71" s="45"/>
      <c r="I71" s="45"/>
      <c r="J71" s="45"/>
      <c r="K71" s="742" t="s">
        <v>187</v>
      </c>
      <c r="L71" s="45"/>
      <c r="M71" s="45"/>
      <c r="N71" s="45"/>
      <c r="O71" s="45"/>
    </row>
    <row r="72" spans="1:15" x14ac:dyDescent="0.2">
      <c r="A72" s="741"/>
      <c r="B72" s="45" t="s">
        <v>169</v>
      </c>
      <c r="C72" s="742" t="s">
        <v>45</v>
      </c>
      <c r="D72" s="45" t="s">
        <v>98</v>
      </c>
      <c r="E72" s="45" t="s">
        <v>109</v>
      </c>
      <c r="F72" s="45" t="s">
        <v>19</v>
      </c>
      <c r="G72" s="742" t="s">
        <v>339</v>
      </c>
      <c r="H72" s="45" t="s">
        <v>28</v>
      </c>
      <c r="I72" s="45" t="s">
        <v>102</v>
      </c>
      <c r="J72" s="45" t="s">
        <v>39</v>
      </c>
      <c r="K72" s="742" t="s">
        <v>187</v>
      </c>
      <c r="L72" s="45" t="s">
        <v>76</v>
      </c>
      <c r="M72" s="45"/>
      <c r="N72" s="45"/>
      <c r="O72" s="45"/>
    </row>
    <row r="73" spans="1:15" x14ac:dyDescent="0.2">
      <c r="A73" s="741"/>
      <c r="B73" s="45" t="s">
        <v>193</v>
      </c>
      <c r="C73" s="676">
        <v>64505520000</v>
      </c>
      <c r="D73" s="676">
        <v>44021360000</v>
      </c>
      <c r="E73" s="676">
        <v>32265490000</v>
      </c>
      <c r="F73" s="676">
        <v>27834080000</v>
      </c>
      <c r="G73" s="676">
        <v>27788220000</v>
      </c>
      <c r="H73" s="676">
        <v>25008150000</v>
      </c>
      <c r="I73" s="676">
        <v>15045490000</v>
      </c>
      <c r="J73" s="676">
        <v>14640700000</v>
      </c>
      <c r="K73" s="676">
        <v>4003300000</v>
      </c>
      <c r="L73" s="676">
        <v>1527790000</v>
      </c>
      <c r="M73" s="45"/>
      <c r="N73" s="45"/>
      <c r="O73" s="45"/>
    </row>
    <row r="74" spans="1:15" x14ac:dyDescent="0.2">
      <c r="A74" s="741" t="s">
        <v>373</v>
      </c>
      <c r="B74" s="45" t="s">
        <v>173</v>
      </c>
      <c r="C74" s="45"/>
      <c r="D74" s="45"/>
      <c r="E74" s="45"/>
      <c r="F74" s="45"/>
      <c r="G74" s="45"/>
      <c r="H74" s="742" t="s">
        <v>80</v>
      </c>
      <c r="I74" s="742" t="s">
        <v>284</v>
      </c>
      <c r="J74" s="45"/>
      <c r="K74" s="742" t="s">
        <v>179</v>
      </c>
      <c r="L74" s="742" t="s">
        <v>347</v>
      </c>
      <c r="M74" s="45"/>
      <c r="N74" s="45"/>
      <c r="O74" s="45"/>
    </row>
    <row r="75" spans="1:15" x14ac:dyDescent="0.2">
      <c r="A75" s="741"/>
      <c r="B75" s="45" t="s">
        <v>172</v>
      </c>
      <c r="C75" s="45"/>
      <c r="D75" s="45"/>
      <c r="E75" s="45"/>
      <c r="F75" s="45"/>
      <c r="G75" s="45"/>
      <c r="H75" s="742" t="s">
        <v>80</v>
      </c>
      <c r="I75" s="742" t="s">
        <v>284</v>
      </c>
      <c r="J75" s="45"/>
      <c r="K75" s="742" t="s">
        <v>179</v>
      </c>
      <c r="L75" s="742" t="s">
        <v>347</v>
      </c>
      <c r="M75" s="45"/>
      <c r="N75" s="45"/>
      <c r="O75" s="45"/>
    </row>
    <row r="76" spans="1:15" x14ac:dyDescent="0.2">
      <c r="A76" s="741"/>
      <c r="B76" s="45" t="s">
        <v>169</v>
      </c>
      <c r="C76" s="45" t="s">
        <v>38</v>
      </c>
      <c r="D76" s="45" t="s">
        <v>69</v>
      </c>
      <c r="E76" s="45" t="s">
        <v>62</v>
      </c>
      <c r="F76" s="45" t="s">
        <v>111</v>
      </c>
      <c r="G76" s="45" t="s">
        <v>16</v>
      </c>
      <c r="H76" s="742" t="s">
        <v>80</v>
      </c>
      <c r="I76" s="742" t="s">
        <v>284</v>
      </c>
      <c r="J76" s="45" t="s">
        <v>102</v>
      </c>
      <c r="K76" s="742" t="s">
        <v>179</v>
      </c>
      <c r="L76" s="742" t="s">
        <v>347</v>
      </c>
      <c r="M76" s="45" t="s">
        <v>298</v>
      </c>
      <c r="N76" s="45" t="s">
        <v>321</v>
      </c>
      <c r="O76" s="45"/>
    </row>
    <row r="77" spans="1:15" x14ac:dyDescent="0.2">
      <c r="A77" s="741"/>
      <c r="B77" s="45" t="s">
        <v>193</v>
      </c>
      <c r="C77" s="676">
        <v>139549190000</v>
      </c>
      <c r="D77" s="676">
        <v>50215420000</v>
      </c>
      <c r="E77" s="676">
        <v>36094040000</v>
      </c>
      <c r="F77" s="676">
        <v>34776890000</v>
      </c>
      <c r="G77" s="676">
        <v>30300910000</v>
      </c>
      <c r="H77" s="676">
        <v>18468730000</v>
      </c>
      <c r="I77" s="676">
        <v>15629980000</v>
      </c>
      <c r="J77" s="676">
        <v>6637020000</v>
      </c>
      <c r="K77" s="676">
        <v>2922340000</v>
      </c>
      <c r="L77" s="676">
        <v>1000650000</v>
      </c>
      <c r="M77" s="676">
        <v>467570000</v>
      </c>
      <c r="N77" s="676">
        <v>434780000</v>
      </c>
      <c r="O77" s="45"/>
    </row>
    <row r="78" spans="1:15" x14ac:dyDescent="0.2">
      <c r="A78" s="741" t="s">
        <v>362</v>
      </c>
      <c r="B78" s="45" t="s">
        <v>173</v>
      </c>
      <c r="C78" s="45"/>
      <c r="D78" s="45"/>
      <c r="E78" s="45"/>
      <c r="F78" s="45"/>
      <c r="G78" s="742" t="s">
        <v>189</v>
      </c>
      <c r="H78" s="742" t="s">
        <v>179</v>
      </c>
      <c r="I78" s="45"/>
      <c r="J78" s="45"/>
      <c r="K78" s="45"/>
      <c r="L78" s="45"/>
      <c r="M78" s="45"/>
      <c r="N78" s="45"/>
      <c r="O78" s="45"/>
    </row>
    <row r="79" spans="1:15" x14ac:dyDescent="0.2">
      <c r="A79" s="741"/>
      <c r="B79" s="45" t="s">
        <v>172</v>
      </c>
      <c r="C79" s="45"/>
      <c r="D79" s="45"/>
      <c r="E79" s="742" t="s">
        <v>219</v>
      </c>
      <c r="F79" s="45"/>
      <c r="G79" s="742" t="s">
        <v>189</v>
      </c>
      <c r="H79" s="742" t="s">
        <v>179</v>
      </c>
      <c r="I79" s="45"/>
      <c r="J79" s="45"/>
      <c r="K79" s="45"/>
      <c r="L79" s="45"/>
      <c r="M79" s="45"/>
      <c r="N79" s="45"/>
      <c r="O79" s="45"/>
    </row>
    <row r="80" spans="1:15" x14ac:dyDescent="0.2">
      <c r="A80" s="741"/>
      <c r="B80" s="45" t="s">
        <v>169</v>
      </c>
      <c r="C80" s="45" t="s">
        <v>83</v>
      </c>
      <c r="D80" s="45" t="s">
        <v>26</v>
      </c>
      <c r="E80" s="742" t="s">
        <v>219</v>
      </c>
      <c r="F80" s="45" t="s">
        <v>363</v>
      </c>
      <c r="G80" s="742" t="s">
        <v>189</v>
      </c>
      <c r="H80" s="742" t="s">
        <v>179</v>
      </c>
      <c r="I80" s="45" t="s">
        <v>351</v>
      </c>
      <c r="J80" s="45"/>
      <c r="K80" s="45"/>
      <c r="L80" s="45"/>
      <c r="M80" s="45"/>
      <c r="N80" s="45"/>
      <c r="O80" s="45"/>
    </row>
    <row r="81" spans="1:15" x14ac:dyDescent="0.2">
      <c r="A81" s="741"/>
      <c r="B81" s="45" t="s">
        <v>193</v>
      </c>
      <c r="C81" s="676">
        <v>62934030000</v>
      </c>
      <c r="D81" s="676">
        <v>53230990000</v>
      </c>
      <c r="E81" s="676">
        <v>14025956959</v>
      </c>
      <c r="F81" s="676">
        <v>11392590000</v>
      </c>
      <c r="G81" s="676">
        <v>2188880000</v>
      </c>
      <c r="H81" s="676">
        <v>727780000</v>
      </c>
      <c r="I81" s="676">
        <v>572680000</v>
      </c>
      <c r="J81" s="45"/>
      <c r="K81" s="45"/>
      <c r="L81" s="45"/>
      <c r="M81" s="45"/>
      <c r="N81" s="45"/>
      <c r="O81" s="45"/>
    </row>
    <row r="82" spans="1:15" x14ac:dyDescent="0.2">
      <c r="A82" s="741" t="s">
        <v>357</v>
      </c>
      <c r="B82" s="45" t="s">
        <v>173</v>
      </c>
      <c r="C82" s="742" t="s">
        <v>44</v>
      </c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1:15" x14ac:dyDescent="0.2">
      <c r="A83" s="741"/>
      <c r="B83" s="45" t="s">
        <v>172</v>
      </c>
      <c r="C83" s="742"/>
      <c r="D83" s="742" t="s">
        <v>63</v>
      </c>
      <c r="E83" s="742" t="s">
        <v>77</v>
      </c>
      <c r="F83" s="45"/>
      <c r="G83" s="45"/>
      <c r="H83" s="45"/>
      <c r="I83" s="45"/>
      <c r="J83" s="45"/>
      <c r="K83" s="45"/>
      <c r="L83" s="45"/>
      <c r="M83" s="45"/>
      <c r="N83" s="45"/>
      <c r="O83" s="45"/>
    </row>
    <row r="84" spans="1:15" x14ac:dyDescent="0.2">
      <c r="A84" s="741"/>
      <c r="B84" s="45" t="s">
        <v>169</v>
      </c>
      <c r="C84" s="742"/>
      <c r="D84" s="742" t="s">
        <v>63</v>
      </c>
      <c r="E84" s="742" t="s">
        <v>77</v>
      </c>
      <c r="F84" s="45" t="s">
        <v>88</v>
      </c>
      <c r="G84" s="45" t="s">
        <v>304</v>
      </c>
      <c r="H84" s="45" t="s">
        <v>66</v>
      </c>
      <c r="I84" s="45" t="s">
        <v>347</v>
      </c>
      <c r="J84" s="45"/>
      <c r="K84" s="45"/>
      <c r="L84" s="45"/>
      <c r="M84" s="45"/>
      <c r="N84" s="45"/>
      <c r="O84" s="45"/>
    </row>
    <row r="85" spans="1:15" x14ac:dyDescent="0.2">
      <c r="A85" s="741"/>
      <c r="B85" s="45" t="s">
        <v>193</v>
      </c>
      <c r="C85" s="676">
        <v>24342580000</v>
      </c>
      <c r="D85" s="676">
        <v>13853090000</v>
      </c>
      <c r="E85" s="676">
        <v>11479190000</v>
      </c>
      <c r="F85" s="676">
        <v>8862058128</v>
      </c>
      <c r="G85" s="676">
        <v>2029610000</v>
      </c>
      <c r="H85" s="676">
        <v>1736771163</v>
      </c>
      <c r="I85" s="676">
        <v>667020000</v>
      </c>
      <c r="J85" s="45"/>
      <c r="K85" s="45"/>
      <c r="L85" s="45"/>
      <c r="M85" s="45"/>
      <c r="N85" s="45"/>
      <c r="O85" s="45"/>
    </row>
    <row r="86" spans="1:15" x14ac:dyDescent="0.2">
      <c r="A86" s="741" t="s">
        <v>277</v>
      </c>
      <c r="B86" s="45" t="s">
        <v>174</v>
      </c>
      <c r="C86" s="742" t="s">
        <v>36</v>
      </c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</row>
    <row r="87" spans="1:15" x14ac:dyDescent="0.2">
      <c r="A87" s="741"/>
      <c r="B87" s="45" t="s">
        <v>173</v>
      </c>
      <c r="C87" s="742" t="s">
        <v>36</v>
      </c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</row>
    <row r="88" spans="1:15" x14ac:dyDescent="0.2">
      <c r="A88" s="741"/>
      <c r="B88" s="45" t="s">
        <v>172</v>
      </c>
      <c r="C88" s="742" t="s">
        <v>36</v>
      </c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</row>
    <row r="89" spans="1:15" x14ac:dyDescent="0.2">
      <c r="A89" s="741"/>
      <c r="B89" s="45" t="s">
        <v>169</v>
      </c>
      <c r="C89" s="742" t="s">
        <v>36</v>
      </c>
      <c r="D89" s="45" t="s">
        <v>42</v>
      </c>
      <c r="E89" s="45" t="s">
        <v>111</v>
      </c>
      <c r="F89" s="45" t="s">
        <v>215</v>
      </c>
      <c r="G89" s="45" t="s">
        <v>110</v>
      </c>
      <c r="H89" s="45" t="s">
        <v>183</v>
      </c>
      <c r="I89" s="45" t="s">
        <v>195</v>
      </c>
      <c r="J89" s="45" t="s">
        <v>104</v>
      </c>
      <c r="K89" s="45" t="s">
        <v>186</v>
      </c>
      <c r="L89" s="45" t="s">
        <v>170</v>
      </c>
      <c r="M89" s="45" t="s">
        <v>192</v>
      </c>
      <c r="N89" s="45"/>
      <c r="O89" s="45"/>
    </row>
    <row r="90" spans="1:15" x14ac:dyDescent="0.2">
      <c r="A90" s="741"/>
      <c r="B90" s="45" t="s">
        <v>193</v>
      </c>
      <c r="C90" s="676">
        <v>136073680000</v>
      </c>
      <c r="D90" s="676">
        <v>22460430000</v>
      </c>
      <c r="E90" s="676">
        <v>20195210000</v>
      </c>
      <c r="F90" s="676">
        <v>8703460000</v>
      </c>
      <c r="G90" s="676">
        <v>5938000000</v>
      </c>
      <c r="H90" s="676">
        <v>4500200000</v>
      </c>
      <c r="I90" s="676">
        <v>3403070000</v>
      </c>
      <c r="J90" s="676">
        <v>3322160000</v>
      </c>
      <c r="K90" s="676">
        <v>2769780000</v>
      </c>
      <c r="L90" s="676">
        <v>517690160</v>
      </c>
      <c r="M90" s="676">
        <v>304800000</v>
      </c>
      <c r="N90" s="45"/>
      <c r="O90" s="45"/>
    </row>
    <row r="91" spans="1:15" x14ac:dyDescent="0.2">
      <c r="A91" s="741" t="s">
        <v>276</v>
      </c>
      <c r="B91" s="45" t="s">
        <v>174</v>
      </c>
      <c r="C91" s="742" t="s">
        <v>30</v>
      </c>
      <c r="D91" s="742" t="s">
        <v>7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</row>
    <row r="92" spans="1:15" x14ac:dyDescent="0.2">
      <c r="A92" s="741"/>
      <c r="B92" s="45" t="s">
        <v>173</v>
      </c>
      <c r="C92" s="742" t="s">
        <v>30</v>
      </c>
      <c r="D92" s="742" t="s">
        <v>7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</row>
    <row r="93" spans="1:15" x14ac:dyDescent="0.2">
      <c r="A93" s="741"/>
      <c r="B93" s="45" t="s">
        <v>172</v>
      </c>
      <c r="C93" s="742" t="s">
        <v>30</v>
      </c>
      <c r="D93" s="742" t="s">
        <v>7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</row>
    <row r="94" spans="1:15" x14ac:dyDescent="0.2">
      <c r="A94" s="741"/>
      <c r="B94" s="45" t="s">
        <v>169</v>
      </c>
      <c r="C94" s="742" t="s">
        <v>30</v>
      </c>
      <c r="D94" s="742" t="s">
        <v>7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</row>
    <row r="95" spans="1:15" x14ac:dyDescent="0.2">
      <c r="A95" s="741"/>
      <c r="B95" s="45" t="s">
        <v>193</v>
      </c>
      <c r="C95" s="676">
        <v>39872210000</v>
      </c>
      <c r="D95" s="676">
        <v>23759837130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</row>
    <row r="96" spans="1:15" x14ac:dyDescent="0.2">
      <c r="A96" s="741" t="s">
        <v>275</v>
      </c>
      <c r="B96" s="45" t="s">
        <v>174</v>
      </c>
      <c r="C96" s="742" t="s">
        <v>300</v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</row>
    <row r="97" spans="1:15" x14ac:dyDescent="0.2">
      <c r="A97" s="741"/>
      <c r="B97" s="45" t="s">
        <v>173</v>
      </c>
      <c r="C97" s="742" t="s">
        <v>300</v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</row>
    <row r="98" spans="1:15" x14ac:dyDescent="0.2">
      <c r="A98" s="741"/>
      <c r="B98" s="45" t="s">
        <v>172</v>
      </c>
      <c r="C98" s="742" t="s">
        <v>300</v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</row>
    <row r="99" spans="1:15" x14ac:dyDescent="0.2">
      <c r="A99" s="741"/>
      <c r="B99" s="45" t="s">
        <v>169</v>
      </c>
      <c r="C99" s="742" t="s">
        <v>300</v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</row>
    <row r="100" spans="1:15" x14ac:dyDescent="0.2">
      <c r="A100" s="741"/>
      <c r="B100" s="45" t="s">
        <v>193</v>
      </c>
      <c r="C100" s="676">
        <v>1278030000</v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</row>
    <row r="101" spans="1:15" x14ac:dyDescent="0.2">
      <c r="A101" s="741" t="s">
        <v>274</v>
      </c>
      <c r="B101" s="45" t="s">
        <v>174</v>
      </c>
      <c r="C101" s="742" t="s">
        <v>101</v>
      </c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</row>
    <row r="102" spans="1:15" x14ac:dyDescent="0.2">
      <c r="A102" s="741"/>
      <c r="B102" s="45" t="s">
        <v>173</v>
      </c>
      <c r="C102" s="742" t="s">
        <v>101</v>
      </c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</row>
    <row r="103" spans="1:15" x14ac:dyDescent="0.2">
      <c r="A103" s="741"/>
      <c r="B103" s="45" t="s">
        <v>172</v>
      </c>
      <c r="C103" s="742" t="s">
        <v>101</v>
      </c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</row>
    <row r="104" spans="1:15" x14ac:dyDescent="0.2">
      <c r="A104" s="741"/>
      <c r="B104" s="45" t="s">
        <v>169</v>
      </c>
      <c r="C104" s="742" t="s">
        <v>101</v>
      </c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</row>
    <row r="105" spans="1:15" x14ac:dyDescent="0.2">
      <c r="A105" s="741"/>
      <c r="B105" s="45" t="s">
        <v>193</v>
      </c>
      <c r="C105" s="676">
        <v>26818920000</v>
      </c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</row>
    <row r="106" spans="1:15" x14ac:dyDescent="0.2">
      <c r="A106" s="741" t="s">
        <v>273</v>
      </c>
      <c r="B106" s="45" t="s">
        <v>174</v>
      </c>
      <c r="C106" s="742" t="s">
        <v>338</v>
      </c>
      <c r="D106" s="742" t="s">
        <v>200</v>
      </c>
      <c r="E106" s="742" t="s">
        <v>339</v>
      </c>
      <c r="F106" s="742" t="s">
        <v>293</v>
      </c>
      <c r="G106" s="45"/>
      <c r="H106" s="45"/>
      <c r="I106" s="45"/>
      <c r="J106" s="45"/>
      <c r="K106" s="45"/>
      <c r="L106" s="45"/>
      <c r="M106" s="45"/>
      <c r="N106" s="45"/>
      <c r="O106" s="45"/>
    </row>
    <row r="107" spans="1:15" x14ac:dyDescent="0.2">
      <c r="A107" s="741"/>
      <c r="B107" s="45" t="s">
        <v>173</v>
      </c>
      <c r="C107" s="742" t="s">
        <v>338</v>
      </c>
      <c r="D107" s="742" t="s">
        <v>200</v>
      </c>
      <c r="E107" s="742" t="s">
        <v>339</v>
      </c>
      <c r="F107" s="742" t="s">
        <v>293</v>
      </c>
      <c r="G107" s="45"/>
      <c r="H107" s="45"/>
      <c r="I107" s="45"/>
      <c r="J107" s="45"/>
      <c r="K107" s="45"/>
      <c r="L107" s="45"/>
      <c r="M107" s="45"/>
      <c r="N107" s="45"/>
      <c r="O107" s="45"/>
    </row>
    <row r="108" spans="1:15" x14ac:dyDescent="0.2">
      <c r="A108" s="741"/>
      <c r="B108" s="45" t="s">
        <v>172</v>
      </c>
      <c r="C108" s="742" t="s">
        <v>338</v>
      </c>
      <c r="D108" s="742" t="s">
        <v>200</v>
      </c>
      <c r="E108" s="742" t="s">
        <v>339</v>
      </c>
      <c r="F108" s="742" t="s">
        <v>293</v>
      </c>
      <c r="G108" s="45"/>
      <c r="H108" s="45"/>
      <c r="I108" s="45"/>
      <c r="J108" s="45"/>
      <c r="K108" s="45"/>
      <c r="L108" s="45"/>
      <c r="M108" s="45"/>
      <c r="N108" s="45"/>
      <c r="O108" s="45"/>
    </row>
    <row r="109" spans="1:15" x14ac:dyDescent="0.2">
      <c r="A109" s="741"/>
      <c r="B109" s="45" t="s">
        <v>169</v>
      </c>
      <c r="C109" s="742" t="s">
        <v>338</v>
      </c>
      <c r="D109" s="742" t="s">
        <v>200</v>
      </c>
      <c r="E109" s="742" t="s">
        <v>339</v>
      </c>
      <c r="F109" s="742" t="s">
        <v>293</v>
      </c>
      <c r="G109" s="45"/>
      <c r="H109" s="45"/>
      <c r="I109" s="45"/>
      <c r="J109" s="45"/>
      <c r="K109" s="45"/>
      <c r="L109" s="45"/>
      <c r="M109" s="45"/>
      <c r="N109" s="45"/>
      <c r="O109" s="45"/>
    </row>
    <row r="110" spans="1:15" x14ac:dyDescent="0.2">
      <c r="A110" s="741"/>
      <c r="B110" s="45" t="s">
        <v>193</v>
      </c>
      <c r="C110" s="676">
        <v>19966351962</v>
      </c>
      <c r="D110" s="676">
        <v>15305110000</v>
      </c>
      <c r="E110" s="676">
        <v>9714050000</v>
      </c>
      <c r="F110" s="676">
        <v>4225549695</v>
      </c>
      <c r="G110" s="45"/>
      <c r="H110" s="45"/>
      <c r="I110" s="45"/>
      <c r="J110" s="45"/>
      <c r="K110" s="45"/>
      <c r="L110" s="45"/>
      <c r="M110" s="45"/>
      <c r="N110" s="45"/>
      <c r="O110" s="45"/>
    </row>
    <row r="111" spans="1:15" x14ac:dyDescent="0.2">
      <c r="A111" s="741" t="s">
        <v>271</v>
      </c>
      <c r="B111" s="45" t="s">
        <v>174</v>
      </c>
      <c r="C111" s="742" t="s">
        <v>74</v>
      </c>
      <c r="D111" s="742" t="s">
        <v>280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</row>
    <row r="112" spans="1:15" x14ac:dyDescent="0.2">
      <c r="A112" s="741"/>
      <c r="B112" s="45" t="s">
        <v>173</v>
      </c>
      <c r="C112" s="742" t="s">
        <v>74</v>
      </c>
      <c r="D112" s="742" t="s">
        <v>280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</row>
    <row r="113" spans="1:15" x14ac:dyDescent="0.2">
      <c r="A113" s="741"/>
      <c r="B113" s="45" t="s">
        <v>172</v>
      </c>
      <c r="C113" s="742" t="s">
        <v>74</v>
      </c>
      <c r="D113" s="742" t="s">
        <v>280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</row>
    <row r="114" spans="1:15" x14ac:dyDescent="0.2">
      <c r="A114" s="741"/>
      <c r="B114" s="45" t="s">
        <v>169</v>
      </c>
      <c r="C114" s="742" t="s">
        <v>74</v>
      </c>
      <c r="D114" s="742" t="s">
        <v>280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</row>
    <row r="115" spans="1:15" x14ac:dyDescent="0.2">
      <c r="A115" s="741"/>
      <c r="B115" s="45" t="s">
        <v>193</v>
      </c>
      <c r="C115" s="676">
        <v>288572790000</v>
      </c>
      <c r="D115" s="676">
        <v>32537151941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</row>
    <row r="116" spans="1:15" x14ac:dyDescent="0.2">
      <c r="A116" s="741" t="s">
        <v>270</v>
      </c>
      <c r="B116" s="45" t="s">
        <v>174</v>
      </c>
      <c r="C116" s="45"/>
      <c r="D116" s="742" t="s">
        <v>328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</row>
    <row r="117" spans="1:15" x14ac:dyDescent="0.2">
      <c r="A117" s="741"/>
      <c r="B117" s="45" t="s">
        <v>173</v>
      </c>
      <c r="C117" s="45"/>
      <c r="D117" s="742" t="s">
        <v>328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</row>
    <row r="118" spans="1:15" x14ac:dyDescent="0.2">
      <c r="A118" s="741"/>
      <c r="B118" s="45" t="s">
        <v>172</v>
      </c>
      <c r="C118" s="742" t="s">
        <v>29</v>
      </c>
      <c r="D118" s="742" t="s">
        <v>328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</row>
    <row r="119" spans="1:15" x14ac:dyDescent="0.2">
      <c r="A119" s="741"/>
      <c r="B119" s="45" t="s">
        <v>169</v>
      </c>
      <c r="C119" s="742"/>
      <c r="D119" s="742" t="s">
        <v>328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</row>
    <row r="120" spans="1:15" x14ac:dyDescent="0.2">
      <c r="A120" s="741"/>
      <c r="B120" s="45" t="s">
        <v>193</v>
      </c>
      <c r="C120" s="676">
        <v>31713300000</v>
      </c>
      <c r="D120" s="676">
        <v>8171840000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</row>
    <row r="121" spans="1:15" x14ac:dyDescent="0.2">
      <c r="A121" s="741" t="s">
        <v>269</v>
      </c>
      <c r="B121" s="45" t="s">
        <v>174</v>
      </c>
      <c r="C121" s="742" t="s">
        <v>92</v>
      </c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</row>
    <row r="122" spans="1:15" x14ac:dyDescent="0.2">
      <c r="A122" s="741"/>
      <c r="B122" s="45" t="s">
        <v>173</v>
      </c>
      <c r="C122" s="742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</row>
    <row r="123" spans="1:15" x14ac:dyDescent="0.2">
      <c r="A123" s="741"/>
      <c r="B123" s="45" t="s">
        <v>172</v>
      </c>
      <c r="C123" s="742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</row>
    <row r="124" spans="1:15" x14ac:dyDescent="0.2">
      <c r="A124" s="741"/>
      <c r="B124" s="45" t="s">
        <v>169</v>
      </c>
      <c r="C124" s="742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</row>
    <row r="125" spans="1:15" x14ac:dyDescent="0.2">
      <c r="A125" s="741"/>
      <c r="B125" s="45" t="s">
        <v>193</v>
      </c>
      <c r="C125" s="676">
        <v>42286920000</v>
      </c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</row>
    <row r="126" spans="1:15" x14ac:dyDescent="0.2">
      <c r="A126" s="741" t="s">
        <v>268</v>
      </c>
      <c r="B126" s="45" t="s">
        <v>174</v>
      </c>
      <c r="C126" s="742" t="s">
        <v>61</v>
      </c>
      <c r="D126" s="742" t="s">
        <v>211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</row>
    <row r="127" spans="1:15" x14ac:dyDescent="0.2">
      <c r="A127" s="741"/>
      <c r="B127" s="45" t="s">
        <v>173</v>
      </c>
      <c r="C127" s="742" t="s">
        <v>61</v>
      </c>
      <c r="D127" s="742" t="s">
        <v>211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</row>
    <row r="128" spans="1:15" x14ac:dyDescent="0.2">
      <c r="A128" s="741"/>
      <c r="B128" s="45" t="s">
        <v>172</v>
      </c>
      <c r="C128" s="742" t="s">
        <v>61</v>
      </c>
      <c r="D128" s="742" t="s">
        <v>211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</row>
    <row r="129" spans="1:15" x14ac:dyDescent="0.2">
      <c r="A129" s="741"/>
      <c r="B129" s="45" t="s">
        <v>169</v>
      </c>
      <c r="C129" s="742" t="s">
        <v>61</v>
      </c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</row>
    <row r="130" spans="1:15" x14ac:dyDescent="0.2">
      <c r="A130" s="741"/>
      <c r="B130" s="45" t="s">
        <v>193</v>
      </c>
      <c r="C130" s="676">
        <v>111059600000</v>
      </c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</row>
    <row r="131" spans="1:15" x14ac:dyDescent="0.2">
      <c r="A131" s="741" t="s">
        <v>267</v>
      </c>
      <c r="B131" s="45" t="s">
        <v>174</v>
      </c>
      <c r="C131" s="742" t="s">
        <v>72</v>
      </c>
      <c r="D131" s="742" t="s">
        <v>315</v>
      </c>
      <c r="E131" s="742" t="s">
        <v>316</v>
      </c>
      <c r="F131" s="45"/>
      <c r="G131" s="742" t="s">
        <v>35</v>
      </c>
      <c r="H131" s="45"/>
      <c r="I131" s="45"/>
      <c r="J131" s="45"/>
      <c r="K131" s="45"/>
      <c r="L131" s="45"/>
      <c r="M131" s="45"/>
      <c r="N131" s="45"/>
      <c r="O131" s="45"/>
    </row>
    <row r="132" spans="1:15" x14ac:dyDescent="0.2">
      <c r="A132" s="741"/>
      <c r="B132" s="45" t="s">
        <v>173</v>
      </c>
      <c r="C132" s="742" t="s">
        <v>72</v>
      </c>
      <c r="D132" s="742" t="s">
        <v>315</v>
      </c>
      <c r="E132" s="742" t="s">
        <v>316</v>
      </c>
      <c r="F132" s="45"/>
      <c r="G132" s="742" t="s">
        <v>35</v>
      </c>
      <c r="H132" s="45"/>
      <c r="I132" s="45"/>
      <c r="J132" s="45"/>
      <c r="K132" s="45"/>
      <c r="L132" s="45"/>
      <c r="M132" s="45"/>
      <c r="N132" s="45"/>
      <c r="O132" s="45"/>
    </row>
    <row r="133" spans="1:15" x14ac:dyDescent="0.2">
      <c r="A133" s="741"/>
      <c r="B133" s="45" t="s">
        <v>172</v>
      </c>
      <c r="C133" s="742" t="s">
        <v>72</v>
      </c>
      <c r="D133" s="742" t="s">
        <v>315</v>
      </c>
      <c r="E133" s="742" t="s">
        <v>316</v>
      </c>
      <c r="F133" s="45"/>
      <c r="G133" s="742" t="s">
        <v>35</v>
      </c>
      <c r="H133" s="45"/>
      <c r="I133" s="45"/>
      <c r="J133" s="45"/>
      <c r="K133" s="45"/>
      <c r="L133" s="45"/>
      <c r="M133" s="45"/>
      <c r="N133" s="45"/>
      <c r="O133" s="45"/>
    </row>
    <row r="134" spans="1:15" x14ac:dyDescent="0.2">
      <c r="A134" s="741"/>
      <c r="B134" s="45" t="s">
        <v>169</v>
      </c>
      <c r="C134" s="742" t="s">
        <v>72</v>
      </c>
      <c r="D134" s="742" t="s">
        <v>315</v>
      </c>
      <c r="E134" s="742" t="s">
        <v>316</v>
      </c>
      <c r="F134" s="45" t="s">
        <v>317</v>
      </c>
      <c r="G134" s="742" t="s">
        <v>35</v>
      </c>
      <c r="H134" s="45"/>
      <c r="I134" s="45"/>
      <c r="J134" s="45"/>
      <c r="K134" s="45"/>
      <c r="L134" s="45"/>
      <c r="M134" s="45"/>
      <c r="N134" s="45"/>
      <c r="O134" s="45"/>
    </row>
    <row r="135" spans="1:15" x14ac:dyDescent="0.2">
      <c r="A135" s="741"/>
      <c r="B135" s="45" t="s">
        <v>193</v>
      </c>
      <c r="C135" s="676">
        <v>59582570000</v>
      </c>
      <c r="D135" s="676">
        <v>32754480000</v>
      </c>
      <c r="E135" s="676">
        <v>7218951421</v>
      </c>
      <c r="F135" s="676">
        <v>1646907711</v>
      </c>
      <c r="G135" s="676">
        <v>1575230000</v>
      </c>
      <c r="H135" s="45"/>
      <c r="I135" s="45"/>
      <c r="J135" s="45"/>
      <c r="K135" s="45"/>
      <c r="L135" s="45"/>
      <c r="M135" s="45"/>
      <c r="N135" s="45"/>
      <c r="O135" s="45"/>
    </row>
    <row r="136" spans="1:15" x14ac:dyDescent="0.2">
      <c r="A136" s="741" t="s">
        <v>265</v>
      </c>
      <c r="B136" s="45" t="s">
        <v>174</v>
      </c>
      <c r="C136" s="742" t="s">
        <v>91</v>
      </c>
      <c r="D136" s="742" t="s">
        <v>297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</row>
    <row r="137" spans="1:15" x14ac:dyDescent="0.2">
      <c r="A137" s="741"/>
      <c r="B137" s="45" t="s">
        <v>173</v>
      </c>
      <c r="C137" s="742" t="s">
        <v>91</v>
      </c>
      <c r="D137" s="742" t="s">
        <v>297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</row>
    <row r="138" spans="1:15" x14ac:dyDescent="0.2">
      <c r="A138" s="741"/>
      <c r="B138" s="45" t="s">
        <v>172</v>
      </c>
      <c r="C138" s="742" t="s">
        <v>91</v>
      </c>
      <c r="D138" s="742" t="s">
        <v>297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</row>
    <row r="139" spans="1:15" x14ac:dyDescent="0.2">
      <c r="A139" s="741"/>
      <c r="B139" s="45" t="s">
        <v>169</v>
      </c>
      <c r="C139" s="742" t="s">
        <v>91</v>
      </c>
      <c r="D139" s="742" t="s">
        <v>297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</row>
    <row r="140" spans="1:15" x14ac:dyDescent="0.2">
      <c r="A140" s="741"/>
      <c r="B140" s="45" t="s">
        <v>193</v>
      </c>
      <c r="C140" s="676">
        <v>51969160858</v>
      </c>
      <c r="D140" s="676">
        <v>1947009626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</row>
    <row r="141" spans="1:15" x14ac:dyDescent="0.2">
      <c r="A141" s="741" t="s">
        <v>264</v>
      </c>
      <c r="B141" s="45" t="s">
        <v>174</v>
      </c>
      <c r="C141" s="742" t="s">
        <v>199</v>
      </c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</row>
    <row r="142" spans="1:15" x14ac:dyDescent="0.2">
      <c r="A142" s="741"/>
      <c r="B142" s="45" t="s">
        <v>173</v>
      </c>
      <c r="C142" s="742" t="s">
        <v>199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</row>
    <row r="143" spans="1:15" x14ac:dyDescent="0.2">
      <c r="A143" s="741"/>
      <c r="B143" s="45" t="s">
        <v>172</v>
      </c>
      <c r="C143" s="742" t="s">
        <v>199</v>
      </c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</row>
    <row r="144" spans="1:15" x14ac:dyDescent="0.2">
      <c r="A144" s="741"/>
      <c r="B144" s="45" t="s">
        <v>169</v>
      </c>
      <c r="C144" s="742" t="s">
        <v>199</v>
      </c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</row>
    <row r="145" spans="1:15" x14ac:dyDescent="0.2">
      <c r="A145" s="741"/>
      <c r="B145" s="45" t="s">
        <v>193</v>
      </c>
      <c r="C145" s="676">
        <v>48765430000</v>
      </c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</row>
    <row r="146" spans="1:15" x14ac:dyDescent="0.2">
      <c r="A146" s="741" t="s">
        <v>260</v>
      </c>
      <c r="B146" s="45" t="s">
        <v>174</v>
      </c>
      <c r="C146" s="742" t="s">
        <v>71</v>
      </c>
      <c r="D146" s="742" t="s">
        <v>292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</row>
    <row r="147" spans="1:15" x14ac:dyDescent="0.2">
      <c r="A147" s="741"/>
      <c r="B147" s="45" t="s">
        <v>173</v>
      </c>
      <c r="C147" s="742" t="s">
        <v>71</v>
      </c>
      <c r="D147" s="742" t="s">
        <v>292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</row>
    <row r="148" spans="1:15" x14ac:dyDescent="0.2">
      <c r="A148" s="741"/>
      <c r="B148" s="45" t="s">
        <v>172</v>
      </c>
      <c r="C148" s="742" t="s">
        <v>71</v>
      </c>
      <c r="D148" s="742" t="s">
        <v>292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</row>
    <row r="149" spans="1:15" x14ac:dyDescent="0.2">
      <c r="A149" s="741"/>
      <c r="B149" s="45" t="s">
        <v>169</v>
      </c>
      <c r="C149" s="742" t="s">
        <v>71</v>
      </c>
      <c r="D149" s="742" t="s">
        <v>292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</row>
    <row r="150" spans="1:15" x14ac:dyDescent="0.2">
      <c r="A150" s="741"/>
      <c r="B150" s="45" t="s">
        <v>193</v>
      </c>
      <c r="C150" s="676">
        <v>16174500000</v>
      </c>
      <c r="D150" s="676">
        <v>22450000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</row>
    <row r="151" spans="1:15" x14ac:dyDescent="0.2">
      <c r="A151" s="741" t="s">
        <v>259</v>
      </c>
      <c r="B151" s="45" t="s">
        <v>174</v>
      </c>
      <c r="C151" s="45"/>
      <c r="D151" s="742" t="s">
        <v>189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</row>
    <row r="152" spans="1:15" x14ac:dyDescent="0.2">
      <c r="A152" s="741"/>
      <c r="B152" s="45" t="s">
        <v>173</v>
      </c>
      <c r="C152" s="45"/>
      <c r="D152" s="742" t="s">
        <v>189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</row>
    <row r="153" spans="1:15" x14ac:dyDescent="0.2">
      <c r="A153" s="741"/>
      <c r="B153" s="45" t="s">
        <v>172</v>
      </c>
      <c r="C153" s="45"/>
      <c r="D153" s="742" t="s">
        <v>189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</row>
    <row r="154" spans="1:15" x14ac:dyDescent="0.2">
      <c r="A154" s="741"/>
      <c r="B154" s="45" t="s">
        <v>169</v>
      </c>
      <c r="C154" s="45" t="s">
        <v>21</v>
      </c>
      <c r="D154" s="742" t="s">
        <v>189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</row>
    <row r="155" spans="1:15" x14ac:dyDescent="0.2">
      <c r="A155" s="741"/>
      <c r="B155" s="45" t="s">
        <v>193</v>
      </c>
      <c r="C155" s="676">
        <v>74508187214</v>
      </c>
      <c r="D155" s="676">
        <v>1415680000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</row>
    <row r="156" spans="1:15" x14ac:dyDescent="0.2">
      <c r="A156" s="741" t="s">
        <v>258</v>
      </c>
      <c r="B156" s="45" t="s">
        <v>174</v>
      </c>
      <c r="C156" s="742" t="s">
        <v>44</v>
      </c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</row>
    <row r="157" spans="1:15" x14ac:dyDescent="0.2">
      <c r="A157" s="741"/>
      <c r="B157" s="45" t="s">
        <v>173</v>
      </c>
      <c r="C157" s="742" t="s">
        <v>44</v>
      </c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</row>
    <row r="158" spans="1:15" x14ac:dyDescent="0.2">
      <c r="A158" s="741"/>
      <c r="B158" s="45" t="s">
        <v>172</v>
      </c>
      <c r="C158" s="742" t="s">
        <v>44</v>
      </c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</row>
    <row r="159" spans="1:15" x14ac:dyDescent="0.2">
      <c r="A159" s="741"/>
      <c r="B159" s="45" t="s">
        <v>169</v>
      </c>
      <c r="C159" s="742" t="s">
        <v>44</v>
      </c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</row>
    <row r="160" spans="1:15" x14ac:dyDescent="0.2">
      <c r="A160" s="741"/>
      <c r="B160" s="45" t="s">
        <v>193</v>
      </c>
      <c r="C160" s="676">
        <v>11069670000</v>
      </c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</row>
    <row r="161" spans="1:15" x14ac:dyDescent="0.2">
      <c r="A161" s="741" t="s">
        <v>256</v>
      </c>
      <c r="B161" s="45" t="s">
        <v>174</v>
      </c>
      <c r="C161" s="742" t="s">
        <v>18</v>
      </c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</row>
    <row r="162" spans="1:15" x14ac:dyDescent="0.2">
      <c r="A162" s="741"/>
      <c r="B162" s="45" t="s">
        <v>173</v>
      </c>
      <c r="C162" s="742" t="s">
        <v>18</v>
      </c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</row>
    <row r="163" spans="1:15" x14ac:dyDescent="0.2">
      <c r="A163" s="741"/>
      <c r="B163" s="45" t="s">
        <v>172</v>
      </c>
      <c r="C163" s="742" t="s">
        <v>18</v>
      </c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</row>
    <row r="164" spans="1:15" x14ac:dyDescent="0.2">
      <c r="A164" s="741"/>
      <c r="B164" s="45" t="s">
        <v>169</v>
      </c>
      <c r="C164" s="742" t="s">
        <v>18</v>
      </c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</row>
    <row r="165" spans="1:15" x14ac:dyDescent="0.2">
      <c r="A165" s="741"/>
      <c r="B165" s="45" t="s">
        <v>193</v>
      </c>
      <c r="C165" s="676">
        <v>545488620000</v>
      </c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</row>
    <row r="166" spans="1:15" x14ac:dyDescent="0.2">
      <c r="A166" s="741" t="s">
        <v>255</v>
      </c>
      <c r="B166" s="45" t="s">
        <v>174</v>
      </c>
      <c r="C166" s="742" t="s">
        <v>175</v>
      </c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</row>
    <row r="167" spans="1:15" x14ac:dyDescent="0.2">
      <c r="A167" s="741"/>
      <c r="B167" s="45" t="s">
        <v>173</v>
      </c>
      <c r="C167" s="742" t="s">
        <v>175</v>
      </c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</row>
    <row r="168" spans="1:15" x14ac:dyDescent="0.2">
      <c r="A168" s="741"/>
      <c r="B168" s="45" t="s">
        <v>172</v>
      </c>
      <c r="C168" s="742" t="s">
        <v>175</v>
      </c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</row>
    <row r="169" spans="1:15" x14ac:dyDescent="0.2">
      <c r="A169" s="741"/>
      <c r="B169" s="45" t="s">
        <v>169</v>
      </c>
      <c r="C169" s="742" t="s">
        <v>175</v>
      </c>
      <c r="D169" s="45" t="s">
        <v>27</v>
      </c>
      <c r="E169" s="45" t="s">
        <v>211</v>
      </c>
      <c r="F169" s="45"/>
      <c r="G169" s="45"/>
      <c r="H169" s="45"/>
      <c r="I169" s="45"/>
      <c r="J169" s="45"/>
      <c r="K169" s="45"/>
      <c r="L169" s="45"/>
      <c r="M169" s="45"/>
      <c r="N169" s="45"/>
      <c r="O169" s="45"/>
    </row>
    <row r="170" spans="1:15" x14ac:dyDescent="0.2">
      <c r="A170" s="741"/>
      <c r="B170" s="45" t="s">
        <v>193</v>
      </c>
      <c r="C170" s="676">
        <v>54782470000</v>
      </c>
      <c r="D170" s="676">
        <v>24799900000</v>
      </c>
      <c r="E170" s="676">
        <v>1667980000</v>
      </c>
      <c r="F170" s="45"/>
      <c r="G170" s="45"/>
      <c r="H170" s="45"/>
      <c r="I170" s="45"/>
      <c r="J170" s="45"/>
      <c r="K170" s="45"/>
      <c r="L170" s="45"/>
      <c r="M170" s="45"/>
      <c r="N170" s="45"/>
      <c r="O170" s="45"/>
    </row>
    <row r="171" spans="1:15" x14ac:dyDescent="0.2"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</row>
    <row r="172" spans="1:15" x14ac:dyDescent="0.2"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</row>
    <row r="173" spans="1:15" x14ac:dyDescent="0.2"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</row>
    <row r="174" spans="1:15" x14ac:dyDescent="0.2"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</row>
    <row r="175" spans="1:15" x14ac:dyDescent="0.2"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</row>
    <row r="176" spans="1:15" x14ac:dyDescent="0.2"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</row>
    <row r="183" spans="1:1" x14ac:dyDescent="0.2">
      <c r="A183" t="s">
        <v>177</v>
      </c>
    </row>
  </sheetData>
  <mergeCells count="144">
    <mergeCell ref="G8:G10"/>
    <mergeCell ref="F8:F10"/>
    <mergeCell ref="D8:D10"/>
    <mergeCell ref="E9:E10"/>
    <mergeCell ref="A101:A105"/>
    <mergeCell ref="A44:A47"/>
    <mergeCell ref="A32:A35"/>
    <mergeCell ref="A96:A100"/>
    <mergeCell ref="A4:A7"/>
    <mergeCell ref="G78:G80"/>
    <mergeCell ref="A36:A39"/>
    <mergeCell ref="A28:A31"/>
    <mergeCell ref="A12:A15"/>
    <mergeCell ref="D12:D14"/>
    <mergeCell ref="C12:C14"/>
    <mergeCell ref="A24:A27"/>
    <mergeCell ref="A70:A73"/>
    <mergeCell ref="A74:A77"/>
    <mergeCell ref="A91:A95"/>
    <mergeCell ref="G36:G38"/>
    <mergeCell ref="H4:H6"/>
    <mergeCell ref="F4:F6"/>
    <mergeCell ref="G4:G6"/>
    <mergeCell ref="A78:A81"/>
    <mergeCell ref="A82:A85"/>
    <mergeCell ref="A86:A90"/>
    <mergeCell ref="A59:A62"/>
    <mergeCell ref="A40:A43"/>
    <mergeCell ref="A16:A19"/>
    <mergeCell ref="D16:D18"/>
    <mergeCell ref="A63:A65"/>
    <mergeCell ref="A66:A69"/>
    <mergeCell ref="A48:A50"/>
    <mergeCell ref="A51:A54"/>
    <mergeCell ref="A55:A58"/>
    <mergeCell ref="A20:A23"/>
    <mergeCell ref="H51:H53"/>
    <mergeCell ref="H74:H76"/>
    <mergeCell ref="A8:A11"/>
    <mergeCell ref="E40:E42"/>
    <mergeCell ref="F40:F42"/>
    <mergeCell ref="H40:H42"/>
    <mergeCell ref="G51:G53"/>
    <mergeCell ref="E79:E80"/>
    <mergeCell ref="L28:L30"/>
    <mergeCell ref="H32:H34"/>
    <mergeCell ref="F32:F34"/>
    <mergeCell ref="D32:D34"/>
    <mergeCell ref="H29:H30"/>
    <mergeCell ref="L36:L38"/>
    <mergeCell ref="D36:D38"/>
    <mergeCell ref="E33:E34"/>
    <mergeCell ref="A166:A170"/>
    <mergeCell ref="A161:A165"/>
    <mergeCell ref="A156:A160"/>
    <mergeCell ref="A151:A155"/>
    <mergeCell ref="A106:A110"/>
    <mergeCell ref="A131:A135"/>
    <mergeCell ref="A126:A130"/>
    <mergeCell ref="A121:A125"/>
    <mergeCell ref="A116:A120"/>
    <mergeCell ref="A111:A115"/>
    <mergeCell ref="A146:A150"/>
    <mergeCell ref="A141:A145"/>
    <mergeCell ref="A136:A140"/>
    <mergeCell ref="K40:K42"/>
    <mergeCell ref="J41:J42"/>
    <mergeCell ref="K32:K34"/>
    <mergeCell ref="J36:J38"/>
    <mergeCell ref="I20:I22"/>
    <mergeCell ref="G24:G26"/>
    <mergeCell ref="C24:C26"/>
    <mergeCell ref="I24:I26"/>
    <mergeCell ref="G28:G30"/>
    <mergeCell ref="D28:D30"/>
    <mergeCell ref="C28:C30"/>
    <mergeCell ref="C21:C22"/>
    <mergeCell ref="F20:F22"/>
    <mergeCell ref="H20:H22"/>
    <mergeCell ref="E20:E22"/>
    <mergeCell ref="D20:D22"/>
    <mergeCell ref="C36:C38"/>
    <mergeCell ref="C32:C34"/>
    <mergeCell ref="K28:K30"/>
    <mergeCell ref="K74:K76"/>
    <mergeCell ref="L74:L76"/>
    <mergeCell ref="C71:C72"/>
    <mergeCell ref="I66:I68"/>
    <mergeCell ref="K66:K68"/>
    <mergeCell ref="M66:M68"/>
    <mergeCell ref="G70:G72"/>
    <mergeCell ref="K70:K72"/>
    <mergeCell ref="E55:E57"/>
    <mergeCell ref="F55:F57"/>
    <mergeCell ref="D59:D61"/>
    <mergeCell ref="C63:C64"/>
    <mergeCell ref="I51:I53"/>
    <mergeCell ref="D51:D53"/>
    <mergeCell ref="H45:H46"/>
    <mergeCell ref="H48:H49"/>
    <mergeCell ref="H56:H57"/>
    <mergeCell ref="E60:E61"/>
    <mergeCell ref="E63:E64"/>
    <mergeCell ref="F48:F49"/>
    <mergeCell ref="E45:E46"/>
    <mergeCell ref="F44:F46"/>
    <mergeCell ref="H36:H38"/>
    <mergeCell ref="H78:H80"/>
    <mergeCell ref="G66:G68"/>
    <mergeCell ref="C66:C68"/>
    <mergeCell ref="I74:I76"/>
    <mergeCell ref="D151:D154"/>
    <mergeCell ref="C156:C159"/>
    <mergeCell ref="C161:C164"/>
    <mergeCell ref="G131:G134"/>
    <mergeCell ref="F106:F109"/>
    <mergeCell ref="E131:E134"/>
    <mergeCell ref="E83:E84"/>
    <mergeCell ref="D83:D84"/>
    <mergeCell ref="C82:C84"/>
    <mergeCell ref="D106:D109"/>
    <mergeCell ref="C106:C109"/>
    <mergeCell ref="E106:E109"/>
    <mergeCell ref="D91:D94"/>
    <mergeCell ref="C91:C94"/>
    <mergeCell ref="C86:C89"/>
    <mergeCell ref="C96:C99"/>
    <mergeCell ref="C101:C104"/>
    <mergeCell ref="A2:A3"/>
    <mergeCell ref="C166:C169"/>
    <mergeCell ref="C111:C114"/>
    <mergeCell ref="D111:D114"/>
    <mergeCell ref="D116:D119"/>
    <mergeCell ref="C121:C124"/>
    <mergeCell ref="C126:C129"/>
    <mergeCell ref="C146:C149"/>
    <mergeCell ref="D146:D149"/>
    <mergeCell ref="C131:C134"/>
    <mergeCell ref="D131:D134"/>
    <mergeCell ref="D136:D139"/>
    <mergeCell ref="C136:C139"/>
    <mergeCell ref="C141:C144"/>
    <mergeCell ref="D126:D128"/>
    <mergeCell ref="C118:C1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sheetPr codeName="Sheet3">
    <tabColor rgb="FFFF7E79"/>
  </sheetPr>
  <dimension ref="A1:T191"/>
  <sheetViews>
    <sheetView topLeftCell="A141" workbookViewId="0">
      <selection activeCell="D181" sqref="D181"/>
    </sheetView>
  </sheetViews>
  <sheetFormatPr baseColWidth="10" defaultRowHeight="16" x14ac:dyDescent="0.2"/>
  <cols>
    <col min="3" max="3" width="20.83203125" customWidth="1"/>
    <col min="4" max="4" width="20" customWidth="1"/>
    <col min="5" max="5" width="21.332031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</cols>
  <sheetData>
    <row r="1" spans="1:17" x14ac:dyDescent="0.2">
      <c r="A1" s="28" t="s">
        <v>117</v>
      </c>
      <c r="B1" s="27" t="s">
        <v>176</v>
      </c>
    </row>
    <row r="2" spans="1:17" x14ac:dyDescent="0.2">
      <c r="A2" s="741" t="s">
        <v>440</v>
      </c>
      <c r="B2" s="45" t="s">
        <v>172</v>
      </c>
      <c r="C2" s="45"/>
      <c r="D2" s="742" t="s">
        <v>10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</row>
    <row r="3" spans="1:17" x14ac:dyDescent="0.2">
      <c r="A3" s="741"/>
      <c r="B3" s="45" t="s">
        <v>169</v>
      </c>
      <c r="C3" s="45" t="s">
        <v>83</v>
      </c>
      <c r="D3" s="742" t="s">
        <v>10</v>
      </c>
      <c r="E3" s="45" t="s">
        <v>11</v>
      </c>
      <c r="F3" s="45" t="s">
        <v>91</v>
      </c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x14ac:dyDescent="0.2">
      <c r="A4" s="741"/>
      <c r="B4" s="45" t="s">
        <v>193</v>
      </c>
      <c r="C4" s="676">
        <v>-178660470000</v>
      </c>
      <c r="D4" s="676">
        <v>-48083434017</v>
      </c>
      <c r="E4" s="676">
        <v>-26386010000</v>
      </c>
      <c r="F4" s="676">
        <v>-10642840000</v>
      </c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x14ac:dyDescent="0.2">
      <c r="A5" s="741" t="s">
        <v>432</v>
      </c>
      <c r="B5" s="45" t="s">
        <v>173</v>
      </c>
      <c r="C5" s="742" t="s">
        <v>328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x14ac:dyDescent="0.2">
      <c r="A6" s="741" t="s">
        <v>432</v>
      </c>
      <c r="B6" s="45" t="s">
        <v>172</v>
      </c>
      <c r="C6" s="742" t="s">
        <v>328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x14ac:dyDescent="0.2">
      <c r="A7" s="741" t="s">
        <v>432</v>
      </c>
      <c r="B7" s="45" t="s">
        <v>169</v>
      </c>
      <c r="C7" s="742" t="s">
        <v>328</v>
      </c>
      <c r="D7" s="45" t="s">
        <v>63</v>
      </c>
      <c r="E7" s="45" t="s">
        <v>325</v>
      </c>
      <c r="F7" s="45" t="s">
        <v>298</v>
      </c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x14ac:dyDescent="0.2">
      <c r="A8" s="741" t="s">
        <v>432</v>
      </c>
      <c r="B8" s="45" t="s">
        <v>193</v>
      </c>
      <c r="C8" s="676">
        <v>-12345740000</v>
      </c>
      <c r="D8" s="676">
        <v>-4710100000</v>
      </c>
      <c r="E8" s="676">
        <v>-2964620000</v>
      </c>
      <c r="F8" s="676">
        <v>-776710000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x14ac:dyDescent="0.2">
      <c r="A9" s="741" t="s">
        <v>431</v>
      </c>
      <c r="B9" s="45" t="s">
        <v>173</v>
      </c>
      <c r="C9" s="742" t="s">
        <v>42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x14ac:dyDescent="0.2">
      <c r="A10" s="741" t="s">
        <v>431</v>
      </c>
      <c r="B10" s="45" t="s">
        <v>172</v>
      </c>
      <c r="C10" s="742" t="s">
        <v>42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x14ac:dyDescent="0.2">
      <c r="A11" s="741" t="s">
        <v>431</v>
      </c>
      <c r="B11" s="45" t="s">
        <v>169</v>
      </c>
      <c r="C11" s="742" t="s">
        <v>42</v>
      </c>
      <c r="D11" s="45" t="s">
        <v>40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x14ac:dyDescent="0.2">
      <c r="A12" s="741" t="s">
        <v>431</v>
      </c>
      <c r="B12" s="45" t="s">
        <v>193</v>
      </c>
      <c r="C12" s="676">
        <v>-52320350000</v>
      </c>
      <c r="D12" s="676">
        <v>-26190010000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x14ac:dyDescent="0.2">
      <c r="A13" s="741" t="s">
        <v>430</v>
      </c>
      <c r="B13" s="45" t="s">
        <v>173</v>
      </c>
      <c r="C13" s="45"/>
      <c r="D13" s="45"/>
      <c r="E13" s="742" t="s">
        <v>304</v>
      </c>
      <c r="F13" s="742" t="s">
        <v>402</v>
      </c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x14ac:dyDescent="0.2">
      <c r="A14" s="741"/>
      <c r="B14" s="45" t="s">
        <v>172</v>
      </c>
      <c r="C14" s="45"/>
      <c r="D14" s="742" t="s">
        <v>82</v>
      </c>
      <c r="E14" s="742" t="s">
        <v>304</v>
      </c>
      <c r="F14" s="742" t="s">
        <v>402</v>
      </c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x14ac:dyDescent="0.2">
      <c r="A15" s="741"/>
      <c r="B15" s="45" t="s">
        <v>169</v>
      </c>
      <c r="C15" s="45" t="s">
        <v>33</v>
      </c>
      <c r="D15" s="742" t="s">
        <v>82</v>
      </c>
      <c r="E15" s="742" t="s">
        <v>304</v>
      </c>
      <c r="F15" s="742" t="s">
        <v>402</v>
      </c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x14ac:dyDescent="0.2">
      <c r="A16" s="741"/>
      <c r="B16" s="45" t="s">
        <v>193</v>
      </c>
      <c r="C16" s="676">
        <v>-38800490000</v>
      </c>
      <c r="D16" s="676">
        <v>-10631290000</v>
      </c>
      <c r="E16" s="676">
        <v>-3311350000</v>
      </c>
      <c r="F16" s="676">
        <v>-1306780000</v>
      </c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x14ac:dyDescent="0.2">
      <c r="A17" s="741" t="s">
        <v>423</v>
      </c>
      <c r="B17" s="45" t="s">
        <v>173</v>
      </c>
      <c r="C17" s="742" t="s">
        <v>61</v>
      </c>
      <c r="D17" s="742" t="s">
        <v>290</v>
      </c>
      <c r="E17" s="45"/>
      <c r="F17" s="742" t="s">
        <v>80</v>
      </c>
      <c r="G17" s="45"/>
      <c r="H17" s="742" t="s">
        <v>406</v>
      </c>
      <c r="I17" s="45"/>
      <c r="J17" s="45"/>
      <c r="K17" s="45"/>
      <c r="L17" s="742" t="s">
        <v>347</v>
      </c>
      <c r="M17" s="45"/>
      <c r="N17" s="45"/>
      <c r="O17" s="45"/>
      <c r="P17" s="45"/>
      <c r="Q17" s="45"/>
    </row>
    <row r="18" spans="1:17" x14ac:dyDescent="0.2">
      <c r="A18" s="741"/>
      <c r="B18" s="45" t="s">
        <v>172</v>
      </c>
      <c r="C18" s="742"/>
      <c r="D18" s="742" t="s">
        <v>290</v>
      </c>
      <c r="E18" s="45"/>
      <c r="F18" s="742" t="s">
        <v>80</v>
      </c>
      <c r="G18" s="45"/>
      <c r="H18" s="742" t="s">
        <v>406</v>
      </c>
      <c r="I18" s="45"/>
      <c r="J18" s="45"/>
      <c r="K18" s="45"/>
      <c r="L18" s="742" t="s">
        <v>347</v>
      </c>
      <c r="M18" s="45"/>
      <c r="N18" s="45"/>
      <c r="O18" s="45"/>
      <c r="P18" s="45"/>
      <c r="Q18" s="45"/>
    </row>
    <row r="19" spans="1:17" x14ac:dyDescent="0.2">
      <c r="A19" s="741"/>
      <c r="B19" s="45" t="s">
        <v>169</v>
      </c>
      <c r="C19" s="742"/>
      <c r="D19" s="742" t="s">
        <v>290</v>
      </c>
      <c r="E19" s="45" t="s">
        <v>72</v>
      </c>
      <c r="F19" s="742" t="s">
        <v>80</v>
      </c>
      <c r="G19" s="45" t="s">
        <v>315</v>
      </c>
      <c r="H19" s="742" t="s">
        <v>406</v>
      </c>
      <c r="I19" s="45" t="s">
        <v>334</v>
      </c>
      <c r="J19" s="45" t="s">
        <v>317</v>
      </c>
      <c r="K19" s="45" t="s">
        <v>79</v>
      </c>
      <c r="L19" s="742" t="s">
        <v>347</v>
      </c>
      <c r="M19" s="45" t="s">
        <v>424</v>
      </c>
      <c r="N19" s="45"/>
      <c r="O19" s="45"/>
      <c r="P19" s="45"/>
      <c r="Q19" s="45"/>
    </row>
    <row r="20" spans="1:17" x14ac:dyDescent="0.2">
      <c r="A20" s="741"/>
      <c r="B20" s="45" t="s">
        <v>193</v>
      </c>
      <c r="C20" s="676">
        <v>-64225380000</v>
      </c>
      <c r="D20" s="676">
        <v>-40481130000</v>
      </c>
      <c r="E20" s="676">
        <v>-29440700000</v>
      </c>
      <c r="F20" s="676">
        <v>-13487950000</v>
      </c>
      <c r="G20" s="676">
        <v>-13365150000</v>
      </c>
      <c r="H20" s="676">
        <v>-10020120000</v>
      </c>
      <c r="I20" s="676">
        <v>-5230115448</v>
      </c>
      <c r="J20" s="676">
        <v>-5010636298</v>
      </c>
      <c r="K20" s="676">
        <v>-4857330000</v>
      </c>
      <c r="L20" s="676">
        <v>-1727530000</v>
      </c>
      <c r="M20" s="676">
        <v>-1429930000</v>
      </c>
      <c r="N20" s="45"/>
      <c r="O20" s="45"/>
      <c r="P20" s="45"/>
      <c r="Q20" s="45"/>
    </row>
    <row r="21" spans="1:17" x14ac:dyDescent="0.2">
      <c r="A21" s="741" t="s">
        <v>421</v>
      </c>
      <c r="B21" s="45" t="s">
        <v>173</v>
      </c>
      <c r="C21" s="45"/>
      <c r="D21" s="45"/>
      <c r="E21" s="45"/>
      <c r="F21" s="45"/>
      <c r="G21" s="742" t="s">
        <v>171</v>
      </c>
      <c r="H21" s="45"/>
      <c r="I21" s="45"/>
      <c r="J21" s="45"/>
      <c r="K21" s="45"/>
      <c r="L21" s="742" t="s">
        <v>352</v>
      </c>
      <c r="M21" s="45"/>
      <c r="N21" s="45"/>
      <c r="O21" s="45"/>
      <c r="P21" s="45"/>
      <c r="Q21" s="45"/>
    </row>
    <row r="22" spans="1:17" x14ac:dyDescent="0.2">
      <c r="A22" s="741"/>
      <c r="B22" s="45" t="s">
        <v>172</v>
      </c>
      <c r="C22" s="45"/>
      <c r="D22" s="45"/>
      <c r="E22" s="45"/>
      <c r="F22" s="45"/>
      <c r="G22" s="742" t="s">
        <v>171</v>
      </c>
      <c r="H22" s="742" t="s">
        <v>88</v>
      </c>
      <c r="I22" s="45"/>
      <c r="J22" s="45"/>
      <c r="K22" s="45"/>
      <c r="L22" s="742" t="s">
        <v>352</v>
      </c>
      <c r="M22" s="45"/>
      <c r="N22" s="45"/>
      <c r="O22" s="45"/>
      <c r="P22" s="742" t="s">
        <v>422</v>
      </c>
      <c r="Q22" s="45"/>
    </row>
    <row r="23" spans="1:17" x14ac:dyDescent="0.2">
      <c r="A23" s="741"/>
      <c r="B23" s="45" t="s">
        <v>169</v>
      </c>
      <c r="C23" s="45" t="s">
        <v>69</v>
      </c>
      <c r="D23" s="45" t="s">
        <v>204</v>
      </c>
      <c r="E23" s="45" t="s">
        <v>60</v>
      </c>
      <c r="F23" s="45" t="s">
        <v>279</v>
      </c>
      <c r="G23" s="742" t="s">
        <v>171</v>
      </c>
      <c r="H23" s="742"/>
      <c r="I23" s="45" t="s">
        <v>178</v>
      </c>
      <c r="J23" s="45" t="s">
        <v>206</v>
      </c>
      <c r="K23" s="45" t="s">
        <v>386</v>
      </c>
      <c r="L23" s="742" t="s">
        <v>352</v>
      </c>
      <c r="M23" s="45" t="s">
        <v>321</v>
      </c>
      <c r="N23" s="45" t="s">
        <v>292</v>
      </c>
      <c r="O23" s="45" t="s">
        <v>296</v>
      </c>
      <c r="P23" s="742" t="s">
        <v>422</v>
      </c>
      <c r="Q23" s="45"/>
    </row>
    <row r="24" spans="1:17" x14ac:dyDescent="0.2">
      <c r="A24" s="741"/>
      <c r="B24" s="45" t="s">
        <v>193</v>
      </c>
      <c r="C24" s="676">
        <v>-28268760000</v>
      </c>
      <c r="D24" s="676">
        <v>-21169310000</v>
      </c>
      <c r="E24" s="676">
        <v>-16612682511</v>
      </c>
      <c r="F24" s="676">
        <v>-15592910000</v>
      </c>
      <c r="G24" s="676">
        <v>-13422270000</v>
      </c>
      <c r="H24" s="676">
        <v>-11689145277</v>
      </c>
      <c r="I24" s="676">
        <v>-9187790000</v>
      </c>
      <c r="J24" s="676">
        <v>-8986330000</v>
      </c>
      <c r="K24" s="676">
        <v>-1288909738</v>
      </c>
      <c r="L24" s="676">
        <v>-937143529</v>
      </c>
      <c r="M24" s="676">
        <v>-704420000</v>
      </c>
      <c r="N24" s="676">
        <v>-135740000</v>
      </c>
      <c r="O24" s="676">
        <v>-69527657</v>
      </c>
      <c r="P24" s="676">
        <v>-61870000</v>
      </c>
      <c r="Q24" s="45"/>
    </row>
    <row r="25" spans="1:17" x14ac:dyDescent="0.2">
      <c r="A25" s="741" t="s">
        <v>417</v>
      </c>
      <c r="B25" s="45" t="s">
        <v>173</v>
      </c>
      <c r="C25" s="742" t="s">
        <v>284</v>
      </c>
      <c r="D25" s="45"/>
      <c r="E25" s="45"/>
      <c r="F25" s="45"/>
      <c r="G25" s="45"/>
      <c r="H25" s="45"/>
      <c r="I25" s="45"/>
      <c r="J25" s="45"/>
      <c r="K25" s="45"/>
      <c r="L25" s="45"/>
      <c r="M25" s="742" t="s">
        <v>344</v>
      </c>
      <c r="N25" s="45"/>
      <c r="O25" s="45"/>
      <c r="P25" s="45"/>
      <c r="Q25" s="45"/>
    </row>
    <row r="26" spans="1:17" x14ac:dyDescent="0.2">
      <c r="A26" s="741"/>
      <c r="B26" s="45" t="s">
        <v>172</v>
      </c>
      <c r="C26" s="742" t="s">
        <v>284</v>
      </c>
      <c r="D26" s="45"/>
      <c r="E26" s="45"/>
      <c r="F26" s="45"/>
      <c r="G26" s="45"/>
      <c r="H26" s="45"/>
      <c r="I26" s="45"/>
      <c r="J26" s="45"/>
      <c r="K26" s="45"/>
      <c r="L26" s="45"/>
      <c r="M26" s="742" t="s">
        <v>344</v>
      </c>
      <c r="N26" s="45"/>
      <c r="O26" s="45"/>
      <c r="P26" s="45"/>
      <c r="Q26" s="45"/>
    </row>
    <row r="27" spans="1:17" x14ac:dyDescent="0.2">
      <c r="A27" s="741"/>
      <c r="B27" s="45" t="s">
        <v>169</v>
      </c>
      <c r="C27" s="742" t="s">
        <v>284</v>
      </c>
      <c r="D27" s="45" t="s">
        <v>45</v>
      </c>
      <c r="E27" s="45" t="s">
        <v>98</v>
      </c>
      <c r="F27" s="45" t="s">
        <v>32</v>
      </c>
      <c r="G27" s="45" t="s">
        <v>290</v>
      </c>
      <c r="H27" s="45" t="s">
        <v>209</v>
      </c>
      <c r="I27" s="45" t="s">
        <v>413</v>
      </c>
      <c r="J27" s="45" t="s">
        <v>318</v>
      </c>
      <c r="K27" s="45" t="s">
        <v>180</v>
      </c>
      <c r="L27" s="45" t="s">
        <v>397</v>
      </c>
      <c r="M27" s="742" t="s">
        <v>344</v>
      </c>
      <c r="N27" s="45"/>
      <c r="O27" s="45"/>
      <c r="P27" s="45"/>
      <c r="Q27" s="45"/>
    </row>
    <row r="28" spans="1:17" x14ac:dyDescent="0.2">
      <c r="A28" s="741"/>
      <c r="B28" s="45" t="s">
        <v>193</v>
      </c>
      <c r="C28" s="676">
        <v>-58522210000</v>
      </c>
      <c r="D28" s="676">
        <v>-47201210000</v>
      </c>
      <c r="E28" s="676">
        <v>-38585750000</v>
      </c>
      <c r="F28" s="676">
        <v>-33238853763</v>
      </c>
      <c r="G28" s="676">
        <v>-16673220000</v>
      </c>
      <c r="H28" s="676">
        <v>-14372600000</v>
      </c>
      <c r="I28" s="676">
        <v>-2346820000</v>
      </c>
      <c r="J28" s="676">
        <v>-1716830000</v>
      </c>
      <c r="K28" s="676">
        <v>-1276740000</v>
      </c>
      <c r="L28" s="676">
        <v>-245830000</v>
      </c>
      <c r="M28" s="676">
        <v>-3910237</v>
      </c>
      <c r="N28" s="45"/>
      <c r="O28" s="45"/>
      <c r="P28" s="45"/>
      <c r="Q28" s="45"/>
    </row>
    <row r="29" spans="1:17" x14ac:dyDescent="0.2">
      <c r="A29" s="741" t="s">
        <v>416</v>
      </c>
      <c r="B29" s="45" t="s">
        <v>173</v>
      </c>
      <c r="C29" s="45"/>
      <c r="D29" s="45"/>
      <c r="E29" s="45"/>
      <c r="F29" s="45"/>
      <c r="G29" s="742" t="s">
        <v>284</v>
      </c>
      <c r="H29" s="742" t="s">
        <v>200</v>
      </c>
      <c r="I29" s="45"/>
      <c r="J29" s="45"/>
      <c r="K29" s="45"/>
      <c r="L29" s="45"/>
      <c r="M29" s="45"/>
      <c r="N29" s="45"/>
      <c r="O29" s="45"/>
      <c r="P29" s="45"/>
      <c r="Q29" s="45"/>
    </row>
    <row r="30" spans="1:17" x14ac:dyDescent="0.2">
      <c r="A30" s="741"/>
      <c r="B30" s="45" t="s">
        <v>172</v>
      </c>
      <c r="C30" s="45"/>
      <c r="D30" s="742" t="s">
        <v>16</v>
      </c>
      <c r="E30" s="45"/>
      <c r="F30" s="45"/>
      <c r="G30" s="742" t="s">
        <v>284</v>
      </c>
      <c r="H30" s="742" t="s">
        <v>200</v>
      </c>
      <c r="I30" s="45"/>
      <c r="J30" s="742" t="s">
        <v>385</v>
      </c>
      <c r="K30" s="45"/>
      <c r="L30" s="45"/>
      <c r="M30" s="45"/>
      <c r="N30" s="45"/>
      <c r="O30" s="45"/>
      <c r="P30" s="45"/>
      <c r="Q30" s="45"/>
    </row>
    <row r="31" spans="1:17" x14ac:dyDescent="0.2">
      <c r="A31" s="741"/>
      <c r="B31" s="45" t="s">
        <v>169</v>
      </c>
      <c r="C31" s="45" t="s">
        <v>24</v>
      </c>
      <c r="D31" s="742" t="s">
        <v>16</v>
      </c>
      <c r="E31" s="45" t="s">
        <v>97</v>
      </c>
      <c r="F31" s="45" t="s">
        <v>182</v>
      </c>
      <c r="G31" s="742" t="s">
        <v>284</v>
      </c>
      <c r="H31" s="742" t="s">
        <v>200</v>
      </c>
      <c r="I31" s="45" t="s">
        <v>304</v>
      </c>
      <c r="J31" s="742" t="s">
        <v>385</v>
      </c>
      <c r="K31" s="45" t="s">
        <v>105</v>
      </c>
      <c r="L31" s="45"/>
      <c r="M31" s="45"/>
      <c r="N31" s="45"/>
      <c r="O31" s="45"/>
      <c r="P31" s="45"/>
      <c r="Q31" s="45"/>
    </row>
    <row r="32" spans="1:17" x14ac:dyDescent="0.2">
      <c r="A32" s="741"/>
      <c r="B32" s="45" t="s">
        <v>193</v>
      </c>
      <c r="C32" s="676">
        <v>-170392200000</v>
      </c>
      <c r="D32" s="676">
        <v>-139770490000</v>
      </c>
      <c r="E32" s="676">
        <v>-60765400000</v>
      </c>
      <c r="F32" s="676">
        <v>-59409700000</v>
      </c>
      <c r="G32" s="676">
        <v>-18431540000</v>
      </c>
      <c r="H32" s="676">
        <v>-12145120000</v>
      </c>
      <c r="I32" s="676">
        <v>-2604340000</v>
      </c>
      <c r="J32" s="676">
        <v>-1420790000</v>
      </c>
      <c r="K32" s="676">
        <v>-71749113</v>
      </c>
      <c r="L32" s="45"/>
      <c r="M32" s="45"/>
      <c r="N32" s="45"/>
      <c r="O32" s="45"/>
      <c r="P32" s="45"/>
      <c r="Q32" s="45"/>
    </row>
    <row r="33" spans="1:17" x14ac:dyDescent="0.2">
      <c r="A33" s="741" t="s">
        <v>414</v>
      </c>
      <c r="B33" s="45" t="s">
        <v>173</v>
      </c>
      <c r="C33" s="45"/>
      <c r="D33" s="45"/>
      <c r="E33" s="45"/>
      <c r="F33" s="45"/>
      <c r="G33" s="742" t="s">
        <v>415</v>
      </c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x14ac:dyDescent="0.2">
      <c r="A34" s="741"/>
      <c r="B34" s="45" t="s">
        <v>172</v>
      </c>
      <c r="C34" s="45"/>
      <c r="D34" s="45"/>
      <c r="E34" s="45"/>
      <c r="F34" s="45"/>
      <c r="G34" s="742" t="s">
        <v>415</v>
      </c>
      <c r="H34" s="45"/>
      <c r="I34" s="45"/>
      <c r="J34" s="45"/>
      <c r="K34" s="45"/>
      <c r="L34" s="45"/>
      <c r="M34" s="45"/>
      <c r="N34" s="45"/>
      <c r="O34" s="45"/>
      <c r="P34" s="45"/>
      <c r="Q34" s="45"/>
    </row>
    <row r="35" spans="1:17" x14ac:dyDescent="0.2">
      <c r="A35" s="741"/>
      <c r="B35" s="45" t="s">
        <v>169</v>
      </c>
      <c r="C35" s="45" t="s">
        <v>16</v>
      </c>
      <c r="D35" s="45" t="s">
        <v>28</v>
      </c>
      <c r="E35" s="45" t="s">
        <v>65</v>
      </c>
      <c r="F35" s="45" t="s">
        <v>17</v>
      </c>
      <c r="G35" s="742" t="s">
        <v>415</v>
      </c>
      <c r="H35" s="45"/>
      <c r="I35" s="45"/>
      <c r="J35" s="45"/>
      <c r="K35" s="45"/>
      <c r="L35" s="45"/>
      <c r="M35" s="45"/>
      <c r="N35" s="45"/>
      <c r="O35" s="45"/>
      <c r="P35" s="45"/>
      <c r="Q35" s="45"/>
    </row>
    <row r="36" spans="1:17" x14ac:dyDescent="0.2">
      <c r="A36" s="741"/>
      <c r="B36" s="45" t="s">
        <v>193</v>
      </c>
      <c r="C36" s="676">
        <v>-105590080000</v>
      </c>
      <c r="D36" s="676">
        <v>-82658530000</v>
      </c>
      <c r="E36" s="676">
        <v>-38575550000</v>
      </c>
      <c r="F36" s="676">
        <v>-23229310000</v>
      </c>
      <c r="G36" s="676">
        <v>-222443080</v>
      </c>
      <c r="H36" s="45"/>
      <c r="I36" s="45"/>
      <c r="J36" s="45"/>
      <c r="K36" s="45"/>
      <c r="L36" s="45"/>
      <c r="M36" s="45"/>
      <c r="N36" s="45"/>
      <c r="O36" s="45"/>
      <c r="P36" s="45"/>
      <c r="Q36" s="45"/>
    </row>
    <row r="37" spans="1:17" x14ac:dyDescent="0.2">
      <c r="A37" s="741" t="s">
        <v>412</v>
      </c>
      <c r="B37" s="45" t="s">
        <v>173</v>
      </c>
      <c r="C37" s="45"/>
      <c r="D37" s="45"/>
      <c r="E37" s="742" t="s">
        <v>61</v>
      </c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</row>
    <row r="38" spans="1:17" x14ac:dyDescent="0.2">
      <c r="A38" s="741"/>
      <c r="B38" s="45" t="s">
        <v>172</v>
      </c>
      <c r="C38" s="45"/>
      <c r="D38" s="742" t="s">
        <v>8</v>
      </c>
      <c r="E38" s="742" t="s">
        <v>61</v>
      </c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</row>
    <row r="39" spans="1:17" x14ac:dyDescent="0.2">
      <c r="A39" s="741"/>
      <c r="B39" s="45" t="s">
        <v>169</v>
      </c>
      <c r="C39" s="45" t="s">
        <v>26</v>
      </c>
      <c r="D39" s="742" t="s">
        <v>8</v>
      </c>
      <c r="E39" s="742" t="s">
        <v>61</v>
      </c>
      <c r="F39" s="45" t="s">
        <v>17</v>
      </c>
      <c r="G39" s="45" t="s">
        <v>368</v>
      </c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1:17" x14ac:dyDescent="0.2">
      <c r="A40" s="741"/>
      <c r="B40" s="45" t="s">
        <v>193</v>
      </c>
      <c r="C40" s="676">
        <v>-83893360000</v>
      </c>
      <c r="D40" s="676">
        <v>-80823800000</v>
      </c>
      <c r="E40" s="676">
        <v>-45546000000</v>
      </c>
      <c r="F40" s="676">
        <v>-22469240000</v>
      </c>
      <c r="G40" s="676">
        <v>-21764940000</v>
      </c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1" spans="1:17" x14ac:dyDescent="0.2">
      <c r="A41" s="741" t="s">
        <v>410</v>
      </c>
      <c r="B41" s="45" t="s">
        <v>173</v>
      </c>
      <c r="C41" s="742" t="s">
        <v>29</v>
      </c>
      <c r="D41" s="742" t="s">
        <v>224</v>
      </c>
      <c r="E41" s="45"/>
      <c r="F41" s="742" t="s">
        <v>402</v>
      </c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</row>
    <row r="42" spans="1:17" x14ac:dyDescent="0.2">
      <c r="A42" s="741"/>
      <c r="B42" s="45" t="s">
        <v>172</v>
      </c>
      <c r="C42" s="742" t="s">
        <v>29</v>
      </c>
      <c r="D42" s="742" t="s">
        <v>224</v>
      </c>
      <c r="E42" s="45"/>
      <c r="F42" s="742" t="s">
        <v>402</v>
      </c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</row>
    <row r="43" spans="1:17" x14ac:dyDescent="0.2">
      <c r="A43" s="741"/>
      <c r="B43" s="45" t="s">
        <v>169</v>
      </c>
      <c r="C43" s="742" t="s">
        <v>29</v>
      </c>
      <c r="D43" s="742" t="s">
        <v>224</v>
      </c>
      <c r="E43" s="45" t="s">
        <v>180</v>
      </c>
      <c r="F43" s="742" t="s">
        <v>402</v>
      </c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</row>
    <row r="44" spans="1:17" x14ac:dyDescent="0.2">
      <c r="A44" s="741"/>
      <c r="B44" s="45" t="s">
        <v>193</v>
      </c>
      <c r="C44" s="676">
        <v>-53072350000</v>
      </c>
      <c r="D44" s="676">
        <v>-13004130000</v>
      </c>
      <c r="E44" s="676">
        <v>-630720000</v>
      </c>
      <c r="F44" s="676">
        <v>-127590000</v>
      </c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</row>
    <row r="45" spans="1:17" x14ac:dyDescent="0.2">
      <c r="A45" s="741" t="s">
        <v>405</v>
      </c>
      <c r="B45" s="45" t="s">
        <v>173</v>
      </c>
      <c r="C45" s="742" t="s">
        <v>36</v>
      </c>
      <c r="D45" s="45"/>
      <c r="E45" s="742" t="s">
        <v>339</v>
      </c>
      <c r="F45" s="45"/>
      <c r="G45" s="742" t="s">
        <v>406</v>
      </c>
      <c r="H45" s="45"/>
      <c r="I45" s="45"/>
      <c r="J45" s="742" t="s">
        <v>188</v>
      </c>
      <c r="K45" s="742" t="s">
        <v>374</v>
      </c>
      <c r="L45" s="45"/>
      <c r="M45" s="45"/>
      <c r="N45" s="742" t="s">
        <v>207</v>
      </c>
      <c r="O45" s="45"/>
      <c r="P45" s="45"/>
      <c r="Q45" s="45"/>
    </row>
    <row r="46" spans="1:17" x14ac:dyDescent="0.2">
      <c r="A46" s="741"/>
      <c r="B46" s="45" t="s">
        <v>172</v>
      </c>
      <c r="C46" s="742" t="s">
        <v>36</v>
      </c>
      <c r="D46" s="45"/>
      <c r="E46" s="742" t="s">
        <v>339</v>
      </c>
      <c r="F46" s="45"/>
      <c r="G46" s="742" t="s">
        <v>406</v>
      </c>
      <c r="H46" s="45"/>
      <c r="I46" s="45"/>
      <c r="J46" s="742" t="s">
        <v>188</v>
      </c>
      <c r="K46" s="742" t="s">
        <v>374</v>
      </c>
      <c r="L46" s="742" t="s">
        <v>382</v>
      </c>
      <c r="M46" s="45"/>
      <c r="N46" s="742" t="s">
        <v>207</v>
      </c>
      <c r="O46" s="45"/>
      <c r="P46" s="45"/>
      <c r="Q46" s="45"/>
    </row>
    <row r="47" spans="1:17" x14ac:dyDescent="0.2">
      <c r="A47" s="741"/>
      <c r="B47" s="45" t="s">
        <v>169</v>
      </c>
      <c r="C47" s="742" t="s">
        <v>36</v>
      </c>
      <c r="D47" s="45" t="s">
        <v>25</v>
      </c>
      <c r="E47" s="742" t="s">
        <v>339</v>
      </c>
      <c r="F47" s="45" t="s">
        <v>209</v>
      </c>
      <c r="G47" s="742" t="s">
        <v>406</v>
      </c>
      <c r="H47" s="45" t="s">
        <v>364</v>
      </c>
      <c r="I47" s="45" t="s">
        <v>82</v>
      </c>
      <c r="J47" s="742" t="s">
        <v>188</v>
      </c>
      <c r="K47" s="742" t="s">
        <v>374</v>
      </c>
      <c r="L47" s="742" t="s">
        <v>382</v>
      </c>
      <c r="M47" s="45" t="s">
        <v>298</v>
      </c>
      <c r="N47" s="742" t="s">
        <v>207</v>
      </c>
      <c r="O47" s="45"/>
      <c r="P47" s="45"/>
      <c r="Q47" s="45"/>
    </row>
    <row r="48" spans="1:17" x14ac:dyDescent="0.2">
      <c r="A48" s="741"/>
      <c r="B48" s="45" t="s">
        <v>193</v>
      </c>
      <c r="C48" s="676">
        <v>-721628480000</v>
      </c>
      <c r="D48" s="676">
        <v>-123244250000</v>
      </c>
      <c r="E48" s="676">
        <v>-25508290000</v>
      </c>
      <c r="F48" s="676">
        <v>-10329430000</v>
      </c>
      <c r="G48" s="676">
        <v>-7283900000</v>
      </c>
      <c r="H48" s="676">
        <v>-7233492666</v>
      </c>
      <c r="I48" s="676">
        <v>-6924630000</v>
      </c>
      <c r="J48" s="676">
        <v>-6670080000</v>
      </c>
      <c r="K48" s="676">
        <v>-4590200000</v>
      </c>
      <c r="L48" s="676">
        <v>-2878860000</v>
      </c>
      <c r="M48" s="676">
        <v>-673320000</v>
      </c>
      <c r="N48" s="676">
        <v>-32864925</v>
      </c>
      <c r="O48" s="45"/>
      <c r="P48" s="45"/>
      <c r="Q48" s="45"/>
    </row>
    <row r="49" spans="1:17" x14ac:dyDescent="0.2">
      <c r="A49" s="741" t="s">
        <v>396</v>
      </c>
      <c r="B49" s="45" t="s">
        <v>173</v>
      </c>
      <c r="C49" s="742" t="s">
        <v>36</v>
      </c>
      <c r="D49" s="45"/>
      <c r="E49" s="45"/>
      <c r="F49" s="742" t="s">
        <v>339</v>
      </c>
      <c r="G49" s="742" t="s">
        <v>335</v>
      </c>
      <c r="H49" s="45"/>
      <c r="I49" s="742" t="s">
        <v>366</v>
      </c>
      <c r="J49" s="45"/>
      <c r="K49" s="45"/>
      <c r="L49" s="45"/>
      <c r="M49" s="45"/>
      <c r="N49" s="45"/>
      <c r="O49" s="45"/>
      <c r="P49" s="45"/>
      <c r="Q49" s="45"/>
    </row>
    <row r="50" spans="1:17" x14ac:dyDescent="0.2">
      <c r="A50" s="741"/>
      <c r="B50" s="45" t="s">
        <v>172</v>
      </c>
      <c r="C50" s="742" t="s">
        <v>36</v>
      </c>
      <c r="D50" s="45"/>
      <c r="E50" s="45"/>
      <c r="F50" s="742" t="s">
        <v>339</v>
      </c>
      <c r="G50" s="742" t="s">
        <v>335</v>
      </c>
      <c r="H50" s="45"/>
      <c r="I50" s="742" t="s">
        <v>366</v>
      </c>
      <c r="J50" s="45"/>
      <c r="K50" s="45"/>
      <c r="L50" s="45"/>
      <c r="M50" s="45"/>
      <c r="N50" s="45"/>
      <c r="O50" s="45"/>
      <c r="P50" s="45"/>
      <c r="Q50" s="45"/>
    </row>
    <row r="51" spans="1:17" x14ac:dyDescent="0.2">
      <c r="A51" s="741"/>
      <c r="B51" s="45" t="s">
        <v>169</v>
      </c>
      <c r="C51" s="742" t="s">
        <v>36</v>
      </c>
      <c r="D51" s="45" t="s">
        <v>25</v>
      </c>
      <c r="E51" s="45" t="s">
        <v>72</v>
      </c>
      <c r="F51" s="742" t="s">
        <v>339</v>
      </c>
      <c r="G51" s="742" t="s">
        <v>335</v>
      </c>
      <c r="H51" s="45" t="s">
        <v>76</v>
      </c>
      <c r="I51" s="742" t="s">
        <v>366</v>
      </c>
      <c r="J51" s="45" t="s">
        <v>397</v>
      </c>
      <c r="K51" s="45"/>
      <c r="L51" s="45"/>
      <c r="M51" s="45"/>
      <c r="N51" s="45"/>
      <c r="O51" s="45"/>
      <c r="P51" s="45"/>
      <c r="Q51" s="45"/>
    </row>
    <row r="52" spans="1:17" x14ac:dyDescent="0.2">
      <c r="A52" s="741"/>
      <c r="B52" s="45" t="s">
        <v>193</v>
      </c>
      <c r="C52" s="676">
        <v>-495294190000</v>
      </c>
      <c r="D52" s="676">
        <v>-102093230000</v>
      </c>
      <c r="E52" s="676">
        <v>-28396880000</v>
      </c>
      <c r="F52" s="676">
        <v>-6647720000</v>
      </c>
      <c r="G52" s="676">
        <v>-4860119481</v>
      </c>
      <c r="H52" s="676">
        <v>-1215080000</v>
      </c>
      <c r="I52" s="676">
        <v>-1178080000</v>
      </c>
      <c r="J52" s="676">
        <v>-109950000</v>
      </c>
      <c r="K52" s="45"/>
      <c r="L52" s="45"/>
      <c r="M52" s="45"/>
      <c r="N52" s="45"/>
      <c r="O52" s="45"/>
      <c r="P52" s="45"/>
      <c r="Q52" s="45"/>
    </row>
    <row r="53" spans="1:17" x14ac:dyDescent="0.2">
      <c r="A53" s="741" t="s">
        <v>393</v>
      </c>
      <c r="B53" s="45" t="s">
        <v>173</v>
      </c>
      <c r="C53" s="45"/>
      <c r="D53" s="45"/>
      <c r="E53" s="45"/>
      <c r="F53" s="742" t="s">
        <v>179</v>
      </c>
      <c r="G53" s="45"/>
      <c r="H53" s="742" t="s">
        <v>80</v>
      </c>
      <c r="I53" s="742" t="s">
        <v>329</v>
      </c>
      <c r="J53" s="45"/>
      <c r="K53" s="45"/>
      <c r="L53" s="45"/>
      <c r="M53" s="45"/>
      <c r="N53" s="45"/>
      <c r="O53" s="45"/>
      <c r="P53" s="45"/>
      <c r="Q53" s="45"/>
    </row>
    <row r="54" spans="1:17" x14ac:dyDescent="0.2">
      <c r="A54" s="741"/>
      <c r="B54" s="45" t="s">
        <v>172</v>
      </c>
      <c r="C54" s="45"/>
      <c r="D54" s="45"/>
      <c r="E54" s="45"/>
      <c r="F54" s="742" t="s">
        <v>179</v>
      </c>
      <c r="G54" s="45"/>
      <c r="H54" s="742" t="s">
        <v>80</v>
      </c>
      <c r="I54" s="742" t="s">
        <v>329</v>
      </c>
      <c r="J54" s="45"/>
      <c r="K54" s="45"/>
      <c r="L54" s="45"/>
      <c r="M54" s="45"/>
      <c r="N54" s="45"/>
      <c r="O54" s="45"/>
      <c r="P54" s="45"/>
      <c r="Q54" s="45"/>
    </row>
    <row r="55" spans="1:17" x14ac:dyDescent="0.2">
      <c r="A55" s="741"/>
      <c r="B55" s="45" t="s">
        <v>169</v>
      </c>
      <c r="C55" s="45" t="s">
        <v>83</v>
      </c>
      <c r="D55" s="45" t="s">
        <v>30</v>
      </c>
      <c r="E55" s="45" t="s">
        <v>69</v>
      </c>
      <c r="F55" s="742" t="s">
        <v>179</v>
      </c>
      <c r="G55" s="45" t="s">
        <v>338</v>
      </c>
      <c r="H55" s="742" t="s">
        <v>80</v>
      </c>
      <c r="I55" s="742" t="s">
        <v>329</v>
      </c>
      <c r="J55" s="45" t="s">
        <v>292</v>
      </c>
      <c r="K55" s="45"/>
      <c r="L55" s="45"/>
      <c r="M55" s="45"/>
      <c r="N55" s="45"/>
      <c r="O55" s="45"/>
      <c r="P55" s="45"/>
      <c r="Q55" s="45"/>
    </row>
    <row r="56" spans="1:17" x14ac:dyDescent="0.2">
      <c r="A56" s="741"/>
      <c r="B56" s="45" t="s">
        <v>193</v>
      </c>
      <c r="C56" s="676">
        <v>-118842320000</v>
      </c>
      <c r="D56" s="676">
        <v>-36132160000</v>
      </c>
      <c r="E56" s="676">
        <v>-23033750000</v>
      </c>
      <c r="F56" s="676">
        <v>-21597180000</v>
      </c>
      <c r="G56" s="676">
        <v>-16143438680</v>
      </c>
      <c r="H56" s="676">
        <v>-10825280000</v>
      </c>
      <c r="I56" s="676">
        <v>-313045109</v>
      </c>
      <c r="J56" s="676">
        <v>-25290000</v>
      </c>
      <c r="K56" s="45"/>
      <c r="L56" s="45"/>
      <c r="M56" s="45"/>
      <c r="N56" s="45"/>
      <c r="O56" s="45"/>
      <c r="P56" s="45"/>
      <c r="Q56" s="45"/>
    </row>
    <row r="57" spans="1:17" x14ac:dyDescent="0.2">
      <c r="A57" s="741" t="s">
        <v>392</v>
      </c>
      <c r="B57" s="45" t="s">
        <v>173</v>
      </c>
      <c r="C57" s="742" t="s">
        <v>42</v>
      </c>
      <c r="D57" s="45"/>
      <c r="E57" s="45"/>
      <c r="F57" s="45"/>
      <c r="G57" s="45"/>
      <c r="H57" s="742" t="s">
        <v>179</v>
      </c>
      <c r="I57" s="45"/>
      <c r="J57" s="45"/>
      <c r="K57" s="45"/>
      <c r="L57" s="45"/>
      <c r="M57" s="45"/>
      <c r="N57" s="45"/>
      <c r="O57" s="45"/>
      <c r="P57" s="45"/>
      <c r="Q57" s="45"/>
    </row>
    <row r="58" spans="1:17" x14ac:dyDescent="0.2">
      <c r="A58" s="741"/>
      <c r="B58" s="45" t="s">
        <v>172</v>
      </c>
      <c r="C58" s="742" t="s">
        <v>42</v>
      </c>
      <c r="D58" s="45"/>
      <c r="E58" s="45"/>
      <c r="F58" s="45"/>
      <c r="G58" s="45"/>
      <c r="H58" s="742" t="s">
        <v>179</v>
      </c>
      <c r="I58" s="45"/>
      <c r="J58" s="45"/>
      <c r="K58" s="45"/>
      <c r="L58" s="742" t="s">
        <v>385</v>
      </c>
      <c r="M58" s="742" t="s">
        <v>388</v>
      </c>
      <c r="N58" s="45"/>
      <c r="O58" s="45"/>
      <c r="P58" s="45"/>
      <c r="Q58" s="45"/>
    </row>
    <row r="59" spans="1:17" x14ac:dyDescent="0.2">
      <c r="A59" s="741"/>
      <c r="B59" s="45" t="s">
        <v>169</v>
      </c>
      <c r="C59" s="742" t="s">
        <v>42</v>
      </c>
      <c r="D59" s="45" t="s">
        <v>10</v>
      </c>
      <c r="E59" s="45" t="s">
        <v>75</v>
      </c>
      <c r="F59" s="45" t="s">
        <v>288</v>
      </c>
      <c r="G59" s="45" t="s">
        <v>69</v>
      </c>
      <c r="H59" s="742" t="s">
        <v>179</v>
      </c>
      <c r="I59" s="45" t="s">
        <v>102</v>
      </c>
      <c r="J59" s="45" t="s">
        <v>178</v>
      </c>
      <c r="K59" s="45" t="s">
        <v>88</v>
      </c>
      <c r="L59" s="742" t="s">
        <v>385</v>
      </c>
      <c r="M59" s="742" t="s">
        <v>388</v>
      </c>
      <c r="N59" s="45"/>
      <c r="O59" s="45"/>
      <c r="P59" s="45"/>
      <c r="Q59" s="45"/>
    </row>
    <row r="60" spans="1:17" x14ac:dyDescent="0.2">
      <c r="A60" s="741"/>
      <c r="B60" s="45" t="s">
        <v>193</v>
      </c>
      <c r="C60" s="676">
        <v>-39860110000</v>
      </c>
      <c r="D60" s="676">
        <v>-23688909463</v>
      </c>
      <c r="E60" s="676">
        <v>-19188960000</v>
      </c>
      <c r="F60" s="676">
        <v>-17451470000</v>
      </c>
      <c r="G60" s="676">
        <v>-16958470000</v>
      </c>
      <c r="H60" s="676">
        <v>-9386410000</v>
      </c>
      <c r="I60" s="676">
        <v>-8583760000</v>
      </c>
      <c r="J60" s="676">
        <v>-8322060000</v>
      </c>
      <c r="K60" s="676">
        <v>-5796255166</v>
      </c>
      <c r="L60" s="676">
        <v>-634320000</v>
      </c>
      <c r="M60" s="676">
        <v>-348490000</v>
      </c>
      <c r="N60" s="45"/>
      <c r="O60" s="45"/>
      <c r="P60" s="45"/>
      <c r="Q60" s="45"/>
    </row>
    <row r="61" spans="1:17" x14ac:dyDescent="0.2">
      <c r="A61" s="741" t="s">
        <v>387</v>
      </c>
      <c r="B61" s="45" t="s">
        <v>173</v>
      </c>
      <c r="C61" s="45"/>
      <c r="D61" s="742" t="s">
        <v>39</v>
      </c>
      <c r="E61" s="742" t="s">
        <v>350</v>
      </c>
      <c r="F61" s="45"/>
      <c r="G61" s="45"/>
      <c r="H61" s="742" t="s">
        <v>352</v>
      </c>
      <c r="I61" s="45"/>
      <c r="J61" s="45"/>
      <c r="K61" s="45"/>
      <c r="L61" s="45"/>
      <c r="M61" s="45"/>
      <c r="N61" s="45"/>
      <c r="O61" s="45"/>
      <c r="P61" s="45"/>
      <c r="Q61" s="45"/>
    </row>
    <row r="62" spans="1:17" x14ac:dyDescent="0.2">
      <c r="A62" s="741"/>
      <c r="B62" s="45" t="s">
        <v>172</v>
      </c>
      <c r="C62" s="45"/>
      <c r="D62" s="742" t="s">
        <v>39</v>
      </c>
      <c r="E62" s="742" t="s">
        <v>350</v>
      </c>
      <c r="F62" s="45"/>
      <c r="G62" s="45"/>
      <c r="H62" s="742" t="s">
        <v>352</v>
      </c>
      <c r="I62" s="45"/>
      <c r="J62" s="742" t="s">
        <v>388</v>
      </c>
      <c r="K62" s="45"/>
      <c r="L62" s="45"/>
      <c r="M62" s="45"/>
      <c r="N62" s="45"/>
      <c r="O62" s="45"/>
      <c r="P62" s="45"/>
      <c r="Q62" s="45"/>
    </row>
    <row r="63" spans="1:17" x14ac:dyDescent="0.2">
      <c r="A63" s="741"/>
      <c r="B63" s="45" t="s">
        <v>169</v>
      </c>
      <c r="C63" s="45" t="s">
        <v>14</v>
      </c>
      <c r="D63" s="742" t="s">
        <v>39</v>
      </c>
      <c r="E63" s="742" t="s">
        <v>350</v>
      </c>
      <c r="F63" s="45" t="s">
        <v>364</v>
      </c>
      <c r="G63" s="45" t="s">
        <v>187</v>
      </c>
      <c r="H63" s="742" t="s">
        <v>352</v>
      </c>
      <c r="I63" s="45" t="s">
        <v>192</v>
      </c>
      <c r="J63" s="742" t="s">
        <v>388</v>
      </c>
      <c r="K63" s="45"/>
      <c r="L63" s="45"/>
      <c r="M63" s="45"/>
      <c r="N63" s="45"/>
      <c r="O63" s="45"/>
      <c r="P63" s="45"/>
      <c r="Q63" s="45"/>
    </row>
    <row r="64" spans="1:17" x14ac:dyDescent="0.2">
      <c r="A64" s="741"/>
      <c r="B64" s="45" t="s">
        <v>193</v>
      </c>
      <c r="C64" s="676">
        <v>-76863420000</v>
      </c>
      <c r="D64" s="676">
        <v>-64840560000</v>
      </c>
      <c r="E64" s="676">
        <v>-28859070000</v>
      </c>
      <c r="F64" s="676">
        <v>-6332136357</v>
      </c>
      <c r="G64" s="676">
        <v>-2143030000</v>
      </c>
      <c r="H64" s="676">
        <v>-912399231</v>
      </c>
      <c r="I64" s="676">
        <v>-620010000</v>
      </c>
      <c r="J64" s="676">
        <v>-281670000</v>
      </c>
      <c r="K64" s="45"/>
      <c r="L64" s="45"/>
      <c r="M64" s="45"/>
      <c r="N64" s="45"/>
      <c r="O64" s="45"/>
      <c r="P64" s="45"/>
      <c r="Q64" s="45"/>
    </row>
    <row r="65" spans="1:17" x14ac:dyDescent="0.2">
      <c r="A65" s="741" t="s">
        <v>383</v>
      </c>
      <c r="B65" s="45" t="s">
        <v>173</v>
      </c>
      <c r="C65" s="45"/>
      <c r="D65" s="742" t="s">
        <v>284</v>
      </c>
      <c r="E65" s="742" t="s">
        <v>103</v>
      </c>
      <c r="F65" s="742" t="s">
        <v>179</v>
      </c>
      <c r="G65" s="742" t="s">
        <v>352</v>
      </c>
      <c r="H65" s="45"/>
      <c r="I65" s="45"/>
      <c r="J65" s="45"/>
      <c r="K65" s="45"/>
      <c r="L65" s="45"/>
      <c r="M65" s="45"/>
      <c r="N65" s="45"/>
      <c r="O65" s="45"/>
      <c r="P65" s="45"/>
      <c r="Q65" s="45"/>
    </row>
    <row r="66" spans="1:17" x14ac:dyDescent="0.2">
      <c r="A66" s="741"/>
      <c r="B66" s="45" t="s">
        <v>172</v>
      </c>
      <c r="C66" s="45"/>
      <c r="D66" s="742" t="s">
        <v>284</v>
      </c>
      <c r="E66" s="742" t="s">
        <v>103</v>
      </c>
      <c r="F66" s="742" t="s">
        <v>179</v>
      </c>
      <c r="G66" s="742" t="s">
        <v>352</v>
      </c>
      <c r="H66" s="45"/>
      <c r="I66" s="45"/>
      <c r="J66" s="45"/>
      <c r="K66" s="45"/>
      <c r="L66" s="45"/>
      <c r="M66" s="45"/>
      <c r="N66" s="45"/>
      <c r="O66" s="45"/>
      <c r="P66" s="45"/>
      <c r="Q66" s="45"/>
    </row>
    <row r="67" spans="1:17" x14ac:dyDescent="0.2">
      <c r="A67" s="741"/>
      <c r="B67" s="45" t="s">
        <v>169</v>
      </c>
      <c r="C67" s="45" t="s">
        <v>288</v>
      </c>
      <c r="D67" s="742" t="s">
        <v>284</v>
      </c>
      <c r="E67" s="742" t="s">
        <v>103</v>
      </c>
      <c r="F67" s="742" t="s">
        <v>179</v>
      </c>
      <c r="G67" s="742" t="s">
        <v>352</v>
      </c>
      <c r="H67" s="45"/>
      <c r="I67" s="45"/>
      <c r="J67" s="45"/>
      <c r="K67" s="45"/>
      <c r="L67" s="45"/>
      <c r="M67" s="45"/>
      <c r="N67" s="45"/>
      <c r="O67" s="45"/>
      <c r="P67" s="45"/>
      <c r="Q67" s="45"/>
    </row>
    <row r="68" spans="1:17" x14ac:dyDescent="0.2">
      <c r="A68" s="741"/>
      <c r="B68" s="45" t="s">
        <v>193</v>
      </c>
      <c r="C68" s="676">
        <v>-15999710000</v>
      </c>
      <c r="D68" s="676">
        <v>-14087740000</v>
      </c>
      <c r="E68" s="676">
        <v>-3269142536</v>
      </c>
      <c r="F68" s="676">
        <v>-2919090000</v>
      </c>
      <c r="G68" s="676">
        <v>-129870000</v>
      </c>
      <c r="H68" s="45"/>
      <c r="I68" s="45"/>
      <c r="J68" s="45"/>
      <c r="K68" s="45"/>
      <c r="L68" s="45"/>
      <c r="M68" s="45"/>
      <c r="N68" s="45"/>
      <c r="O68" s="45"/>
      <c r="P68" s="45"/>
      <c r="Q68" s="45"/>
    </row>
    <row r="69" spans="1:17" x14ac:dyDescent="0.2">
      <c r="A69" s="741" t="s">
        <v>381</v>
      </c>
      <c r="B69" s="45" t="s">
        <v>173</v>
      </c>
      <c r="C69" s="45"/>
      <c r="D69" s="742" t="s">
        <v>70</v>
      </c>
      <c r="E69" s="742" t="s">
        <v>61</v>
      </c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</row>
    <row r="70" spans="1:17" x14ac:dyDescent="0.2">
      <c r="A70" s="741"/>
      <c r="B70" s="45" t="s">
        <v>172</v>
      </c>
      <c r="C70" s="45"/>
      <c r="D70" s="742" t="s">
        <v>70</v>
      </c>
      <c r="E70" s="742" t="s">
        <v>61</v>
      </c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</row>
    <row r="71" spans="1:17" x14ac:dyDescent="0.2">
      <c r="A71" s="741"/>
      <c r="B71" s="45" t="s">
        <v>169</v>
      </c>
      <c r="C71" s="45" t="s">
        <v>18</v>
      </c>
      <c r="D71" s="742" t="s">
        <v>70</v>
      </c>
      <c r="E71" s="742" t="s">
        <v>61</v>
      </c>
      <c r="F71" s="45" t="s">
        <v>367</v>
      </c>
      <c r="G71" s="45" t="s">
        <v>206</v>
      </c>
      <c r="H71" s="45" t="s">
        <v>209</v>
      </c>
      <c r="I71" s="45" t="s">
        <v>224</v>
      </c>
      <c r="J71" s="45" t="s">
        <v>316</v>
      </c>
      <c r="K71" s="45" t="s">
        <v>289</v>
      </c>
      <c r="L71" s="45" t="s">
        <v>187</v>
      </c>
      <c r="M71" s="45" t="s">
        <v>304</v>
      </c>
      <c r="N71" s="45"/>
      <c r="O71" s="45"/>
      <c r="P71" s="45"/>
      <c r="Q71" s="45"/>
    </row>
    <row r="72" spans="1:17" x14ac:dyDescent="0.2">
      <c r="A72" s="741"/>
      <c r="B72" s="45" t="s">
        <v>193</v>
      </c>
      <c r="C72" s="676">
        <v>-137693770000</v>
      </c>
      <c r="D72" s="676">
        <v>-83357910000</v>
      </c>
      <c r="E72" s="676">
        <v>-37308670000</v>
      </c>
      <c r="F72" s="676">
        <v>-9099230000</v>
      </c>
      <c r="G72" s="676">
        <v>-8369150000</v>
      </c>
      <c r="H72" s="676">
        <v>-6343270000</v>
      </c>
      <c r="I72" s="676">
        <v>-5705630000</v>
      </c>
      <c r="J72" s="676">
        <v>-3739049897</v>
      </c>
      <c r="K72" s="676">
        <v>-1803730000</v>
      </c>
      <c r="L72" s="676">
        <v>-1596660000</v>
      </c>
      <c r="M72" s="676">
        <v>-1392510000</v>
      </c>
      <c r="N72" s="45"/>
      <c r="O72" s="45"/>
      <c r="P72" s="45"/>
      <c r="Q72" s="45"/>
    </row>
    <row r="73" spans="1:17" x14ac:dyDescent="0.2">
      <c r="A73" s="741" t="s">
        <v>378</v>
      </c>
      <c r="B73" s="45" t="s">
        <v>172</v>
      </c>
      <c r="C73" s="742" t="s">
        <v>29</v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</row>
    <row r="74" spans="1:17" x14ac:dyDescent="0.2">
      <c r="A74" s="741"/>
      <c r="B74" s="45" t="s">
        <v>169</v>
      </c>
      <c r="C74" s="742" t="s">
        <v>29</v>
      </c>
      <c r="D74" s="45" t="s">
        <v>367</v>
      </c>
      <c r="E74" s="45" t="s">
        <v>88</v>
      </c>
      <c r="F74" s="45" t="s">
        <v>379</v>
      </c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</row>
    <row r="75" spans="1:17" x14ac:dyDescent="0.2">
      <c r="A75" s="741"/>
      <c r="B75" s="45" t="s">
        <v>193</v>
      </c>
      <c r="C75" s="676">
        <v>-23483740000</v>
      </c>
      <c r="D75" s="676">
        <v>-8674510000</v>
      </c>
      <c r="E75" s="676">
        <v>-5255276312</v>
      </c>
      <c r="F75" s="676">
        <v>-500120000</v>
      </c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</row>
    <row r="76" spans="1:17" x14ac:dyDescent="0.2">
      <c r="A76" s="741" t="s">
        <v>373</v>
      </c>
      <c r="B76" s="45" t="s">
        <v>173</v>
      </c>
      <c r="C76" s="742" t="s">
        <v>43</v>
      </c>
      <c r="D76" s="742" t="s">
        <v>61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</row>
    <row r="77" spans="1:17" x14ac:dyDescent="0.2">
      <c r="A77" s="741"/>
      <c r="B77" s="45" t="s">
        <v>172</v>
      </c>
      <c r="C77" s="742" t="s">
        <v>43</v>
      </c>
      <c r="D77" s="742" t="s">
        <v>61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</row>
    <row r="78" spans="1:17" x14ac:dyDescent="0.2">
      <c r="A78" s="741"/>
      <c r="B78" s="45" t="s">
        <v>169</v>
      </c>
      <c r="C78" s="742" t="s">
        <v>43</v>
      </c>
      <c r="D78" s="742" t="s">
        <v>61</v>
      </c>
      <c r="E78" s="45" t="s">
        <v>367</v>
      </c>
      <c r="F78" s="45" t="s">
        <v>183</v>
      </c>
      <c r="G78" s="45" t="s">
        <v>110</v>
      </c>
      <c r="H78" s="45" t="s">
        <v>104</v>
      </c>
      <c r="I78" s="45" t="s">
        <v>186</v>
      </c>
      <c r="J78" s="45" t="s">
        <v>374</v>
      </c>
      <c r="K78" s="45"/>
      <c r="L78" s="45"/>
      <c r="M78" s="45"/>
      <c r="N78" s="45"/>
      <c r="O78" s="45"/>
      <c r="P78" s="45"/>
      <c r="Q78" s="45"/>
    </row>
    <row r="79" spans="1:17" x14ac:dyDescent="0.2">
      <c r="A79" s="741"/>
      <c r="B79" s="45" t="s">
        <v>193</v>
      </c>
      <c r="C79" s="676">
        <v>-41845190000</v>
      </c>
      <c r="D79" s="676">
        <v>-33297420000</v>
      </c>
      <c r="E79" s="676">
        <v>-6887350000</v>
      </c>
      <c r="F79" s="676">
        <v>-5345840000</v>
      </c>
      <c r="G79" s="676">
        <v>-3202530000</v>
      </c>
      <c r="H79" s="676">
        <v>-2192000000</v>
      </c>
      <c r="I79" s="676">
        <v>-1927270000</v>
      </c>
      <c r="J79" s="676">
        <v>-662280000</v>
      </c>
      <c r="K79" s="45"/>
      <c r="L79" s="45"/>
      <c r="M79" s="45"/>
      <c r="N79" s="45"/>
      <c r="O79" s="45"/>
      <c r="P79" s="45"/>
      <c r="Q79" s="45"/>
    </row>
    <row r="80" spans="1:17" x14ac:dyDescent="0.2">
      <c r="A80" s="741" t="s">
        <v>362</v>
      </c>
      <c r="B80" s="45" t="s">
        <v>173</v>
      </c>
      <c r="C80" s="742" t="s">
        <v>13</v>
      </c>
      <c r="D80" s="742" t="s">
        <v>280</v>
      </c>
      <c r="E80" s="45"/>
      <c r="F80" s="45"/>
      <c r="G80" s="45"/>
      <c r="H80" s="45"/>
      <c r="I80" s="742" t="s">
        <v>300</v>
      </c>
      <c r="J80" s="45"/>
      <c r="K80" s="45"/>
      <c r="L80" s="45"/>
      <c r="M80" s="45"/>
      <c r="N80" s="45"/>
      <c r="O80" s="45"/>
      <c r="P80" s="45"/>
      <c r="Q80" s="45"/>
    </row>
    <row r="81" spans="1:17" x14ac:dyDescent="0.2">
      <c r="A81" s="741"/>
      <c r="B81" s="45" t="s">
        <v>172</v>
      </c>
      <c r="C81" s="742" t="s">
        <v>13</v>
      </c>
      <c r="D81" s="742" t="s">
        <v>280</v>
      </c>
      <c r="E81" s="45"/>
      <c r="F81" s="45"/>
      <c r="G81" s="45"/>
      <c r="H81" s="742" t="s">
        <v>365</v>
      </c>
      <c r="I81" s="742" t="s">
        <v>300</v>
      </c>
      <c r="J81" s="45"/>
      <c r="K81" s="45"/>
      <c r="L81" s="742" t="s">
        <v>366</v>
      </c>
      <c r="M81" s="45"/>
      <c r="N81" s="45"/>
      <c r="O81" s="45"/>
      <c r="P81" s="45"/>
      <c r="Q81" s="45"/>
    </row>
    <row r="82" spans="1:17" x14ac:dyDescent="0.2">
      <c r="A82" s="741"/>
      <c r="B82" s="45" t="s">
        <v>169</v>
      </c>
      <c r="C82" s="742" t="s">
        <v>13</v>
      </c>
      <c r="D82" s="742" t="s">
        <v>280</v>
      </c>
      <c r="E82" s="45" t="s">
        <v>286</v>
      </c>
      <c r="F82" s="45" t="s">
        <v>198</v>
      </c>
      <c r="G82" s="45" t="s">
        <v>364</v>
      </c>
      <c r="H82" s="742"/>
      <c r="I82" s="742" t="s">
        <v>300</v>
      </c>
      <c r="J82" s="45" t="s">
        <v>183</v>
      </c>
      <c r="K82" s="45" t="s">
        <v>180</v>
      </c>
      <c r="L82" s="742" t="s">
        <v>366</v>
      </c>
      <c r="M82" s="45"/>
      <c r="N82" s="45"/>
      <c r="O82" s="45"/>
      <c r="P82" s="45"/>
      <c r="Q82" s="45"/>
    </row>
    <row r="83" spans="1:17" x14ac:dyDescent="0.2">
      <c r="A83" s="741"/>
      <c r="B83" s="45" t="s">
        <v>193</v>
      </c>
      <c r="C83" s="676">
        <v>-256790900000</v>
      </c>
      <c r="D83" s="676">
        <v>-82791735776</v>
      </c>
      <c r="E83" s="676">
        <v>-17948690000</v>
      </c>
      <c r="F83" s="676">
        <v>-6954800000</v>
      </c>
      <c r="G83" s="676">
        <v>-4065440214</v>
      </c>
      <c r="H83" s="676">
        <v>-2767660000</v>
      </c>
      <c r="I83" s="676">
        <v>-2696060000</v>
      </c>
      <c r="J83" s="676">
        <v>-2266680000</v>
      </c>
      <c r="K83" s="676">
        <v>-615030000</v>
      </c>
      <c r="L83" s="676">
        <v>-60630000</v>
      </c>
      <c r="M83" s="45"/>
      <c r="N83" s="45"/>
      <c r="O83" s="45"/>
      <c r="P83" s="45"/>
      <c r="Q83" s="45"/>
    </row>
    <row r="84" spans="1:17" x14ac:dyDescent="0.2">
      <c r="A84" s="741" t="s">
        <v>357</v>
      </c>
      <c r="B84" s="45" t="s">
        <v>173</v>
      </c>
      <c r="C84" s="742" t="s">
        <v>38</v>
      </c>
      <c r="D84" s="45"/>
      <c r="E84" s="45"/>
      <c r="F84" s="742" t="s">
        <v>39</v>
      </c>
      <c r="G84" s="45"/>
      <c r="H84" s="45"/>
      <c r="I84" s="45"/>
      <c r="J84" s="742" t="s">
        <v>80</v>
      </c>
      <c r="K84" s="45"/>
      <c r="L84" s="742" t="s">
        <v>190</v>
      </c>
      <c r="M84" s="45"/>
      <c r="N84" s="45"/>
      <c r="O84" s="45"/>
      <c r="P84" s="45"/>
      <c r="Q84" s="45"/>
    </row>
    <row r="85" spans="1:17" x14ac:dyDescent="0.2">
      <c r="A85" s="741"/>
      <c r="B85" s="45" t="s">
        <v>172</v>
      </c>
      <c r="C85" s="742" t="s">
        <v>38</v>
      </c>
      <c r="D85" s="742" t="s">
        <v>13</v>
      </c>
      <c r="E85" s="45"/>
      <c r="F85" s="742" t="s">
        <v>39</v>
      </c>
      <c r="G85" s="45"/>
      <c r="H85" s="45"/>
      <c r="I85" s="45"/>
      <c r="J85" s="742" t="s">
        <v>80</v>
      </c>
      <c r="K85" s="45"/>
      <c r="L85" s="742" t="s">
        <v>190</v>
      </c>
      <c r="M85" s="45"/>
      <c r="N85" s="45"/>
      <c r="O85" s="45"/>
      <c r="P85" s="45"/>
      <c r="Q85" s="45"/>
    </row>
    <row r="86" spans="1:17" x14ac:dyDescent="0.2">
      <c r="A86" s="741"/>
      <c r="B86" s="45" t="s">
        <v>169</v>
      </c>
      <c r="C86" s="742" t="s">
        <v>38</v>
      </c>
      <c r="D86" s="742"/>
      <c r="E86" s="45" t="s">
        <v>25</v>
      </c>
      <c r="F86" s="742" t="s">
        <v>39</v>
      </c>
      <c r="G86" s="45" t="s">
        <v>109</v>
      </c>
      <c r="H86" s="45" t="s">
        <v>17</v>
      </c>
      <c r="I86" s="45" t="s">
        <v>184</v>
      </c>
      <c r="J86" s="742" t="s">
        <v>80</v>
      </c>
      <c r="K86" s="45" t="s">
        <v>37</v>
      </c>
      <c r="L86" s="742" t="s">
        <v>190</v>
      </c>
      <c r="M86" s="45" t="s">
        <v>102</v>
      </c>
      <c r="N86" s="45" t="s">
        <v>332</v>
      </c>
      <c r="O86" s="45" t="s">
        <v>316</v>
      </c>
      <c r="P86" s="45" t="s">
        <v>296</v>
      </c>
      <c r="Q86" s="45"/>
    </row>
    <row r="87" spans="1:17" x14ac:dyDescent="0.2">
      <c r="A87" s="741"/>
      <c r="B87" s="45" t="s">
        <v>193</v>
      </c>
      <c r="C87" s="676">
        <v>-218914600000</v>
      </c>
      <c r="D87" s="676">
        <v>-112905280000</v>
      </c>
      <c r="E87" s="676">
        <v>-100471270000</v>
      </c>
      <c r="F87" s="676">
        <v>-63288240000</v>
      </c>
      <c r="G87" s="676">
        <v>-30082700000</v>
      </c>
      <c r="H87" s="676">
        <v>-13440880000</v>
      </c>
      <c r="I87" s="676">
        <v>-11086140000</v>
      </c>
      <c r="J87" s="676">
        <v>-10582710000</v>
      </c>
      <c r="K87" s="676">
        <v>-10399000000</v>
      </c>
      <c r="L87" s="676">
        <v>-4951190000</v>
      </c>
      <c r="M87" s="676">
        <v>-4840390000</v>
      </c>
      <c r="N87" s="676">
        <v>-3705420000</v>
      </c>
      <c r="O87" s="676">
        <v>-2531670094</v>
      </c>
      <c r="P87" s="676">
        <v>-66159202</v>
      </c>
      <c r="Q87" s="45"/>
    </row>
    <row r="88" spans="1:17" x14ac:dyDescent="0.2">
      <c r="A88" s="741" t="s">
        <v>277</v>
      </c>
      <c r="B88" s="45" t="s">
        <v>174</v>
      </c>
      <c r="C88" s="45"/>
      <c r="D88" s="45"/>
      <c r="E88" s="742" t="s">
        <v>62</v>
      </c>
      <c r="F88" s="742" t="s">
        <v>211</v>
      </c>
      <c r="G88" s="45"/>
      <c r="H88" s="45"/>
      <c r="I88" s="45"/>
      <c r="J88" s="45"/>
      <c r="K88" s="742" t="s">
        <v>101</v>
      </c>
      <c r="L88" s="45"/>
      <c r="M88" s="45"/>
      <c r="N88" s="45"/>
      <c r="O88" s="45"/>
      <c r="P88" s="45"/>
      <c r="Q88" s="45"/>
    </row>
    <row r="89" spans="1:17" x14ac:dyDescent="0.2">
      <c r="A89" s="741"/>
      <c r="B89" s="45" t="s">
        <v>173</v>
      </c>
      <c r="C89" s="45"/>
      <c r="D89" s="45"/>
      <c r="E89" s="742" t="s">
        <v>62</v>
      </c>
      <c r="F89" s="742" t="s">
        <v>211</v>
      </c>
      <c r="G89" s="45"/>
      <c r="H89" s="45"/>
      <c r="I89" s="45"/>
      <c r="J89" s="45"/>
      <c r="K89" s="742" t="s">
        <v>101</v>
      </c>
      <c r="L89" s="45"/>
      <c r="M89" s="45"/>
      <c r="N89" s="45"/>
      <c r="O89" s="45"/>
      <c r="P89" s="45"/>
      <c r="Q89" s="45"/>
    </row>
    <row r="90" spans="1:17" x14ac:dyDescent="0.2">
      <c r="A90" s="741"/>
      <c r="B90" s="45" t="s">
        <v>172</v>
      </c>
      <c r="C90" s="742" t="s">
        <v>15</v>
      </c>
      <c r="D90" s="45"/>
      <c r="E90" s="742" t="s">
        <v>62</v>
      </c>
      <c r="F90" s="742" t="s">
        <v>211</v>
      </c>
      <c r="G90" s="45"/>
      <c r="H90" s="45"/>
      <c r="I90" s="45"/>
      <c r="J90" s="45"/>
      <c r="K90" s="742" t="s">
        <v>101</v>
      </c>
      <c r="L90" s="45"/>
      <c r="M90" s="45"/>
      <c r="N90" s="45"/>
      <c r="O90" s="45"/>
      <c r="P90" s="45"/>
      <c r="Q90" s="45"/>
    </row>
    <row r="91" spans="1:17" x14ac:dyDescent="0.2">
      <c r="A91" s="741"/>
      <c r="B91" s="45" t="s">
        <v>169</v>
      </c>
      <c r="C91" s="742" t="s">
        <v>15</v>
      </c>
      <c r="D91" s="45" t="s">
        <v>6</v>
      </c>
      <c r="E91" s="45" t="s">
        <v>62</v>
      </c>
      <c r="F91" s="45" t="s">
        <v>5</v>
      </c>
      <c r="G91" s="45" t="s">
        <v>25</v>
      </c>
      <c r="H91" s="45" t="s">
        <v>97</v>
      </c>
      <c r="I91" s="45" t="s">
        <v>74</v>
      </c>
      <c r="J91" s="45" t="s">
        <v>30</v>
      </c>
      <c r="K91" s="742" t="s">
        <v>101</v>
      </c>
      <c r="L91" s="45" t="s">
        <v>171</v>
      </c>
      <c r="M91" s="45" t="s">
        <v>82</v>
      </c>
      <c r="N91" s="45" t="s">
        <v>211</v>
      </c>
      <c r="O91" s="45" t="s">
        <v>198</v>
      </c>
      <c r="P91" s="45" t="s">
        <v>180</v>
      </c>
      <c r="Q91" s="45"/>
    </row>
    <row r="92" spans="1:17" x14ac:dyDescent="0.2">
      <c r="A92" s="741"/>
      <c r="B92" s="45" t="s">
        <v>193</v>
      </c>
      <c r="C92" s="676">
        <v>-231061130000</v>
      </c>
      <c r="D92" s="676">
        <v>-188108080000</v>
      </c>
      <c r="E92" s="676">
        <v>-109278270000</v>
      </c>
      <c r="F92" s="676">
        <v>-104055990000</v>
      </c>
      <c r="G92" s="676">
        <v>-59450940000</v>
      </c>
      <c r="H92" s="676">
        <v>-44087900000</v>
      </c>
      <c r="I92" s="676">
        <v>-37693660000</v>
      </c>
      <c r="J92" s="676">
        <v>-33561240000</v>
      </c>
      <c r="K92" s="676">
        <v>-20809130000</v>
      </c>
      <c r="L92" s="676">
        <v>-6687050000</v>
      </c>
      <c r="M92" s="676">
        <v>-6519583532</v>
      </c>
      <c r="N92" s="676">
        <v>-6022440000</v>
      </c>
      <c r="O92" s="676">
        <v>-3925790000</v>
      </c>
      <c r="P92" s="676">
        <v>-614000000</v>
      </c>
      <c r="Q92" s="45"/>
    </row>
    <row r="93" spans="1:17" x14ac:dyDescent="0.2">
      <c r="A93" s="741" t="s">
        <v>276</v>
      </c>
      <c r="B93" s="45" t="s">
        <v>174</v>
      </c>
      <c r="C93" s="742" t="s">
        <v>19</v>
      </c>
      <c r="D93" s="742" t="s">
        <v>61</v>
      </c>
      <c r="E93" s="742" t="s">
        <v>350</v>
      </c>
      <c r="F93" s="742" t="s">
        <v>214</v>
      </c>
      <c r="G93" s="742" t="s">
        <v>351</v>
      </c>
      <c r="H93" s="742" t="s">
        <v>179</v>
      </c>
      <c r="I93" s="742" t="s">
        <v>352</v>
      </c>
      <c r="J93" s="45"/>
      <c r="K93" s="45"/>
      <c r="L93" s="45"/>
      <c r="M93" s="45"/>
      <c r="N93" s="45"/>
      <c r="O93" s="45"/>
      <c r="P93" s="45"/>
      <c r="Q93" s="45"/>
    </row>
    <row r="94" spans="1:17" x14ac:dyDescent="0.2">
      <c r="A94" s="741"/>
      <c r="B94" s="45" t="s">
        <v>173</v>
      </c>
      <c r="C94" s="742" t="s">
        <v>19</v>
      </c>
      <c r="D94" s="742" t="s">
        <v>61</v>
      </c>
      <c r="E94" s="742" t="s">
        <v>350</v>
      </c>
      <c r="F94" s="742" t="s">
        <v>214</v>
      </c>
      <c r="G94" s="742" t="s">
        <v>351</v>
      </c>
      <c r="H94" s="742" t="s">
        <v>179</v>
      </c>
      <c r="I94" s="742" t="s">
        <v>352</v>
      </c>
      <c r="J94" s="45"/>
      <c r="K94" s="45"/>
      <c r="L94" s="45"/>
      <c r="M94" s="45"/>
      <c r="N94" s="45"/>
      <c r="O94" s="45"/>
      <c r="P94" s="45"/>
      <c r="Q94" s="45"/>
    </row>
    <row r="95" spans="1:17" x14ac:dyDescent="0.2">
      <c r="A95" s="741"/>
      <c r="B95" s="45" t="s">
        <v>172</v>
      </c>
      <c r="C95" s="742" t="s">
        <v>19</v>
      </c>
      <c r="D95" s="742" t="s">
        <v>61</v>
      </c>
      <c r="E95" s="742" t="s">
        <v>350</v>
      </c>
      <c r="F95" s="742" t="s">
        <v>214</v>
      </c>
      <c r="G95" s="742" t="s">
        <v>351</v>
      </c>
      <c r="H95" s="742" t="s">
        <v>179</v>
      </c>
      <c r="I95" s="742" t="s">
        <v>352</v>
      </c>
      <c r="J95" s="45"/>
      <c r="K95" s="45"/>
      <c r="L95" s="45"/>
      <c r="M95" s="45"/>
      <c r="N95" s="45"/>
      <c r="O95" s="45"/>
      <c r="P95" s="45"/>
      <c r="Q95" s="45"/>
    </row>
    <row r="96" spans="1:17" x14ac:dyDescent="0.2">
      <c r="A96" s="741"/>
      <c r="B96" s="45" t="s">
        <v>169</v>
      </c>
      <c r="C96" s="742" t="s">
        <v>19</v>
      </c>
      <c r="D96" s="742" t="s">
        <v>61</v>
      </c>
      <c r="E96" s="742" t="s">
        <v>350</v>
      </c>
      <c r="F96" s="742" t="s">
        <v>214</v>
      </c>
      <c r="G96" s="742" t="s">
        <v>351</v>
      </c>
      <c r="H96" s="742" t="s">
        <v>179</v>
      </c>
      <c r="I96" s="742" t="s">
        <v>352</v>
      </c>
      <c r="J96" s="45"/>
      <c r="K96" s="45"/>
      <c r="L96" s="45"/>
      <c r="M96" s="45"/>
      <c r="N96" s="45"/>
      <c r="O96" s="45"/>
      <c r="P96" s="45"/>
      <c r="Q96" s="45"/>
    </row>
    <row r="97" spans="1:17" x14ac:dyDescent="0.2">
      <c r="A97" s="741"/>
      <c r="B97" s="45" t="s">
        <v>193</v>
      </c>
      <c r="C97" s="676">
        <v>-464735810000</v>
      </c>
      <c r="D97" s="676">
        <v>-28892480000</v>
      </c>
      <c r="E97" s="676">
        <v>-18919980000</v>
      </c>
      <c r="F97" s="676">
        <v>-15346269353</v>
      </c>
      <c r="G97" s="676">
        <v>-3844520000</v>
      </c>
      <c r="H97" s="676">
        <v>-1712770000</v>
      </c>
      <c r="I97" s="676">
        <v>-47120144</v>
      </c>
      <c r="J97" s="45"/>
      <c r="K97" s="45"/>
      <c r="L97" s="45"/>
      <c r="M97" s="45"/>
      <c r="N97" s="45"/>
      <c r="O97" s="45"/>
      <c r="P97" s="45"/>
      <c r="Q97" s="45"/>
    </row>
    <row r="98" spans="1:17" x14ac:dyDescent="0.2">
      <c r="A98" s="741" t="s">
        <v>275</v>
      </c>
      <c r="B98" s="45" t="s">
        <v>174</v>
      </c>
      <c r="C98" s="45"/>
      <c r="D98" s="742" t="s">
        <v>344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</row>
    <row r="99" spans="1:17" x14ac:dyDescent="0.2">
      <c r="A99" s="741"/>
      <c r="B99" s="45" t="s">
        <v>173</v>
      </c>
      <c r="C99" s="45"/>
      <c r="D99" s="742" t="s">
        <v>344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</row>
    <row r="100" spans="1:17" x14ac:dyDescent="0.2">
      <c r="A100" s="741"/>
      <c r="B100" s="45" t="s">
        <v>172</v>
      </c>
      <c r="C100" s="742" t="s">
        <v>64</v>
      </c>
      <c r="D100" s="742" t="s">
        <v>344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</row>
    <row r="101" spans="1:17" x14ac:dyDescent="0.2">
      <c r="A101" s="741"/>
      <c r="B101" s="45" t="s">
        <v>169</v>
      </c>
      <c r="C101" s="742" t="s">
        <v>64</v>
      </c>
      <c r="D101" s="742" t="s">
        <v>344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</row>
    <row r="102" spans="1:17" x14ac:dyDescent="0.2">
      <c r="A102" s="741"/>
      <c r="B102" s="45" t="s">
        <v>193</v>
      </c>
      <c r="C102" s="676">
        <v>-35874770000</v>
      </c>
      <c r="D102" s="676">
        <v>-3356115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</row>
    <row r="103" spans="1:17" x14ac:dyDescent="0.2">
      <c r="A103" s="741" t="s">
        <v>274</v>
      </c>
      <c r="B103" s="45" t="s">
        <v>174</v>
      </c>
      <c r="C103" s="742" t="s">
        <v>36</v>
      </c>
      <c r="D103" s="742" t="s">
        <v>38</v>
      </c>
      <c r="E103" s="45"/>
      <c r="F103" s="45"/>
      <c r="G103" s="742" t="s">
        <v>189</v>
      </c>
      <c r="H103" s="742" t="s">
        <v>188</v>
      </c>
      <c r="I103" s="742" t="s">
        <v>347</v>
      </c>
      <c r="J103" s="742" t="s">
        <v>300</v>
      </c>
      <c r="K103" s="45"/>
      <c r="L103" s="45"/>
      <c r="M103" s="45"/>
      <c r="N103" s="45"/>
      <c r="O103" s="45"/>
      <c r="P103" s="45"/>
      <c r="Q103" s="45"/>
    </row>
    <row r="104" spans="1:17" x14ac:dyDescent="0.2">
      <c r="A104" s="741"/>
      <c r="B104" s="45" t="s">
        <v>173</v>
      </c>
      <c r="C104" s="742" t="s">
        <v>36</v>
      </c>
      <c r="D104" s="742" t="s">
        <v>38</v>
      </c>
      <c r="E104" s="45"/>
      <c r="F104" s="45"/>
      <c r="G104" s="742" t="s">
        <v>189</v>
      </c>
      <c r="H104" s="742" t="s">
        <v>188</v>
      </c>
      <c r="I104" s="742" t="s">
        <v>347</v>
      </c>
      <c r="J104" s="742" t="s">
        <v>300</v>
      </c>
      <c r="K104" s="45"/>
      <c r="L104" s="45"/>
      <c r="M104" s="45"/>
      <c r="N104" s="45"/>
      <c r="O104" s="45"/>
      <c r="P104" s="45"/>
      <c r="Q104" s="45"/>
    </row>
    <row r="105" spans="1:17" x14ac:dyDescent="0.2">
      <c r="A105" s="741"/>
      <c r="B105" s="45" t="s">
        <v>172</v>
      </c>
      <c r="C105" s="742" t="s">
        <v>36</v>
      </c>
      <c r="D105" s="742" t="s">
        <v>38</v>
      </c>
      <c r="E105" s="742" t="s">
        <v>70</v>
      </c>
      <c r="F105" s="45"/>
      <c r="G105" s="742" t="s">
        <v>189</v>
      </c>
      <c r="H105" s="742" t="s">
        <v>188</v>
      </c>
      <c r="I105" s="742" t="s">
        <v>347</v>
      </c>
      <c r="J105" s="742" t="s">
        <v>300</v>
      </c>
      <c r="K105" s="45"/>
      <c r="L105" s="45"/>
      <c r="M105" s="45"/>
      <c r="N105" s="45"/>
      <c r="O105" s="45"/>
      <c r="P105" s="45"/>
      <c r="Q105" s="45"/>
    </row>
    <row r="106" spans="1:17" x14ac:dyDescent="0.2">
      <c r="A106" s="741"/>
      <c r="B106" s="45" t="s">
        <v>169</v>
      </c>
      <c r="C106" s="742" t="s">
        <v>36</v>
      </c>
      <c r="D106" s="742" t="s">
        <v>38</v>
      </c>
      <c r="E106" s="742" t="s">
        <v>70</v>
      </c>
      <c r="F106" s="45" t="s">
        <v>20</v>
      </c>
      <c r="G106" s="742" t="s">
        <v>189</v>
      </c>
      <c r="H106" s="742" t="s">
        <v>188</v>
      </c>
      <c r="I106" s="742" t="s">
        <v>347</v>
      </c>
      <c r="J106" s="742" t="s">
        <v>300</v>
      </c>
      <c r="K106" s="45"/>
      <c r="L106" s="45"/>
      <c r="M106" s="45"/>
      <c r="N106" s="45"/>
      <c r="O106" s="45"/>
      <c r="P106" s="45"/>
      <c r="Q106" s="45"/>
    </row>
    <row r="107" spans="1:17" x14ac:dyDescent="0.2">
      <c r="A107" s="741"/>
      <c r="B107" s="45" t="s">
        <v>193</v>
      </c>
      <c r="C107" s="676">
        <v>-355307980000</v>
      </c>
      <c r="D107" s="676">
        <v>-112955840000</v>
      </c>
      <c r="E107" s="676">
        <v>-43732760000</v>
      </c>
      <c r="F107" s="676">
        <v>-33870480000</v>
      </c>
      <c r="G107" s="676">
        <v>-10717860000</v>
      </c>
      <c r="H107" s="676">
        <v>-5695720000</v>
      </c>
      <c r="I107" s="676">
        <v>-1609430000</v>
      </c>
      <c r="J107" s="676">
        <v>-1033950000</v>
      </c>
      <c r="K107" s="45"/>
      <c r="L107" s="45"/>
      <c r="M107" s="45"/>
      <c r="N107" s="45"/>
      <c r="O107" s="45"/>
      <c r="P107" s="45"/>
      <c r="Q107" s="45"/>
    </row>
    <row r="108" spans="1:17" x14ac:dyDescent="0.2">
      <c r="A108" s="741" t="s">
        <v>273</v>
      </c>
      <c r="B108" s="45" t="s">
        <v>174</v>
      </c>
      <c r="C108" s="742" t="s">
        <v>297</v>
      </c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</row>
    <row r="109" spans="1:17" x14ac:dyDescent="0.2">
      <c r="A109" s="741"/>
      <c r="B109" s="45" t="s">
        <v>173</v>
      </c>
      <c r="C109" s="742" t="s">
        <v>297</v>
      </c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</row>
    <row r="110" spans="1:17" x14ac:dyDescent="0.2">
      <c r="A110" s="741"/>
      <c r="B110" s="45" t="s">
        <v>172</v>
      </c>
      <c r="C110" s="742" t="s">
        <v>297</v>
      </c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</row>
    <row r="111" spans="1:17" x14ac:dyDescent="0.2">
      <c r="A111" s="741"/>
      <c r="B111" s="45" t="s">
        <v>169</v>
      </c>
      <c r="C111" s="742" t="s">
        <v>297</v>
      </c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</row>
    <row r="112" spans="1:17" x14ac:dyDescent="0.2">
      <c r="A112" s="741"/>
      <c r="B112" s="45" t="s">
        <v>193</v>
      </c>
      <c r="C112" s="676">
        <v>-854831412</v>
      </c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</row>
    <row r="113" spans="1:17" x14ac:dyDescent="0.2">
      <c r="A113" s="741" t="s">
        <v>272</v>
      </c>
      <c r="B113" s="45" t="s">
        <v>174</v>
      </c>
      <c r="C113" s="742" t="s">
        <v>92</v>
      </c>
      <c r="D113" s="45"/>
      <c r="E113" s="45"/>
      <c r="F113" s="742" t="s">
        <v>335</v>
      </c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</row>
    <row r="114" spans="1:17" x14ac:dyDescent="0.2">
      <c r="A114" s="741"/>
      <c r="B114" s="45" t="s">
        <v>173</v>
      </c>
      <c r="C114" s="742" t="s">
        <v>92</v>
      </c>
      <c r="D114" s="45"/>
      <c r="E114" s="45"/>
      <c r="F114" s="742" t="s">
        <v>335</v>
      </c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</row>
    <row r="115" spans="1:17" x14ac:dyDescent="0.2">
      <c r="A115" s="741"/>
      <c r="B115" s="45" t="s">
        <v>172</v>
      </c>
      <c r="C115" s="742" t="s">
        <v>92</v>
      </c>
      <c r="D115" s="45"/>
      <c r="E115" s="742" t="s">
        <v>334</v>
      </c>
      <c r="F115" s="742" t="s">
        <v>335</v>
      </c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</row>
    <row r="116" spans="1:17" x14ac:dyDescent="0.2">
      <c r="A116" s="741"/>
      <c r="B116" s="45" t="s">
        <v>169</v>
      </c>
      <c r="C116" s="742" t="s">
        <v>92</v>
      </c>
      <c r="D116" s="45" t="s">
        <v>71</v>
      </c>
      <c r="E116" s="742" t="s">
        <v>334</v>
      </c>
      <c r="F116" s="742" t="s">
        <v>335</v>
      </c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</row>
    <row r="117" spans="1:17" x14ac:dyDescent="0.2">
      <c r="A117" s="741"/>
      <c r="B117" s="45" t="s">
        <v>193</v>
      </c>
      <c r="C117" s="676">
        <v>-55611390000</v>
      </c>
      <c r="D117" s="676">
        <v>-17797170000</v>
      </c>
      <c r="E117" s="676">
        <v>-5468172924</v>
      </c>
      <c r="F117" s="676">
        <v>-3524292727</v>
      </c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</row>
    <row r="118" spans="1:17" x14ac:dyDescent="0.2">
      <c r="A118" s="741" t="s">
        <v>271</v>
      </c>
      <c r="B118" s="45" t="s">
        <v>174</v>
      </c>
      <c r="C118" s="742" t="s">
        <v>66</v>
      </c>
      <c r="D118" s="742" t="s">
        <v>111</v>
      </c>
      <c r="E118" s="742" t="s">
        <v>219</v>
      </c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</row>
    <row r="119" spans="1:17" x14ac:dyDescent="0.2">
      <c r="A119" s="741"/>
      <c r="B119" s="45" t="s">
        <v>173</v>
      </c>
      <c r="C119" s="742" t="s">
        <v>66</v>
      </c>
      <c r="D119" s="742" t="s">
        <v>111</v>
      </c>
      <c r="E119" s="742" t="s">
        <v>219</v>
      </c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</row>
    <row r="120" spans="1:17" x14ac:dyDescent="0.2">
      <c r="A120" s="741"/>
      <c r="B120" s="45" t="s">
        <v>172</v>
      </c>
      <c r="C120" s="742" t="s">
        <v>66</v>
      </c>
      <c r="D120" s="742" t="s">
        <v>111</v>
      </c>
      <c r="E120" s="742" t="s">
        <v>219</v>
      </c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</row>
    <row r="121" spans="1:17" x14ac:dyDescent="0.2">
      <c r="A121" s="741"/>
      <c r="B121" s="45" t="s">
        <v>169</v>
      </c>
      <c r="C121" s="742" t="s">
        <v>66</v>
      </c>
      <c r="D121" s="742" t="s">
        <v>111</v>
      </c>
      <c r="E121" s="742" t="s">
        <v>219</v>
      </c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</row>
    <row r="122" spans="1:17" x14ac:dyDescent="0.2">
      <c r="A122" s="741"/>
      <c r="B122" s="45" t="s">
        <v>193</v>
      </c>
      <c r="C122" s="676">
        <v>-371213929700</v>
      </c>
      <c r="D122" s="676">
        <v>-192735790000</v>
      </c>
      <c r="E122" s="676">
        <v>-18072676175</v>
      </c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</row>
    <row r="123" spans="1:17" x14ac:dyDescent="0.2">
      <c r="A123" s="741" t="s">
        <v>270</v>
      </c>
      <c r="B123" s="45" t="s">
        <v>174</v>
      </c>
      <c r="C123" s="742" t="s">
        <v>43</v>
      </c>
      <c r="D123" s="742" t="s">
        <v>77</v>
      </c>
      <c r="E123" s="742" t="s">
        <v>329</v>
      </c>
      <c r="F123" s="742" t="s">
        <v>330</v>
      </c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</row>
    <row r="124" spans="1:17" x14ac:dyDescent="0.2">
      <c r="A124" s="741"/>
      <c r="B124" s="45" t="s">
        <v>173</v>
      </c>
      <c r="C124" s="742" t="s">
        <v>43</v>
      </c>
      <c r="D124" s="742" t="s">
        <v>77</v>
      </c>
      <c r="E124" s="742" t="s">
        <v>329</v>
      </c>
      <c r="F124" s="742" t="s">
        <v>330</v>
      </c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</row>
    <row r="125" spans="1:17" x14ac:dyDescent="0.2">
      <c r="A125" s="741"/>
      <c r="B125" s="45" t="s">
        <v>172</v>
      </c>
      <c r="C125" s="742" t="s">
        <v>43</v>
      </c>
      <c r="D125" s="742" t="s">
        <v>77</v>
      </c>
      <c r="E125" s="742" t="s">
        <v>329</v>
      </c>
      <c r="F125" s="742" t="s">
        <v>330</v>
      </c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</row>
    <row r="126" spans="1:17" x14ac:dyDescent="0.2">
      <c r="A126" s="741"/>
      <c r="B126" s="45" t="s">
        <v>169</v>
      </c>
      <c r="C126" s="742" t="s">
        <v>43</v>
      </c>
      <c r="D126" s="742" t="s">
        <v>77</v>
      </c>
      <c r="E126" s="742" t="s">
        <v>329</v>
      </c>
      <c r="F126" s="742" t="s">
        <v>330</v>
      </c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</row>
    <row r="127" spans="1:17" x14ac:dyDescent="0.2">
      <c r="A127" s="741"/>
      <c r="B127" s="45" t="s">
        <v>193</v>
      </c>
      <c r="C127" s="676">
        <v>-29878580000</v>
      </c>
      <c r="D127" s="676">
        <v>-21786220000</v>
      </c>
      <c r="E127" s="676">
        <v>-196801818</v>
      </c>
      <c r="F127" s="676">
        <v>-4008629</v>
      </c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</row>
    <row r="128" spans="1:17" x14ac:dyDescent="0.2">
      <c r="A128" s="741" t="s">
        <v>269</v>
      </c>
      <c r="B128" s="45" t="s">
        <v>174</v>
      </c>
      <c r="C128" s="742" t="s">
        <v>42</v>
      </c>
      <c r="D128" s="742" t="s">
        <v>317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</row>
    <row r="129" spans="1:17" x14ac:dyDescent="0.2">
      <c r="A129" s="741"/>
      <c r="B129" s="45" t="s">
        <v>173</v>
      </c>
      <c r="C129" s="742" t="s">
        <v>42</v>
      </c>
      <c r="D129" s="742" t="s">
        <v>317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</row>
    <row r="130" spans="1:17" x14ac:dyDescent="0.2">
      <c r="A130" s="741"/>
      <c r="B130" s="45" t="s">
        <v>172</v>
      </c>
      <c r="C130" s="742" t="s">
        <v>42</v>
      </c>
      <c r="D130" s="742" t="s">
        <v>317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</row>
    <row r="131" spans="1:17" x14ac:dyDescent="0.2">
      <c r="A131" s="741"/>
      <c r="B131" s="45" t="s">
        <v>169</v>
      </c>
      <c r="C131" s="742" t="s">
        <v>42</v>
      </c>
      <c r="D131" s="742" t="s">
        <v>317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</row>
    <row r="132" spans="1:17" x14ac:dyDescent="0.2">
      <c r="A132" s="741"/>
      <c r="B132" s="45" t="s">
        <v>193</v>
      </c>
      <c r="C132" s="676">
        <v>-14161310000</v>
      </c>
      <c r="D132" s="676">
        <v>-7844804319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</row>
    <row r="133" spans="1:17" x14ac:dyDescent="0.2">
      <c r="A133" s="741" t="s">
        <v>268</v>
      </c>
      <c r="B133" s="45" t="s">
        <v>174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</row>
    <row r="134" spans="1:17" x14ac:dyDescent="0.2">
      <c r="A134" s="741"/>
      <c r="B134" s="45" t="s">
        <v>169</v>
      </c>
      <c r="C134" s="45" t="s">
        <v>321</v>
      </c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</row>
    <row r="135" spans="1:17" x14ac:dyDescent="0.2">
      <c r="A135" s="741"/>
      <c r="B135" s="45" t="s">
        <v>193</v>
      </c>
      <c r="C135" s="676">
        <v>-1205407755</v>
      </c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</row>
    <row r="136" spans="1:17" x14ac:dyDescent="0.2">
      <c r="A136" s="741" t="s">
        <v>267</v>
      </c>
      <c r="B136" s="45" t="s">
        <v>174</v>
      </c>
      <c r="C136" s="742" t="s">
        <v>285</v>
      </c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</row>
    <row r="137" spans="1:17" x14ac:dyDescent="0.2">
      <c r="A137" s="741"/>
      <c r="B137" s="45" t="s">
        <v>173</v>
      </c>
      <c r="C137" s="742" t="s">
        <v>285</v>
      </c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</row>
    <row r="138" spans="1:17" x14ac:dyDescent="0.2">
      <c r="A138" s="741"/>
      <c r="B138" s="45" t="s">
        <v>172</v>
      </c>
      <c r="C138" s="742" t="s">
        <v>285</v>
      </c>
      <c r="D138" s="742" t="s">
        <v>318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</row>
    <row r="139" spans="1:17" x14ac:dyDescent="0.2">
      <c r="A139" s="741"/>
      <c r="B139" s="45" t="s">
        <v>169</v>
      </c>
      <c r="C139" s="742" t="s">
        <v>285</v>
      </c>
      <c r="D139" s="742" t="s">
        <v>318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</row>
    <row r="140" spans="1:17" x14ac:dyDescent="0.2">
      <c r="A140" s="741"/>
      <c r="B140" s="45" t="s">
        <v>193</v>
      </c>
      <c r="C140" s="676">
        <v>-4739440904</v>
      </c>
      <c r="D140" s="676">
        <v>-3582290000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</row>
    <row r="141" spans="1:17" x14ac:dyDescent="0.2">
      <c r="A141" s="741" t="s">
        <v>265</v>
      </c>
      <c r="B141" s="45" t="s">
        <v>174</v>
      </c>
      <c r="C141" s="742" t="s">
        <v>298</v>
      </c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</row>
    <row r="142" spans="1:17" x14ac:dyDescent="0.2">
      <c r="A142" s="741"/>
      <c r="B142" s="45" t="s">
        <v>173</v>
      </c>
      <c r="C142" s="742" t="s">
        <v>298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</row>
    <row r="143" spans="1:17" x14ac:dyDescent="0.2">
      <c r="A143" s="741"/>
      <c r="B143" s="45" t="s">
        <v>172</v>
      </c>
      <c r="C143" s="742" t="s">
        <v>298</v>
      </c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</row>
    <row r="144" spans="1:17" x14ac:dyDescent="0.2">
      <c r="A144" s="741"/>
      <c r="B144" s="45" t="s">
        <v>169</v>
      </c>
      <c r="C144" s="742" t="s">
        <v>298</v>
      </c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</row>
    <row r="145" spans="1:17" x14ac:dyDescent="0.2">
      <c r="A145" s="741"/>
      <c r="B145" s="45" t="s">
        <v>193</v>
      </c>
      <c r="C145" s="676">
        <v>-1900345730</v>
      </c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</row>
    <row r="146" spans="1:17" x14ac:dyDescent="0.2">
      <c r="A146" s="741" t="s">
        <v>264</v>
      </c>
      <c r="B146" s="45" t="s">
        <v>174</v>
      </c>
      <c r="C146" s="742" t="s">
        <v>293</v>
      </c>
      <c r="D146" s="742" t="s">
        <v>35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</row>
    <row r="147" spans="1:17" x14ac:dyDescent="0.2">
      <c r="A147" s="741"/>
      <c r="B147" s="45" t="s">
        <v>173</v>
      </c>
      <c r="C147" s="742" t="s">
        <v>293</v>
      </c>
      <c r="D147" s="742" t="s">
        <v>35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</row>
    <row r="148" spans="1:17" x14ac:dyDescent="0.2">
      <c r="A148" s="741"/>
      <c r="B148" s="45" t="s">
        <v>172</v>
      </c>
      <c r="C148" s="742" t="s">
        <v>293</v>
      </c>
      <c r="D148" s="742" t="s">
        <v>35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</row>
    <row r="149" spans="1:17" x14ac:dyDescent="0.2">
      <c r="A149" s="741"/>
      <c r="B149" s="45" t="s">
        <v>169</v>
      </c>
      <c r="C149" s="742" t="s">
        <v>293</v>
      </c>
      <c r="D149" s="742" t="s">
        <v>35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</row>
    <row r="150" spans="1:17" x14ac:dyDescent="0.2">
      <c r="A150" s="741"/>
      <c r="B150" s="45" t="s">
        <v>193</v>
      </c>
      <c r="C150" s="676">
        <v>-6125290747</v>
      </c>
      <c r="D150" s="676">
        <v>-1541680000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</row>
    <row r="151" spans="1:17" x14ac:dyDescent="0.2">
      <c r="A151" s="741" t="s">
        <v>260</v>
      </c>
      <c r="B151" s="45" t="s">
        <v>174</v>
      </c>
      <c r="C151" s="742" t="s">
        <v>27</v>
      </c>
      <c r="D151" s="742" t="s">
        <v>182</v>
      </c>
      <c r="E151" s="45"/>
      <c r="F151" s="45"/>
      <c r="G151" s="742" t="s">
        <v>103</v>
      </c>
      <c r="H151" s="45"/>
      <c r="I151" s="45"/>
      <c r="J151" s="45"/>
      <c r="K151" s="45"/>
      <c r="L151" s="45"/>
      <c r="M151" s="45"/>
      <c r="N151" s="45"/>
      <c r="O151" s="45"/>
      <c r="P151" s="45"/>
      <c r="Q151" s="45"/>
    </row>
    <row r="152" spans="1:17" x14ac:dyDescent="0.2">
      <c r="A152" s="741"/>
      <c r="B152" s="45" t="s">
        <v>173</v>
      </c>
      <c r="C152" s="742" t="s">
        <v>27</v>
      </c>
      <c r="D152" s="742" t="s">
        <v>182</v>
      </c>
      <c r="E152" s="45"/>
      <c r="F152" s="45"/>
      <c r="G152" s="742" t="s">
        <v>103</v>
      </c>
      <c r="H152" s="45"/>
      <c r="I152" s="45"/>
      <c r="J152" s="45"/>
      <c r="K152" s="45"/>
      <c r="L152" s="45"/>
      <c r="M152" s="45"/>
      <c r="N152" s="45"/>
      <c r="O152" s="45"/>
      <c r="P152" s="45"/>
      <c r="Q152" s="45"/>
    </row>
    <row r="153" spans="1:17" x14ac:dyDescent="0.2">
      <c r="A153" s="741"/>
      <c r="B153" s="45" t="s">
        <v>172</v>
      </c>
      <c r="C153" s="742" t="s">
        <v>27</v>
      </c>
      <c r="D153" s="742" t="s">
        <v>182</v>
      </c>
      <c r="E153" s="742" t="s">
        <v>202</v>
      </c>
      <c r="F153" s="45"/>
      <c r="G153" s="742" t="s">
        <v>103</v>
      </c>
      <c r="H153" s="45"/>
      <c r="I153" s="45"/>
      <c r="J153" s="45"/>
      <c r="K153" s="45"/>
      <c r="L153" s="45"/>
      <c r="M153" s="45"/>
      <c r="N153" s="45"/>
      <c r="O153" s="45"/>
      <c r="P153" s="45"/>
      <c r="Q153" s="45"/>
    </row>
    <row r="154" spans="1:17" x14ac:dyDescent="0.2">
      <c r="A154" s="741"/>
      <c r="B154" s="45" t="s">
        <v>169</v>
      </c>
      <c r="C154" s="742" t="s">
        <v>27</v>
      </c>
      <c r="D154" s="742" t="s">
        <v>182</v>
      </c>
      <c r="E154" s="742" t="s">
        <v>202</v>
      </c>
      <c r="F154" s="45" t="s">
        <v>195</v>
      </c>
      <c r="G154" s="742" t="s">
        <v>103</v>
      </c>
      <c r="H154" s="45"/>
      <c r="I154" s="45"/>
      <c r="J154" s="45"/>
      <c r="K154" s="45"/>
      <c r="L154" s="45"/>
      <c r="M154" s="45"/>
      <c r="N154" s="45"/>
      <c r="O154" s="45"/>
      <c r="P154" s="45"/>
      <c r="Q154" s="45"/>
    </row>
    <row r="155" spans="1:17" x14ac:dyDescent="0.2">
      <c r="A155" s="741"/>
      <c r="B155" s="45" t="s">
        <v>193</v>
      </c>
      <c r="C155" s="676">
        <v>-1250918830000</v>
      </c>
      <c r="D155" s="676">
        <v>-101054980000</v>
      </c>
      <c r="E155" s="676">
        <v>-27616610000</v>
      </c>
      <c r="F155" s="676">
        <v>-9867360000</v>
      </c>
      <c r="G155" s="676">
        <v>-2714852793</v>
      </c>
      <c r="H155" s="45"/>
      <c r="I155" s="45"/>
      <c r="J155" s="45"/>
      <c r="K155" s="45"/>
      <c r="L155" s="45"/>
      <c r="M155" s="45"/>
      <c r="N155" s="45"/>
      <c r="O155" s="45"/>
      <c r="P155" s="45"/>
      <c r="Q155" s="45"/>
    </row>
    <row r="156" spans="1:17" x14ac:dyDescent="0.2">
      <c r="A156" s="741" t="s">
        <v>259</v>
      </c>
      <c r="B156" s="45" t="s">
        <v>174</v>
      </c>
      <c r="C156" s="742" t="s">
        <v>83</v>
      </c>
      <c r="D156" s="742" t="s">
        <v>278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</row>
    <row r="157" spans="1:17" x14ac:dyDescent="0.2">
      <c r="A157" s="741"/>
      <c r="B157" s="45" t="s">
        <v>173</v>
      </c>
      <c r="C157" s="742" t="s">
        <v>83</v>
      </c>
      <c r="D157" s="742" t="s">
        <v>278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</row>
    <row r="158" spans="1:17" x14ac:dyDescent="0.2">
      <c r="A158" s="741"/>
      <c r="B158" s="45" t="s">
        <v>172</v>
      </c>
      <c r="C158" s="742" t="s">
        <v>83</v>
      </c>
      <c r="D158" s="742" t="s">
        <v>278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</row>
    <row r="159" spans="1:17" x14ac:dyDescent="0.2">
      <c r="A159" s="741"/>
      <c r="B159" s="45" t="s">
        <v>169</v>
      </c>
      <c r="C159" s="742" t="s">
        <v>83</v>
      </c>
      <c r="D159" s="742" t="s">
        <v>278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</row>
    <row r="160" spans="1:17" x14ac:dyDescent="0.2">
      <c r="A160" s="741"/>
      <c r="B160" s="45" t="s">
        <v>193</v>
      </c>
      <c r="C160" s="676">
        <v>-219331790000</v>
      </c>
      <c r="D160" s="676">
        <v>-13103270000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</row>
    <row r="161" spans="1:17" x14ac:dyDescent="0.2">
      <c r="A161" s="741" t="s">
        <v>256</v>
      </c>
      <c r="B161" s="45" t="s">
        <v>174</v>
      </c>
      <c r="C161" s="742" t="s">
        <v>60</v>
      </c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</row>
    <row r="162" spans="1:17" x14ac:dyDescent="0.2">
      <c r="A162" s="741"/>
      <c r="B162" s="45" t="s">
        <v>173</v>
      </c>
      <c r="C162" s="742" t="s">
        <v>60</v>
      </c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</row>
    <row r="163" spans="1:17" x14ac:dyDescent="0.2">
      <c r="A163" s="741"/>
      <c r="B163" s="45" t="s">
        <v>172</v>
      </c>
      <c r="C163" s="742" t="s">
        <v>60</v>
      </c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</row>
    <row r="164" spans="1:17" x14ac:dyDescent="0.2">
      <c r="A164" s="741"/>
      <c r="B164" s="45" t="s">
        <v>169</v>
      </c>
      <c r="C164" s="742" t="s">
        <v>60</v>
      </c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</row>
    <row r="165" spans="1:17" x14ac:dyDescent="0.2">
      <c r="A165" s="741"/>
      <c r="B165" s="45" t="s">
        <v>193</v>
      </c>
      <c r="C165" s="676">
        <v>-34920256491</v>
      </c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</row>
    <row r="166" spans="1:17" x14ac:dyDescent="0.2">
      <c r="A166" s="741" t="s">
        <v>255</v>
      </c>
      <c r="B166" s="45" t="s">
        <v>174</v>
      </c>
      <c r="C166" s="742" t="s">
        <v>44</v>
      </c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</row>
    <row r="167" spans="1:17" x14ac:dyDescent="0.2">
      <c r="A167" s="741"/>
      <c r="B167" s="45" t="s">
        <v>173</v>
      </c>
      <c r="C167" s="742"/>
      <c r="D167" s="45"/>
      <c r="E167" s="45"/>
      <c r="F167" s="742" t="s">
        <v>280</v>
      </c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</row>
    <row r="168" spans="1:17" x14ac:dyDescent="0.2">
      <c r="A168" s="741"/>
      <c r="B168" s="45" t="s">
        <v>172</v>
      </c>
      <c r="C168" s="742"/>
      <c r="D168" s="45"/>
      <c r="E168" s="45"/>
      <c r="F168" s="742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</row>
    <row r="169" spans="1:17" x14ac:dyDescent="0.2">
      <c r="A169" s="741"/>
      <c r="B169" s="45" t="s">
        <v>169</v>
      </c>
      <c r="C169" s="742"/>
      <c r="D169" s="45" t="s">
        <v>100</v>
      </c>
      <c r="E169" s="45" t="s">
        <v>39</v>
      </c>
      <c r="F169" s="742"/>
      <c r="G169" s="45" t="s">
        <v>89</v>
      </c>
      <c r="H169" s="45" t="s">
        <v>281</v>
      </c>
      <c r="I169" s="45" t="s">
        <v>37</v>
      </c>
      <c r="J169" s="45"/>
      <c r="K169" s="45"/>
      <c r="L169" s="45"/>
      <c r="M169" s="45"/>
      <c r="N169" s="45"/>
      <c r="O169" s="45"/>
      <c r="P169" s="45"/>
      <c r="Q169" s="45"/>
    </row>
    <row r="170" spans="1:17" x14ac:dyDescent="0.2">
      <c r="A170" s="741"/>
      <c r="B170" s="45" t="s">
        <v>193</v>
      </c>
      <c r="C170" s="676">
        <v>-469863100000</v>
      </c>
      <c r="D170" s="676">
        <v>-61020160000</v>
      </c>
      <c r="E170" s="676">
        <v>-21522880000</v>
      </c>
      <c r="F170" s="676">
        <v>-16016901182</v>
      </c>
      <c r="G170" s="676">
        <v>-9275880167</v>
      </c>
      <c r="H170" s="676">
        <v>-7053040000</v>
      </c>
      <c r="I170" s="676">
        <v>-579760000</v>
      </c>
      <c r="J170" s="45"/>
      <c r="K170" s="45"/>
      <c r="L170" s="45"/>
      <c r="M170" s="45"/>
      <c r="N170" s="45"/>
      <c r="O170" s="45"/>
      <c r="P170" s="45"/>
      <c r="Q170" s="45"/>
    </row>
    <row r="171" spans="1:17" x14ac:dyDescent="0.2">
      <c r="A171" s="2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</row>
    <row r="172" spans="1:17" x14ac:dyDescent="0.2">
      <c r="A172" s="25"/>
      <c r="C172" s="676"/>
      <c r="D172" s="676"/>
      <c r="E172" s="676"/>
      <c r="F172" s="676"/>
      <c r="G172" s="676"/>
      <c r="H172" s="676"/>
      <c r="I172" s="676"/>
      <c r="J172" s="676"/>
      <c r="K172" s="45"/>
      <c r="L172" s="45"/>
      <c r="M172" s="45"/>
      <c r="N172" s="45"/>
      <c r="O172" s="45"/>
      <c r="P172" s="45"/>
      <c r="Q172" s="45"/>
    </row>
    <row r="173" spans="1:17" x14ac:dyDescent="0.2">
      <c r="A173" s="2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</row>
    <row r="174" spans="1:17" x14ac:dyDescent="0.2">
      <c r="A174" s="2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</row>
    <row r="175" spans="1:17" x14ac:dyDescent="0.2">
      <c r="A175" s="2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</row>
    <row r="176" spans="1:17" x14ac:dyDescent="0.2">
      <c r="A176" s="2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</row>
    <row r="177" spans="1:20" x14ac:dyDescent="0.2">
      <c r="A177" s="25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x14ac:dyDescent="0.2">
      <c r="A178" s="741"/>
    </row>
    <row r="179" spans="1:20" x14ac:dyDescent="0.2">
      <c r="A179" s="741"/>
    </row>
    <row r="180" spans="1:20" x14ac:dyDescent="0.2">
      <c r="A180" s="741"/>
    </row>
    <row r="181" spans="1:20" x14ac:dyDescent="0.2">
      <c r="A181" s="741"/>
    </row>
    <row r="182" spans="1:20" x14ac:dyDescent="0.2">
      <c r="A182" s="741"/>
      <c r="C182" s="17"/>
      <c r="D182" s="17"/>
      <c r="E182" s="17"/>
      <c r="F182" s="17"/>
      <c r="G182" s="17"/>
      <c r="H182" s="17"/>
      <c r="I182" s="17"/>
      <c r="J182" s="17"/>
      <c r="K182" s="17"/>
    </row>
    <row r="183" spans="1:20" x14ac:dyDescent="0.2">
      <c r="A183" s="741"/>
    </row>
    <row r="184" spans="1:20" x14ac:dyDescent="0.2">
      <c r="A184" s="741"/>
    </row>
    <row r="185" spans="1:20" x14ac:dyDescent="0.2">
      <c r="A185" s="741"/>
    </row>
    <row r="186" spans="1:20" x14ac:dyDescent="0.2">
      <c r="A186" s="741"/>
    </row>
    <row r="187" spans="1:20" x14ac:dyDescent="0.2">
      <c r="A187" s="741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</row>
    <row r="191" spans="1:20" x14ac:dyDescent="0.2">
      <c r="A191" s="25"/>
    </row>
  </sheetData>
  <mergeCells count="156">
    <mergeCell ref="C5:C7"/>
    <mergeCell ref="A9:A12"/>
    <mergeCell ref="A5:A8"/>
    <mergeCell ref="A13:A16"/>
    <mergeCell ref="E13:E15"/>
    <mergeCell ref="F13:F15"/>
    <mergeCell ref="H22:H23"/>
    <mergeCell ref="D14:D15"/>
    <mergeCell ref="A133:A135"/>
    <mergeCell ref="A128:A132"/>
    <mergeCell ref="A123:A127"/>
    <mergeCell ref="A118:A122"/>
    <mergeCell ref="A45:A48"/>
    <mergeCell ref="A49:A52"/>
    <mergeCell ref="A57:A60"/>
    <mergeCell ref="A65:A68"/>
    <mergeCell ref="A61:A64"/>
    <mergeCell ref="A113:A117"/>
    <mergeCell ref="A80:A83"/>
    <mergeCell ref="A108:A112"/>
    <mergeCell ref="A103:A107"/>
    <mergeCell ref="A98:A102"/>
    <mergeCell ref="A93:A97"/>
    <mergeCell ref="A33:A36"/>
    <mergeCell ref="A41:A44"/>
    <mergeCell ref="A88:A92"/>
    <mergeCell ref="A69:A72"/>
    <mergeCell ref="A183:A187"/>
    <mergeCell ref="A178:A182"/>
    <mergeCell ref="A166:A170"/>
    <mergeCell ref="A161:A165"/>
    <mergeCell ref="A136:A140"/>
    <mergeCell ref="A156:A160"/>
    <mergeCell ref="A151:A155"/>
    <mergeCell ref="A146:A150"/>
    <mergeCell ref="A141:A145"/>
    <mergeCell ref="A73:A75"/>
    <mergeCell ref="A76:A79"/>
    <mergeCell ref="A53:A56"/>
    <mergeCell ref="A84:A87"/>
    <mergeCell ref="A37:A40"/>
    <mergeCell ref="L17:L19"/>
    <mergeCell ref="L21:L23"/>
    <mergeCell ref="G21:G23"/>
    <mergeCell ref="G29:G31"/>
    <mergeCell ref="H29:H31"/>
    <mergeCell ref="A17:A20"/>
    <mergeCell ref="C17:C19"/>
    <mergeCell ref="D17:D19"/>
    <mergeCell ref="F17:F19"/>
    <mergeCell ref="H17:H19"/>
    <mergeCell ref="A25:A28"/>
    <mergeCell ref="A29:A32"/>
    <mergeCell ref="A21:A24"/>
    <mergeCell ref="D61:D63"/>
    <mergeCell ref="J45:J47"/>
    <mergeCell ref="K45:K47"/>
    <mergeCell ref="C57:C59"/>
    <mergeCell ref="C49:C51"/>
    <mergeCell ref="C45:C47"/>
    <mergeCell ref="C41:C43"/>
    <mergeCell ref="N45:N47"/>
    <mergeCell ref="M25:M27"/>
    <mergeCell ref="G33:G35"/>
    <mergeCell ref="E37:E39"/>
    <mergeCell ref="F41:F43"/>
    <mergeCell ref="D41:D43"/>
    <mergeCell ref="D30:D31"/>
    <mergeCell ref="D38:D39"/>
    <mergeCell ref="C25:C27"/>
    <mergeCell ref="G45:G47"/>
    <mergeCell ref="E45:E47"/>
    <mergeCell ref="F49:F51"/>
    <mergeCell ref="G49:G51"/>
    <mergeCell ref="I49:I51"/>
    <mergeCell ref="I53:I55"/>
    <mergeCell ref="H53:H55"/>
    <mergeCell ref="F53:F55"/>
    <mergeCell ref="H57:H59"/>
    <mergeCell ref="H61:H63"/>
    <mergeCell ref="E61:E63"/>
    <mergeCell ref="D76:D78"/>
    <mergeCell ref="C80:C82"/>
    <mergeCell ref="D80:D82"/>
    <mergeCell ref="C84:C86"/>
    <mergeCell ref="E88:E90"/>
    <mergeCell ref="D65:D67"/>
    <mergeCell ref="E65:E67"/>
    <mergeCell ref="F65:F67"/>
    <mergeCell ref="G65:G67"/>
    <mergeCell ref="C166:C169"/>
    <mergeCell ref="C161:C164"/>
    <mergeCell ref="C156:C159"/>
    <mergeCell ref="D156:D159"/>
    <mergeCell ref="D151:D154"/>
    <mergeCell ref="C151:C154"/>
    <mergeCell ref="D146:D149"/>
    <mergeCell ref="C123:C126"/>
    <mergeCell ref="D123:D126"/>
    <mergeCell ref="G151:G154"/>
    <mergeCell ref="C146:C149"/>
    <mergeCell ref="C141:C144"/>
    <mergeCell ref="C136:C139"/>
    <mergeCell ref="C128:C131"/>
    <mergeCell ref="D128:D131"/>
    <mergeCell ref="D138:D139"/>
    <mergeCell ref="E153:E154"/>
    <mergeCell ref="E123:E126"/>
    <mergeCell ref="P22:P23"/>
    <mergeCell ref="C90:C91"/>
    <mergeCell ref="L81:L82"/>
    <mergeCell ref="C100:C101"/>
    <mergeCell ref="J62:J63"/>
    <mergeCell ref="C73:C74"/>
    <mergeCell ref="G93:G96"/>
    <mergeCell ref="H93:H96"/>
    <mergeCell ref="I93:I96"/>
    <mergeCell ref="K88:K91"/>
    <mergeCell ref="D85:D86"/>
    <mergeCell ref="D98:D101"/>
    <mergeCell ref="D93:D96"/>
    <mergeCell ref="C93:C96"/>
    <mergeCell ref="E93:E96"/>
    <mergeCell ref="F93:F96"/>
    <mergeCell ref="I80:I82"/>
    <mergeCell ref="J84:J86"/>
    <mergeCell ref="L84:L86"/>
    <mergeCell ref="F84:F86"/>
    <mergeCell ref="F88:F90"/>
    <mergeCell ref="D69:D71"/>
    <mergeCell ref="E69:E71"/>
    <mergeCell ref="C76:C78"/>
    <mergeCell ref="A2:A4"/>
    <mergeCell ref="H81:H82"/>
    <mergeCell ref="D2:D3"/>
    <mergeCell ref="C9:C11"/>
    <mergeCell ref="F167:F169"/>
    <mergeCell ref="L58:L59"/>
    <mergeCell ref="M58:M59"/>
    <mergeCell ref="L46:L47"/>
    <mergeCell ref="J30:J31"/>
    <mergeCell ref="G103:G106"/>
    <mergeCell ref="H103:H106"/>
    <mergeCell ref="I103:I106"/>
    <mergeCell ref="J103:J106"/>
    <mergeCell ref="D103:D106"/>
    <mergeCell ref="E105:E106"/>
    <mergeCell ref="F123:F126"/>
    <mergeCell ref="D118:D121"/>
    <mergeCell ref="C118:C121"/>
    <mergeCell ref="C113:C116"/>
    <mergeCell ref="C108:C111"/>
    <mergeCell ref="F113:F116"/>
    <mergeCell ref="E115:E116"/>
    <mergeCell ref="C103:C106"/>
    <mergeCell ref="E118:E1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sheetPr codeName="Sheet4">
    <tabColor theme="9" tint="0.59999389629810485"/>
  </sheetPr>
  <dimension ref="A1:U155"/>
  <sheetViews>
    <sheetView topLeftCell="A75" workbookViewId="0">
      <selection activeCell="I27" sqref="I27"/>
    </sheetView>
  </sheetViews>
  <sheetFormatPr baseColWidth="10" defaultRowHeight="16" x14ac:dyDescent="0.2"/>
  <cols>
    <col min="3" max="3" width="18.83203125" customWidth="1"/>
    <col min="4" max="4" width="16.33203125" customWidth="1"/>
    <col min="5" max="5" width="16" customWidth="1"/>
    <col min="6" max="6" width="17.83203125" customWidth="1"/>
    <col min="7" max="7" width="16.83203125" customWidth="1"/>
    <col min="8" max="8" width="18" customWidth="1"/>
    <col min="9" max="9" width="15.83203125" customWidth="1"/>
    <col min="10" max="10" width="17" customWidth="1"/>
    <col min="11" max="11" width="15.6640625" customWidth="1"/>
    <col min="12" max="12" width="16" customWidth="1"/>
    <col min="13" max="13" width="14.83203125" customWidth="1"/>
    <col min="14" max="14" width="17.1640625" customWidth="1"/>
    <col min="15" max="15" width="15" customWidth="1"/>
    <col min="16" max="16" width="13.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21" x14ac:dyDescent="0.2">
      <c r="A1" s="28" t="s">
        <v>117</v>
      </c>
      <c r="B1" s="27" t="s">
        <v>176</v>
      </c>
    </row>
    <row r="2" spans="1:21" x14ac:dyDescent="0.2">
      <c r="A2" s="741" t="s">
        <v>440</v>
      </c>
      <c r="B2" s="45" t="s">
        <v>173</v>
      </c>
      <c r="C2" s="742" t="s">
        <v>109</v>
      </c>
      <c r="D2" s="45"/>
      <c r="E2" s="742" t="s">
        <v>287</v>
      </c>
      <c r="F2" s="45"/>
      <c r="G2" s="742" t="s">
        <v>425</v>
      </c>
      <c r="H2" s="45"/>
      <c r="I2" s="742" t="s">
        <v>203</v>
      </c>
      <c r="J2" s="45"/>
      <c r="K2" s="742" t="s">
        <v>411</v>
      </c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1" x14ac:dyDescent="0.2">
      <c r="A3" s="741" t="s">
        <v>440</v>
      </c>
      <c r="B3" s="45" t="s">
        <v>172</v>
      </c>
      <c r="C3" s="742" t="s">
        <v>109</v>
      </c>
      <c r="D3" s="742" t="s">
        <v>20</v>
      </c>
      <c r="E3" s="742" t="s">
        <v>287</v>
      </c>
      <c r="F3" s="742" t="s">
        <v>81</v>
      </c>
      <c r="G3" s="742" t="s">
        <v>425</v>
      </c>
      <c r="H3" s="45"/>
      <c r="I3" s="742" t="s">
        <v>203</v>
      </c>
      <c r="J3" s="45"/>
      <c r="K3" s="742" t="s">
        <v>411</v>
      </c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1" x14ac:dyDescent="0.2">
      <c r="A4" s="741" t="s">
        <v>440</v>
      </c>
      <c r="B4" s="45" t="s">
        <v>169</v>
      </c>
      <c r="C4" s="742" t="s">
        <v>109</v>
      </c>
      <c r="D4" s="742" t="s">
        <v>20</v>
      </c>
      <c r="E4" s="742" t="s">
        <v>287</v>
      </c>
      <c r="F4" s="742" t="s">
        <v>81</v>
      </c>
      <c r="G4" s="742" t="s">
        <v>425</v>
      </c>
      <c r="H4" s="45" t="s">
        <v>182</v>
      </c>
      <c r="I4" s="742" t="s">
        <v>203</v>
      </c>
      <c r="J4" s="45" t="s">
        <v>98</v>
      </c>
      <c r="K4" s="742" t="s">
        <v>411</v>
      </c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1" x14ac:dyDescent="0.2">
      <c r="A5" s="741" t="s">
        <v>440</v>
      </c>
      <c r="B5" s="45" t="s">
        <v>193</v>
      </c>
      <c r="C5" s="676">
        <v>149905550000</v>
      </c>
      <c r="D5" s="676">
        <v>149663980000</v>
      </c>
      <c r="E5" s="676">
        <v>23265640000</v>
      </c>
      <c r="F5" s="676">
        <v>6196559000</v>
      </c>
      <c r="G5" s="676">
        <v>4243665000</v>
      </c>
      <c r="H5" s="676">
        <v>3448000000</v>
      </c>
      <c r="I5" s="676">
        <v>1948272000</v>
      </c>
      <c r="J5" s="676">
        <v>792540000</v>
      </c>
      <c r="K5" s="676">
        <v>11520000</v>
      </c>
      <c r="L5" s="45"/>
      <c r="M5" s="45"/>
      <c r="N5" s="45"/>
      <c r="O5" s="45"/>
      <c r="P5" s="45"/>
      <c r="Q5" s="45"/>
      <c r="R5" s="45"/>
      <c r="S5" s="45"/>
      <c r="T5" s="45"/>
      <c r="U5" s="45"/>
    </row>
    <row r="6" spans="1:21" x14ac:dyDescent="0.2">
      <c r="A6" s="741" t="s">
        <v>432</v>
      </c>
      <c r="B6" s="45" t="s">
        <v>173</v>
      </c>
      <c r="C6" s="742" t="s">
        <v>338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 x14ac:dyDescent="0.2">
      <c r="A7" s="741"/>
      <c r="B7" s="45" t="s">
        <v>172</v>
      </c>
      <c r="C7" s="742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</row>
    <row r="8" spans="1:21" x14ac:dyDescent="0.2">
      <c r="A8" s="741"/>
      <c r="B8" s="45" t="s">
        <v>169</v>
      </c>
      <c r="C8" s="742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</row>
    <row r="9" spans="1:21" x14ac:dyDescent="0.2">
      <c r="A9" s="741"/>
      <c r="B9" s="45" t="s">
        <v>193</v>
      </c>
      <c r="C9" s="676">
        <v>34300000000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21" x14ac:dyDescent="0.2">
      <c r="A10" s="741" t="s">
        <v>431</v>
      </c>
      <c r="B10" s="45" t="s">
        <v>169</v>
      </c>
      <c r="C10" s="45" t="s">
        <v>32</v>
      </c>
      <c r="D10" s="45" t="s">
        <v>184</v>
      </c>
      <c r="E10" s="45" t="s">
        <v>182</v>
      </c>
      <c r="F10" s="45" t="s">
        <v>317</v>
      </c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</row>
    <row r="11" spans="1:21" x14ac:dyDescent="0.2">
      <c r="A11" s="741" t="s">
        <v>431</v>
      </c>
      <c r="B11" s="45" t="s">
        <v>193</v>
      </c>
      <c r="C11" s="676">
        <v>8456985600</v>
      </c>
      <c r="D11" s="676">
        <v>6216810000</v>
      </c>
      <c r="E11" s="676">
        <v>2602240000</v>
      </c>
      <c r="F11" s="676">
        <v>1523960000</v>
      </c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 x14ac:dyDescent="0.2">
      <c r="A12" s="741" t="s">
        <v>430</v>
      </c>
      <c r="B12" s="45" t="s">
        <v>172</v>
      </c>
      <c r="C12" s="742" t="s">
        <v>24</v>
      </c>
      <c r="D12" s="45"/>
      <c r="E12" s="742" t="s">
        <v>289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x14ac:dyDescent="0.2">
      <c r="A13" s="741"/>
      <c r="B13" s="45" t="s">
        <v>169</v>
      </c>
      <c r="C13" s="742" t="s">
        <v>24</v>
      </c>
      <c r="D13" s="45" t="s">
        <v>41</v>
      </c>
      <c r="E13" s="742" t="s">
        <v>289</v>
      </c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1" x14ac:dyDescent="0.2">
      <c r="A14" s="741"/>
      <c r="B14" s="45" t="s">
        <v>193</v>
      </c>
      <c r="C14" s="676">
        <v>101032540000</v>
      </c>
      <c r="D14" s="676">
        <v>17968500000</v>
      </c>
      <c r="E14" s="676">
        <v>10219000000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</row>
    <row r="15" spans="1:21" x14ac:dyDescent="0.2">
      <c r="A15" s="741" t="s">
        <v>423</v>
      </c>
      <c r="B15" s="45" t="s">
        <v>172</v>
      </c>
      <c r="C15" s="45"/>
      <c r="D15" s="742" t="s">
        <v>14</v>
      </c>
      <c r="E15" s="45"/>
      <c r="F15" s="45"/>
      <c r="G15" s="45"/>
      <c r="H15" s="45"/>
      <c r="I15" s="45"/>
      <c r="J15" s="742" t="s">
        <v>28</v>
      </c>
      <c r="K15" s="742" t="s">
        <v>367</v>
      </c>
      <c r="L15" s="45"/>
      <c r="M15" s="45"/>
      <c r="N15" s="45"/>
      <c r="O15" s="45"/>
      <c r="P15" s="45"/>
      <c r="Q15" s="45"/>
      <c r="R15" s="742" t="s">
        <v>411</v>
      </c>
      <c r="S15" s="45"/>
      <c r="T15" s="45"/>
      <c r="U15" s="45"/>
    </row>
    <row r="16" spans="1:21" x14ac:dyDescent="0.2">
      <c r="A16" s="741"/>
      <c r="B16" s="45" t="s">
        <v>169</v>
      </c>
      <c r="C16" s="45" t="s">
        <v>26</v>
      </c>
      <c r="D16" s="742"/>
      <c r="E16" s="45" t="s">
        <v>38</v>
      </c>
      <c r="F16" s="45" t="s">
        <v>61</v>
      </c>
      <c r="G16" s="45" t="s">
        <v>62</v>
      </c>
      <c r="H16" s="45" t="s">
        <v>37</v>
      </c>
      <c r="I16" s="45" t="s">
        <v>20</v>
      </c>
      <c r="J16" s="742" t="s">
        <v>28</v>
      </c>
      <c r="K16" s="742" t="s">
        <v>367</v>
      </c>
      <c r="L16" s="45" t="s">
        <v>425</v>
      </c>
      <c r="M16" s="45" t="s">
        <v>105</v>
      </c>
      <c r="N16" s="45" t="s">
        <v>278</v>
      </c>
      <c r="O16" s="45" t="s">
        <v>99</v>
      </c>
      <c r="P16" s="45" t="s">
        <v>287</v>
      </c>
      <c r="Q16" s="45" t="s">
        <v>179</v>
      </c>
      <c r="R16" s="742" t="s">
        <v>411</v>
      </c>
      <c r="S16" s="45"/>
      <c r="T16" s="45"/>
      <c r="U16" s="45"/>
    </row>
    <row r="17" spans="1:21" x14ac:dyDescent="0.2">
      <c r="A17" s="741"/>
      <c r="B17" s="45" t="s">
        <v>193</v>
      </c>
      <c r="C17" s="676">
        <v>114745294000</v>
      </c>
      <c r="D17" s="676">
        <v>71394020000</v>
      </c>
      <c r="E17" s="676">
        <v>51289133000</v>
      </c>
      <c r="F17" s="676">
        <v>26144530000</v>
      </c>
      <c r="G17" s="676">
        <v>20179110000</v>
      </c>
      <c r="H17" s="676">
        <v>18736215000</v>
      </c>
      <c r="I17" s="676">
        <v>14982865000</v>
      </c>
      <c r="J17" s="676">
        <v>14672340000</v>
      </c>
      <c r="K17" s="676">
        <v>13154060000</v>
      </c>
      <c r="L17" s="676">
        <v>8247965000</v>
      </c>
      <c r="M17" s="676">
        <v>3093000000</v>
      </c>
      <c r="N17" s="676">
        <v>763400000</v>
      </c>
      <c r="O17" s="676">
        <v>584910000</v>
      </c>
      <c r="P17" s="676">
        <v>545460000</v>
      </c>
      <c r="Q17" s="676">
        <v>312170000</v>
      </c>
      <c r="R17" s="676">
        <v>128180000</v>
      </c>
      <c r="S17" s="45"/>
      <c r="T17" s="45"/>
      <c r="U17" s="45"/>
    </row>
    <row r="18" spans="1:21" x14ac:dyDescent="0.2">
      <c r="A18" s="741" t="s">
        <v>421</v>
      </c>
      <c r="B18" s="45" t="s">
        <v>169</v>
      </c>
      <c r="C18" s="45" t="s">
        <v>340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</row>
    <row r="19" spans="1:21" x14ac:dyDescent="0.2">
      <c r="A19" s="741"/>
      <c r="B19" s="45" t="s">
        <v>193</v>
      </c>
      <c r="C19" s="676">
        <v>504565000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</row>
    <row r="20" spans="1:21" x14ac:dyDescent="0.2">
      <c r="A20" s="741" t="s">
        <v>417</v>
      </c>
      <c r="B20" s="45" t="s">
        <v>172</v>
      </c>
      <c r="C20" s="742" t="s">
        <v>83</v>
      </c>
      <c r="D20" s="45"/>
      <c r="E20" s="45"/>
      <c r="F20" s="45"/>
      <c r="G20" s="45"/>
      <c r="H20" s="45"/>
      <c r="I20" s="45"/>
      <c r="J20" s="742" t="s">
        <v>418</v>
      </c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</row>
    <row r="21" spans="1:21" x14ac:dyDescent="0.2">
      <c r="A21" s="741"/>
      <c r="B21" s="45" t="s">
        <v>169</v>
      </c>
      <c r="C21" s="742" t="s">
        <v>83</v>
      </c>
      <c r="D21" s="45" t="s">
        <v>35</v>
      </c>
      <c r="E21" s="45" t="s">
        <v>5</v>
      </c>
      <c r="F21" s="45" t="s">
        <v>81</v>
      </c>
      <c r="G21" s="45" t="s">
        <v>62</v>
      </c>
      <c r="H21" s="45" t="s">
        <v>229</v>
      </c>
      <c r="I21" s="45" t="s">
        <v>6</v>
      </c>
      <c r="J21" s="742" t="s">
        <v>418</v>
      </c>
      <c r="K21" s="45" t="s">
        <v>411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</row>
    <row r="22" spans="1:21" x14ac:dyDescent="0.2">
      <c r="A22" s="741"/>
      <c r="B22" s="45" t="s">
        <v>193</v>
      </c>
      <c r="C22" s="676">
        <v>125635635000</v>
      </c>
      <c r="D22" s="676">
        <v>41427410000</v>
      </c>
      <c r="E22" s="676">
        <v>25834988000</v>
      </c>
      <c r="F22" s="676">
        <v>19179399000</v>
      </c>
      <c r="G22" s="676">
        <v>18925350000</v>
      </c>
      <c r="H22" s="676">
        <v>12019334000</v>
      </c>
      <c r="I22" s="676">
        <v>1916165000</v>
      </c>
      <c r="J22" s="676">
        <v>1320000000</v>
      </c>
      <c r="K22" s="676">
        <v>46000000</v>
      </c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1:21" x14ac:dyDescent="0.2">
      <c r="A23" s="741" t="s">
        <v>416</v>
      </c>
      <c r="B23" s="45" t="s">
        <v>172</v>
      </c>
      <c r="C23" s="742" t="s">
        <v>203</v>
      </c>
      <c r="D23" s="742" t="s">
        <v>219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</row>
    <row r="24" spans="1:21" x14ac:dyDescent="0.2">
      <c r="A24" s="741"/>
      <c r="B24" s="45" t="s">
        <v>169</v>
      </c>
      <c r="C24" s="742" t="s">
        <v>203</v>
      </c>
      <c r="D24" s="742" t="s">
        <v>219</v>
      </c>
      <c r="E24" s="45" t="s">
        <v>184</v>
      </c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1" x14ac:dyDescent="0.2">
      <c r="A25" s="741"/>
      <c r="B25" s="45" t="s">
        <v>193</v>
      </c>
      <c r="C25" s="676">
        <v>13872105000</v>
      </c>
      <c r="D25" s="676">
        <v>9033000000</v>
      </c>
      <c r="E25" s="676">
        <v>5696290000</v>
      </c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1" x14ac:dyDescent="0.2">
      <c r="A26" s="741" t="s">
        <v>414</v>
      </c>
      <c r="B26" s="45" t="s">
        <v>169</v>
      </c>
      <c r="C26" s="45" t="s">
        <v>15</v>
      </c>
      <c r="D26" s="45" t="s">
        <v>203</v>
      </c>
      <c r="E26" s="45" t="s">
        <v>100</v>
      </c>
      <c r="F26" s="45" t="s">
        <v>411</v>
      </c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</row>
    <row r="27" spans="1:21" x14ac:dyDescent="0.2">
      <c r="A27" s="741"/>
      <c r="B27" s="45" t="s">
        <v>193</v>
      </c>
      <c r="C27" s="676">
        <v>85819085000</v>
      </c>
      <c r="D27" s="676">
        <v>6962150000</v>
      </c>
      <c r="E27" s="676">
        <v>3038475000</v>
      </c>
      <c r="F27" s="676">
        <v>42080000</v>
      </c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</row>
    <row r="28" spans="1:21" x14ac:dyDescent="0.2">
      <c r="A28" s="741" t="s">
        <v>412</v>
      </c>
      <c r="B28" s="45" t="s">
        <v>169</v>
      </c>
      <c r="C28" s="45" t="s">
        <v>73</v>
      </c>
      <c r="D28" s="45" t="s">
        <v>28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</row>
    <row r="29" spans="1:21" x14ac:dyDescent="0.2">
      <c r="A29" s="741"/>
      <c r="B29" s="45" t="s">
        <v>193</v>
      </c>
      <c r="C29" s="676">
        <v>18935495000</v>
      </c>
      <c r="D29" s="676">
        <v>12781950000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</row>
    <row r="30" spans="1:21" x14ac:dyDescent="0.2">
      <c r="A30" s="741" t="s">
        <v>410</v>
      </c>
      <c r="B30" s="45" t="s">
        <v>172</v>
      </c>
      <c r="C30" s="742" t="s">
        <v>24</v>
      </c>
      <c r="D30" s="742" t="s">
        <v>280</v>
      </c>
      <c r="E30" s="45"/>
      <c r="F30" s="742" t="s">
        <v>339</v>
      </c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</row>
    <row r="31" spans="1:21" x14ac:dyDescent="0.2">
      <c r="A31" s="741"/>
      <c r="B31" s="45" t="s">
        <v>169</v>
      </c>
      <c r="C31" s="742" t="s">
        <v>24</v>
      </c>
      <c r="D31" s="742" t="s">
        <v>280</v>
      </c>
      <c r="E31" s="45" t="s">
        <v>27</v>
      </c>
      <c r="F31" s="742" t="s">
        <v>339</v>
      </c>
      <c r="G31" s="45" t="s">
        <v>340</v>
      </c>
      <c r="H31" s="45" t="s">
        <v>411</v>
      </c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</row>
    <row r="32" spans="1:21" x14ac:dyDescent="0.2">
      <c r="A32" s="741"/>
      <c r="B32" s="45" t="s">
        <v>193</v>
      </c>
      <c r="C32" s="676">
        <v>57006280000</v>
      </c>
      <c r="D32" s="676">
        <v>44883510000</v>
      </c>
      <c r="E32" s="676">
        <v>41731030000</v>
      </c>
      <c r="F32" s="676">
        <v>38683200000</v>
      </c>
      <c r="G32" s="676">
        <v>483840000</v>
      </c>
      <c r="H32" s="676">
        <v>40500000</v>
      </c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</row>
    <row r="33" spans="1:21" x14ac:dyDescent="0.2">
      <c r="A33" s="741" t="s">
        <v>405</v>
      </c>
      <c r="B33" s="45" t="s">
        <v>172</v>
      </c>
      <c r="C33" s="742" t="s">
        <v>36</v>
      </c>
      <c r="D33" s="742" t="s">
        <v>407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</row>
    <row r="34" spans="1:21" x14ac:dyDescent="0.2">
      <c r="A34" s="741"/>
      <c r="B34" s="45" t="s">
        <v>169</v>
      </c>
      <c r="C34" s="742" t="s">
        <v>36</v>
      </c>
      <c r="D34" s="742" t="s">
        <v>407</v>
      </c>
      <c r="E34" s="45" t="s">
        <v>367</v>
      </c>
      <c r="F34" s="45" t="s">
        <v>182</v>
      </c>
      <c r="G34" s="45" t="s">
        <v>406</v>
      </c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</row>
    <row r="35" spans="1:21" x14ac:dyDescent="0.2">
      <c r="A35" s="741"/>
      <c r="B35" s="45" t="s">
        <v>193</v>
      </c>
      <c r="C35" s="676">
        <v>112590600000</v>
      </c>
      <c r="D35" s="676">
        <v>90168250000</v>
      </c>
      <c r="E35" s="676">
        <v>3167195000</v>
      </c>
      <c r="F35" s="676">
        <v>1485890000</v>
      </c>
      <c r="G35" s="676">
        <v>39900000</v>
      </c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x14ac:dyDescent="0.2">
      <c r="A36" s="741" t="s">
        <v>396</v>
      </c>
      <c r="B36" s="45" t="s">
        <v>172</v>
      </c>
      <c r="C36" s="742" t="s">
        <v>45</v>
      </c>
      <c r="D36" s="742" t="s">
        <v>339</v>
      </c>
      <c r="E36" s="742" t="s">
        <v>31</v>
      </c>
      <c r="F36" s="742" t="s">
        <v>280</v>
      </c>
      <c r="G36" s="742" t="s">
        <v>44</v>
      </c>
      <c r="H36" s="742" t="s">
        <v>66</v>
      </c>
      <c r="I36" s="742" t="s">
        <v>195</v>
      </c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 x14ac:dyDescent="0.2">
      <c r="A37" s="741"/>
      <c r="B37" s="45" t="s">
        <v>169</v>
      </c>
      <c r="C37" s="742" t="s">
        <v>45</v>
      </c>
      <c r="D37" s="742" t="s">
        <v>339</v>
      </c>
      <c r="E37" s="742" t="s">
        <v>31</v>
      </c>
      <c r="F37" s="742" t="s">
        <v>280</v>
      </c>
      <c r="G37" s="742" t="s">
        <v>44</v>
      </c>
      <c r="H37" s="742" t="s">
        <v>66</v>
      </c>
      <c r="I37" s="742" t="s">
        <v>195</v>
      </c>
      <c r="J37" s="45" t="s">
        <v>20</v>
      </c>
      <c r="K37" s="45" t="s">
        <v>204</v>
      </c>
      <c r="L37" s="45" t="s">
        <v>181</v>
      </c>
      <c r="M37" s="45" t="s">
        <v>179</v>
      </c>
      <c r="N37" s="45" t="s">
        <v>384</v>
      </c>
      <c r="O37" s="45" t="s">
        <v>295</v>
      </c>
      <c r="P37" s="45" t="s">
        <v>82</v>
      </c>
      <c r="Q37" s="45" t="s">
        <v>79</v>
      </c>
      <c r="R37" s="45" t="s">
        <v>63</v>
      </c>
      <c r="S37" s="45"/>
      <c r="T37" s="45"/>
      <c r="U37" s="45"/>
    </row>
    <row r="38" spans="1:21" x14ac:dyDescent="0.2">
      <c r="A38" s="741"/>
      <c r="B38" s="45" t="s">
        <v>193</v>
      </c>
      <c r="C38" s="676">
        <v>57936870000</v>
      </c>
      <c r="D38" s="676">
        <v>26395940000</v>
      </c>
      <c r="E38" s="676">
        <v>25297190000</v>
      </c>
      <c r="F38" s="676">
        <v>22152620000</v>
      </c>
      <c r="G38" s="676">
        <v>7974470000</v>
      </c>
      <c r="H38" s="676">
        <v>7896010000</v>
      </c>
      <c r="I38" s="676">
        <v>7379165000</v>
      </c>
      <c r="J38" s="676">
        <v>3270705000</v>
      </c>
      <c r="K38" s="676">
        <v>528145000</v>
      </c>
      <c r="L38" s="676">
        <v>326645000</v>
      </c>
      <c r="M38" s="676">
        <v>308280000</v>
      </c>
      <c r="N38" s="676">
        <v>287110000</v>
      </c>
      <c r="O38" s="676">
        <v>258690000</v>
      </c>
      <c r="P38" s="676">
        <v>247120000</v>
      </c>
      <c r="Q38" s="676">
        <v>213116000</v>
      </c>
      <c r="R38" s="676">
        <v>163767000</v>
      </c>
      <c r="S38" s="45"/>
      <c r="T38" s="45"/>
      <c r="U38" s="45"/>
    </row>
    <row r="39" spans="1:21" x14ac:dyDescent="0.2">
      <c r="A39" s="741" t="s">
        <v>393</v>
      </c>
      <c r="B39" s="45" t="s">
        <v>172</v>
      </c>
      <c r="C39" s="742" t="s">
        <v>395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1" x14ac:dyDescent="0.2">
      <c r="A40" s="741"/>
      <c r="B40" s="45" t="s">
        <v>169</v>
      </c>
      <c r="C40" s="742" t="s">
        <v>395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1" x14ac:dyDescent="0.2">
      <c r="A41" s="741"/>
      <c r="B41" s="45" t="s">
        <v>193</v>
      </c>
      <c r="C41" s="676">
        <v>597000000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1" x14ac:dyDescent="0.2">
      <c r="A42" s="741" t="s">
        <v>392</v>
      </c>
      <c r="B42" s="45" t="s">
        <v>172</v>
      </c>
      <c r="C42" s="742" t="s">
        <v>339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1" x14ac:dyDescent="0.2">
      <c r="A43" s="741"/>
      <c r="B43" s="45" t="s">
        <v>169</v>
      </c>
      <c r="C43" s="742" t="s">
        <v>339</v>
      </c>
      <c r="D43" s="45" t="s">
        <v>288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1" x14ac:dyDescent="0.2">
      <c r="A44" s="741"/>
      <c r="B44" s="45" t="s">
        <v>193</v>
      </c>
      <c r="C44" s="676">
        <v>24896360000</v>
      </c>
      <c r="D44" s="676">
        <v>696279000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1" x14ac:dyDescent="0.2">
      <c r="A45" s="741" t="s">
        <v>387</v>
      </c>
      <c r="B45" s="45" t="s">
        <v>172</v>
      </c>
      <c r="C45" s="742" t="s">
        <v>60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1" x14ac:dyDescent="0.2">
      <c r="A46" s="741"/>
      <c r="B46" s="45" t="s">
        <v>169</v>
      </c>
      <c r="C46" s="742" t="s">
        <v>60</v>
      </c>
      <c r="D46" s="45" t="s">
        <v>71</v>
      </c>
      <c r="E46" s="45" t="s">
        <v>358</v>
      </c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1" x14ac:dyDescent="0.2">
      <c r="A47" s="741"/>
      <c r="B47" s="45" t="s">
        <v>193</v>
      </c>
      <c r="C47" s="676">
        <v>13006830000</v>
      </c>
      <c r="D47" s="676">
        <v>10683500000</v>
      </c>
      <c r="E47" s="676">
        <v>587230000</v>
      </c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</row>
    <row r="48" spans="1:21" x14ac:dyDescent="0.2">
      <c r="A48" s="741" t="s">
        <v>383</v>
      </c>
      <c r="B48" s="45" t="s">
        <v>172</v>
      </c>
      <c r="C48" s="742" t="s">
        <v>69</v>
      </c>
      <c r="D48" s="45"/>
      <c r="E48" s="742" t="s">
        <v>206</v>
      </c>
      <c r="F48" s="742" t="s">
        <v>195</v>
      </c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1:21" x14ac:dyDescent="0.2">
      <c r="A49" s="741"/>
      <c r="B49" s="45" t="s">
        <v>169</v>
      </c>
      <c r="C49" s="742" t="s">
        <v>69</v>
      </c>
      <c r="D49" s="45" t="s">
        <v>64</v>
      </c>
      <c r="E49" s="742" t="s">
        <v>206</v>
      </c>
      <c r="F49" s="742" t="s">
        <v>195</v>
      </c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1:21" x14ac:dyDescent="0.2">
      <c r="A50" s="741"/>
      <c r="B50" s="45" t="s">
        <v>193</v>
      </c>
      <c r="C50" s="676">
        <v>23491045000</v>
      </c>
      <c r="D50" s="676">
        <v>18844505000</v>
      </c>
      <c r="E50" s="676">
        <v>12467335000</v>
      </c>
      <c r="F50" s="676">
        <v>5831380000</v>
      </c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51" spans="1:21" x14ac:dyDescent="0.2">
      <c r="A51" s="741" t="s">
        <v>381</v>
      </c>
      <c r="B51" s="45" t="s">
        <v>172</v>
      </c>
      <c r="C51" s="742" t="s">
        <v>18</v>
      </c>
      <c r="D51" s="45"/>
      <c r="E51" s="742" t="s">
        <v>69</v>
      </c>
      <c r="F51" s="742" t="s">
        <v>78</v>
      </c>
      <c r="G51" s="45"/>
      <c r="H51" s="45"/>
      <c r="I51" s="45"/>
      <c r="J51" s="45"/>
      <c r="K51" s="45"/>
      <c r="L51" s="45"/>
      <c r="M51" s="742" t="s">
        <v>289</v>
      </c>
      <c r="N51" s="45"/>
      <c r="O51" s="45"/>
      <c r="P51" s="45"/>
      <c r="Q51" s="45"/>
      <c r="R51" s="45"/>
      <c r="S51" s="45"/>
      <c r="T51" s="45"/>
      <c r="U51" s="45"/>
    </row>
    <row r="52" spans="1:21" x14ac:dyDescent="0.2">
      <c r="A52" s="741"/>
      <c r="B52" s="45" t="s">
        <v>169</v>
      </c>
      <c r="C52" s="742" t="s">
        <v>18</v>
      </c>
      <c r="D52" s="45" t="s">
        <v>16</v>
      </c>
      <c r="E52" s="742" t="s">
        <v>69</v>
      </c>
      <c r="F52" s="742" t="s">
        <v>78</v>
      </c>
      <c r="G52" s="45" t="s">
        <v>64</v>
      </c>
      <c r="H52" s="45" t="s">
        <v>192</v>
      </c>
      <c r="I52" s="45" t="s">
        <v>199</v>
      </c>
      <c r="J52" s="45" t="s">
        <v>315</v>
      </c>
      <c r="K52" s="45" t="s">
        <v>338</v>
      </c>
      <c r="L52" s="45" t="s">
        <v>20</v>
      </c>
      <c r="M52" s="742" t="s">
        <v>289</v>
      </c>
      <c r="N52" s="45"/>
      <c r="O52" s="45"/>
      <c r="P52" s="45"/>
      <c r="Q52" s="45"/>
      <c r="R52" s="45"/>
      <c r="S52" s="45"/>
      <c r="T52" s="45"/>
      <c r="U52" s="45"/>
    </row>
    <row r="53" spans="1:21" x14ac:dyDescent="0.2">
      <c r="A53" s="741"/>
      <c r="B53" s="45" t="s">
        <v>193</v>
      </c>
      <c r="C53" s="676">
        <v>130084530000</v>
      </c>
      <c r="D53" s="676">
        <v>109683290000</v>
      </c>
      <c r="E53" s="676">
        <v>20615170000</v>
      </c>
      <c r="F53" s="676">
        <v>17903605000</v>
      </c>
      <c r="G53" s="676">
        <v>16714585000</v>
      </c>
      <c r="H53" s="676">
        <v>8208920000</v>
      </c>
      <c r="I53" s="676">
        <v>7970740000</v>
      </c>
      <c r="J53" s="676">
        <v>5127520000</v>
      </c>
      <c r="K53" s="676">
        <v>3345660000</v>
      </c>
      <c r="L53" s="676">
        <v>2566890000</v>
      </c>
      <c r="M53" s="676">
        <v>2346655000</v>
      </c>
      <c r="N53" s="45"/>
      <c r="O53" s="45"/>
      <c r="P53" s="45"/>
      <c r="Q53" s="45"/>
      <c r="R53" s="45"/>
      <c r="S53" s="45"/>
      <c r="T53" s="45"/>
      <c r="U53" s="45"/>
    </row>
    <row r="54" spans="1:21" x14ac:dyDescent="0.2">
      <c r="A54" s="741" t="s">
        <v>378</v>
      </c>
      <c r="B54" s="45" t="s">
        <v>172</v>
      </c>
      <c r="C54" s="742" t="s">
        <v>78</v>
      </c>
      <c r="D54" s="742" t="s">
        <v>280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</row>
    <row r="55" spans="1:21" x14ac:dyDescent="0.2">
      <c r="A55" s="741"/>
      <c r="B55" s="45" t="s">
        <v>169</v>
      </c>
      <c r="C55" s="742" t="s">
        <v>78</v>
      </c>
      <c r="D55" s="742" t="s">
        <v>280</v>
      </c>
      <c r="E55" s="45" t="s">
        <v>358</v>
      </c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</row>
    <row r="56" spans="1:21" x14ac:dyDescent="0.2">
      <c r="A56" s="741"/>
      <c r="B56" s="45" t="s">
        <v>193</v>
      </c>
      <c r="C56" s="676">
        <v>12967650000</v>
      </c>
      <c r="D56" s="676">
        <v>10955560000</v>
      </c>
      <c r="E56" s="676">
        <v>441920000</v>
      </c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</row>
    <row r="57" spans="1:21" x14ac:dyDescent="0.2">
      <c r="A57" s="741" t="s">
        <v>373</v>
      </c>
      <c r="B57" s="45" t="s">
        <v>172</v>
      </c>
      <c r="C57" s="45"/>
      <c r="D57" s="742" t="s">
        <v>80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</row>
    <row r="58" spans="1:21" x14ac:dyDescent="0.2">
      <c r="A58" s="741"/>
      <c r="B58" s="45" t="s">
        <v>169</v>
      </c>
      <c r="C58" s="45" t="s">
        <v>7</v>
      </c>
      <c r="D58" s="742" t="s">
        <v>80</v>
      </c>
      <c r="E58" s="45" t="s">
        <v>367</v>
      </c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</row>
    <row r="59" spans="1:21" x14ac:dyDescent="0.2">
      <c r="A59" s="741"/>
      <c r="B59" s="45" t="s">
        <v>193</v>
      </c>
      <c r="C59" s="676">
        <v>3363100000</v>
      </c>
      <c r="D59" s="676">
        <v>2544670000</v>
      </c>
      <c r="E59" s="676">
        <v>2041000000</v>
      </c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</row>
    <row r="60" spans="1:21" x14ac:dyDescent="0.2">
      <c r="A60" s="741" t="s">
        <v>362</v>
      </c>
      <c r="B60" s="45" t="s">
        <v>172</v>
      </c>
      <c r="C60" s="45"/>
      <c r="D60" s="742" t="s">
        <v>339</v>
      </c>
      <c r="E60" s="742" t="s">
        <v>78</v>
      </c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742" t="s">
        <v>363</v>
      </c>
      <c r="Q60" s="45"/>
      <c r="R60" s="45"/>
      <c r="S60" s="45"/>
      <c r="T60" s="45"/>
      <c r="U60" s="45"/>
    </row>
    <row r="61" spans="1:21" x14ac:dyDescent="0.2">
      <c r="A61" s="741"/>
      <c r="B61" s="45" t="s">
        <v>169</v>
      </c>
      <c r="C61" s="45" t="s">
        <v>15</v>
      </c>
      <c r="D61" s="742" t="s">
        <v>339</v>
      </c>
      <c r="E61" s="742" t="s">
        <v>78</v>
      </c>
      <c r="F61" s="45" t="s">
        <v>28</v>
      </c>
      <c r="G61" s="45" t="s">
        <v>107</v>
      </c>
      <c r="H61" s="45" t="s">
        <v>367</v>
      </c>
      <c r="I61" s="45" t="s">
        <v>11</v>
      </c>
      <c r="J61" s="45" t="s">
        <v>368</v>
      </c>
      <c r="K61" s="45" t="s">
        <v>369</v>
      </c>
      <c r="L61" s="45" t="s">
        <v>98</v>
      </c>
      <c r="M61" s="45" t="s">
        <v>204</v>
      </c>
      <c r="N61" s="45" t="s">
        <v>178</v>
      </c>
      <c r="O61" s="45" t="s">
        <v>108</v>
      </c>
      <c r="P61" s="742" t="s">
        <v>363</v>
      </c>
      <c r="Q61" s="45"/>
      <c r="R61" s="45"/>
      <c r="S61" s="45"/>
      <c r="T61" s="45"/>
      <c r="U61" s="45"/>
    </row>
    <row r="62" spans="1:21" x14ac:dyDescent="0.2">
      <c r="A62" s="741"/>
      <c r="B62" s="45" t="s">
        <v>193</v>
      </c>
      <c r="C62" s="676">
        <v>63484248000</v>
      </c>
      <c r="D62" s="676">
        <v>20993770000</v>
      </c>
      <c r="E62" s="676">
        <v>7220770000</v>
      </c>
      <c r="F62" s="676">
        <v>6015980000</v>
      </c>
      <c r="G62" s="676">
        <v>1688410000</v>
      </c>
      <c r="H62" s="676">
        <v>1480000000</v>
      </c>
      <c r="I62" s="676">
        <v>860855000</v>
      </c>
      <c r="J62" s="676">
        <v>482760000</v>
      </c>
      <c r="K62" s="676">
        <v>397110000</v>
      </c>
      <c r="L62" s="676">
        <v>371160000</v>
      </c>
      <c r="M62" s="676">
        <v>357585000</v>
      </c>
      <c r="N62" s="676">
        <v>317220000</v>
      </c>
      <c r="O62" s="676">
        <v>192330000</v>
      </c>
      <c r="P62" s="676">
        <v>52100000</v>
      </c>
      <c r="Q62" s="45"/>
      <c r="R62" s="45"/>
      <c r="S62" s="45"/>
      <c r="T62" s="45"/>
      <c r="U62" s="45"/>
    </row>
    <row r="63" spans="1:21" x14ac:dyDescent="0.2">
      <c r="A63" s="741" t="s">
        <v>357</v>
      </c>
      <c r="B63" s="45" t="s">
        <v>172</v>
      </c>
      <c r="C63" s="742" t="s">
        <v>209</v>
      </c>
      <c r="D63" s="45"/>
      <c r="E63" s="45"/>
      <c r="F63" s="742" t="s">
        <v>350</v>
      </c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</row>
    <row r="64" spans="1:21" x14ac:dyDescent="0.2">
      <c r="A64" s="741"/>
      <c r="B64" s="45" t="s">
        <v>169</v>
      </c>
      <c r="C64" s="742" t="s">
        <v>209</v>
      </c>
      <c r="D64" s="45" t="s">
        <v>73</v>
      </c>
      <c r="E64" s="45" t="s">
        <v>219</v>
      </c>
      <c r="F64" s="742" t="s">
        <v>350</v>
      </c>
      <c r="G64" s="45" t="s">
        <v>7</v>
      </c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</row>
    <row r="65" spans="1:21" x14ac:dyDescent="0.2">
      <c r="A65" s="741"/>
      <c r="B65" s="45" t="s">
        <v>193</v>
      </c>
      <c r="C65" s="676">
        <v>196611260000</v>
      </c>
      <c r="D65" s="676">
        <v>17789730000</v>
      </c>
      <c r="E65" s="676">
        <v>3650000000</v>
      </c>
      <c r="F65" s="676">
        <v>2370705000</v>
      </c>
      <c r="G65" s="676">
        <v>220320000</v>
      </c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</row>
    <row r="66" spans="1:21" x14ac:dyDescent="0.2">
      <c r="A66" s="741" t="s">
        <v>277</v>
      </c>
      <c r="B66" s="45" t="s">
        <v>174</v>
      </c>
      <c r="C66" s="742" t="s">
        <v>30</v>
      </c>
      <c r="D66" s="45"/>
      <c r="E66" s="742" t="s">
        <v>103</v>
      </c>
      <c r="F66" s="742" t="s">
        <v>78</v>
      </c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1:21" x14ac:dyDescent="0.2">
      <c r="A67" s="741"/>
      <c r="B67" s="45" t="s">
        <v>173</v>
      </c>
      <c r="C67" s="742"/>
      <c r="D67" s="45"/>
      <c r="E67" s="742" t="s">
        <v>103</v>
      </c>
      <c r="F67" s="742" t="s">
        <v>78</v>
      </c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</row>
    <row r="68" spans="1:21" x14ac:dyDescent="0.2">
      <c r="A68" s="741"/>
      <c r="B68" s="45" t="s">
        <v>172</v>
      </c>
      <c r="C68" s="742"/>
      <c r="D68" s="45"/>
      <c r="E68" s="742" t="s">
        <v>103</v>
      </c>
      <c r="F68" s="742" t="s">
        <v>78</v>
      </c>
      <c r="G68" s="742" t="s">
        <v>17</v>
      </c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</row>
    <row r="69" spans="1:21" x14ac:dyDescent="0.2">
      <c r="A69" s="741"/>
      <c r="B69" s="45" t="s">
        <v>169</v>
      </c>
      <c r="C69" s="742"/>
      <c r="D69" s="45" t="s">
        <v>109</v>
      </c>
      <c r="E69" s="742" t="s">
        <v>103</v>
      </c>
      <c r="F69" s="742" t="s">
        <v>78</v>
      </c>
      <c r="G69" s="742"/>
      <c r="H69" s="45" t="s">
        <v>66</v>
      </c>
      <c r="I69" s="45" t="s">
        <v>206</v>
      </c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</row>
    <row r="70" spans="1:21" x14ac:dyDescent="0.2">
      <c r="A70" s="741"/>
      <c r="B70" s="45" t="s">
        <v>193</v>
      </c>
      <c r="C70" s="676">
        <v>38085320000</v>
      </c>
      <c r="D70" s="676">
        <v>14893110000</v>
      </c>
      <c r="E70" s="676">
        <v>13744700000</v>
      </c>
      <c r="F70" s="676">
        <v>7128805000</v>
      </c>
      <c r="G70" s="676">
        <v>5098950000</v>
      </c>
      <c r="H70" s="676">
        <v>2221000000</v>
      </c>
      <c r="I70" s="676">
        <v>2176120000</v>
      </c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</row>
    <row r="71" spans="1:21" x14ac:dyDescent="0.2">
      <c r="A71" s="741" t="s">
        <v>276</v>
      </c>
      <c r="B71" s="45" t="s">
        <v>169</v>
      </c>
      <c r="C71" s="45" t="s">
        <v>19</v>
      </c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</row>
    <row r="72" spans="1:21" x14ac:dyDescent="0.2">
      <c r="A72" s="741"/>
      <c r="B72" s="45" t="s">
        <v>193</v>
      </c>
      <c r="C72" s="676">
        <v>40732570000</v>
      </c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</row>
    <row r="73" spans="1:21" x14ac:dyDescent="0.2">
      <c r="A73" s="741" t="s">
        <v>275</v>
      </c>
      <c r="B73" s="45" t="s">
        <v>174</v>
      </c>
      <c r="C73" s="742" t="s">
        <v>349</v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</row>
    <row r="74" spans="1:21" x14ac:dyDescent="0.2">
      <c r="A74" s="741"/>
      <c r="B74" s="45" t="s">
        <v>173</v>
      </c>
      <c r="C74" s="742" t="s">
        <v>349</v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</row>
    <row r="75" spans="1:21" x14ac:dyDescent="0.2">
      <c r="A75" s="741"/>
      <c r="B75" s="45" t="s">
        <v>172</v>
      </c>
      <c r="C75" s="742" t="s">
        <v>349</v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</row>
    <row r="76" spans="1:21" x14ac:dyDescent="0.2">
      <c r="A76" s="741"/>
      <c r="B76" s="45" t="s">
        <v>169</v>
      </c>
      <c r="C76" s="742" t="s">
        <v>349</v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</row>
    <row r="77" spans="1:21" x14ac:dyDescent="0.2">
      <c r="A77" s="741"/>
      <c r="B77" s="45" t="s">
        <v>193</v>
      </c>
      <c r="C77" s="676">
        <v>438495000</v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</row>
    <row r="78" spans="1:21" x14ac:dyDescent="0.2">
      <c r="A78" s="741" t="s">
        <v>274</v>
      </c>
      <c r="B78" s="45" t="s">
        <v>174</v>
      </c>
      <c r="C78" s="742" t="s">
        <v>97</v>
      </c>
      <c r="D78" s="742" t="s">
        <v>70</v>
      </c>
      <c r="E78" s="742" t="s">
        <v>348</v>
      </c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</row>
    <row r="79" spans="1:21" x14ac:dyDescent="0.2">
      <c r="A79" s="741"/>
      <c r="B79" s="45" t="s">
        <v>173</v>
      </c>
      <c r="C79" s="742" t="s">
        <v>97</v>
      </c>
      <c r="D79" s="742" t="s">
        <v>70</v>
      </c>
      <c r="E79" s="742" t="s">
        <v>348</v>
      </c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</row>
    <row r="80" spans="1:21" x14ac:dyDescent="0.2">
      <c r="A80" s="741"/>
      <c r="B80" s="45" t="s">
        <v>172</v>
      </c>
      <c r="C80" s="742" t="s">
        <v>97</v>
      </c>
      <c r="D80" s="742" t="s">
        <v>70</v>
      </c>
      <c r="E80" s="742" t="s">
        <v>348</v>
      </c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</row>
    <row r="81" spans="1:21" x14ac:dyDescent="0.2">
      <c r="A81" s="741"/>
      <c r="B81" s="45" t="s">
        <v>169</v>
      </c>
      <c r="C81" s="742" t="s">
        <v>97</v>
      </c>
      <c r="D81" s="742" t="s">
        <v>70</v>
      </c>
      <c r="E81" s="742" t="s">
        <v>348</v>
      </c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</row>
    <row r="82" spans="1:21" x14ac:dyDescent="0.2">
      <c r="A82" s="741"/>
      <c r="B82" s="45" t="s">
        <v>193</v>
      </c>
      <c r="C82" s="676">
        <v>53991560000</v>
      </c>
      <c r="D82" s="676">
        <v>46380335000</v>
      </c>
      <c r="E82" s="676">
        <v>27612235000</v>
      </c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</row>
    <row r="83" spans="1:21" x14ac:dyDescent="0.2">
      <c r="A83" s="741" t="s">
        <v>273</v>
      </c>
      <c r="B83" s="45" t="s">
        <v>174</v>
      </c>
      <c r="C83" s="742" t="s">
        <v>29</v>
      </c>
      <c r="D83" s="742" t="s">
        <v>202</v>
      </c>
      <c r="E83" s="742" t="s">
        <v>91</v>
      </c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</row>
    <row r="84" spans="1:21" x14ac:dyDescent="0.2">
      <c r="A84" s="741"/>
      <c r="B84" s="45" t="s">
        <v>173</v>
      </c>
      <c r="C84" s="742" t="s">
        <v>29</v>
      </c>
      <c r="D84" s="742" t="s">
        <v>202</v>
      </c>
      <c r="E84" s="742" t="s">
        <v>91</v>
      </c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</row>
    <row r="85" spans="1:21" x14ac:dyDescent="0.2">
      <c r="A85" s="741"/>
      <c r="B85" s="45" t="s">
        <v>172</v>
      </c>
      <c r="C85" s="742" t="s">
        <v>29</v>
      </c>
      <c r="D85" s="742" t="s">
        <v>202</v>
      </c>
      <c r="E85" s="742" t="s">
        <v>91</v>
      </c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</row>
    <row r="86" spans="1:21" x14ac:dyDescent="0.2">
      <c r="A86" s="741"/>
      <c r="B86" s="45" t="s">
        <v>169</v>
      </c>
      <c r="C86" s="742" t="s">
        <v>29</v>
      </c>
      <c r="D86" s="742" t="s">
        <v>202</v>
      </c>
      <c r="E86" s="742" t="s">
        <v>91</v>
      </c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</row>
    <row r="87" spans="1:21" x14ac:dyDescent="0.2">
      <c r="A87" s="741"/>
      <c r="B87" s="45" t="s">
        <v>193</v>
      </c>
      <c r="C87" s="676">
        <v>60666265000</v>
      </c>
      <c r="D87" s="676">
        <v>28541500000</v>
      </c>
      <c r="E87" s="676">
        <v>5617500000</v>
      </c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</row>
    <row r="88" spans="1:21" x14ac:dyDescent="0.2">
      <c r="A88" s="741" t="s">
        <v>272</v>
      </c>
      <c r="B88" s="45" t="s">
        <v>174</v>
      </c>
      <c r="C88" s="742" t="s">
        <v>207</v>
      </c>
      <c r="D88" s="742" t="s">
        <v>77</v>
      </c>
      <c r="E88" s="676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</row>
    <row r="89" spans="1:21" x14ac:dyDescent="0.2">
      <c r="A89" s="741"/>
      <c r="B89" s="45" t="s">
        <v>173</v>
      </c>
      <c r="C89" s="742" t="s">
        <v>207</v>
      </c>
      <c r="D89" s="742" t="s">
        <v>77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</row>
    <row r="90" spans="1:21" x14ac:dyDescent="0.2">
      <c r="A90" s="741"/>
      <c r="B90" s="45" t="s">
        <v>172</v>
      </c>
      <c r="C90" s="742" t="s">
        <v>207</v>
      </c>
      <c r="D90" s="742" t="s">
        <v>77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</row>
    <row r="91" spans="1:21" x14ac:dyDescent="0.2">
      <c r="A91" s="741"/>
      <c r="B91" s="45" t="s">
        <v>169</v>
      </c>
      <c r="C91" s="742" t="s">
        <v>207</v>
      </c>
      <c r="D91" s="742" t="s">
        <v>77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</row>
    <row r="92" spans="1:21" x14ac:dyDescent="0.2">
      <c r="A92" s="741"/>
      <c r="B92" s="45" t="s">
        <v>193</v>
      </c>
      <c r="C92" s="676">
        <v>46080000000</v>
      </c>
      <c r="D92" s="676">
        <v>5588649000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</row>
    <row r="93" spans="1:21" x14ac:dyDescent="0.2">
      <c r="A93" s="741" t="s">
        <v>270</v>
      </c>
      <c r="B93" s="45" t="s">
        <v>174</v>
      </c>
      <c r="C93" s="742" t="s">
        <v>331</v>
      </c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</row>
    <row r="94" spans="1:21" x14ac:dyDescent="0.2">
      <c r="A94" s="741"/>
      <c r="B94" s="45" t="s">
        <v>173</v>
      </c>
      <c r="C94" s="742" t="s">
        <v>331</v>
      </c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</row>
    <row r="95" spans="1:21" x14ac:dyDescent="0.2">
      <c r="A95" s="741"/>
      <c r="B95" s="45" t="s">
        <v>172</v>
      </c>
      <c r="C95" s="742" t="s">
        <v>331</v>
      </c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</row>
    <row r="96" spans="1:21" x14ac:dyDescent="0.2">
      <c r="A96" s="741"/>
      <c r="B96" s="45" t="s">
        <v>169</v>
      </c>
      <c r="C96" s="742" t="s">
        <v>331</v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</row>
    <row r="97" spans="1:21" x14ac:dyDescent="0.2">
      <c r="A97" s="741"/>
      <c r="B97" s="45" t="s">
        <v>193</v>
      </c>
      <c r="C97" s="676">
        <v>10200000000</v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</row>
    <row r="98" spans="1:21" x14ac:dyDescent="0.2">
      <c r="A98" s="741" t="s">
        <v>269</v>
      </c>
      <c r="B98" s="45" t="s">
        <v>174</v>
      </c>
      <c r="C98" s="742" t="s">
        <v>74</v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</row>
    <row r="99" spans="1:21" x14ac:dyDescent="0.2">
      <c r="A99" s="741"/>
      <c r="B99" s="45" t="s">
        <v>173</v>
      </c>
      <c r="C99" s="742" t="s">
        <v>74</v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</row>
    <row r="100" spans="1:21" x14ac:dyDescent="0.2">
      <c r="A100" s="741"/>
      <c r="B100" s="45" t="s">
        <v>172</v>
      </c>
      <c r="C100" s="742" t="s">
        <v>74</v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</row>
    <row r="101" spans="1:21" x14ac:dyDescent="0.2">
      <c r="A101" s="741"/>
      <c r="B101" s="45" t="s">
        <v>169</v>
      </c>
      <c r="C101" s="742" t="s">
        <v>74</v>
      </c>
      <c r="D101" s="45" t="s">
        <v>99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</row>
    <row r="102" spans="1:21" x14ac:dyDescent="0.2">
      <c r="A102" s="741"/>
      <c r="B102" s="45" t="s">
        <v>193</v>
      </c>
      <c r="C102" s="676">
        <v>232315895000</v>
      </c>
      <c r="D102" s="676">
        <v>13172205000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</row>
    <row r="103" spans="1:21" x14ac:dyDescent="0.2">
      <c r="A103" s="741" t="s">
        <v>268</v>
      </c>
      <c r="B103" s="45" t="s">
        <v>174</v>
      </c>
      <c r="C103" s="742" t="s">
        <v>83</v>
      </c>
      <c r="D103" s="742" t="s">
        <v>13</v>
      </c>
      <c r="E103" s="742" t="s">
        <v>24</v>
      </c>
      <c r="F103" s="742" t="s">
        <v>14</v>
      </c>
      <c r="G103" s="742" t="s">
        <v>40</v>
      </c>
      <c r="H103" s="742" t="s">
        <v>67</v>
      </c>
      <c r="I103" s="742" t="s">
        <v>72</v>
      </c>
      <c r="J103" s="742" t="s">
        <v>229</v>
      </c>
      <c r="K103" s="742" t="s">
        <v>322</v>
      </c>
      <c r="L103" s="742" t="s">
        <v>69</v>
      </c>
      <c r="M103" s="742" t="s">
        <v>323</v>
      </c>
      <c r="N103" s="742" t="s">
        <v>324</v>
      </c>
      <c r="O103" s="742" t="s">
        <v>325</v>
      </c>
      <c r="P103" s="742" t="s">
        <v>326</v>
      </c>
      <c r="Q103" s="45"/>
      <c r="R103" s="45"/>
      <c r="S103" s="45"/>
      <c r="T103" s="45"/>
      <c r="U103" s="45"/>
    </row>
    <row r="104" spans="1:21" x14ac:dyDescent="0.2">
      <c r="A104" s="741"/>
      <c r="B104" s="45" t="s">
        <v>173</v>
      </c>
      <c r="C104" s="742" t="s">
        <v>83</v>
      </c>
      <c r="D104" s="742" t="s">
        <v>13</v>
      </c>
      <c r="E104" s="742" t="s">
        <v>24</v>
      </c>
      <c r="F104" s="742" t="s">
        <v>14</v>
      </c>
      <c r="G104" s="742" t="s">
        <v>40</v>
      </c>
      <c r="H104" s="742" t="s">
        <v>67</v>
      </c>
      <c r="I104" s="742" t="s">
        <v>72</v>
      </c>
      <c r="J104" s="742" t="s">
        <v>229</v>
      </c>
      <c r="K104" s="742" t="s">
        <v>322</v>
      </c>
      <c r="L104" s="742" t="s">
        <v>69</v>
      </c>
      <c r="M104" s="742" t="s">
        <v>323</v>
      </c>
      <c r="N104" s="742" t="s">
        <v>324</v>
      </c>
      <c r="O104" s="742" t="s">
        <v>325</v>
      </c>
      <c r="P104" s="742" t="s">
        <v>326</v>
      </c>
      <c r="Q104" s="45"/>
      <c r="R104" s="45"/>
      <c r="S104" s="45"/>
      <c r="T104" s="45"/>
      <c r="U104" s="45"/>
    </row>
    <row r="105" spans="1:21" x14ac:dyDescent="0.2">
      <c r="A105" s="741"/>
      <c r="B105" s="45" t="s">
        <v>172</v>
      </c>
      <c r="C105" s="742" t="s">
        <v>83</v>
      </c>
      <c r="D105" s="742" t="s">
        <v>13</v>
      </c>
      <c r="E105" s="742" t="s">
        <v>24</v>
      </c>
      <c r="F105" s="742" t="s">
        <v>14</v>
      </c>
      <c r="G105" s="742" t="s">
        <v>40</v>
      </c>
      <c r="H105" s="742" t="s">
        <v>67</v>
      </c>
      <c r="I105" s="742" t="s">
        <v>72</v>
      </c>
      <c r="J105" s="742" t="s">
        <v>229</v>
      </c>
      <c r="K105" s="742" t="s">
        <v>322</v>
      </c>
      <c r="L105" s="742" t="s">
        <v>69</v>
      </c>
      <c r="M105" s="742" t="s">
        <v>323</v>
      </c>
      <c r="N105" s="742" t="s">
        <v>324</v>
      </c>
      <c r="O105" s="742" t="s">
        <v>325</v>
      </c>
      <c r="P105" s="742" t="s">
        <v>326</v>
      </c>
      <c r="Q105" s="45"/>
      <c r="R105" s="45"/>
      <c r="S105" s="45"/>
      <c r="T105" s="45"/>
      <c r="U105" s="45"/>
    </row>
    <row r="106" spans="1:21" x14ac:dyDescent="0.2">
      <c r="A106" s="741"/>
      <c r="B106" s="45" t="s">
        <v>169</v>
      </c>
      <c r="C106" s="742" t="s">
        <v>83</v>
      </c>
      <c r="D106" s="742" t="s">
        <v>13</v>
      </c>
      <c r="E106" s="742" t="s">
        <v>24</v>
      </c>
      <c r="F106" s="742" t="s">
        <v>14</v>
      </c>
      <c r="G106" s="742" t="s">
        <v>40</v>
      </c>
      <c r="H106" s="742" t="s">
        <v>67</v>
      </c>
      <c r="I106" s="742" t="s">
        <v>72</v>
      </c>
      <c r="J106" s="742" t="s">
        <v>229</v>
      </c>
      <c r="K106" s="742" t="s">
        <v>322</v>
      </c>
      <c r="L106" s="742" t="s">
        <v>69</v>
      </c>
      <c r="M106" s="742" t="s">
        <v>323</v>
      </c>
      <c r="N106" s="742" t="s">
        <v>324</v>
      </c>
      <c r="O106" s="742" t="s">
        <v>325</v>
      </c>
      <c r="P106" s="742" t="s">
        <v>326</v>
      </c>
      <c r="Q106" s="45"/>
      <c r="R106" s="45"/>
      <c r="S106" s="45"/>
      <c r="T106" s="45"/>
      <c r="U106" s="45"/>
    </row>
    <row r="107" spans="1:21" x14ac:dyDescent="0.2">
      <c r="A107" s="741"/>
      <c r="B107" s="45" t="s">
        <v>193</v>
      </c>
      <c r="C107" s="676">
        <v>112662494000</v>
      </c>
      <c r="D107" s="676">
        <v>68175432000</v>
      </c>
      <c r="E107" s="676">
        <v>56252460000</v>
      </c>
      <c r="F107" s="676">
        <v>48957070000</v>
      </c>
      <c r="G107" s="676">
        <v>48462665000</v>
      </c>
      <c r="H107" s="676">
        <v>40791940000</v>
      </c>
      <c r="I107" s="676">
        <v>29635580000</v>
      </c>
      <c r="J107" s="676">
        <v>24693350000</v>
      </c>
      <c r="K107" s="676">
        <v>15446370000</v>
      </c>
      <c r="L107" s="676">
        <v>15424120000</v>
      </c>
      <c r="M107" s="676">
        <v>7768665000</v>
      </c>
      <c r="N107" s="676">
        <v>2309935000</v>
      </c>
      <c r="O107" s="676">
        <v>263300000</v>
      </c>
      <c r="P107" s="676">
        <v>220000</v>
      </c>
      <c r="Q107" s="45"/>
      <c r="R107" s="45"/>
      <c r="S107" s="45"/>
      <c r="T107" s="45"/>
      <c r="U107" s="45"/>
    </row>
    <row r="108" spans="1:21" x14ac:dyDescent="0.2">
      <c r="A108" s="741" t="s">
        <v>267</v>
      </c>
      <c r="B108" s="45" t="s">
        <v>174</v>
      </c>
      <c r="C108" s="742" t="s">
        <v>319</v>
      </c>
      <c r="D108" s="742" t="s">
        <v>211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</row>
    <row r="109" spans="1:21" x14ac:dyDescent="0.2">
      <c r="A109" s="741"/>
      <c r="B109" s="45" t="s">
        <v>173</v>
      </c>
      <c r="C109" s="742" t="s">
        <v>319</v>
      </c>
      <c r="D109" s="742" t="s">
        <v>211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</row>
    <row r="110" spans="1:21" x14ac:dyDescent="0.2">
      <c r="A110" s="741"/>
      <c r="B110" s="45" t="s">
        <v>172</v>
      </c>
      <c r="C110" s="742" t="s">
        <v>319</v>
      </c>
      <c r="D110" s="742" t="s">
        <v>211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</row>
    <row r="111" spans="1:21" x14ac:dyDescent="0.2">
      <c r="A111" s="741"/>
      <c r="B111" s="45" t="s">
        <v>169</v>
      </c>
      <c r="C111" s="742" t="s">
        <v>319</v>
      </c>
      <c r="D111" s="742" t="s">
        <v>211</v>
      </c>
      <c r="E111" s="45" t="s">
        <v>320</v>
      </c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</row>
    <row r="112" spans="1:21" x14ac:dyDescent="0.2">
      <c r="A112" s="741"/>
      <c r="B112" s="45" t="s">
        <v>193</v>
      </c>
      <c r="C112" s="676">
        <v>46182000000</v>
      </c>
      <c r="D112" s="676">
        <v>18223620000</v>
      </c>
      <c r="E112" s="676">
        <v>2972480000</v>
      </c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</row>
    <row r="113" spans="1:21" x14ac:dyDescent="0.2">
      <c r="A113" s="741" t="s">
        <v>266</v>
      </c>
      <c r="B113" s="45" t="s">
        <v>174</v>
      </c>
      <c r="C113" s="742" t="s">
        <v>184</v>
      </c>
      <c r="D113" s="742" t="s">
        <v>312</v>
      </c>
      <c r="E113" s="742" t="s">
        <v>299</v>
      </c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</row>
    <row r="114" spans="1:21" x14ac:dyDescent="0.2">
      <c r="A114" s="741"/>
      <c r="B114" s="45" t="s">
        <v>173</v>
      </c>
      <c r="C114" s="742" t="s">
        <v>184</v>
      </c>
      <c r="D114" s="742" t="s">
        <v>312</v>
      </c>
      <c r="E114" s="742" t="s">
        <v>299</v>
      </c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</row>
    <row r="115" spans="1:21" x14ac:dyDescent="0.2">
      <c r="A115" s="741"/>
      <c r="B115" s="45" t="s">
        <v>172</v>
      </c>
      <c r="C115" s="742" t="s">
        <v>184</v>
      </c>
      <c r="D115" s="742" t="s">
        <v>312</v>
      </c>
      <c r="E115" s="742" t="s">
        <v>299</v>
      </c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</row>
    <row r="116" spans="1:21" x14ac:dyDescent="0.2">
      <c r="A116" s="741"/>
      <c r="B116" s="45" t="s">
        <v>169</v>
      </c>
      <c r="C116" s="742" t="s">
        <v>184</v>
      </c>
      <c r="D116" s="742" t="s">
        <v>312</v>
      </c>
      <c r="E116" s="742" t="s">
        <v>299</v>
      </c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</row>
    <row r="117" spans="1:21" x14ac:dyDescent="0.2">
      <c r="A117" s="741"/>
      <c r="B117" s="45" t="s">
        <v>193</v>
      </c>
      <c r="C117" s="676">
        <v>7277510000</v>
      </c>
      <c r="D117" s="676">
        <v>5439860000</v>
      </c>
      <c r="E117" s="676">
        <v>2257227000</v>
      </c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</row>
    <row r="118" spans="1:21" x14ac:dyDescent="0.2">
      <c r="A118" s="741" t="s">
        <v>265</v>
      </c>
      <c r="B118" s="45" t="s">
        <v>174</v>
      </c>
      <c r="C118" s="742" t="s">
        <v>279</v>
      </c>
      <c r="D118" s="742" t="s">
        <v>203</v>
      </c>
      <c r="E118" s="742" t="s">
        <v>60</v>
      </c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</row>
    <row r="119" spans="1:21" x14ac:dyDescent="0.2">
      <c r="A119" s="741"/>
      <c r="B119" s="45" t="s">
        <v>173</v>
      </c>
      <c r="C119" s="742" t="s">
        <v>279</v>
      </c>
      <c r="D119" s="742" t="s">
        <v>203</v>
      </c>
      <c r="E119" s="742" t="s">
        <v>60</v>
      </c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</row>
    <row r="120" spans="1:21" x14ac:dyDescent="0.2">
      <c r="A120" s="741"/>
      <c r="B120" s="45" t="s">
        <v>172</v>
      </c>
      <c r="C120" s="742" t="s">
        <v>279</v>
      </c>
      <c r="D120" s="742" t="s">
        <v>203</v>
      </c>
      <c r="E120" s="742" t="s">
        <v>60</v>
      </c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</row>
    <row r="121" spans="1:21" x14ac:dyDescent="0.2">
      <c r="A121" s="741"/>
      <c r="B121" s="45" t="s">
        <v>169</v>
      </c>
      <c r="C121" s="742" t="s">
        <v>279</v>
      </c>
      <c r="D121" s="742" t="s">
        <v>203</v>
      </c>
      <c r="E121" s="742" t="s">
        <v>60</v>
      </c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</row>
    <row r="122" spans="1:21" x14ac:dyDescent="0.2">
      <c r="A122" s="741"/>
      <c r="B122" s="45" t="s">
        <v>193</v>
      </c>
      <c r="C122" s="676">
        <v>33904800000</v>
      </c>
      <c r="D122" s="676">
        <v>11195090000</v>
      </c>
      <c r="E122" s="676">
        <v>10400000000</v>
      </c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</row>
    <row r="123" spans="1:21" x14ac:dyDescent="0.2">
      <c r="A123" s="741" t="s">
        <v>264</v>
      </c>
      <c r="B123" s="45" t="s">
        <v>174</v>
      </c>
      <c r="C123" s="742" t="s">
        <v>294</v>
      </c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</row>
    <row r="124" spans="1:21" x14ac:dyDescent="0.2">
      <c r="A124" s="741"/>
      <c r="B124" s="45" t="s">
        <v>173</v>
      </c>
      <c r="C124" s="742" t="s">
        <v>294</v>
      </c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</row>
    <row r="125" spans="1:21" x14ac:dyDescent="0.2">
      <c r="A125" s="741"/>
      <c r="B125" s="45" t="s">
        <v>172</v>
      </c>
      <c r="C125" s="742" t="s">
        <v>294</v>
      </c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</row>
    <row r="126" spans="1:21" x14ac:dyDescent="0.2">
      <c r="A126" s="741"/>
      <c r="B126" s="45" t="s">
        <v>169</v>
      </c>
      <c r="C126" s="742" t="s">
        <v>294</v>
      </c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</row>
    <row r="127" spans="1:21" x14ac:dyDescent="0.2">
      <c r="A127" s="741"/>
      <c r="B127" s="45" t="s">
        <v>193</v>
      </c>
      <c r="C127" s="676">
        <v>9450000000</v>
      </c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</row>
    <row r="128" spans="1:21" x14ac:dyDescent="0.2">
      <c r="A128" s="741" t="s">
        <v>259</v>
      </c>
      <c r="B128" s="45" t="s">
        <v>174</v>
      </c>
      <c r="C128" s="742" t="s">
        <v>290</v>
      </c>
      <c r="D128" s="742" t="s">
        <v>170</v>
      </c>
      <c r="E128" s="742" t="s">
        <v>291</v>
      </c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</row>
    <row r="129" spans="1:21" x14ac:dyDescent="0.2">
      <c r="A129" s="741"/>
      <c r="B129" s="45" t="s">
        <v>173</v>
      </c>
      <c r="C129" s="742" t="s">
        <v>290</v>
      </c>
      <c r="D129" s="742" t="s">
        <v>170</v>
      </c>
      <c r="E129" s="742" t="s">
        <v>291</v>
      </c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</row>
    <row r="130" spans="1:21" x14ac:dyDescent="0.2">
      <c r="A130" s="741"/>
      <c r="B130" s="45" t="s">
        <v>172</v>
      </c>
      <c r="C130" s="742" t="s">
        <v>290</v>
      </c>
      <c r="D130" s="742" t="s">
        <v>170</v>
      </c>
      <c r="E130" s="742" t="s">
        <v>291</v>
      </c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</row>
    <row r="131" spans="1:21" x14ac:dyDescent="0.2">
      <c r="A131" s="741"/>
      <c r="B131" s="45" t="s">
        <v>169</v>
      </c>
      <c r="C131" s="742" t="s">
        <v>290</v>
      </c>
      <c r="D131" s="742" t="s">
        <v>170</v>
      </c>
      <c r="E131" s="742" t="s">
        <v>291</v>
      </c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</row>
    <row r="132" spans="1:21" x14ac:dyDescent="0.2">
      <c r="A132" s="741"/>
      <c r="B132" s="45" t="s">
        <v>193</v>
      </c>
      <c r="C132" s="676">
        <v>82000000000</v>
      </c>
      <c r="D132" s="676">
        <v>3188090000</v>
      </c>
      <c r="E132" s="676">
        <v>1617750000</v>
      </c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</row>
    <row r="133" spans="1:21" x14ac:dyDescent="0.2">
      <c r="A133" s="741" t="s">
        <v>258</v>
      </c>
      <c r="B133" s="45" t="s">
        <v>174</v>
      </c>
      <c r="C133" s="742" t="s">
        <v>284</v>
      </c>
      <c r="D133" s="742" t="s">
        <v>285</v>
      </c>
      <c r="E133" s="742" t="s">
        <v>286</v>
      </c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</row>
    <row r="134" spans="1:21" x14ac:dyDescent="0.2">
      <c r="A134" s="741"/>
      <c r="B134" s="45" t="s">
        <v>173</v>
      </c>
      <c r="C134" s="742" t="s">
        <v>284</v>
      </c>
      <c r="D134" s="742" t="s">
        <v>285</v>
      </c>
      <c r="E134" s="742" t="s">
        <v>286</v>
      </c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</row>
    <row r="135" spans="1:21" x14ac:dyDescent="0.2">
      <c r="A135" s="741"/>
      <c r="B135" s="45" t="s">
        <v>172</v>
      </c>
      <c r="C135" s="742" t="s">
        <v>284</v>
      </c>
      <c r="D135" s="742" t="s">
        <v>285</v>
      </c>
      <c r="E135" s="742" t="s">
        <v>286</v>
      </c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</row>
    <row r="136" spans="1:21" x14ac:dyDescent="0.2">
      <c r="A136" s="741"/>
      <c r="B136" s="45" t="s">
        <v>169</v>
      </c>
      <c r="C136" s="742" t="s">
        <v>284</v>
      </c>
      <c r="D136" s="742" t="s">
        <v>285</v>
      </c>
      <c r="E136" s="742" t="s">
        <v>286</v>
      </c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</row>
    <row r="137" spans="1:21" x14ac:dyDescent="0.2">
      <c r="A137" s="741"/>
      <c r="B137" s="45" t="s">
        <v>193</v>
      </c>
      <c r="C137" s="676">
        <v>66098595000</v>
      </c>
      <c r="D137" s="676">
        <v>12849770000</v>
      </c>
      <c r="E137" s="676">
        <v>5564545000</v>
      </c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</row>
    <row r="138" spans="1:21" x14ac:dyDescent="0.2">
      <c r="A138" s="741" t="s">
        <v>256</v>
      </c>
      <c r="B138" s="45" t="s">
        <v>174</v>
      </c>
      <c r="C138" s="45"/>
      <c r="D138" s="45"/>
      <c r="E138" s="742" t="s">
        <v>61</v>
      </c>
      <c r="F138" s="742" t="s">
        <v>192</v>
      </c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</row>
    <row r="139" spans="1:21" x14ac:dyDescent="0.2">
      <c r="A139" s="741"/>
      <c r="B139" s="45" t="s">
        <v>173</v>
      </c>
      <c r="C139" s="45"/>
      <c r="D139" s="45"/>
      <c r="E139" s="742" t="s">
        <v>61</v>
      </c>
      <c r="F139" s="742" t="s">
        <v>192</v>
      </c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</row>
    <row r="140" spans="1:21" x14ac:dyDescent="0.2">
      <c r="A140" s="741"/>
      <c r="B140" s="45" t="s">
        <v>172</v>
      </c>
      <c r="C140" s="45"/>
      <c r="D140" s="45"/>
      <c r="E140" s="742" t="s">
        <v>61</v>
      </c>
      <c r="F140" s="742" t="s">
        <v>192</v>
      </c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</row>
    <row r="141" spans="1:21" x14ac:dyDescent="0.2">
      <c r="A141" s="741"/>
      <c r="B141" s="45" t="s">
        <v>169</v>
      </c>
      <c r="C141" s="45" t="s">
        <v>62</v>
      </c>
      <c r="D141" s="45" t="s">
        <v>43</v>
      </c>
      <c r="E141" s="742" t="s">
        <v>61</v>
      </c>
      <c r="F141" s="742" t="s">
        <v>192</v>
      </c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</row>
    <row r="142" spans="1:21" x14ac:dyDescent="0.2">
      <c r="A142" s="741"/>
      <c r="B142" s="45" t="s">
        <v>193</v>
      </c>
      <c r="C142" s="676">
        <v>134194415000</v>
      </c>
      <c r="D142" s="676">
        <v>130049660000</v>
      </c>
      <c r="E142" s="676">
        <v>103669225000</v>
      </c>
      <c r="F142" s="676">
        <v>76166320000</v>
      </c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</row>
    <row r="143" spans="1:21" x14ac:dyDescent="0.2">
      <c r="A143" s="741" t="s">
        <v>255</v>
      </c>
      <c r="B143" s="45" t="s">
        <v>172</v>
      </c>
      <c r="C143" s="45"/>
      <c r="D143" s="742" t="s">
        <v>39</v>
      </c>
      <c r="E143" s="742" t="s">
        <v>278</v>
      </c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</row>
    <row r="144" spans="1:21" x14ac:dyDescent="0.2">
      <c r="A144" s="741"/>
      <c r="B144" s="45" t="s">
        <v>169</v>
      </c>
      <c r="C144" s="45" t="s">
        <v>25</v>
      </c>
      <c r="D144" s="742" t="s">
        <v>39</v>
      </c>
      <c r="E144" s="742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</row>
    <row r="145" spans="1:21" x14ac:dyDescent="0.2">
      <c r="A145" s="741"/>
      <c r="B145" t="s">
        <v>193</v>
      </c>
      <c r="C145" s="676">
        <v>35961815000</v>
      </c>
      <c r="D145" s="676">
        <v>12972210000</v>
      </c>
      <c r="E145" s="676">
        <v>1941640000</v>
      </c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</row>
    <row r="146" spans="1:21" x14ac:dyDescent="0.2"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</row>
    <row r="147" spans="1:21" x14ac:dyDescent="0.2"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</row>
    <row r="148" spans="1:21" x14ac:dyDescent="0.2"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</row>
    <row r="149" spans="1:21" x14ac:dyDescent="0.2"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</row>
    <row r="150" spans="1:21" x14ac:dyDescent="0.2"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</row>
    <row r="151" spans="1:21" x14ac:dyDescent="0.2"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</row>
    <row r="152" spans="1:21" x14ac:dyDescent="0.2"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</row>
    <row r="153" spans="1:21" x14ac:dyDescent="0.2"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</row>
    <row r="154" spans="1:21" x14ac:dyDescent="0.2"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</row>
    <row r="155" spans="1:21" x14ac:dyDescent="0.2"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</row>
  </sheetData>
  <mergeCells count="135">
    <mergeCell ref="A2:A5"/>
    <mergeCell ref="C6:C8"/>
    <mergeCell ref="A12:A14"/>
    <mergeCell ref="E12:E13"/>
    <mergeCell ref="C12:C13"/>
    <mergeCell ref="G68:G69"/>
    <mergeCell ref="A143:A145"/>
    <mergeCell ref="A138:A142"/>
    <mergeCell ref="A133:A137"/>
    <mergeCell ref="A128:A132"/>
    <mergeCell ref="A108:A112"/>
    <mergeCell ref="A113:A117"/>
    <mergeCell ref="A123:A127"/>
    <mergeCell ref="A118:A122"/>
    <mergeCell ref="A18:A19"/>
    <mergeCell ref="A23:A25"/>
    <mergeCell ref="A28:A29"/>
    <mergeCell ref="A33:A35"/>
    <mergeCell ref="A60:A62"/>
    <mergeCell ref="A51:A53"/>
    <mergeCell ref="A54:A56"/>
    <mergeCell ref="A36:A38"/>
    <mergeCell ref="A39:A41"/>
    <mergeCell ref="A26:A27"/>
    <mergeCell ref="A20:A22"/>
    <mergeCell ref="A15:A17"/>
    <mergeCell ref="E48:E49"/>
    <mergeCell ref="D15:D16"/>
    <mergeCell ref="C23:C24"/>
    <mergeCell ref="D23:D24"/>
    <mergeCell ref="D30:D31"/>
    <mergeCell ref="A103:A107"/>
    <mergeCell ref="A98:A102"/>
    <mergeCell ref="A57:A59"/>
    <mergeCell ref="A30:A32"/>
    <mergeCell ref="A93:A97"/>
    <mergeCell ref="A88:A92"/>
    <mergeCell ref="A83:A87"/>
    <mergeCell ref="A78:A82"/>
    <mergeCell ref="A63:A65"/>
    <mergeCell ref="A73:A77"/>
    <mergeCell ref="A71:A72"/>
    <mergeCell ref="A66:A70"/>
    <mergeCell ref="A42:A44"/>
    <mergeCell ref="A45:A47"/>
    <mergeCell ref="A48:A50"/>
    <mergeCell ref="C45:C46"/>
    <mergeCell ref="C48:C49"/>
    <mergeCell ref="R15:R16"/>
    <mergeCell ref="C42:C43"/>
    <mergeCell ref="C39:C40"/>
    <mergeCell ref="C36:C37"/>
    <mergeCell ref="C33:C34"/>
    <mergeCell ref="D33:D34"/>
    <mergeCell ref="E36:E37"/>
    <mergeCell ref="D36:D37"/>
    <mergeCell ref="F36:F37"/>
    <mergeCell ref="G36:G37"/>
    <mergeCell ref="H36:H37"/>
    <mergeCell ref="I36:I37"/>
    <mergeCell ref="C20:C21"/>
    <mergeCell ref="F30:F31"/>
    <mergeCell ref="C30:C31"/>
    <mergeCell ref="J20:J21"/>
    <mergeCell ref="J15:J16"/>
    <mergeCell ref="K15:K16"/>
    <mergeCell ref="O103:O106"/>
    <mergeCell ref="P103:P106"/>
    <mergeCell ref="C93:C96"/>
    <mergeCell ref="C98:C101"/>
    <mergeCell ref="C103:C106"/>
    <mergeCell ref="D103:D106"/>
    <mergeCell ref="E103:E106"/>
    <mergeCell ref="C83:C86"/>
    <mergeCell ref="D83:D86"/>
    <mergeCell ref="C88:C91"/>
    <mergeCell ref="D88:D91"/>
    <mergeCell ref="F103:F106"/>
    <mergeCell ref="G103:G106"/>
    <mergeCell ref="H103:H106"/>
    <mergeCell ref="I103:I106"/>
    <mergeCell ref="J103:J106"/>
    <mergeCell ref="K103:K106"/>
    <mergeCell ref="L103:L106"/>
    <mergeCell ref="M103:M106"/>
    <mergeCell ref="N103:N106"/>
    <mergeCell ref="E83:E86"/>
    <mergeCell ref="P60:P61"/>
    <mergeCell ref="M51:M52"/>
    <mergeCell ref="A6:A9"/>
    <mergeCell ref="A10:A11"/>
    <mergeCell ref="E138:E141"/>
    <mergeCell ref="F138:F141"/>
    <mergeCell ref="E143:E144"/>
    <mergeCell ref="D143:D144"/>
    <mergeCell ref="C133:C136"/>
    <mergeCell ref="D133:D136"/>
    <mergeCell ref="E133:E136"/>
    <mergeCell ref="E128:E131"/>
    <mergeCell ref="D128:D131"/>
    <mergeCell ref="E118:E121"/>
    <mergeCell ref="D118:D121"/>
    <mergeCell ref="C118:C121"/>
    <mergeCell ref="C123:C126"/>
    <mergeCell ref="C128:C131"/>
    <mergeCell ref="D108:D111"/>
    <mergeCell ref="C108:C111"/>
    <mergeCell ref="C113:C116"/>
    <mergeCell ref="D113:D116"/>
    <mergeCell ref="E113:E116"/>
    <mergeCell ref="E78:E81"/>
    <mergeCell ref="C2:C4"/>
    <mergeCell ref="E2:E4"/>
    <mergeCell ref="G2:G4"/>
    <mergeCell ref="I2:I4"/>
    <mergeCell ref="K2:K4"/>
    <mergeCell ref="D3:D4"/>
    <mergeCell ref="F3:F4"/>
    <mergeCell ref="C73:C76"/>
    <mergeCell ref="C78:C81"/>
    <mergeCell ref="D78:D81"/>
    <mergeCell ref="F63:F64"/>
    <mergeCell ref="C66:C69"/>
    <mergeCell ref="F66:F69"/>
    <mergeCell ref="E66:E69"/>
    <mergeCell ref="C54:C55"/>
    <mergeCell ref="D54:D55"/>
    <mergeCell ref="D57:D58"/>
    <mergeCell ref="E60:E61"/>
    <mergeCell ref="D60:D61"/>
    <mergeCell ref="C63:C64"/>
    <mergeCell ref="C51:C52"/>
    <mergeCell ref="E51:E52"/>
    <mergeCell ref="F51:F52"/>
    <mergeCell ref="F48:F4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sheetPr codeName="Sheet5">
    <tabColor rgb="FFFF7E79"/>
  </sheetPr>
  <dimension ref="A1:Y189"/>
  <sheetViews>
    <sheetView topLeftCell="A112" workbookViewId="0">
      <selection activeCell="D20" sqref="D20"/>
    </sheetView>
  </sheetViews>
  <sheetFormatPr baseColWidth="10" defaultRowHeight="16" x14ac:dyDescent="0.2"/>
  <cols>
    <col min="3" max="3" width="16.6640625" customWidth="1"/>
    <col min="4" max="4" width="18.1640625" customWidth="1"/>
    <col min="5" max="5" width="15.1640625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6" max="26" width="15.1640625" customWidth="1"/>
    <col min="27" max="27" width="14.5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23" x14ac:dyDescent="0.2">
      <c r="A1" s="28" t="s">
        <v>117</v>
      </c>
      <c r="B1" s="27" t="s">
        <v>176</v>
      </c>
    </row>
    <row r="2" spans="1:23" x14ac:dyDescent="0.2">
      <c r="A2" s="741" t="s">
        <v>440</v>
      </c>
      <c r="B2" s="45" t="s">
        <v>172</v>
      </c>
      <c r="C2" s="45"/>
      <c r="D2" s="742" t="s">
        <v>8</v>
      </c>
      <c r="E2" s="45"/>
      <c r="F2" s="45"/>
      <c r="G2" s="742" t="s">
        <v>317</v>
      </c>
      <c r="H2" s="742" t="s">
        <v>441</v>
      </c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1:23" x14ac:dyDescent="0.2">
      <c r="A3" s="741" t="s">
        <v>440</v>
      </c>
      <c r="B3" s="45" t="s">
        <v>169</v>
      </c>
      <c r="C3" s="45" t="s">
        <v>60</v>
      </c>
      <c r="D3" s="742" t="s">
        <v>8</v>
      </c>
      <c r="E3" s="45" t="s">
        <v>65</v>
      </c>
      <c r="F3" s="45" t="s">
        <v>175</v>
      </c>
      <c r="G3" s="742" t="s">
        <v>317</v>
      </c>
      <c r="H3" s="742" t="s">
        <v>441</v>
      </c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</row>
    <row r="4" spans="1:23" x14ac:dyDescent="0.2">
      <c r="A4" s="741" t="s">
        <v>440</v>
      </c>
      <c r="B4" s="45" t="s">
        <v>193</v>
      </c>
      <c r="C4" s="676">
        <v>-10595450000</v>
      </c>
      <c r="D4" s="676">
        <v>-5284290000</v>
      </c>
      <c r="E4" s="676">
        <v>-4085415000</v>
      </c>
      <c r="F4" s="676">
        <v>-2806355000</v>
      </c>
      <c r="G4" s="676">
        <v>-1526420000</v>
      </c>
      <c r="H4" s="676">
        <v>-395680000</v>
      </c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</row>
    <row r="5" spans="1:23" x14ac:dyDescent="0.2">
      <c r="A5" s="741" t="s">
        <v>432</v>
      </c>
      <c r="B5" s="45" t="s">
        <v>169</v>
      </c>
      <c r="C5" s="45" t="s">
        <v>27</v>
      </c>
      <c r="D5" s="45" t="s">
        <v>67</v>
      </c>
      <c r="E5" s="45" t="s">
        <v>25</v>
      </c>
      <c r="F5" s="45" t="s">
        <v>81</v>
      </c>
      <c r="G5" s="45" t="s">
        <v>19</v>
      </c>
      <c r="H5" s="45" t="s">
        <v>68</v>
      </c>
      <c r="I5" s="45" t="s">
        <v>229</v>
      </c>
      <c r="J5" s="45" t="s">
        <v>102</v>
      </c>
      <c r="K5" s="45" t="s">
        <v>175</v>
      </c>
      <c r="L5" s="45" t="s">
        <v>190</v>
      </c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</row>
    <row r="6" spans="1:23" x14ac:dyDescent="0.2">
      <c r="A6" s="741" t="s">
        <v>432</v>
      </c>
      <c r="B6" s="45" t="s">
        <v>193</v>
      </c>
      <c r="C6" s="676">
        <v>-19243065000</v>
      </c>
      <c r="D6" s="676">
        <v>-17017220000</v>
      </c>
      <c r="E6" s="676">
        <v>-15517805000</v>
      </c>
      <c r="F6" s="676">
        <v>-14357426000</v>
      </c>
      <c r="G6" s="676">
        <v>-12937365000</v>
      </c>
      <c r="H6" s="676">
        <v>-11211530000</v>
      </c>
      <c r="I6" s="676">
        <v>-10742080000</v>
      </c>
      <c r="J6" s="676">
        <v>-5315660000</v>
      </c>
      <c r="K6" s="676">
        <v>-2496876000</v>
      </c>
      <c r="L6" s="676">
        <v>-319855000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</row>
    <row r="7" spans="1:23" x14ac:dyDescent="0.2">
      <c r="A7" s="741" t="s">
        <v>431</v>
      </c>
      <c r="B7" s="45" t="s">
        <v>172</v>
      </c>
      <c r="C7" s="45"/>
      <c r="D7" s="45"/>
      <c r="E7" s="45"/>
      <c r="F7" s="45"/>
      <c r="G7" s="45"/>
      <c r="H7" s="45"/>
      <c r="I7" s="742" t="s">
        <v>219</v>
      </c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</row>
    <row r="8" spans="1:23" x14ac:dyDescent="0.2">
      <c r="A8" s="741" t="s">
        <v>431</v>
      </c>
      <c r="B8" s="45" t="s">
        <v>169</v>
      </c>
      <c r="C8" s="45" t="s">
        <v>36</v>
      </c>
      <c r="D8" s="45" t="s">
        <v>43</v>
      </c>
      <c r="E8" s="45" t="s">
        <v>39</v>
      </c>
      <c r="F8" s="45" t="s">
        <v>14</v>
      </c>
      <c r="G8" s="45" t="s">
        <v>192</v>
      </c>
      <c r="H8" s="45" t="s">
        <v>65</v>
      </c>
      <c r="I8" s="742"/>
      <c r="J8" s="45" t="s">
        <v>367</v>
      </c>
      <c r="K8" s="45" t="s">
        <v>278</v>
      </c>
      <c r="L8" s="45" t="s">
        <v>337</v>
      </c>
      <c r="M8" s="45" t="s">
        <v>89</v>
      </c>
      <c r="N8" s="45" t="s">
        <v>332</v>
      </c>
      <c r="O8" s="45"/>
      <c r="P8" s="45"/>
      <c r="Q8" s="45"/>
      <c r="R8" s="45"/>
      <c r="S8" s="45"/>
      <c r="T8" s="45"/>
      <c r="U8" s="45"/>
      <c r="V8" s="45"/>
      <c r="W8" s="45"/>
    </row>
    <row r="9" spans="1:23" x14ac:dyDescent="0.2">
      <c r="A9" s="741" t="s">
        <v>431</v>
      </c>
      <c r="B9" s="45" t="s">
        <v>193</v>
      </c>
      <c r="C9" s="676">
        <v>-145542480000</v>
      </c>
      <c r="D9" s="676">
        <v>-57341150000</v>
      </c>
      <c r="E9" s="676">
        <v>-51509660000</v>
      </c>
      <c r="F9" s="676">
        <v>-33037085000</v>
      </c>
      <c r="G9" s="676">
        <v>-21758070000</v>
      </c>
      <c r="H9" s="676">
        <v>-7202395000</v>
      </c>
      <c r="I9" s="676">
        <v>-6376910000</v>
      </c>
      <c r="J9" s="676">
        <v>-1465065000</v>
      </c>
      <c r="K9" s="676">
        <v>-1253901000</v>
      </c>
      <c r="L9" s="676">
        <v>-3995000</v>
      </c>
      <c r="M9" s="676">
        <v>-3420000</v>
      </c>
      <c r="N9" s="676">
        <v>-1130000</v>
      </c>
      <c r="O9" s="45"/>
      <c r="P9" s="45"/>
      <c r="Q9" s="45"/>
      <c r="R9" s="45"/>
      <c r="S9" s="45"/>
      <c r="T9" s="45"/>
      <c r="U9" s="45"/>
      <c r="V9" s="45"/>
      <c r="W9" s="45"/>
    </row>
    <row r="10" spans="1:23" x14ac:dyDescent="0.2">
      <c r="A10" s="741" t="s">
        <v>430</v>
      </c>
      <c r="B10" s="45" t="s">
        <v>172</v>
      </c>
      <c r="C10" s="45"/>
      <c r="D10" s="45"/>
      <c r="E10" s="45"/>
      <c r="F10" s="742" t="s">
        <v>363</v>
      </c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</row>
    <row r="11" spans="1:23" x14ac:dyDescent="0.2">
      <c r="A11" s="741"/>
      <c r="B11" s="45" t="s">
        <v>169</v>
      </c>
      <c r="C11" s="45" t="s">
        <v>196</v>
      </c>
      <c r="D11" s="45" t="s">
        <v>91</v>
      </c>
      <c r="E11" s="45" t="s">
        <v>209</v>
      </c>
      <c r="F11" s="742" t="s">
        <v>363</v>
      </c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</row>
    <row r="12" spans="1:23" x14ac:dyDescent="0.2">
      <c r="A12" s="741"/>
      <c r="B12" s="45" t="s">
        <v>193</v>
      </c>
      <c r="C12" s="676">
        <v>-10372675000</v>
      </c>
      <c r="D12" s="676">
        <v>-1423250000</v>
      </c>
      <c r="E12" s="676">
        <v>-1311000000</v>
      </c>
      <c r="F12" s="676">
        <v>-649160000</v>
      </c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</row>
    <row r="13" spans="1:23" x14ac:dyDescent="0.2">
      <c r="A13" s="741" t="s">
        <v>423</v>
      </c>
      <c r="B13" s="45" t="s">
        <v>172</v>
      </c>
      <c r="C13" s="45"/>
      <c r="D13" s="45"/>
      <c r="E13" s="742" t="s">
        <v>170</v>
      </c>
      <c r="F13" s="45"/>
      <c r="G13" s="45"/>
      <c r="H13" s="742" t="s">
        <v>426</v>
      </c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</row>
    <row r="14" spans="1:23" x14ac:dyDescent="0.2">
      <c r="A14" s="741"/>
      <c r="B14" s="45" t="s">
        <v>169</v>
      </c>
      <c r="C14" s="45" t="s">
        <v>18</v>
      </c>
      <c r="D14" s="45" t="s">
        <v>21</v>
      </c>
      <c r="E14" s="742"/>
      <c r="F14" s="45" t="s">
        <v>65</v>
      </c>
      <c r="G14" s="45" t="s">
        <v>400</v>
      </c>
      <c r="H14" s="742" t="s">
        <v>426</v>
      </c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</row>
    <row r="15" spans="1:23" x14ac:dyDescent="0.2">
      <c r="A15" s="741"/>
      <c r="B15" s="45" t="s">
        <v>193</v>
      </c>
      <c r="C15" s="676">
        <v>-109163239000</v>
      </c>
      <c r="D15" s="676">
        <v>-10828470000</v>
      </c>
      <c r="E15" s="676">
        <v>-3616000000</v>
      </c>
      <c r="F15" s="676">
        <v>-2251050000</v>
      </c>
      <c r="G15" s="676">
        <v>-159400000</v>
      </c>
      <c r="H15" s="676">
        <v>-128000</v>
      </c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</row>
    <row r="16" spans="1:23" x14ac:dyDescent="0.2">
      <c r="A16" s="741" t="s">
        <v>421</v>
      </c>
      <c r="B16" s="45" t="s">
        <v>169</v>
      </c>
      <c r="C16" s="45" t="s">
        <v>36</v>
      </c>
      <c r="D16" s="45" t="s">
        <v>43</v>
      </c>
      <c r="E16" s="45" t="s">
        <v>39</v>
      </c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</row>
    <row r="17" spans="1:23" x14ac:dyDescent="0.2">
      <c r="A17" s="741"/>
      <c r="B17" s="45" t="s">
        <v>193</v>
      </c>
      <c r="C17" s="676">
        <v>-105916230000</v>
      </c>
      <c r="D17" s="676">
        <v>-22984630000</v>
      </c>
      <c r="E17" s="676">
        <v>-20977850000</v>
      </c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</row>
    <row r="18" spans="1:23" x14ac:dyDescent="0.2">
      <c r="A18" s="741" t="s">
        <v>417</v>
      </c>
      <c r="B18" s="45" t="s">
        <v>172</v>
      </c>
      <c r="C18" s="742" t="s">
        <v>419</v>
      </c>
      <c r="D18" s="45"/>
      <c r="E18" s="45"/>
      <c r="F18" s="742" t="s">
        <v>402</v>
      </c>
      <c r="G18" s="742" t="s">
        <v>420</v>
      </c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</row>
    <row r="19" spans="1:23" x14ac:dyDescent="0.2">
      <c r="A19" s="741"/>
      <c r="B19" s="45" t="s">
        <v>169</v>
      </c>
      <c r="C19" s="742" t="s">
        <v>419</v>
      </c>
      <c r="D19" s="45" t="s">
        <v>279</v>
      </c>
      <c r="E19" s="45" t="s">
        <v>400</v>
      </c>
      <c r="F19" s="742" t="s">
        <v>402</v>
      </c>
      <c r="G19" s="742" t="s">
        <v>420</v>
      </c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</row>
    <row r="20" spans="1:23" x14ac:dyDescent="0.2">
      <c r="A20" s="741"/>
      <c r="B20" s="45" t="s">
        <v>193</v>
      </c>
      <c r="C20" s="676">
        <v>-1070620000</v>
      </c>
      <c r="D20" s="676">
        <v>-98200000</v>
      </c>
      <c r="E20" s="676">
        <v>-69650000</v>
      </c>
      <c r="F20" s="676">
        <v>-1020000</v>
      </c>
      <c r="G20" s="676">
        <v>-153000</v>
      </c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</row>
    <row r="21" spans="1:23" x14ac:dyDescent="0.2">
      <c r="A21" s="741" t="s">
        <v>416</v>
      </c>
      <c r="B21" s="45" t="s">
        <v>172</v>
      </c>
      <c r="C21" s="742" t="s">
        <v>44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</row>
    <row r="22" spans="1:23" x14ac:dyDescent="0.2">
      <c r="A22" s="741"/>
      <c r="B22" s="45" t="s">
        <v>169</v>
      </c>
      <c r="C22" s="742" t="s">
        <v>44</v>
      </c>
      <c r="D22" s="45" t="s">
        <v>10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</row>
    <row r="23" spans="1:23" x14ac:dyDescent="0.2">
      <c r="A23" s="741"/>
      <c r="B23" s="45" t="s">
        <v>193</v>
      </c>
      <c r="C23" s="676">
        <v>-4565345000</v>
      </c>
      <c r="D23" s="676">
        <v>-1973900000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</row>
    <row r="24" spans="1:23" x14ac:dyDescent="0.2">
      <c r="A24" s="741" t="s">
        <v>414</v>
      </c>
      <c r="B24" s="45" t="s">
        <v>172</v>
      </c>
      <c r="C24" s="742" t="s">
        <v>280</v>
      </c>
      <c r="D24" s="742" t="s">
        <v>45</v>
      </c>
      <c r="E24" s="742" t="s">
        <v>200</v>
      </c>
      <c r="F24" s="742" t="s">
        <v>44</v>
      </c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</row>
    <row r="25" spans="1:23" x14ac:dyDescent="0.2">
      <c r="A25" s="741"/>
      <c r="B25" s="45" t="s">
        <v>169</v>
      </c>
      <c r="C25" s="742" t="s">
        <v>280</v>
      </c>
      <c r="D25" s="742" t="s">
        <v>45</v>
      </c>
      <c r="E25" s="742" t="s">
        <v>200</v>
      </c>
      <c r="F25" s="742" t="s">
        <v>44</v>
      </c>
      <c r="G25" s="45" t="s">
        <v>406</v>
      </c>
      <c r="H25" s="45" t="s">
        <v>34</v>
      </c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</row>
    <row r="26" spans="1:23" x14ac:dyDescent="0.2">
      <c r="A26" s="741"/>
      <c r="B26" s="45" t="s">
        <v>193</v>
      </c>
      <c r="C26" s="676">
        <v>-95661280000</v>
      </c>
      <c r="D26" s="676">
        <v>-32347285000</v>
      </c>
      <c r="E26" s="676">
        <v>-5600000000</v>
      </c>
      <c r="F26" s="676">
        <v>-4346520000</v>
      </c>
      <c r="G26" s="676">
        <v>-523860000</v>
      </c>
      <c r="H26" s="676">
        <v>-212205000</v>
      </c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</row>
    <row r="27" spans="1:23" x14ac:dyDescent="0.2">
      <c r="A27" s="741" t="s">
        <v>412</v>
      </c>
      <c r="B27" s="45" t="s">
        <v>172</v>
      </c>
      <c r="C27" s="742" t="s">
        <v>339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</row>
    <row r="28" spans="1:23" x14ac:dyDescent="0.2">
      <c r="A28" s="741"/>
      <c r="B28" s="45" t="s">
        <v>169</v>
      </c>
      <c r="C28" s="742" t="s">
        <v>339</v>
      </c>
      <c r="D28" s="45" t="s">
        <v>37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</row>
    <row r="29" spans="1:23" x14ac:dyDescent="0.2">
      <c r="A29" s="741"/>
      <c r="B29" s="45" t="s">
        <v>193</v>
      </c>
      <c r="C29" s="676">
        <v>-87823040000</v>
      </c>
      <c r="D29" s="676">
        <v>-45930756000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</row>
    <row r="30" spans="1:23" x14ac:dyDescent="0.2">
      <c r="A30" s="741" t="s">
        <v>410</v>
      </c>
      <c r="B30" s="45" t="s">
        <v>172</v>
      </c>
      <c r="C30" s="742" t="s">
        <v>408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</row>
    <row r="31" spans="1:23" x14ac:dyDescent="0.2">
      <c r="A31" s="741"/>
      <c r="B31" s="45" t="s">
        <v>169</v>
      </c>
      <c r="C31" s="742" t="s">
        <v>408</v>
      </c>
      <c r="D31" s="45" t="s">
        <v>196</v>
      </c>
      <c r="E31" s="45" t="s">
        <v>71</v>
      </c>
      <c r="F31" s="45" t="s">
        <v>108</v>
      </c>
      <c r="G31" s="45" t="s">
        <v>44</v>
      </c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</row>
    <row r="32" spans="1:23" x14ac:dyDescent="0.2">
      <c r="A32" s="741"/>
      <c r="B32" s="45" t="s">
        <v>193</v>
      </c>
      <c r="C32" s="676">
        <v>-8951480000</v>
      </c>
      <c r="D32" s="676">
        <v>-3530990000</v>
      </c>
      <c r="E32" s="676">
        <v>-1758320000</v>
      </c>
      <c r="F32" s="676">
        <v>-310065000</v>
      </c>
      <c r="G32" s="676">
        <v>-115475000</v>
      </c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</row>
    <row r="33" spans="1:25" x14ac:dyDescent="0.2">
      <c r="A33" s="741" t="s">
        <v>405</v>
      </c>
      <c r="B33" s="45" t="s">
        <v>172</v>
      </c>
      <c r="C33" s="45"/>
      <c r="D33" s="742" t="s">
        <v>206</v>
      </c>
      <c r="E33" s="742" t="s">
        <v>195</v>
      </c>
      <c r="F33" s="742" t="s">
        <v>320</v>
      </c>
      <c r="G33" s="742" t="s">
        <v>408</v>
      </c>
      <c r="H33" s="742" t="s">
        <v>409</v>
      </c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</row>
    <row r="34" spans="1:25" x14ac:dyDescent="0.2">
      <c r="A34" s="741"/>
      <c r="B34" s="45" t="s">
        <v>169</v>
      </c>
      <c r="C34" s="45" t="s">
        <v>348</v>
      </c>
      <c r="D34" s="742" t="s">
        <v>206</v>
      </c>
      <c r="E34" s="742" t="s">
        <v>195</v>
      </c>
      <c r="F34" s="742" t="s">
        <v>320</v>
      </c>
      <c r="G34" s="742" t="s">
        <v>408</v>
      </c>
      <c r="H34" s="742" t="s">
        <v>409</v>
      </c>
      <c r="I34" s="45" t="s">
        <v>75</v>
      </c>
      <c r="J34" s="45" t="s">
        <v>287</v>
      </c>
      <c r="K34" s="45" t="s">
        <v>17</v>
      </c>
      <c r="L34" s="45" t="s">
        <v>368</v>
      </c>
      <c r="M34" s="45" t="s">
        <v>369</v>
      </c>
      <c r="N34" s="45" t="s">
        <v>204</v>
      </c>
      <c r="O34" s="45" t="s">
        <v>98</v>
      </c>
      <c r="P34" s="45" t="s">
        <v>324</v>
      </c>
      <c r="Q34" s="45" t="s">
        <v>178</v>
      </c>
      <c r="R34" s="45" t="s">
        <v>179</v>
      </c>
      <c r="S34" s="45" t="s">
        <v>384</v>
      </c>
      <c r="T34" s="45" t="s">
        <v>107</v>
      </c>
      <c r="U34" s="45" t="s">
        <v>108</v>
      </c>
      <c r="V34" s="45" t="s">
        <v>181</v>
      </c>
      <c r="W34" s="45" t="s">
        <v>63</v>
      </c>
    </row>
    <row r="35" spans="1:25" x14ac:dyDescent="0.2">
      <c r="A35" s="741"/>
      <c r="B35" s="45" t="s">
        <v>193</v>
      </c>
      <c r="C35" s="676">
        <v>-20454560000</v>
      </c>
      <c r="D35" s="676">
        <v>-10990680000</v>
      </c>
      <c r="E35" s="676">
        <v>-5283240000</v>
      </c>
      <c r="F35" s="676">
        <v>-4676292000</v>
      </c>
      <c r="G35" s="676">
        <v>-4552255000</v>
      </c>
      <c r="H35" s="676">
        <v>-2310000000</v>
      </c>
      <c r="I35" s="676">
        <v>-1722000000</v>
      </c>
      <c r="J35" s="676">
        <v>-964030000</v>
      </c>
      <c r="K35" s="676">
        <v>-765855000</v>
      </c>
      <c r="L35" s="676">
        <v>-723530000</v>
      </c>
      <c r="M35" s="676">
        <v>-579000000</v>
      </c>
      <c r="N35" s="676">
        <v>-575630000</v>
      </c>
      <c r="O35" s="676">
        <v>-529860000</v>
      </c>
      <c r="P35" s="676">
        <v>-517175000</v>
      </c>
      <c r="Q35" s="676">
        <v>-433550000</v>
      </c>
      <c r="R35" s="676">
        <v>-349100000</v>
      </c>
      <c r="S35" s="676">
        <v>-334020000</v>
      </c>
      <c r="T35" s="676">
        <v>-300710000</v>
      </c>
      <c r="U35" s="676">
        <v>-288295000</v>
      </c>
      <c r="V35" s="676">
        <v>-286095000</v>
      </c>
      <c r="W35" s="676">
        <v>-185970000</v>
      </c>
    </row>
    <row r="36" spans="1:25" x14ac:dyDescent="0.2">
      <c r="A36" s="741" t="s">
        <v>396</v>
      </c>
      <c r="B36" s="45" t="s">
        <v>172</v>
      </c>
      <c r="C36" s="742" t="s">
        <v>15</v>
      </c>
      <c r="D36" s="742" t="s">
        <v>5</v>
      </c>
      <c r="E36" s="45"/>
      <c r="F36" s="45"/>
      <c r="G36" s="742" t="s">
        <v>30</v>
      </c>
      <c r="H36" s="742" t="s">
        <v>203</v>
      </c>
      <c r="I36" s="742" t="s">
        <v>69</v>
      </c>
      <c r="J36" s="45"/>
      <c r="K36" s="45"/>
      <c r="L36" s="742" t="s">
        <v>398</v>
      </c>
      <c r="M36" s="742" t="s">
        <v>92</v>
      </c>
      <c r="N36" s="742" t="s">
        <v>399</v>
      </c>
      <c r="O36" s="45"/>
      <c r="P36" s="45"/>
      <c r="Q36" s="45"/>
      <c r="R36" s="45"/>
      <c r="S36" s="742" t="s">
        <v>171</v>
      </c>
      <c r="T36" s="742" t="s">
        <v>312</v>
      </c>
      <c r="U36" s="742" t="s">
        <v>402</v>
      </c>
      <c r="V36" s="742" t="s">
        <v>363</v>
      </c>
      <c r="W36" s="742" t="s">
        <v>185</v>
      </c>
      <c r="X36" s="743" t="s">
        <v>403</v>
      </c>
      <c r="Y36" s="743" t="s">
        <v>404</v>
      </c>
    </row>
    <row r="37" spans="1:25" x14ac:dyDescent="0.2">
      <c r="A37" s="741"/>
      <c r="B37" s="45" t="s">
        <v>169</v>
      </c>
      <c r="C37" s="742" t="s">
        <v>15</v>
      </c>
      <c r="D37" s="742" t="s">
        <v>5</v>
      </c>
      <c r="E37" s="45" t="s">
        <v>38</v>
      </c>
      <c r="F37" s="45" t="s">
        <v>36</v>
      </c>
      <c r="G37" s="742" t="s">
        <v>30</v>
      </c>
      <c r="H37" s="742" t="s">
        <v>203</v>
      </c>
      <c r="I37" s="742" t="s">
        <v>69</v>
      </c>
      <c r="J37" s="45" t="s">
        <v>78</v>
      </c>
      <c r="K37" s="45" t="s">
        <v>395</v>
      </c>
      <c r="L37" s="742" t="s">
        <v>398</v>
      </c>
      <c r="M37" s="742" t="s">
        <v>92</v>
      </c>
      <c r="N37" s="742" t="s">
        <v>399</v>
      </c>
      <c r="O37" s="45" t="s">
        <v>320</v>
      </c>
      <c r="P37" s="45" t="s">
        <v>350</v>
      </c>
      <c r="Q37" s="45" t="s">
        <v>400</v>
      </c>
      <c r="R37" s="45" t="s">
        <v>401</v>
      </c>
      <c r="S37" s="742" t="s">
        <v>171</v>
      </c>
      <c r="T37" s="742" t="s">
        <v>312</v>
      </c>
      <c r="U37" s="742" t="s">
        <v>402</v>
      </c>
      <c r="V37" s="742" t="s">
        <v>363</v>
      </c>
      <c r="W37" s="742" t="s">
        <v>185</v>
      </c>
      <c r="X37" s="743" t="s">
        <v>403</v>
      </c>
      <c r="Y37" s="743" t="s">
        <v>404</v>
      </c>
    </row>
    <row r="38" spans="1:25" x14ac:dyDescent="0.2">
      <c r="A38" s="741"/>
      <c r="B38" s="45" t="s">
        <v>193</v>
      </c>
      <c r="C38" s="676">
        <v>-179460700000</v>
      </c>
      <c r="D38" s="676">
        <v>-91099405000</v>
      </c>
      <c r="E38" s="676">
        <v>-66500340000</v>
      </c>
      <c r="F38" s="676">
        <v>-49556270000</v>
      </c>
      <c r="G38" s="676">
        <v>-38977863000</v>
      </c>
      <c r="H38" s="676">
        <v>-27975525000</v>
      </c>
      <c r="I38" s="676">
        <v>-26296300000</v>
      </c>
      <c r="J38" s="676">
        <v>-10778170000</v>
      </c>
      <c r="K38" s="676">
        <v>-5445447800</v>
      </c>
      <c r="L38" s="676">
        <v>-861276000</v>
      </c>
      <c r="M38" s="676">
        <v>-355320000</v>
      </c>
      <c r="N38" s="676">
        <v>-17880000</v>
      </c>
      <c r="O38" s="676">
        <v>-12150000</v>
      </c>
      <c r="P38" s="676">
        <v>-6127000</v>
      </c>
      <c r="Q38" s="676">
        <v>-2080000</v>
      </c>
      <c r="R38" s="676">
        <v>-1799000</v>
      </c>
      <c r="S38" s="676">
        <v>-714000</v>
      </c>
      <c r="T38" s="676">
        <v>-680000</v>
      </c>
      <c r="U38" s="676">
        <v>-468000</v>
      </c>
      <c r="V38" s="676">
        <v>-215000</v>
      </c>
      <c r="W38" s="676">
        <v>-149000</v>
      </c>
      <c r="X38" s="17">
        <v>-99000</v>
      </c>
      <c r="Y38" s="17">
        <v>-91000</v>
      </c>
    </row>
    <row r="39" spans="1:25" x14ac:dyDescent="0.2">
      <c r="A39" s="741" t="s">
        <v>393</v>
      </c>
      <c r="B39" s="45" t="s">
        <v>172</v>
      </c>
      <c r="C39" s="742" t="s">
        <v>33</v>
      </c>
      <c r="D39" s="742" t="s">
        <v>202</v>
      </c>
      <c r="E39" s="45"/>
      <c r="F39" s="742" t="s">
        <v>110</v>
      </c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</row>
    <row r="40" spans="1:25" x14ac:dyDescent="0.2">
      <c r="A40" s="741"/>
      <c r="B40" s="45" t="s">
        <v>169</v>
      </c>
      <c r="C40" s="742" t="s">
        <v>33</v>
      </c>
      <c r="D40" s="742" t="s">
        <v>202</v>
      </c>
      <c r="E40" s="45" t="s">
        <v>45</v>
      </c>
      <c r="F40" s="742" t="s">
        <v>110</v>
      </c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</row>
    <row r="41" spans="1:25" x14ac:dyDescent="0.2">
      <c r="A41" s="741"/>
      <c r="B41" s="45" t="s">
        <v>193</v>
      </c>
      <c r="C41" s="676">
        <v>-72049784000</v>
      </c>
      <c r="D41" s="676">
        <v>-29560770000</v>
      </c>
      <c r="E41" s="676">
        <v>-2403130000</v>
      </c>
      <c r="F41" s="676">
        <v>-7291000</v>
      </c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</row>
    <row r="42" spans="1:25" x14ac:dyDescent="0.2">
      <c r="A42" s="741" t="s">
        <v>392</v>
      </c>
      <c r="B42" s="45" t="s">
        <v>172</v>
      </c>
      <c r="C42" s="742" t="s">
        <v>219</v>
      </c>
      <c r="D42" s="742" t="s">
        <v>355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</row>
    <row r="43" spans="1:25" x14ac:dyDescent="0.2">
      <c r="A43" s="741"/>
      <c r="B43" s="45" t="s">
        <v>169</v>
      </c>
      <c r="C43" s="742" t="s">
        <v>219</v>
      </c>
      <c r="D43" s="742" t="s">
        <v>355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</row>
    <row r="44" spans="1:25" x14ac:dyDescent="0.2">
      <c r="A44" s="741"/>
      <c r="B44" s="45" t="s">
        <v>193</v>
      </c>
      <c r="C44" s="676">
        <v>-5369500000</v>
      </c>
      <c r="D44" s="676">
        <v>-468890000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</row>
    <row r="45" spans="1:25" x14ac:dyDescent="0.2">
      <c r="A45" s="741" t="s">
        <v>383</v>
      </c>
      <c r="B45" s="45" t="s">
        <v>172</v>
      </c>
      <c r="C45" s="45"/>
      <c r="D45" s="742" t="s">
        <v>66</v>
      </c>
      <c r="E45" s="45"/>
      <c r="F45" s="742" t="s">
        <v>299</v>
      </c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</row>
    <row r="46" spans="1:25" x14ac:dyDescent="0.2">
      <c r="A46" s="741"/>
      <c r="B46" s="45" t="s">
        <v>169</v>
      </c>
      <c r="C46" s="45" t="s">
        <v>36</v>
      </c>
      <c r="D46" s="742" t="s">
        <v>66</v>
      </c>
      <c r="E46" s="45" t="s">
        <v>19</v>
      </c>
      <c r="F46" s="742" t="s">
        <v>299</v>
      </c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</row>
    <row r="47" spans="1:25" x14ac:dyDescent="0.2">
      <c r="A47" s="741"/>
      <c r="B47" s="45" t="s">
        <v>193</v>
      </c>
      <c r="C47" s="676">
        <v>-44460630000</v>
      </c>
      <c r="D47" s="676">
        <v>-10904220000</v>
      </c>
      <c r="E47" s="676">
        <v>-9666835000</v>
      </c>
      <c r="F47" s="676">
        <v>-6664810000</v>
      </c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</row>
    <row r="48" spans="1:25" x14ac:dyDescent="0.2">
      <c r="A48" s="741" t="s">
        <v>381</v>
      </c>
      <c r="B48" s="45" t="s">
        <v>172</v>
      </c>
      <c r="C48" s="742" t="s">
        <v>33</v>
      </c>
      <c r="D48" s="45"/>
      <c r="E48" s="742" t="s">
        <v>170</v>
      </c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</row>
    <row r="49" spans="1:23" x14ac:dyDescent="0.2">
      <c r="A49" s="741"/>
      <c r="B49" s="45" t="s">
        <v>169</v>
      </c>
      <c r="C49" s="742" t="s">
        <v>33</v>
      </c>
      <c r="D49" s="45" t="s">
        <v>206</v>
      </c>
      <c r="E49" s="742" t="s">
        <v>170</v>
      </c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</row>
    <row r="50" spans="1:23" x14ac:dyDescent="0.2">
      <c r="A50" s="741"/>
      <c r="B50" s="45" t="s">
        <v>193</v>
      </c>
      <c r="C50" s="676">
        <v>-29842132000</v>
      </c>
      <c r="D50" s="676">
        <v>-2897295000</v>
      </c>
      <c r="E50" s="676">
        <v>-855000000</v>
      </c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</row>
    <row r="51" spans="1:23" x14ac:dyDescent="0.2">
      <c r="A51" s="741" t="s">
        <v>378</v>
      </c>
      <c r="B51" s="45" t="s">
        <v>172</v>
      </c>
      <c r="C51" s="742" t="s">
        <v>24</v>
      </c>
      <c r="D51" s="45"/>
      <c r="E51" s="742" t="s">
        <v>8</v>
      </c>
      <c r="F51" s="742" t="s">
        <v>82</v>
      </c>
      <c r="G51" s="742" t="s">
        <v>289</v>
      </c>
      <c r="H51" s="45"/>
      <c r="I51" s="742" t="s">
        <v>288</v>
      </c>
      <c r="J51" s="45"/>
      <c r="K51" s="742" t="s">
        <v>349</v>
      </c>
      <c r="L51" s="742" t="s">
        <v>310</v>
      </c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</row>
    <row r="52" spans="1:23" x14ac:dyDescent="0.2">
      <c r="A52" s="741"/>
      <c r="B52" s="45" t="s">
        <v>169</v>
      </c>
      <c r="C52" s="742" t="s">
        <v>24</v>
      </c>
      <c r="D52" s="45" t="s">
        <v>13</v>
      </c>
      <c r="E52" s="742" t="s">
        <v>8</v>
      </c>
      <c r="F52" s="742" t="s">
        <v>82</v>
      </c>
      <c r="G52" s="742" t="s">
        <v>289</v>
      </c>
      <c r="H52" s="45" t="s">
        <v>206</v>
      </c>
      <c r="I52" s="742" t="s">
        <v>288</v>
      </c>
      <c r="J52" s="45" t="s">
        <v>380</v>
      </c>
      <c r="K52" s="742" t="s">
        <v>349</v>
      </c>
      <c r="L52" s="742" t="s">
        <v>310</v>
      </c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</row>
    <row r="53" spans="1:23" x14ac:dyDescent="0.2">
      <c r="A53" s="741"/>
      <c r="B53" s="45" t="s">
        <v>193</v>
      </c>
      <c r="C53" s="676">
        <v>-79270400000</v>
      </c>
      <c r="D53" s="676">
        <v>-37233077000</v>
      </c>
      <c r="E53" s="676">
        <v>-19526300000</v>
      </c>
      <c r="F53" s="676">
        <v>-11341530000</v>
      </c>
      <c r="G53" s="676">
        <v>-9719255000</v>
      </c>
      <c r="H53" s="676">
        <v>-1129900000</v>
      </c>
      <c r="I53" s="676">
        <v>-601014000</v>
      </c>
      <c r="J53" s="676">
        <v>-590000000</v>
      </c>
      <c r="K53" s="676">
        <v>-450410000</v>
      </c>
      <c r="L53" s="676">
        <v>-32000</v>
      </c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</row>
    <row r="54" spans="1:23" x14ac:dyDescent="0.2">
      <c r="A54" s="741" t="s">
        <v>373</v>
      </c>
      <c r="B54" s="45" t="s">
        <v>172</v>
      </c>
      <c r="C54" s="742" t="s">
        <v>70</v>
      </c>
      <c r="D54" s="742" t="s">
        <v>33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</row>
    <row r="55" spans="1:23" x14ac:dyDescent="0.2">
      <c r="A55" s="741"/>
      <c r="B55" s="45" t="s">
        <v>169</v>
      </c>
      <c r="C55" s="742" t="s">
        <v>70</v>
      </c>
      <c r="D55" s="742" t="s">
        <v>33</v>
      </c>
      <c r="E55" s="45" t="s">
        <v>105</v>
      </c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</row>
    <row r="56" spans="1:23" x14ac:dyDescent="0.2">
      <c r="A56" s="741"/>
      <c r="B56" s="45" t="s">
        <v>193</v>
      </c>
      <c r="C56" s="676">
        <v>-58511420000</v>
      </c>
      <c r="D56" s="676">
        <v>-25603027000</v>
      </c>
      <c r="E56" s="676">
        <v>-4067520000</v>
      </c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</row>
    <row r="57" spans="1:23" x14ac:dyDescent="0.2">
      <c r="A57" s="741" t="s">
        <v>362</v>
      </c>
      <c r="B57" s="45" t="s">
        <v>172</v>
      </c>
      <c r="C57" s="742" t="s">
        <v>31</v>
      </c>
      <c r="D57" s="45"/>
      <c r="E57" s="742" t="s">
        <v>301</v>
      </c>
      <c r="F57" s="742" t="s">
        <v>355</v>
      </c>
      <c r="G57" s="742" t="s">
        <v>303</v>
      </c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</row>
    <row r="58" spans="1:23" x14ac:dyDescent="0.2">
      <c r="A58" s="741"/>
      <c r="B58" s="45" t="s">
        <v>169</v>
      </c>
      <c r="C58" s="742" t="s">
        <v>31</v>
      </c>
      <c r="D58" s="45" t="s">
        <v>170</v>
      </c>
      <c r="E58" s="742" t="s">
        <v>301</v>
      </c>
      <c r="F58" s="742" t="s">
        <v>355</v>
      </c>
      <c r="G58" s="742" t="s">
        <v>303</v>
      </c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</row>
    <row r="59" spans="1:23" x14ac:dyDescent="0.2">
      <c r="A59" s="741"/>
      <c r="B59" s="45" t="s">
        <v>193</v>
      </c>
      <c r="C59" s="676">
        <v>-31764910000</v>
      </c>
      <c r="D59" s="676">
        <v>-517000000</v>
      </c>
      <c r="E59" s="676">
        <v>-478215000</v>
      </c>
      <c r="F59" s="676">
        <v>-176000000</v>
      </c>
      <c r="G59" s="676">
        <v>-976000</v>
      </c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</row>
    <row r="60" spans="1:23" x14ac:dyDescent="0.2">
      <c r="A60" s="741" t="s">
        <v>357</v>
      </c>
      <c r="B60" s="45" t="s">
        <v>172</v>
      </c>
      <c r="C60" s="742" t="s">
        <v>15</v>
      </c>
      <c r="D60" s="742" t="s">
        <v>29</v>
      </c>
      <c r="E60" s="742" t="s">
        <v>72</v>
      </c>
      <c r="F60" s="742" t="s">
        <v>77</v>
      </c>
      <c r="G60" s="742" t="s">
        <v>358</v>
      </c>
      <c r="H60" s="742" t="s">
        <v>301</v>
      </c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</row>
    <row r="61" spans="1:23" x14ac:dyDescent="0.2">
      <c r="A61" s="741"/>
      <c r="B61" s="45" t="s">
        <v>169</v>
      </c>
      <c r="C61" s="742" t="s">
        <v>15</v>
      </c>
      <c r="D61" s="742" t="s">
        <v>29</v>
      </c>
      <c r="E61" s="742" t="s">
        <v>72</v>
      </c>
      <c r="F61" s="742" t="s">
        <v>77</v>
      </c>
      <c r="G61" s="742" t="s">
        <v>358</v>
      </c>
      <c r="H61" s="742" t="s">
        <v>301</v>
      </c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</row>
    <row r="62" spans="1:23" x14ac:dyDescent="0.2">
      <c r="A62" s="741"/>
      <c r="B62" s="45" t="s">
        <v>193</v>
      </c>
      <c r="C62" s="676">
        <v>-142468233000</v>
      </c>
      <c r="D62" s="676">
        <v>-52831720000</v>
      </c>
      <c r="E62" s="676">
        <v>-45025520000</v>
      </c>
      <c r="F62" s="676">
        <v>-6670947000</v>
      </c>
      <c r="G62" s="676">
        <v>-6073600000</v>
      </c>
      <c r="H62" s="676">
        <v>-380605000</v>
      </c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</row>
    <row r="63" spans="1:23" x14ac:dyDescent="0.2">
      <c r="A63" s="741" t="s">
        <v>277</v>
      </c>
      <c r="B63" s="45" t="s">
        <v>174</v>
      </c>
      <c r="C63" s="742" t="s">
        <v>7</v>
      </c>
      <c r="D63" s="742" t="s">
        <v>106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</row>
    <row r="64" spans="1:23" x14ac:dyDescent="0.2">
      <c r="A64" s="741"/>
      <c r="B64" s="45" t="s">
        <v>173</v>
      </c>
      <c r="C64" s="742" t="s">
        <v>7</v>
      </c>
      <c r="D64" s="742" t="s">
        <v>106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</row>
    <row r="65" spans="1:23" x14ac:dyDescent="0.2">
      <c r="A65" s="741"/>
      <c r="B65" s="45" t="s">
        <v>172</v>
      </c>
      <c r="C65" s="742" t="s">
        <v>7</v>
      </c>
      <c r="D65" s="742" t="s">
        <v>106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</row>
    <row r="66" spans="1:23" x14ac:dyDescent="0.2">
      <c r="A66" s="741"/>
      <c r="B66" s="45" t="s">
        <v>169</v>
      </c>
      <c r="C66" s="742" t="s">
        <v>7</v>
      </c>
      <c r="D66" s="742" t="s">
        <v>80</v>
      </c>
      <c r="E66" s="45" t="s">
        <v>170</v>
      </c>
      <c r="F66" s="45" t="s">
        <v>106</v>
      </c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</row>
    <row r="67" spans="1:23" x14ac:dyDescent="0.2">
      <c r="A67" s="741"/>
      <c r="B67" s="45" t="s">
        <v>193</v>
      </c>
      <c r="C67" s="676">
        <v>-10147090000</v>
      </c>
      <c r="D67" s="676">
        <v>-6462197000</v>
      </c>
      <c r="E67" s="676">
        <v>-342000000</v>
      </c>
      <c r="F67" s="676">
        <v>-3590000</v>
      </c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</row>
    <row r="68" spans="1:23" x14ac:dyDescent="0.2">
      <c r="A68" s="741" t="s">
        <v>276</v>
      </c>
      <c r="B68" s="45" t="s">
        <v>174</v>
      </c>
      <c r="C68" s="742" t="s">
        <v>33</v>
      </c>
      <c r="D68" s="742" t="s">
        <v>69</v>
      </c>
      <c r="E68" s="742" t="s">
        <v>353</v>
      </c>
      <c r="F68" s="742" t="s">
        <v>354</v>
      </c>
      <c r="G68" s="742" t="s">
        <v>355</v>
      </c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</row>
    <row r="69" spans="1:23" x14ac:dyDescent="0.2">
      <c r="A69" s="741"/>
      <c r="B69" s="45" t="s">
        <v>173</v>
      </c>
      <c r="C69" s="742" t="s">
        <v>33</v>
      </c>
      <c r="D69" s="742" t="s">
        <v>69</v>
      </c>
      <c r="E69" s="742" t="s">
        <v>353</v>
      </c>
      <c r="F69" s="742" t="s">
        <v>354</v>
      </c>
      <c r="G69" s="742" t="s">
        <v>355</v>
      </c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</row>
    <row r="70" spans="1:23" x14ac:dyDescent="0.2">
      <c r="A70" s="741"/>
      <c r="B70" s="45" t="s">
        <v>172</v>
      </c>
      <c r="C70" s="742" t="s">
        <v>33</v>
      </c>
      <c r="D70" s="742" t="s">
        <v>69</v>
      </c>
      <c r="E70" s="742" t="s">
        <v>353</v>
      </c>
      <c r="F70" s="742" t="s">
        <v>354</v>
      </c>
      <c r="G70" s="742" t="s">
        <v>355</v>
      </c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</row>
    <row r="71" spans="1:23" x14ac:dyDescent="0.2">
      <c r="A71" s="741"/>
      <c r="B71" s="45" t="s">
        <v>169</v>
      </c>
      <c r="C71" s="742" t="s">
        <v>33</v>
      </c>
      <c r="D71" s="742" t="s">
        <v>69</v>
      </c>
      <c r="E71" s="742" t="s">
        <v>353</v>
      </c>
      <c r="F71" s="742" t="s">
        <v>354</v>
      </c>
      <c r="G71" s="742" t="s">
        <v>355</v>
      </c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</row>
    <row r="72" spans="1:23" x14ac:dyDescent="0.2">
      <c r="A72" s="741"/>
      <c r="B72" s="45" t="s">
        <v>193</v>
      </c>
      <c r="C72" s="676">
        <v>-22192195000</v>
      </c>
      <c r="D72" s="676">
        <v>-3646260000</v>
      </c>
      <c r="E72" s="676">
        <v>-370680000</v>
      </c>
      <c r="F72" s="676">
        <v>-178758000</v>
      </c>
      <c r="G72" s="676">
        <v>-47400000</v>
      </c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</row>
    <row r="73" spans="1:23" x14ac:dyDescent="0.2">
      <c r="A73" s="741" t="s">
        <v>275</v>
      </c>
      <c r="B73" s="45" t="s">
        <v>174</v>
      </c>
      <c r="C73" s="742" t="s">
        <v>66</v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</row>
    <row r="74" spans="1:23" x14ac:dyDescent="0.2">
      <c r="A74" s="741"/>
      <c r="B74" s="45" t="s">
        <v>173</v>
      </c>
      <c r="C74" s="742" t="s">
        <v>66</v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</row>
    <row r="75" spans="1:23" x14ac:dyDescent="0.2">
      <c r="A75" s="741"/>
      <c r="B75" s="45" t="s">
        <v>172</v>
      </c>
      <c r="C75" s="742" t="s">
        <v>66</v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</row>
    <row r="76" spans="1:23" x14ac:dyDescent="0.2">
      <c r="A76" s="741"/>
      <c r="B76" s="45" t="s">
        <v>169</v>
      </c>
      <c r="C76" s="742" t="s">
        <v>66</v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</row>
    <row r="77" spans="1:23" x14ac:dyDescent="0.2">
      <c r="A77" s="741"/>
      <c r="B77" s="45" t="s">
        <v>193</v>
      </c>
      <c r="C77" s="676">
        <v>-3175600000</v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</row>
    <row r="78" spans="1:23" x14ac:dyDescent="0.2">
      <c r="A78" s="741" t="s">
        <v>274</v>
      </c>
      <c r="B78" s="45" t="s">
        <v>174</v>
      </c>
      <c r="C78" s="742" t="s">
        <v>27</v>
      </c>
      <c r="D78" s="742" t="s">
        <v>81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</row>
    <row r="79" spans="1:23" x14ac:dyDescent="0.2">
      <c r="A79" s="741"/>
      <c r="B79" s="45" t="s">
        <v>173</v>
      </c>
      <c r="C79" s="742" t="s">
        <v>27</v>
      </c>
      <c r="D79" s="742" t="s">
        <v>81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</row>
    <row r="80" spans="1:23" x14ac:dyDescent="0.2">
      <c r="A80" s="741"/>
      <c r="B80" s="45" t="s">
        <v>172</v>
      </c>
      <c r="C80" s="742" t="s">
        <v>27</v>
      </c>
      <c r="D80" s="742" t="s">
        <v>81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</row>
    <row r="81" spans="1:23" x14ac:dyDescent="0.2">
      <c r="A81" s="741"/>
      <c r="B81" s="45" t="s">
        <v>169</v>
      </c>
      <c r="C81" s="742" t="s">
        <v>27</v>
      </c>
      <c r="D81" s="742" t="s">
        <v>81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</row>
    <row r="82" spans="1:23" x14ac:dyDescent="0.2">
      <c r="A82" s="741"/>
      <c r="B82" s="45" t="s">
        <v>193</v>
      </c>
      <c r="C82" s="676">
        <v>-52843285000</v>
      </c>
      <c r="D82" s="676">
        <v>-27007095000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</row>
    <row r="83" spans="1:23" x14ac:dyDescent="0.2">
      <c r="A83" s="741" t="s">
        <v>273</v>
      </c>
      <c r="B83" s="45" t="s">
        <v>174</v>
      </c>
      <c r="C83" s="742" t="s">
        <v>322</v>
      </c>
      <c r="D83" s="742" t="s">
        <v>40</v>
      </c>
      <c r="E83" s="742" t="s">
        <v>340</v>
      </c>
      <c r="F83" s="742" t="s">
        <v>341</v>
      </c>
      <c r="G83" s="742" t="s">
        <v>342</v>
      </c>
      <c r="H83" s="742" t="s">
        <v>343</v>
      </c>
      <c r="I83" s="742" t="s">
        <v>344</v>
      </c>
      <c r="J83" s="742" t="s">
        <v>345</v>
      </c>
      <c r="K83" s="742" t="s">
        <v>346</v>
      </c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</row>
    <row r="84" spans="1:23" x14ac:dyDescent="0.2">
      <c r="A84" s="741"/>
      <c r="B84" s="45" t="s">
        <v>173</v>
      </c>
      <c r="C84" s="742" t="s">
        <v>322</v>
      </c>
      <c r="D84" s="742" t="s">
        <v>40</v>
      </c>
      <c r="E84" s="742" t="s">
        <v>340</v>
      </c>
      <c r="F84" s="742" t="s">
        <v>341</v>
      </c>
      <c r="G84" s="742" t="s">
        <v>342</v>
      </c>
      <c r="H84" s="742" t="s">
        <v>343</v>
      </c>
      <c r="I84" s="742" t="s">
        <v>344</v>
      </c>
      <c r="J84" s="742" t="s">
        <v>345</v>
      </c>
      <c r="K84" s="742" t="s">
        <v>346</v>
      </c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</row>
    <row r="85" spans="1:23" x14ac:dyDescent="0.2">
      <c r="A85" s="741"/>
      <c r="B85" s="45" t="s">
        <v>172</v>
      </c>
      <c r="C85" s="742" t="s">
        <v>322</v>
      </c>
      <c r="D85" s="742" t="s">
        <v>40</v>
      </c>
      <c r="E85" s="742" t="s">
        <v>340</v>
      </c>
      <c r="F85" s="742" t="s">
        <v>341</v>
      </c>
      <c r="G85" s="742" t="s">
        <v>342</v>
      </c>
      <c r="H85" s="742" t="s">
        <v>343</v>
      </c>
      <c r="I85" s="742" t="s">
        <v>344</v>
      </c>
      <c r="J85" s="742" t="s">
        <v>345</v>
      </c>
      <c r="K85" s="742" t="s">
        <v>346</v>
      </c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</row>
    <row r="86" spans="1:23" x14ac:dyDescent="0.2">
      <c r="A86" s="741"/>
      <c r="B86" s="45" t="s">
        <v>169</v>
      </c>
      <c r="C86" s="742" t="s">
        <v>322</v>
      </c>
      <c r="D86" s="742" t="s">
        <v>40</v>
      </c>
      <c r="E86" s="742" t="s">
        <v>340</v>
      </c>
      <c r="F86" s="742" t="s">
        <v>341</v>
      </c>
      <c r="G86" s="742" t="s">
        <v>342</v>
      </c>
      <c r="H86" s="742" t="s">
        <v>343</v>
      </c>
      <c r="I86" s="742" t="s">
        <v>344</v>
      </c>
      <c r="J86" s="742" t="s">
        <v>345</v>
      </c>
      <c r="K86" s="742" t="s">
        <v>346</v>
      </c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</row>
    <row r="87" spans="1:23" x14ac:dyDescent="0.2">
      <c r="A87" s="741"/>
      <c r="B87" s="45" t="s">
        <v>193</v>
      </c>
      <c r="C87" s="676">
        <v>-31486250000</v>
      </c>
      <c r="D87" s="676">
        <v>-27675385000</v>
      </c>
      <c r="E87" s="676">
        <v>-11098550000</v>
      </c>
      <c r="F87" s="676">
        <v>-877350800</v>
      </c>
      <c r="G87" s="676">
        <v>-683000000</v>
      </c>
      <c r="H87" s="676">
        <v>-584950000</v>
      </c>
      <c r="I87" s="676">
        <v>-348260000</v>
      </c>
      <c r="J87" s="676">
        <v>-278000000</v>
      </c>
      <c r="K87" s="676">
        <v>-153000</v>
      </c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</row>
    <row r="88" spans="1:23" x14ac:dyDescent="0.2">
      <c r="A88" s="741" t="s">
        <v>272</v>
      </c>
      <c r="B88" s="45" t="s">
        <v>174</v>
      </c>
      <c r="C88" s="742" t="s">
        <v>16</v>
      </c>
      <c r="D88" s="742" t="s">
        <v>60</v>
      </c>
      <c r="E88" s="742" t="s">
        <v>323</v>
      </c>
      <c r="F88" s="742" t="s">
        <v>336</v>
      </c>
      <c r="G88" s="742" t="s">
        <v>337</v>
      </c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</row>
    <row r="89" spans="1:23" x14ac:dyDescent="0.2">
      <c r="A89" s="741"/>
      <c r="B89" s="45" t="s">
        <v>173</v>
      </c>
      <c r="C89" s="742" t="s">
        <v>16</v>
      </c>
      <c r="D89" s="742" t="s">
        <v>60</v>
      </c>
      <c r="E89" s="742" t="s">
        <v>323</v>
      </c>
      <c r="F89" s="742" t="s">
        <v>336</v>
      </c>
      <c r="G89" s="742" t="s">
        <v>337</v>
      </c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</row>
    <row r="90" spans="1:23" x14ac:dyDescent="0.2">
      <c r="A90" s="741"/>
      <c r="B90" s="45" t="s">
        <v>172</v>
      </c>
      <c r="C90" s="742" t="s">
        <v>16</v>
      </c>
      <c r="D90" s="742" t="s">
        <v>60</v>
      </c>
      <c r="E90" s="742" t="s">
        <v>323</v>
      </c>
      <c r="F90" s="742" t="s">
        <v>336</v>
      </c>
      <c r="G90" s="742" t="s">
        <v>337</v>
      </c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</row>
    <row r="91" spans="1:23" x14ac:dyDescent="0.2">
      <c r="A91" s="741"/>
      <c r="B91" s="45" t="s">
        <v>169</v>
      </c>
      <c r="C91" s="742" t="s">
        <v>16</v>
      </c>
      <c r="D91" s="742" t="s">
        <v>60</v>
      </c>
      <c r="E91" s="742" t="s">
        <v>323</v>
      </c>
      <c r="F91" s="742" t="s">
        <v>336</v>
      </c>
      <c r="G91" s="742" t="s">
        <v>337</v>
      </c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</row>
    <row r="92" spans="1:23" x14ac:dyDescent="0.2">
      <c r="A92" s="741"/>
      <c r="B92" s="45" t="s">
        <v>193</v>
      </c>
      <c r="C92" s="676">
        <v>-428924611000</v>
      </c>
      <c r="D92" s="676">
        <v>-27568880000</v>
      </c>
      <c r="E92" s="676">
        <v>-8365475000</v>
      </c>
      <c r="F92" s="676">
        <v>-1345000000</v>
      </c>
      <c r="G92" s="676">
        <v>-158045000</v>
      </c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</row>
    <row r="93" spans="1:23" x14ac:dyDescent="0.2">
      <c r="A93" s="741" t="s">
        <v>271</v>
      </c>
      <c r="B93" s="45" t="s">
        <v>174</v>
      </c>
      <c r="C93" s="742" t="s">
        <v>74</v>
      </c>
      <c r="D93" s="742" t="s">
        <v>99</v>
      </c>
      <c r="E93" s="742" t="s">
        <v>184</v>
      </c>
      <c r="F93" s="742" t="s">
        <v>333</v>
      </c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</row>
    <row r="94" spans="1:23" x14ac:dyDescent="0.2">
      <c r="A94" s="741"/>
      <c r="B94" s="45" t="s">
        <v>173</v>
      </c>
      <c r="C94" s="742" t="s">
        <v>74</v>
      </c>
      <c r="D94" s="742" t="s">
        <v>99</v>
      </c>
      <c r="E94" s="742" t="s">
        <v>184</v>
      </c>
      <c r="F94" s="742" t="s">
        <v>333</v>
      </c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</row>
    <row r="95" spans="1:23" x14ac:dyDescent="0.2">
      <c r="A95" s="741"/>
      <c r="B95" s="45" t="s">
        <v>172</v>
      </c>
      <c r="C95" s="742" t="s">
        <v>74</v>
      </c>
      <c r="D95" s="742" t="s">
        <v>99</v>
      </c>
      <c r="E95" s="742" t="s">
        <v>184</v>
      </c>
      <c r="F95" s="742" t="s">
        <v>333</v>
      </c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</row>
    <row r="96" spans="1:23" x14ac:dyDescent="0.2">
      <c r="A96" s="741"/>
      <c r="B96" s="45" t="s">
        <v>169</v>
      </c>
      <c r="C96" s="742" t="s">
        <v>74</v>
      </c>
      <c r="D96" s="742" t="s">
        <v>99</v>
      </c>
      <c r="E96" s="742" t="s">
        <v>184</v>
      </c>
      <c r="F96" s="742" t="s">
        <v>333</v>
      </c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</row>
    <row r="97" spans="1:23" x14ac:dyDescent="0.2">
      <c r="A97" s="741"/>
      <c r="B97" s="45" t="s">
        <v>193</v>
      </c>
      <c r="C97" s="676">
        <v>-204855100000</v>
      </c>
      <c r="D97" s="676">
        <v>-13280180000</v>
      </c>
      <c r="E97" s="676">
        <v>-5807100000</v>
      </c>
      <c r="F97" s="676">
        <v>-5658003000</v>
      </c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</row>
    <row r="98" spans="1:23" x14ac:dyDescent="0.2">
      <c r="A98" s="741" t="s">
        <v>270</v>
      </c>
      <c r="B98" s="45" t="s">
        <v>174</v>
      </c>
      <c r="C98" s="742" t="s">
        <v>319</v>
      </c>
      <c r="D98" s="742" t="s">
        <v>290</v>
      </c>
      <c r="E98" s="742" t="s">
        <v>332</v>
      </c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</row>
    <row r="99" spans="1:23" x14ac:dyDescent="0.2">
      <c r="A99" s="741"/>
      <c r="B99" s="45" t="s">
        <v>173</v>
      </c>
      <c r="C99" s="742" t="s">
        <v>319</v>
      </c>
      <c r="D99" s="742" t="s">
        <v>290</v>
      </c>
      <c r="E99" s="742" t="s">
        <v>332</v>
      </c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</row>
    <row r="100" spans="1:23" x14ac:dyDescent="0.2">
      <c r="A100" s="741"/>
      <c r="B100" s="45" t="s">
        <v>172</v>
      </c>
      <c r="C100" s="742" t="s">
        <v>319</v>
      </c>
      <c r="D100" s="742" t="s">
        <v>290</v>
      </c>
      <c r="E100" s="742" t="s">
        <v>332</v>
      </c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</row>
    <row r="101" spans="1:23" x14ac:dyDescent="0.2">
      <c r="A101" s="741"/>
      <c r="B101" s="45" t="s">
        <v>169</v>
      </c>
      <c r="C101" s="742" t="s">
        <v>319</v>
      </c>
      <c r="D101" s="742" t="s">
        <v>290</v>
      </c>
      <c r="E101" s="742" t="s">
        <v>332</v>
      </c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</row>
    <row r="102" spans="1:23" x14ac:dyDescent="0.2">
      <c r="A102" s="741"/>
      <c r="B102" s="45" t="s">
        <v>193</v>
      </c>
      <c r="C102" s="676">
        <v>-43786085000</v>
      </c>
      <c r="D102" s="676">
        <v>-30915535000</v>
      </c>
      <c r="E102" s="676">
        <v>-5028500000</v>
      </c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</row>
    <row r="103" spans="1:23" x14ac:dyDescent="0.2">
      <c r="A103" s="741" t="s">
        <v>269</v>
      </c>
      <c r="B103" s="45" t="s">
        <v>174</v>
      </c>
      <c r="C103" s="742" t="s">
        <v>211</v>
      </c>
      <c r="D103" s="742" t="s">
        <v>199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</row>
    <row r="104" spans="1:23" x14ac:dyDescent="0.2">
      <c r="A104" s="741"/>
      <c r="B104" s="45" t="s">
        <v>173</v>
      </c>
      <c r="C104" s="742" t="s">
        <v>211</v>
      </c>
      <c r="D104" s="742" t="s">
        <v>199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</row>
    <row r="105" spans="1:23" x14ac:dyDescent="0.2">
      <c r="A105" s="741"/>
      <c r="B105" s="45" t="s">
        <v>172</v>
      </c>
      <c r="C105" s="742" t="s">
        <v>211</v>
      </c>
      <c r="D105" s="742" t="s">
        <v>199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</row>
    <row r="106" spans="1:23" x14ac:dyDescent="0.2">
      <c r="A106" s="741"/>
      <c r="B106" s="45" t="s">
        <v>169</v>
      </c>
      <c r="C106" s="742" t="s">
        <v>211</v>
      </c>
      <c r="D106" s="742" t="s">
        <v>199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</row>
    <row r="107" spans="1:23" x14ac:dyDescent="0.2">
      <c r="A107" s="741"/>
      <c r="B107" s="45" t="s">
        <v>193</v>
      </c>
      <c r="C107" s="676">
        <v>-22474656000</v>
      </c>
      <c r="D107" s="676">
        <v>-19436145000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</row>
    <row r="108" spans="1:23" x14ac:dyDescent="0.2">
      <c r="A108" s="741" t="s">
        <v>268</v>
      </c>
      <c r="B108" s="45" t="s">
        <v>174</v>
      </c>
      <c r="C108" s="742" t="s">
        <v>31</v>
      </c>
      <c r="D108" s="742" t="s">
        <v>327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</row>
    <row r="109" spans="1:23" x14ac:dyDescent="0.2">
      <c r="A109" s="741"/>
      <c r="B109" s="45" t="s">
        <v>173</v>
      </c>
      <c r="C109" s="742" t="s">
        <v>31</v>
      </c>
      <c r="D109" s="742" t="s">
        <v>327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</row>
    <row r="110" spans="1:23" x14ac:dyDescent="0.2">
      <c r="A110" s="741"/>
      <c r="B110" s="45" t="s">
        <v>172</v>
      </c>
      <c r="C110" s="742" t="s">
        <v>31</v>
      </c>
      <c r="D110" s="742" t="s">
        <v>327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</row>
    <row r="111" spans="1:23" x14ac:dyDescent="0.2">
      <c r="A111" s="741"/>
      <c r="B111" s="45" t="s">
        <v>169</v>
      </c>
      <c r="C111" s="742" t="s">
        <v>31</v>
      </c>
      <c r="D111" s="742" t="s">
        <v>327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</row>
    <row r="112" spans="1:23" x14ac:dyDescent="0.2">
      <c r="A112" s="741"/>
      <c r="B112" s="45" t="s">
        <v>193</v>
      </c>
      <c r="C112" s="676">
        <v>-20755170000</v>
      </c>
      <c r="D112" s="676">
        <v>-368010000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</row>
    <row r="113" spans="1:23" x14ac:dyDescent="0.2">
      <c r="A113" s="741" t="s">
        <v>267</v>
      </c>
      <c r="B113" s="45" t="s">
        <v>174</v>
      </c>
      <c r="C113" s="742" t="s">
        <v>219</v>
      </c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</row>
    <row r="114" spans="1:23" x14ac:dyDescent="0.2">
      <c r="A114" s="741"/>
      <c r="B114" s="45" t="s">
        <v>173</v>
      </c>
      <c r="C114" s="742" t="s">
        <v>219</v>
      </c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</row>
    <row r="115" spans="1:23" x14ac:dyDescent="0.2">
      <c r="A115" s="741"/>
      <c r="B115" s="45" t="s">
        <v>172</v>
      </c>
      <c r="C115" s="742" t="s">
        <v>219</v>
      </c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</row>
    <row r="116" spans="1:23" x14ac:dyDescent="0.2">
      <c r="A116" s="741"/>
      <c r="B116" s="45" t="s">
        <v>169</v>
      </c>
      <c r="C116" s="742" t="s">
        <v>219</v>
      </c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</row>
    <row r="117" spans="1:23" x14ac:dyDescent="0.2">
      <c r="A117" s="741"/>
      <c r="B117" s="45" t="s">
        <v>193</v>
      </c>
      <c r="C117" s="676">
        <v>-4870000000</v>
      </c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</row>
    <row r="118" spans="1:23" x14ac:dyDescent="0.2">
      <c r="A118" s="741" t="s">
        <v>266</v>
      </c>
      <c r="B118" s="45" t="s">
        <v>174</v>
      </c>
      <c r="C118" s="742" t="s">
        <v>313</v>
      </c>
      <c r="D118" s="742" t="s">
        <v>314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</row>
    <row r="119" spans="1:23" x14ac:dyDescent="0.2">
      <c r="A119" s="741"/>
      <c r="B119" s="45" t="s">
        <v>173</v>
      </c>
      <c r="C119" s="742" t="s">
        <v>313</v>
      </c>
      <c r="D119" s="742" t="s">
        <v>314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</row>
    <row r="120" spans="1:23" x14ac:dyDescent="0.2">
      <c r="A120" s="741"/>
      <c r="B120" s="45" t="s">
        <v>172</v>
      </c>
      <c r="C120" s="742" t="s">
        <v>313</v>
      </c>
      <c r="D120" s="742" t="s">
        <v>314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</row>
    <row r="121" spans="1:23" x14ac:dyDescent="0.2">
      <c r="A121" s="741"/>
      <c r="B121" s="45" t="s">
        <v>169</v>
      </c>
      <c r="C121" s="742" t="s">
        <v>313</v>
      </c>
      <c r="D121" s="742" t="s">
        <v>314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</row>
    <row r="122" spans="1:23" x14ac:dyDescent="0.2">
      <c r="A122" s="741"/>
      <c r="B122" s="45" t="s">
        <v>193</v>
      </c>
      <c r="C122" s="676">
        <v>-580000</v>
      </c>
      <c r="D122" s="676">
        <v>-385000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</row>
    <row r="123" spans="1:23" x14ac:dyDescent="0.2">
      <c r="A123" s="741" t="s">
        <v>265</v>
      </c>
      <c r="B123" s="45" t="s">
        <v>174</v>
      </c>
      <c r="C123" s="742" t="s">
        <v>294</v>
      </c>
      <c r="D123" s="742" t="s">
        <v>286</v>
      </c>
      <c r="E123" s="742" t="s">
        <v>299</v>
      </c>
      <c r="F123" s="742" t="s">
        <v>300</v>
      </c>
      <c r="G123" s="742" t="s">
        <v>301</v>
      </c>
      <c r="H123" s="742" t="s">
        <v>302</v>
      </c>
      <c r="I123" s="742" t="s">
        <v>303</v>
      </c>
      <c r="J123" s="742" t="s">
        <v>304</v>
      </c>
      <c r="K123" s="742" t="s">
        <v>171</v>
      </c>
      <c r="L123" s="742" t="s">
        <v>305</v>
      </c>
      <c r="M123" s="742" t="s">
        <v>306</v>
      </c>
      <c r="N123" s="742" t="s">
        <v>180</v>
      </c>
      <c r="O123" s="742" t="s">
        <v>307</v>
      </c>
      <c r="P123" s="742" t="s">
        <v>308</v>
      </c>
      <c r="Q123" s="742" t="s">
        <v>309</v>
      </c>
      <c r="R123" s="742" t="s">
        <v>310</v>
      </c>
      <c r="S123" s="742" t="s">
        <v>311</v>
      </c>
      <c r="T123" s="45"/>
      <c r="U123" s="45"/>
      <c r="V123" s="45"/>
      <c r="W123" s="45"/>
    </row>
    <row r="124" spans="1:23" x14ac:dyDescent="0.2">
      <c r="A124" s="741"/>
      <c r="B124" s="45" t="s">
        <v>173</v>
      </c>
      <c r="C124" s="742" t="s">
        <v>294</v>
      </c>
      <c r="D124" s="742" t="s">
        <v>286</v>
      </c>
      <c r="E124" s="742" t="s">
        <v>299</v>
      </c>
      <c r="F124" s="742" t="s">
        <v>300</v>
      </c>
      <c r="G124" s="742" t="s">
        <v>301</v>
      </c>
      <c r="H124" s="742" t="s">
        <v>302</v>
      </c>
      <c r="I124" s="742" t="s">
        <v>303</v>
      </c>
      <c r="J124" s="742" t="s">
        <v>304</v>
      </c>
      <c r="K124" s="742" t="s">
        <v>171</v>
      </c>
      <c r="L124" s="742" t="s">
        <v>305</v>
      </c>
      <c r="M124" s="742" t="s">
        <v>306</v>
      </c>
      <c r="N124" s="742" t="s">
        <v>180</v>
      </c>
      <c r="O124" s="742" t="s">
        <v>307</v>
      </c>
      <c r="P124" s="742" t="s">
        <v>308</v>
      </c>
      <c r="Q124" s="742" t="s">
        <v>309</v>
      </c>
      <c r="R124" s="742" t="s">
        <v>310</v>
      </c>
      <c r="S124" s="742" t="s">
        <v>311</v>
      </c>
      <c r="T124" s="45"/>
      <c r="U124" s="45"/>
      <c r="V124" s="45"/>
      <c r="W124" s="45"/>
    </row>
    <row r="125" spans="1:23" x14ac:dyDescent="0.2">
      <c r="A125" s="741"/>
      <c r="B125" s="45" t="s">
        <v>172</v>
      </c>
      <c r="C125" s="742" t="s">
        <v>294</v>
      </c>
      <c r="D125" s="742" t="s">
        <v>286</v>
      </c>
      <c r="E125" s="742" t="s">
        <v>299</v>
      </c>
      <c r="F125" s="742" t="s">
        <v>300</v>
      </c>
      <c r="G125" s="742" t="s">
        <v>301</v>
      </c>
      <c r="H125" s="742" t="s">
        <v>302</v>
      </c>
      <c r="I125" s="742" t="s">
        <v>303</v>
      </c>
      <c r="J125" s="742" t="s">
        <v>304</v>
      </c>
      <c r="K125" s="742" t="s">
        <v>171</v>
      </c>
      <c r="L125" s="742" t="s">
        <v>305</v>
      </c>
      <c r="M125" s="742" t="s">
        <v>306</v>
      </c>
      <c r="N125" s="742" t="s">
        <v>180</v>
      </c>
      <c r="O125" s="742" t="s">
        <v>307</v>
      </c>
      <c r="P125" s="742" t="s">
        <v>308</v>
      </c>
      <c r="Q125" s="742" t="s">
        <v>309</v>
      </c>
      <c r="R125" s="742" t="s">
        <v>310</v>
      </c>
      <c r="S125" s="742" t="s">
        <v>311</v>
      </c>
      <c r="T125" s="45"/>
      <c r="U125" s="45"/>
      <c r="V125" s="45"/>
      <c r="W125" s="45"/>
    </row>
    <row r="126" spans="1:23" x14ac:dyDescent="0.2">
      <c r="A126" s="741"/>
      <c r="B126" s="45" t="s">
        <v>169</v>
      </c>
      <c r="C126" s="742" t="s">
        <v>294</v>
      </c>
      <c r="D126" s="742" t="s">
        <v>286</v>
      </c>
      <c r="E126" s="742" t="s">
        <v>299</v>
      </c>
      <c r="F126" s="742" t="s">
        <v>300</v>
      </c>
      <c r="G126" s="742" t="s">
        <v>301</v>
      </c>
      <c r="H126" s="742" t="s">
        <v>302</v>
      </c>
      <c r="I126" s="742" t="s">
        <v>303</v>
      </c>
      <c r="J126" s="742" t="s">
        <v>304</v>
      </c>
      <c r="K126" s="742" t="s">
        <v>171</v>
      </c>
      <c r="L126" s="742" t="s">
        <v>305</v>
      </c>
      <c r="M126" s="742" t="s">
        <v>306</v>
      </c>
      <c r="N126" s="742" t="s">
        <v>180</v>
      </c>
      <c r="O126" s="742" t="s">
        <v>307</v>
      </c>
      <c r="P126" s="742" t="s">
        <v>308</v>
      </c>
      <c r="Q126" s="742" t="s">
        <v>309</v>
      </c>
      <c r="R126" s="742" t="s">
        <v>310</v>
      </c>
      <c r="S126" s="742" t="s">
        <v>311</v>
      </c>
      <c r="T126" s="45"/>
      <c r="U126" s="45"/>
      <c r="V126" s="45"/>
      <c r="W126" s="45"/>
    </row>
    <row r="127" spans="1:23" x14ac:dyDescent="0.2">
      <c r="A127" s="741"/>
      <c r="B127" s="45" t="s">
        <v>193</v>
      </c>
      <c r="C127" s="676">
        <v>-9113370000</v>
      </c>
      <c r="D127" s="676">
        <v>-5871468000</v>
      </c>
      <c r="E127" s="676">
        <v>-3874363000</v>
      </c>
      <c r="F127" s="676">
        <v>-1434625000</v>
      </c>
      <c r="G127" s="676">
        <v>-211500000</v>
      </c>
      <c r="H127" s="676">
        <v>-2180000</v>
      </c>
      <c r="I127" s="676">
        <v>-735000</v>
      </c>
      <c r="J127" s="676">
        <v>-450000</v>
      </c>
      <c r="K127" s="676">
        <v>-439000</v>
      </c>
      <c r="L127" s="676">
        <v>-399300</v>
      </c>
      <c r="M127" s="676">
        <v>-352000</v>
      </c>
      <c r="N127" s="676">
        <v>-295000</v>
      </c>
      <c r="O127" s="676">
        <v>-44000</v>
      </c>
      <c r="P127" s="676">
        <v>-41000</v>
      </c>
      <c r="Q127" s="676">
        <v>-40000</v>
      </c>
      <c r="R127" s="676">
        <v>-29000</v>
      </c>
      <c r="S127" s="676">
        <v>-5400</v>
      </c>
      <c r="T127" s="45"/>
      <c r="U127" s="45"/>
      <c r="V127" s="45"/>
      <c r="W127" s="45"/>
    </row>
    <row r="128" spans="1:23" x14ac:dyDescent="0.2">
      <c r="A128" s="741" t="s">
        <v>264</v>
      </c>
      <c r="B128" s="45" t="s">
        <v>174</v>
      </c>
      <c r="C128" s="742" t="s">
        <v>284</v>
      </c>
      <c r="D128" s="742" t="s">
        <v>295</v>
      </c>
      <c r="E128" s="742" t="s">
        <v>296</v>
      </c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</row>
    <row r="129" spans="1:23" x14ac:dyDescent="0.2">
      <c r="A129" s="741"/>
      <c r="B129" s="45" t="s">
        <v>173</v>
      </c>
      <c r="C129" s="742" t="s">
        <v>284</v>
      </c>
      <c r="D129" s="742" t="s">
        <v>295</v>
      </c>
      <c r="E129" s="742" t="s">
        <v>296</v>
      </c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</row>
    <row r="130" spans="1:23" x14ac:dyDescent="0.2">
      <c r="A130" s="741"/>
      <c r="B130" s="45" t="s">
        <v>172</v>
      </c>
      <c r="C130" s="742" t="s">
        <v>284</v>
      </c>
      <c r="D130" s="742" t="s">
        <v>295</v>
      </c>
      <c r="E130" s="742" t="s">
        <v>296</v>
      </c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</row>
    <row r="131" spans="1:23" x14ac:dyDescent="0.2">
      <c r="A131" s="741"/>
      <c r="B131" s="45" t="s">
        <v>169</v>
      </c>
      <c r="C131" s="742" t="s">
        <v>284</v>
      </c>
      <c r="D131" s="742" t="s">
        <v>295</v>
      </c>
      <c r="E131" s="742" t="s">
        <v>296</v>
      </c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</row>
    <row r="132" spans="1:23" x14ac:dyDescent="0.2">
      <c r="A132" s="741"/>
      <c r="B132" s="45" t="s">
        <v>193</v>
      </c>
      <c r="C132" s="676">
        <v>-158925190000</v>
      </c>
      <c r="D132" s="676">
        <v>-806880000</v>
      </c>
      <c r="E132" s="676">
        <v>-8200</v>
      </c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</row>
    <row r="133" spans="1:23" x14ac:dyDescent="0.2">
      <c r="A133" s="741" t="s">
        <v>259</v>
      </c>
      <c r="B133" s="45" t="s">
        <v>174</v>
      </c>
      <c r="C133" s="742" t="s">
        <v>192</v>
      </c>
      <c r="D133" s="742" t="s">
        <v>21</v>
      </c>
      <c r="E133" s="742" t="s">
        <v>32</v>
      </c>
      <c r="F133" s="742" t="s">
        <v>285</v>
      </c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</row>
    <row r="134" spans="1:23" x14ac:dyDescent="0.2">
      <c r="A134" s="741"/>
      <c r="B134" s="45" t="s">
        <v>173</v>
      </c>
      <c r="C134" s="742" t="s">
        <v>192</v>
      </c>
      <c r="D134" s="742" t="s">
        <v>21</v>
      </c>
      <c r="E134" s="742" t="s">
        <v>32</v>
      </c>
      <c r="F134" s="742" t="s">
        <v>285</v>
      </c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</row>
    <row r="135" spans="1:23" x14ac:dyDescent="0.2">
      <c r="A135" s="741"/>
      <c r="B135" s="45" t="s">
        <v>172</v>
      </c>
      <c r="C135" s="742" t="s">
        <v>192</v>
      </c>
      <c r="D135" s="742" t="s">
        <v>21</v>
      </c>
      <c r="E135" s="742" t="s">
        <v>32</v>
      </c>
      <c r="F135" s="742" t="s">
        <v>285</v>
      </c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</row>
    <row r="136" spans="1:23" x14ac:dyDescent="0.2">
      <c r="A136" s="741"/>
      <c r="B136" s="45" t="s">
        <v>169</v>
      </c>
      <c r="C136" s="742" t="s">
        <v>192</v>
      </c>
      <c r="D136" s="742" t="s">
        <v>21</v>
      </c>
      <c r="E136" s="742" t="s">
        <v>32</v>
      </c>
      <c r="F136" s="742" t="s">
        <v>285</v>
      </c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</row>
    <row r="137" spans="1:23" x14ac:dyDescent="0.2">
      <c r="A137" s="741"/>
      <c r="B137" s="45" t="s">
        <v>193</v>
      </c>
      <c r="C137" s="676">
        <v>-96015120000</v>
      </c>
      <c r="D137" s="676">
        <v>-64211830500</v>
      </c>
      <c r="E137" s="676">
        <v>-34730990000</v>
      </c>
      <c r="F137" s="676">
        <v>-14873500000</v>
      </c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</row>
    <row r="138" spans="1:23" x14ac:dyDescent="0.2">
      <c r="A138" s="741" t="s">
        <v>258</v>
      </c>
      <c r="B138" s="45" t="s">
        <v>174</v>
      </c>
      <c r="C138" s="742" t="s">
        <v>43</v>
      </c>
      <c r="D138" s="742" t="s">
        <v>39</v>
      </c>
      <c r="E138" s="45"/>
      <c r="F138" s="742" t="s">
        <v>61</v>
      </c>
      <c r="G138" s="742" t="s">
        <v>70</v>
      </c>
      <c r="H138" s="45"/>
      <c r="I138" s="742" t="s">
        <v>278</v>
      </c>
      <c r="J138" s="742" t="s">
        <v>287</v>
      </c>
      <c r="K138" s="742" t="s">
        <v>288</v>
      </c>
      <c r="L138" s="742" t="s">
        <v>289</v>
      </c>
      <c r="M138" s="742" t="s">
        <v>63</v>
      </c>
      <c r="N138" s="45"/>
      <c r="O138" s="45"/>
      <c r="P138" s="45"/>
      <c r="Q138" s="45"/>
      <c r="R138" s="45"/>
      <c r="S138" s="45"/>
      <c r="T138" s="45"/>
      <c r="U138" s="45"/>
      <c r="V138" s="45"/>
      <c r="W138" s="45"/>
    </row>
    <row r="139" spans="1:23" x14ac:dyDescent="0.2">
      <c r="A139" s="741"/>
      <c r="B139" s="45" t="s">
        <v>173</v>
      </c>
      <c r="C139" s="742" t="s">
        <v>43</v>
      </c>
      <c r="D139" s="742" t="s">
        <v>39</v>
      </c>
      <c r="E139" s="45"/>
      <c r="F139" s="742" t="s">
        <v>61</v>
      </c>
      <c r="G139" s="742" t="s">
        <v>70</v>
      </c>
      <c r="H139" s="45"/>
      <c r="I139" s="742" t="s">
        <v>278</v>
      </c>
      <c r="J139" s="742" t="s">
        <v>287</v>
      </c>
      <c r="K139" s="742" t="s">
        <v>288</v>
      </c>
      <c r="L139" s="742" t="s">
        <v>289</v>
      </c>
      <c r="M139" s="742" t="s">
        <v>63</v>
      </c>
      <c r="N139" s="45"/>
      <c r="O139" s="45"/>
      <c r="P139" s="45"/>
      <c r="Q139" s="45"/>
      <c r="R139" s="45"/>
      <c r="S139" s="45"/>
      <c r="T139" s="45"/>
      <c r="U139" s="45"/>
      <c r="V139" s="45"/>
      <c r="W139" s="45"/>
    </row>
    <row r="140" spans="1:23" x14ac:dyDescent="0.2">
      <c r="A140" s="741"/>
      <c r="B140" s="45" t="s">
        <v>172</v>
      </c>
      <c r="C140" s="742" t="s">
        <v>43</v>
      </c>
      <c r="D140" s="742" t="s">
        <v>39</v>
      </c>
      <c r="E140" s="45"/>
      <c r="F140" s="742" t="s">
        <v>61</v>
      </c>
      <c r="G140" s="742" t="s">
        <v>70</v>
      </c>
      <c r="H140" s="45"/>
      <c r="I140" s="742" t="s">
        <v>278</v>
      </c>
      <c r="J140" s="742" t="s">
        <v>287</v>
      </c>
      <c r="K140" s="742" t="s">
        <v>288</v>
      </c>
      <c r="L140" s="742" t="s">
        <v>289</v>
      </c>
      <c r="M140" s="742" t="s">
        <v>63</v>
      </c>
      <c r="N140" s="45"/>
      <c r="O140" s="45"/>
      <c r="P140" s="45"/>
      <c r="Q140" s="45"/>
      <c r="R140" s="45"/>
      <c r="S140" s="45"/>
      <c r="T140" s="45"/>
      <c r="U140" s="45"/>
      <c r="V140" s="45"/>
      <c r="W140" s="45"/>
    </row>
    <row r="141" spans="1:23" x14ac:dyDescent="0.2">
      <c r="A141" s="741"/>
      <c r="B141" s="45" t="s">
        <v>169</v>
      </c>
      <c r="C141" s="742" t="s">
        <v>43</v>
      </c>
      <c r="D141" s="742" t="s">
        <v>39</v>
      </c>
      <c r="E141" s="45" t="s">
        <v>62</v>
      </c>
      <c r="F141" s="742" t="s">
        <v>61</v>
      </c>
      <c r="G141" s="742" t="s">
        <v>70</v>
      </c>
      <c r="H141" s="45" t="s">
        <v>25</v>
      </c>
      <c r="I141" s="742" t="s">
        <v>278</v>
      </c>
      <c r="J141" s="742" t="s">
        <v>287</v>
      </c>
      <c r="K141" s="742" t="s">
        <v>288</v>
      </c>
      <c r="L141" s="742" t="s">
        <v>289</v>
      </c>
      <c r="M141" s="742" t="s">
        <v>63</v>
      </c>
      <c r="N141" s="45"/>
      <c r="O141" s="45"/>
      <c r="P141" s="45"/>
      <c r="Q141" s="45"/>
      <c r="R141" s="45"/>
      <c r="S141" s="45"/>
      <c r="T141" s="45"/>
      <c r="U141" s="45"/>
      <c r="V141" s="45"/>
      <c r="W141" s="45"/>
    </row>
    <row r="142" spans="1:23" x14ac:dyDescent="0.2">
      <c r="A142" s="741"/>
      <c r="B142" s="45" t="s">
        <v>193</v>
      </c>
      <c r="C142" s="676">
        <v>-243285394000</v>
      </c>
      <c r="D142" s="676">
        <v>-242363352000</v>
      </c>
      <c r="E142" s="676">
        <v>-172215325000</v>
      </c>
      <c r="F142" s="676">
        <v>-120049574000</v>
      </c>
      <c r="G142" s="676">
        <v>-41035840000</v>
      </c>
      <c r="H142" s="676">
        <v>-38909175000</v>
      </c>
      <c r="I142" s="676">
        <v>-13269760000</v>
      </c>
      <c r="J142" s="676">
        <v>-1442450000</v>
      </c>
      <c r="K142" s="676">
        <v>-574497000</v>
      </c>
      <c r="L142" s="676">
        <v>-337930000</v>
      </c>
      <c r="M142" s="676">
        <v>-296205000</v>
      </c>
      <c r="N142" s="45"/>
      <c r="O142" s="45"/>
      <c r="P142" s="45"/>
      <c r="Q142" s="45"/>
      <c r="R142" s="45"/>
      <c r="S142" s="45"/>
      <c r="T142" s="45"/>
      <c r="U142" s="45"/>
      <c r="V142" s="45"/>
      <c r="W142" s="45"/>
    </row>
    <row r="143" spans="1:23" x14ac:dyDescent="0.2">
      <c r="A143" s="741" t="s">
        <v>257</v>
      </c>
      <c r="B143" s="45" t="s">
        <v>174</v>
      </c>
      <c r="C143" s="742" t="s">
        <v>283</v>
      </c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</row>
    <row r="144" spans="1:23" x14ac:dyDescent="0.2">
      <c r="A144" s="741"/>
      <c r="B144" s="45" t="s">
        <v>173</v>
      </c>
      <c r="C144" s="742" t="s">
        <v>283</v>
      </c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</row>
    <row r="145" spans="1:23" x14ac:dyDescent="0.2">
      <c r="A145" s="741"/>
      <c r="B145" s="45" t="s">
        <v>172</v>
      </c>
      <c r="C145" s="742" t="s">
        <v>283</v>
      </c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</row>
    <row r="146" spans="1:23" x14ac:dyDescent="0.2">
      <c r="A146" s="741"/>
      <c r="B146" s="45" t="s">
        <v>169</v>
      </c>
      <c r="C146" s="742" t="s">
        <v>283</v>
      </c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</row>
    <row r="147" spans="1:23" x14ac:dyDescent="0.2">
      <c r="A147" s="741"/>
      <c r="B147" s="45" t="s">
        <v>193</v>
      </c>
      <c r="C147" s="676">
        <v>-892160000</v>
      </c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</row>
    <row r="148" spans="1:23" x14ac:dyDescent="0.2">
      <c r="A148" s="741" t="s">
        <v>256</v>
      </c>
      <c r="B148" s="45" t="s">
        <v>174</v>
      </c>
      <c r="C148" s="742" t="s">
        <v>181</v>
      </c>
      <c r="D148" s="742" t="s">
        <v>282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</row>
    <row r="149" spans="1:23" x14ac:dyDescent="0.2">
      <c r="A149" s="741"/>
      <c r="B149" s="45" t="s">
        <v>173</v>
      </c>
      <c r="C149" s="742" t="s">
        <v>181</v>
      </c>
      <c r="D149" s="742" t="s">
        <v>282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</row>
    <row r="150" spans="1:23" x14ac:dyDescent="0.2">
      <c r="A150" s="741"/>
      <c r="B150" s="45" t="s">
        <v>172</v>
      </c>
      <c r="C150" s="742" t="s">
        <v>181</v>
      </c>
      <c r="D150" s="742" t="s">
        <v>282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</row>
    <row r="151" spans="1:23" x14ac:dyDescent="0.2">
      <c r="A151" s="741"/>
      <c r="B151" s="45" t="s">
        <v>169</v>
      </c>
      <c r="C151" s="742" t="s">
        <v>181</v>
      </c>
      <c r="D151" s="742" t="s">
        <v>282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</row>
    <row r="152" spans="1:23" x14ac:dyDescent="0.2">
      <c r="A152" s="741"/>
      <c r="B152" s="45" t="s">
        <v>193</v>
      </c>
      <c r="C152" s="676">
        <v>-900495000</v>
      </c>
      <c r="D152" s="676">
        <v>-232000000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</row>
    <row r="153" spans="1:23" x14ac:dyDescent="0.2">
      <c r="A153" s="741" t="s">
        <v>255</v>
      </c>
      <c r="B153" s="45" t="s">
        <v>174</v>
      </c>
      <c r="C153" s="742" t="s">
        <v>175</v>
      </c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</row>
    <row r="154" spans="1:23" x14ac:dyDescent="0.2">
      <c r="A154" s="741"/>
      <c r="B154" s="45" t="s">
        <v>173</v>
      </c>
      <c r="C154" s="742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</row>
    <row r="155" spans="1:23" x14ac:dyDescent="0.2">
      <c r="A155" s="741"/>
      <c r="B155" s="45" t="s">
        <v>172</v>
      </c>
      <c r="C155" s="742"/>
      <c r="D155" s="742" t="s">
        <v>279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</row>
    <row r="156" spans="1:23" x14ac:dyDescent="0.2">
      <c r="A156" s="741"/>
      <c r="B156" s="45" t="s">
        <v>169</v>
      </c>
      <c r="C156" s="742"/>
      <c r="D156" s="742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</row>
    <row r="157" spans="1:23" x14ac:dyDescent="0.2">
      <c r="A157" s="741"/>
      <c r="B157" s="45" t="s">
        <v>193</v>
      </c>
      <c r="C157" s="676">
        <v>-53878338000</v>
      </c>
      <c r="D157" s="676">
        <v>-131345000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</row>
    <row r="158" spans="1:23" x14ac:dyDescent="0.2"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</row>
    <row r="159" spans="1:23" x14ac:dyDescent="0.2"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</row>
    <row r="160" spans="1:23" x14ac:dyDescent="0.2"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</row>
    <row r="161" spans="3:23" x14ac:dyDescent="0.2"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</row>
    <row r="162" spans="3:23" x14ac:dyDescent="0.2"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</row>
    <row r="163" spans="3:23" x14ac:dyDescent="0.2"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</row>
    <row r="164" spans="3:23" x14ac:dyDescent="0.2"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</row>
    <row r="165" spans="3:23" x14ac:dyDescent="0.2"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</row>
    <row r="166" spans="3:23" x14ac:dyDescent="0.2"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</row>
    <row r="167" spans="3:23" x14ac:dyDescent="0.2"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</row>
    <row r="168" spans="3:23" x14ac:dyDescent="0.2"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</row>
    <row r="169" spans="3:23" x14ac:dyDescent="0.2"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</row>
    <row r="170" spans="3:23" x14ac:dyDescent="0.2"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</row>
    <row r="171" spans="3:23" x14ac:dyDescent="0.2"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</row>
    <row r="172" spans="3:23" x14ac:dyDescent="0.2"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</row>
    <row r="173" spans="3:23" x14ac:dyDescent="0.2"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</row>
    <row r="174" spans="3:23" x14ac:dyDescent="0.2"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</row>
    <row r="175" spans="3:23" x14ac:dyDescent="0.2"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</row>
    <row r="176" spans="3:23" x14ac:dyDescent="0.2"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</row>
    <row r="177" spans="3:23" x14ac:dyDescent="0.2"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</row>
    <row r="178" spans="3:23" x14ac:dyDescent="0.2"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</row>
    <row r="179" spans="3:23" x14ac:dyDescent="0.2"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</row>
    <row r="180" spans="3:23" x14ac:dyDescent="0.2"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</row>
    <row r="181" spans="3:23" x14ac:dyDescent="0.2"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</row>
    <row r="182" spans="3:23" x14ac:dyDescent="0.2"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</row>
    <row r="183" spans="3:23" x14ac:dyDescent="0.2"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</row>
    <row r="184" spans="3:23" x14ac:dyDescent="0.2"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</row>
    <row r="185" spans="3:23" x14ac:dyDescent="0.2"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</row>
    <row r="186" spans="3:23" x14ac:dyDescent="0.2"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</row>
    <row r="187" spans="3:23" x14ac:dyDescent="0.2"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</row>
    <row r="188" spans="3:23" x14ac:dyDescent="0.2"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</row>
    <row r="189" spans="3:23" x14ac:dyDescent="0.2"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</sheetData>
  <mergeCells count="181">
    <mergeCell ref="A2:A4"/>
    <mergeCell ref="A5:A6"/>
    <mergeCell ref="A10:A12"/>
    <mergeCell ref="F10:F11"/>
    <mergeCell ref="A153:A157"/>
    <mergeCell ref="A148:A152"/>
    <mergeCell ref="A138:A142"/>
    <mergeCell ref="A143:A147"/>
    <mergeCell ref="A113:A117"/>
    <mergeCell ref="A118:A122"/>
    <mergeCell ref="A133:A137"/>
    <mergeCell ref="A128:A132"/>
    <mergeCell ref="A123:A127"/>
    <mergeCell ref="A78:A82"/>
    <mergeCell ref="A73:A77"/>
    <mergeCell ref="A98:A102"/>
    <mergeCell ref="A68:A72"/>
    <mergeCell ref="A93:A97"/>
    <mergeCell ref="A88:A92"/>
    <mergeCell ref="A16:A17"/>
    <mergeCell ref="A108:A112"/>
    <mergeCell ref="A103:A107"/>
    <mergeCell ref="A27:A29"/>
    <mergeCell ref="A57:A59"/>
    <mergeCell ref="A45:A47"/>
    <mergeCell ref="A83:A87"/>
    <mergeCell ref="A60:A62"/>
    <mergeCell ref="A63:A67"/>
    <mergeCell ref="A30:A32"/>
    <mergeCell ref="A39:A41"/>
    <mergeCell ref="A48:A50"/>
    <mergeCell ref="A51:A53"/>
    <mergeCell ref="A54:A56"/>
    <mergeCell ref="A42:A44"/>
    <mergeCell ref="A33:A35"/>
    <mergeCell ref="A36:A38"/>
    <mergeCell ref="F24:F25"/>
    <mergeCell ref="E24:E25"/>
    <mergeCell ref="D24:D25"/>
    <mergeCell ref="C24:C25"/>
    <mergeCell ref="C21:C22"/>
    <mergeCell ref="A13:A15"/>
    <mergeCell ref="E13:E14"/>
    <mergeCell ref="H13:H14"/>
    <mergeCell ref="G18:G19"/>
    <mergeCell ref="F18:F19"/>
    <mergeCell ref="C18:C19"/>
    <mergeCell ref="A18:A20"/>
    <mergeCell ref="A24:A26"/>
    <mergeCell ref="A21:A23"/>
    <mergeCell ref="G33:G34"/>
    <mergeCell ref="H33:H34"/>
    <mergeCell ref="D36:D37"/>
    <mergeCell ref="C36:C37"/>
    <mergeCell ref="G36:G37"/>
    <mergeCell ref="H36:H37"/>
    <mergeCell ref="C27:C28"/>
    <mergeCell ref="C30:C31"/>
    <mergeCell ref="D33:D34"/>
    <mergeCell ref="E33:E34"/>
    <mergeCell ref="F33:F34"/>
    <mergeCell ref="Y36:Y37"/>
    <mergeCell ref="C39:C40"/>
    <mergeCell ref="D39:D40"/>
    <mergeCell ref="F39:F40"/>
    <mergeCell ref="C42:C43"/>
    <mergeCell ref="D42:D43"/>
    <mergeCell ref="T36:T37"/>
    <mergeCell ref="U36:U37"/>
    <mergeCell ref="V36:V37"/>
    <mergeCell ref="W36:W37"/>
    <mergeCell ref="X36:X37"/>
    <mergeCell ref="I36:I37"/>
    <mergeCell ref="L36:L37"/>
    <mergeCell ref="M36:M37"/>
    <mergeCell ref="N36:N37"/>
    <mergeCell ref="S36:S37"/>
    <mergeCell ref="I51:I52"/>
    <mergeCell ref="K51:K52"/>
    <mergeCell ref="L51:L52"/>
    <mergeCell ref="D45:D46"/>
    <mergeCell ref="F45:F46"/>
    <mergeCell ref="E48:E49"/>
    <mergeCell ref="C48:C49"/>
    <mergeCell ref="E51:E52"/>
    <mergeCell ref="C51:C52"/>
    <mergeCell ref="C54:C55"/>
    <mergeCell ref="D54:D55"/>
    <mergeCell ref="C57:C58"/>
    <mergeCell ref="E57:E58"/>
    <mergeCell ref="E60:E61"/>
    <mergeCell ref="D60:D61"/>
    <mergeCell ref="C60:C61"/>
    <mergeCell ref="G51:G52"/>
    <mergeCell ref="F51:F52"/>
    <mergeCell ref="F57:F58"/>
    <mergeCell ref="G57:G58"/>
    <mergeCell ref="G60:G61"/>
    <mergeCell ref="G68:G71"/>
    <mergeCell ref="D63:D66"/>
    <mergeCell ref="C63:C66"/>
    <mergeCell ref="H60:H61"/>
    <mergeCell ref="F60:F61"/>
    <mergeCell ref="H83:H86"/>
    <mergeCell ref="L138:L141"/>
    <mergeCell ref="M138:M141"/>
    <mergeCell ref="F133:F136"/>
    <mergeCell ref="E133:E136"/>
    <mergeCell ref="D133:D136"/>
    <mergeCell ref="F138:F141"/>
    <mergeCell ref="G138:G141"/>
    <mergeCell ref="I138:I141"/>
    <mergeCell ref="J138:J141"/>
    <mergeCell ref="K138:K141"/>
    <mergeCell ref="D138:D141"/>
    <mergeCell ref="C138:C141"/>
    <mergeCell ref="C133:C136"/>
    <mergeCell ref="I83:I86"/>
    <mergeCell ref="J83:J86"/>
    <mergeCell ref="K83:K86"/>
    <mergeCell ref="C93:C96"/>
    <mergeCell ref="C88:C91"/>
    <mergeCell ref="G83:G86"/>
    <mergeCell ref="C128:C131"/>
    <mergeCell ref="D128:D131"/>
    <mergeCell ref="S123:S126"/>
    <mergeCell ref="C118:C121"/>
    <mergeCell ref="D118:D121"/>
    <mergeCell ref="C113:C116"/>
    <mergeCell ref="C108:C111"/>
    <mergeCell ref="D108:D111"/>
    <mergeCell ref="N123:N126"/>
    <mergeCell ref="O123:O126"/>
    <mergeCell ref="P123:P126"/>
    <mergeCell ref="Q123:Q126"/>
    <mergeCell ref="R123:R126"/>
    <mergeCell ref="I123:I126"/>
    <mergeCell ref="J123:J126"/>
    <mergeCell ref="K123:K126"/>
    <mergeCell ref="L123:L126"/>
    <mergeCell ref="M123:M126"/>
    <mergeCell ref="F123:F126"/>
    <mergeCell ref="D123:D126"/>
    <mergeCell ref="C123:C126"/>
    <mergeCell ref="G123:G126"/>
    <mergeCell ref="H123:H126"/>
    <mergeCell ref="C148:C151"/>
    <mergeCell ref="D148:D151"/>
    <mergeCell ref="C143:C146"/>
    <mergeCell ref="G88:G91"/>
    <mergeCell ref="E93:E96"/>
    <mergeCell ref="F93:F96"/>
    <mergeCell ref="F88:F91"/>
    <mergeCell ref="E88:E91"/>
    <mergeCell ref="D88:D91"/>
    <mergeCell ref="D93:D96"/>
    <mergeCell ref="E123:E126"/>
    <mergeCell ref="D2:D3"/>
    <mergeCell ref="G2:G3"/>
    <mergeCell ref="H2:H3"/>
    <mergeCell ref="A7:A9"/>
    <mergeCell ref="I7:I8"/>
    <mergeCell ref="D155:D156"/>
    <mergeCell ref="C73:C76"/>
    <mergeCell ref="C68:C71"/>
    <mergeCell ref="D68:D71"/>
    <mergeCell ref="E68:E71"/>
    <mergeCell ref="F68:F71"/>
    <mergeCell ref="F83:F86"/>
    <mergeCell ref="E83:E86"/>
    <mergeCell ref="D83:D86"/>
    <mergeCell ref="C83:C86"/>
    <mergeCell ref="D78:D81"/>
    <mergeCell ref="C78:C81"/>
    <mergeCell ref="D103:D106"/>
    <mergeCell ref="D98:D101"/>
    <mergeCell ref="C98:C101"/>
    <mergeCell ref="C103:C106"/>
    <mergeCell ref="E98:E101"/>
    <mergeCell ref="E128:E131"/>
    <mergeCell ref="C153:C15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D4675-1598-D64F-86CA-F0E7D98A42B3}">
  <sheetPr codeName="Sheet7">
    <tabColor theme="8" tint="0.39997558519241921"/>
  </sheetPr>
  <dimension ref="A1:V255"/>
  <sheetViews>
    <sheetView topLeftCell="A80" workbookViewId="0">
      <pane xSplit="1" topLeftCell="C1" activePane="topRight" state="frozen"/>
      <selection pane="topRight" activeCell="C95" sqref="C95"/>
    </sheetView>
  </sheetViews>
  <sheetFormatPr baseColWidth="10" defaultRowHeight="16" x14ac:dyDescent="0.2"/>
  <cols>
    <col min="2" max="2" width="15.5" customWidth="1"/>
    <col min="3" max="3" width="15.6640625" customWidth="1"/>
    <col min="4" max="4" width="15.5" customWidth="1"/>
    <col min="5" max="5" width="15.33203125" customWidth="1"/>
    <col min="6" max="6" width="15.6640625" customWidth="1"/>
    <col min="7" max="7" width="14.6640625" customWidth="1"/>
    <col min="8" max="8" width="13.83203125" customWidth="1"/>
    <col min="9" max="9" width="14.6640625" customWidth="1"/>
    <col min="10" max="10" width="13.5" customWidth="1"/>
    <col min="11" max="11" width="13.83203125" customWidth="1"/>
    <col min="12" max="12" width="4.33203125" customWidth="1"/>
    <col min="13" max="13" width="16.6640625" customWidth="1"/>
    <col min="14" max="14" width="16.83203125" customWidth="1"/>
    <col min="15" max="15" width="15.6640625" customWidth="1"/>
    <col min="16" max="16" width="17.33203125" customWidth="1"/>
    <col min="17" max="17" width="15.6640625" customWidth="1"/>
    <col min="18" max="18" width="15.33203125" customWidth="1"/>
    <col min="19" max="20" width="15.1640625" customWidth="1"/>
    <col min="21" max="21" width="14.33203125" customWidth="1"/>
    <col min="22" max="22" width="14.6640625" customWidth="1"/>
  </cols>
  <sheetData>
    <row r="1" spans="1:22" x14ac:dyDescent="0.2">
      <c r="A1" s="44" t="s">
        <v>117</v>
      </c>
      <c r="B1" s="744" t="s">
        <v>435</v>
      </c>
      <c r="C1" s="744"/>
      <c r="D1" s="744"/>
      <c r="E1" s="744"/>
      <c r="F1" s="744"/>
      <c r="G1" s="744"/>
      <c r="H1" s="744"/>
      <c r="I1" s="744"/>
      <c r="J1" s="744"/>
      <c r="K1" s="744"/>
      <c r="L1" s="675"/>
      <c r="M1" s="745" t="s">
        <v>436</v>
      </c>
      <c r="N1" s="745"/>
      <c r="O1" s="745"/>
      <c r="P1" s="745"/>
      <c r="Q1" s="745"/>
      <c r="R1" s="745"/>
      <c r="S1" s="745"/>
      <c r="T1" s="745"/>
      <c r="U1" s="745"/>
      <c r="V1" s="745"/>
    </row>
    <row r="2" spans="1:22" x14ac:dyDescent="0.2">
      <c r="A2" s="746" t="s">
        <v>440</v>
      </c>
      <c r="B2" s="45" t="s">
        <v>28</v>
      </c>
      <c r="C2" s="45" t="s">
        <v>70</v>
      </c>
      <c r="D2" s="45" t="s">
        <v>280</v>
      </c>
      <c r="E2" s="45" t="s">
        <v>41</v>
      </c>
      <c r="F2" s="45" t="s">
        <v>31</v>
      </c>
      <c r="G2" s="45" t="s">
        <v>24</v>
      </c>
      <c r="H2" s="45" t="s">
        <v>368</v>
      </c>
      <c r="I2" s="45" t="s">
        <v>202</v>
      </c>
      <c r="J2" s="45" t="s">
        <v>7</v>
      </c>
      <c r="K2" s="45" t="s">
        <v>32</v>
      </c>
      <c r="L2" s="675"/>
      <c r="M2" s="751" t="s">
        <v>36</v>
      </c>
      <c r="N2" s="45" t="s">
        <v>83</v>
      </c>
      <c r="O2" s="45" t="s">
        <v>16</v>
      </c>
      <c r="P2" s="45" t="s">
        <v>15</v>
      </c>
      <c r="Q2" s="45" t="s">
        <v>62</v>
      </c>
      <c r="R2" s="45" t="s">
        <v>18</v>
      </c>
      <c r="S2" s="45" t="s">
        <v>10</v>
      </c>
      <c r="T2" s="45" t="s">
        <v>26</v>
      </c>
      <c r="U2" s="45" t="s">
        <v>27</v>
      </c>
      <c r="V2" s="45" t="s">
        <v>25</v>
      </c>
    </row>
    <row r="3" spans="1:22" x14ac:dyDescent="0.2">
      <c r="A3" s="746" t="s">
        <v>440</v>
      </c>
      <c r="B3" s="17">
        <v>42872690000</v>
      </c>
      <c r="C3" s="17">
        <v>39077650000</v>
      </c>
      <c r="D3" s="17">
        <v>31721431019</v>
      </c>
      <c r="E3" s="17">
        <v>31531660000</v>
      </c>
      <c r="F3" s="17">
        <v>26652690000</v>
      </c>
      <c r="G3" s="17">
        <v>22283020000</v>
      </c>
      <c r="H3" s="17">
        <v>20805950000</v>
      </c>
      <c r="I3" s="17">
        <v>19781820000</v>
      </c>
      <c r="J3" s="17">
        <v>18054199608</v>
      </c>
      <c r="K3" s="17">
        <v>16687636065</v>
      </c>
      <c r="L3" s="675"/>
      <c r="M3" s="752">
        <v>-255834810000</v>
      </c>
      <c r="N3" s="17">
        <v>-178660470000</v>
      </c>
      <c r="O3" s="17">
        <v>-127802260000</v>
      </c>
      <c r="P3" s="17">
        <v>-59708230000</v>
      </c>
      <c r="Q3" s="17">
        <v>-58031830000</v>
      </c>
      <c r="R3" s="17">
        <v>-52468270000</v>
      </c>
      <c r="S3" s="17">
        <v>-48083434017</v>
      </c>
      <c r="T3" s="17">
        <v>-43249650000</v>
      </c>
      <c r="U3" s="17">
        <v>-34766550000</v>
      </c>
      <c r="V3" s="17">
        <v>-34597170000</v>
      </c>
    </row>
    <row r="4" spans="1:22" x14ac:dyDescent="0.2">
      <c r="A4" s="746" t="s">
        <v>432</v>
      </c>
      <c r="B4" s="45" t="s">
        <v>18</v>
      </c>
      <c r="C4" s="45" t="s">
        <v>41</v>
      </c>
      <c r="D4" s="45" t="s">
        <v>70</v>
      </c>
      <c r="E4" s="45" t="s">
        <v>28</v>
      </c>
      <c r="F4" s="45" t="s">
        <v>15</v>
      </c>
      <c r="G4" s="45" t="s">
        <v>31</v>
      </c>
      <c r="H4" s="45" t="s">
        <v>14</v>
      </c>
      <c r="I4" s="45" t="s">
        <v>181</v>
      </c>
      <c r="J4" s="45" t="s">
        <v>38</v>
      </c>
      <c r="K4" s="45" t="s">
        <v>45</v>
      </c>
      <c r="L4" s="675"/>
      <c r="M4" s="751" t="s">
        <v>36</v>
      </c>
      <c r="N4" s="45" t="s">
        <v>83</v>
      </c>
      <c r="O4" s="45" t="s">
        <v>16</v>
      </c>
      <c r="P4" s="45" t="s">
        <v>19</v>
      </c>
      <c r="Q4" s="45" t="s">
        <v>62</v>
      </c>
      <c r="R4" s="45" t="s">
        <v>24</v>
      </c>
      <c r="S4" s="45" t="s">
        <v>6</v>
      </c>
      <c r="T4" s="45" t="s">
        <v>27</v>
      </c>
      <c r="U4" s="45" t="s">
        <v>33</v>
      </c>
      <c r="V4" s="45" t="s">
        <v>182</v>
      </c>
    </row>
    <row r="5" spans="1:22" x14ac:dyDescent="0.2">
      <c r="A5" s="746" t="s">
        <v>432</v>
      </c>
      <c r="B5" s="17">
        <v>105638310000</v>
      </c>
      <c r="C5" s="17">
        <v>51981640000</v>
      </c>
      <c r="D5" s="17">
        <v>42721330000</v>
      </c>
      <c r="E5" s="17">
        <v>28466980000</v>
      </c>
      <c r="F5" s="17">
        <v>26898790000</v>
      </c>
      <c r="G5" s="17">
        <v>23059950000</v>
      </c>
      <c r="H5" s="17">
        <v>20466560000</v>
      </c>
      <c r="I5" s="17">
        <v>16126560000</v>
      </c>
      <c r="J5" s="17">
        <v>14925580000</v>
      </c>
      <c r="K5" s="17">
        <v>13951610000</v>
      </c>
      <c r="L5" s="675"/>
      <c r="M5" s="752">
        <v>-101054050000</v>
      </c>
      <c r="N5" s="17">
        <v>-74824130000</v>
      </c>
      <c r="O5" s="17">
        <v>-54205300000</v>
      </c>
      <c r="P5" s="17">
        <v>-44118000000</v>
      </c>
      <c r="Q5" s="17">
        <v>-43258010000</v>
      </c>
      <c r="R5" s="17">
        <v>-42961050000</v>
      </c>
      <c r="S5" s="17">
        <v>-42955020000</v>
      </c>
      <c r="T5" s="17">
        <v>-34399480000</v>
      </c>
      <c r="U5" s="17">
        <v>-23721510000</v>
      </c>
      <c r="V5" s="17">
        <v>-20143140000</v>
      </c>
    </row>
    <row r="6" spans="1:22" x14ac:dyDescent="0.2">
      <c r="A6" s="746" t="s">
        <v>431</v>
      </c>
      <c r="B6" s="45" t="s">
        <v>83</v>
      </c>
      <c r="C6" s="45" t="s">
        <v>74</v>
      </c>
      <c r="D6" s="45" t="s">
        <v>26</v>
      </c>
      <c r="E6" s="45" t="s">
        <v>14</v>
      </c>
      <c r="F6" s="45" t="s">
        <v>64</v>
      </c>
      <c r="G6" s="45" t="s">
        <v>32</v>
      </c>
      <c r="H6" s="45" t="s">
        <v>280</v>
      </c>
      <c r="I6" s="45" t="s">
        <v>315</v>
      </c>
      <c r="J6" s="45" t="s">
        <v>70</v>
      </c>
      <c r="K6" s="45" t="s">
        <v>41</v>
      </c>
      <c r="L6" s="675"/>
      <c r="M6" s="751" t="s">
        <v>36</v>
      </c>
      <c r="N6" s="45" t="s">
        <v>18</v>
      </c>
      <c r="O6" s="45" t="s">
        <v>24</v>
      </c>
      <c r="P6" s="45" t="s">
        <v>42</v>
      </c>
      <c r="Q6" s="45" t="s">
        <v>27</v>
      </c>
      <c r="R6" s="45" t="s">
        <v>67</v>
      </c>
      <c r="S6" s="45" t="s">
        <v>19</v>
      </c>
      <c r="T6" s="45" t="s">
        <v>30</v>
      </c>
      <c r="U6" s="45" t="s">
        <v>40</v>
      </c>
      <c r="V6" s="45" t="s">
        <v>61</v>
      </c>
    </row>
    <row r="7" spans="1:22" x14ac:dyDescent="0.2">
      <c r="A7" s="746" t="s">
        <v>431</v>
      </c>
      <c r="B7" s="17">
        <v>79804570000</v>
      </c>
      <c r="C7" s="17">
        <v>42769050000</v>
      </c>
      <c r="D7" s="17">
        <v>36708130000</v>
      </c>
      <c r="E7" s="17">
        <v>33747920000</v>
      </c>
      <c r="F7" s="17">
        <v>33218140000</v>
      </c>
      <c r="G7" s="17">
        <v>25149114075</v>
      </c>
      <c r="H7" s="17">
        <v>16154402608</v>
      </c>
      <c r="I7" s="17">
        <v>16147560000</v>
      </c>
      <c r="J7" s="17">
        <v>15171020000</v>
      </c>
      <c r="K7" s="17">
        <v>14918970000</v>
      </c>
      <c r="L7" s="675"/>
      <c r="M7" s="752">
        <v>-249565870000</v>
      </c>
      <c r="N7" s="17">
        <v>-124514560000</v>
      </c>
      <c r="O7" s="17">
        <v>-57213690000</v>
      </c>
      <c r="P7" s="668">
        <v>-52320350000</v>
      </c>
      <c r="Q7" s="17">
        <v>-37629390000</v>
      </c>
      <c r="R7" s="17">
        <v>-36822080000</v>
      </c>
      <c r="S7" s="17">
        <v>-35259920000</v>
      </c>
      <c r="T7" s="17">
        <v>-30300850000</v>
      </c>
      <c r="U7" s="17">
        <v>-26190010000</v>
      </c>
      <c r="V7" s="17">
        <v>-25312450000</v>
      </c>
    </row>
    <row r="8" spans="1:22" x14ac:dyDescent="0.2">
      <c r="A8" s="746" t="s">
        <v>430</v>
      </c>
      <c r="B8" s="45" t="s">
        <v>9</v>
      </c>
      <c r="C8" s="45" t="s">
        <v>290</v>
      </c>
      <c r="D8" s="45" t="s">
        <v>26</v>
      </c>
      <c r="E8" s="45" t="s">
        <v>284</v>
      </c>
      <c r="F8" s="45" t="s">
        <v>83</v>
      </c>
      <c r="G8" s="45" t="s">
        <v>28</v>
      </c>
      <c r="H8" s="45" t="s">
        <v>32</v>
      </c>
      <c r="I8" s="45" t="s">
        <v>45</v>
      </c>
      <c r="J8" s="45" t="s">
        <v>98</v>
      </c>
      <c r="K8" s="45" t="s">
        <v>16</v>
      </c>
      <c r="L8" s="675"/>
      <c r="M8" s="751" t="s">
        <v>36</v>
      </c>
      <c r="N8" s="45" t="s">
        <v>18</v>
      </c>
      <c r="O8" s="45" t="s">
        <v>15</v>
      </c>
      <c r="P8" s="45" t="s">
        <v>33</v>
      </c>
      <c r="Q8" s="45" t="s">
        <v>19</v>
      </c>
      <c r="R8" s="45" t="s">
        <v>27</v>
      </c>
      <c r="S8" s="45" t="s">
        <v>67</v>
      </c>
      <c r="T8" s="45" t="s">
        <v>66</v>
      </c>
      <c r="U8" s="45" t="s">
        <v>175</v>
      </c>
      <c r="V8" s="45" t="s">
        <v>14</v>
      </c>
    </row>
    <row r="9" spans="1:22" x14ac:dyDescent="0.2">
      <c r="A9" s="746" t="s">
        <v>430</v>
      </c>
      <c r="B9" s="17">
        <v>86304280000</v>
      </c>
      <c r="C9" s="17">
        <v>40820580000</v>
      </c>
      <c r="D9" s="17">
        <v>36955340000</v>
      </c>
      <c r="E9" s="17">
        <v>35359590000</v>
      </c>
      <c r="F9" s="17">
        <v>35125830000</v>
      </c>
      <c r="G9" s="17">
        <v>30237930000</v>
      </c>
      <c r="H9" s="17">
        <v>25688301232</v>
      </c>
      <c r="I9" s="17">
        <v>24289080000</v>
      </c>
      <c r="J9" s="17">
        <v>19871280000</v>
      </c>
      <c r="K9" s="17">
        <v>19598880000</v>
      </c>
      <c r="L9" s="675"/>
      <c r="M9" s="752">
        <v>-264887420000</v>
      </c>
      <c r="N9" s="17">
        <v>-128785140000</v>
      </c>
      <c r="O9" s="17">
        <v>-43917710000</v>
      </c>
      <c r="P9" s="17">
        <v>-38800490000</v>
      </c>
      <c r="Q9" s="17">
        <v>-33127430000</v>
      </c>
      <c r="R9" s="17">
        <v>-33108950000</v>
      </c>
      <c r="S9" s="17">
        <v>-31848080000</v>
      </c>
      <c r="T9" s="17">
        <v>-24601847784</v>
      </c>
      <c r="U9" s="17">
        <v>-24104390000</v>
      </c>
      <c r="V9" s="17">
        <v>-21518320000</v>
      </c>
    </row>
    <row r="10" spans="1:22" x14ac:dyDescent="0.2">
      <c r="A10" s="746" t="s">
        <v>423</v>
      </c>
      <c r="B10" s="45" t="s">
        <v>83</v>
      </c>
      <c r="C10" s="45" t="s">
        <v>24</v>
      </c>
      <c r="D10" s="45" t="s">
        <v>339</v>
      </c>
      <c r="E10" s="45" t="s">
        <v>26</v>
      </c>
      <c r="F10" s="45" t="s">
        <v>40</v>
      </c>
      <c r="G10" s="45" t="s">
        <v>13</v>
      </c>
      <c r="H10" s="45" t="s">
        <v>21</v>
      </c>
      <c r="I10" s="45" t="s">
        <v>280</v>
      </c>
      <c r="J10" s="45" t="s">
        <v>384</v>
      </c>
      <c r="K10" s="45" t="s">
        <v>111</v>
      </c>
      <c r="L10" s="675"/>
      <c r="M10" s="751" t="s">
        <v>36</v>
      </c>
      <c r="N10" s="45" t="s">
        <v>61</v>
      </c>
      <c r="O10" s="45" t="s">
        <v>5</v>
      </c>
      <c r="P10" s="45" t="s">
        <v>62</v>
      </c>
      <c r="Q10" s="45" t="s">
        <v>25</v>
      </c>
      <c r="R10" s="45" t="s">
        <v>16</v>
      </c>
      <c r="S10" s="45" t="s">
        <v>15</v>
      </c>
      <c r="T10" s="45" t="s">
        <v>290</v>
      </c>
      <c r="U10" s="45" t="s">
        <v>6</v>
      </c>
      <c r="V10" s="45" t="s">
        <v>18</v>
      </c>
    </row>
    <row r="11" spans="1:22" x14ac:dyDescent="0.2">
      <c r="A11" s="746" t="s">
        <v>423</v>
      </c>
      <c r="B11" s="17">
        <v>57149660000</v>
      </c>
      <c r="C11" s="17">
        <v>46615540000</v>
      </c>
      <c r="D11" s="17">
        <v>42417110000</v>
      </c>
      <c r="E11" s="17">
        <v>30624870000</v>
      </c>
      <c r="F11" s="17">
        <v>26155550000</v>
      </c>
      <c r="G11" s="17">
        <v>25649900000</v>
      </c>
      <c r="H11" s="17">
        <v>23460846245</v>
      </c>
      <c r="I11" s="17">
        <v>22192791840</v>
      </c>
      <c r="J11" s="17">
        <v>17437730000</v>
      </c>
      <c r="K11" s="17">
        <v>16833950000</v>
      </c>
      <c r="L11" s="675"/>
      <c r="M11" s="752">
        <v>-590406870000</v>
      </c>
      <c r="N11" s="661">
        <v>-64225380000</v>
      </c>
      <c r="O11" s="17">
        <v>-57913850000</v>
      </c>
      <c r="P11" s="17">
        <v>-57155700000</v>
      </c>
      <c r="Q11" s="17">
        <v>-55803470000</v>
      </c>
      <c r="R11" s="17">
        <v>-54662440000</v>
      </c>
      <c r="S11" s="17">
        <v>-46701950000</v>
      </c>
      <c r="T11" s="662">
        <v>-40481130000</v>
      </c>
      <c r="U11" s="17">
        <v>-37045450000</v>
      </c>
      <c r="V11" s="17">
        <v>-34245210000</v>
      </c>
    </row>
    <row r="12" spans="1:22" x14ac:dyDescent="0.2">
      <c r="A12" s="746" t="s">
        <v>421</v>
      </c>
      <c r="B12" s="45" t="s">
        <v>109</v>
      </c>
      <c r="C12" s="45" t="s">
        <v>315</v>
      </c>
      <c r="D12" s="45" t="s">
        <v>30</v>
      </c>
      <c r="E12" s="45" t="s">
        <v>40</v>
      </c>
      <c r="F12" s="45" t="s">
        <v>200</v>
      </c>
      <c r="G12" s="45" t="s">
        <v>41</v>
      </c>
      <c r="H12" s="45" t="s">
        <v>7</v>
      </c>
      <c r="I12" s="45" t="s">
        <v>8</v>
      </c>
      <c r="J12" s="45" t="s">
        <v>339</v>
      </c>
      <c r="K12" s="45" t="s">
        <v>280</v>
      </c>
      <c r="L12" s="675"/>
      <c r="M12" s="751" t="s">
        <v>36</v>
      </c>
      <c r="N12" s="45" t="s">
        <v>6</v>
      </c>
      <c r="O12" s="45" t="s">
        <v>25</v>
      </c>
      <c r="P12" s="45" t="s">
        <v>15</v>
      </c>
      <c r="Q12" s="45" t="s">
        <v>18</v>
      </c>
      <c r="R12" s="45" t="s">
        <v>16</v>
      </c>
      <c r="S12" s="45" t="s">
        <v>83</v>
      </c>
      <c r="T12" s="45" t="s">
        <v>196</v>
      </c>
      <c r="U12" s="45" t="s">
        <v>28</v>
      </c>
      <c r="V12" s="45" t="s">
        <v>182</v>
      </c>
    </row>
    <row r="13" spans="1:22" x14ac:dyDescent="0.2">
      <c r="A13" s="746" t="s">
        <v>421</v>
      </c>
      <c r="B13" s="17">
        <v>60661160000</v>
      </c>
      <c r="C13" s="658">
        <v>56368580000</v>
      </c>
      <c r="D13" s="659">
        <v>43053350000</v>
      </c>
      <c r="E13" s="17">
        <v>32027820000</v>
      </c>
      <c r="F13" s="660">
        <v>28999950000</v>
      </c>
      <c r="G13" s="17">
        <v>28407670000</v>
      </c>
      <c r="H13" s="17">
        <v>22577410619</v>
      </c>
      <c r="I13" s="17">
        <v>19576670000</v>
      </c>
      <c r="J13" s="17">
        <v>18939960000</v>
      </c>
      <c r="K13" s="17">
        <v>17689293582</v>
      </c>
      <c r="L13" s="675"/>
      <c r="M13" s="752">
        <v>-227004180000</v>
      </c>
      <c r="N13" s="17">
        <v>-128562100000</v>
      </c>
      <c r="O13" s="17">
        <v>-84998280000</v>
      </c>
      <c r="P13" s="17">
        <v>-63403050000</v>
      </c>
      <c r="Q13" s="17">
        <v>-42455690000</v>
      </c>
      <c r="R13" s="17">
        <v>-40841320000</v>
      </c>
      <c r="S13" s="17">
        <v>-39029660000</v>
      </c>
      <c r="T13" s="17">
        <v>-38525430000</v>
      </c>
      <c r="U13" s="17">
        <v>-33004310000</v>
      </c>
      <c r="V13" s="17">
        <v>-32565000000</v>
      </c>
    </row>
    <row r="14" spans="1:22" x14ac:dyDescent="0.2">
      <c r="A14" s="746" t="s">
        <v>417</v>
      </c>
      <c r="B14" s="45" t="s">
        <v>40</v>
      </c>
      <c r="C14" s="45" t="s">
        <v>24</v>
      </c>
      <c r="D14" s="45" t="s">
        <v>16</v>
      </c>
      <c r="E14" s="45" t="s">
        <v>41</v>
      </c>
      <c r="F14" s="45" t="s">
        <v>384</v>
      </c>
      <c r="G14" s="45" t="s">
        <v>31</v>
      </c>
      <c r="H14" s="45" t="s">
        <v>7</v>
      </c>
      <c r="I14" s="45" t="s">
        <v>280</v>
      </c>
      <c r="J14" s="45" t="s">
        <v>29</v>
      </c>
      <c r="K14" s="45" t="s">
        <v>26</v>
      </c>
      <c r="L14" s="675"/>
      <c r="M14" s="751" t="s">
        <v>36</v>
      </c>
      <c r="N14" s="45" t="s">
        <v>25</v>
      </c>
      <c r="O14" s="45" t="s">
        <v>27</v>
      </c>
      <c r="P14" s="45" t="s">
        <v>13</v>
      </c>
      <c r="Q14" s="45" t="s">
        <v>83</v>
      </c>
      <c r="R14" s="45" t="s">
        <v>28</v>
      </c>
      <c r="S14" s="45" t="s">
        <v>284</v>
      </c>
      <c r="T14" s="45" t="s">
        <v>15</v>
      </c>
      <c r="U14" s="45" t="s">
        <v>45</v>
      </c>
      <c r="V14" s="45" t="s">
        <v>6</v>
      </c>
    </row>
    <row r="15" spans="1:22" x14ac:dyDescent="0.2">
      <c r="A15" s="746" t="s">
        <v>417</v>
      </c>
      <c r="B15" s="654">
        <v>108709280000</v>
      </c>
      <c r="C15" s="17">
        <v>49340200000</v>
      </c>
      <c r="D15" s="17">
        <v>41297840000</v>
      </c>
      <c r="E15" s="17">
        <v>37589860000</v>
      </c>
      <c r="F15" s="17">
        <v>27726090000</v>
      </c>
      <c r="G15" s="17">
        <v>21796800000</v>
      </c>
      <c r="H15" s="17">
        <v>21657610022</v>
      </c>
      <c r="I15" s="17">
        <v>20437207664</v>
      </c>
      <c r="J15" s="17">
        <v>16376830000</v>
      </c>
      <c r="K15" s="17">
        <v>14555700000</v>
      </c>
      <c r="L15" s="675"/>
      <c r="M15" s="752">
        <v>-265362030000</v>
      </c>
      <c r="N15" s="17">
        <v>-97680240000</v>
      </c>
      <c r="O15" s="17">
        <v>-92535680000</v>
      </c>
      <c r="P15" s="17">
        <v>-87609890000</v>
      </c>
      <c r="Q15" s="17">
        <v>-68844880000</v>
      </c>
      <c r="R15" s="17">
        <v>-59746190000</v>
      </c>
      <c r="S15" s="655">
        <v>-58522210000</v>
      </c>
      <c r="T15" s="17">
        <v>-58055730000</v>
      </c>
      <c r="U15" s="17">
        <v>-47201210000</v>
      </c>
      <c r="V15" s="17">
        <v>-47101230000</v>
      </c>
    </row>
    <row r="16" spans="1:22" x14ac:dyDescent="0.2">
      <c r="A16" s="746" t="s">
        <v>416</v>
      </c>
      <c r="B16" s="45" t="s">
        <v>290</v>
      </c>
      <c r="C16" s="45" t="s">
        <v>18</v>
      </c>
      <c r="D16" s="45" t="s">
        <v>71</v>
      </c>
      <c r="E16" s="45" t="s">
        <v>280</v>
      </c>
      <c r="F16" s="45" t="s">
        <v>41</v>
      </c>
      <c r="G16" s="45" t="s">
        <v>315</v>
      </c>
      <c r="H16" s="45" t="s">
        <v>384</v>
      </c>
      <c r="I16" s="45" t="s">
        <v>72</v>
      </c>
      <c r="J16" s="45" t="s">
        <v>31</v>
      </c>
      <c r="K16" s="45" t="s">
        <v>7</v>
      </c>
      <c r="L16" s="675"/>
      <c r="M16" s="751" t="s">
        <v>36</v>
      </c>
      <c r="N16" s="45" t="s">
        <v>24</v>
      </c>
      <c r="O16" s="45" t="s">
        <v>16</v>
      </c>
      <c r="P16" s="45" t="s">
        <v>27</v>
      </c>
      <c r="Q16" s="45" t="s">
        <v>6</v>
      </c>
      <c r="R16" s="45" t="s">
        <v>13</v>
      </c>
      <c r="S16" s="45" t="s">
        <v>83</v>
      </c>
      <c r="T16" s="45" t="s">
        <v>15</v>
      </c>
      <c r="U16" s="45" t="s">
        <v>67</v>
      </c>
      <c r="V16" s="45" t="s">
        <v>28</v>
      </c>
    </row>
    <row r="17" spans="1:22" x14ac:dyDescent="0.2">
      <c r="A17" s="746" t="s">
        <v>416</v>
      </c>
      <c r="B17" s="651">
        <v>70195610000</v>
      </c>
      <c r="C17" s="17">
        <v>61904620000</v>
      </c>
      <c r="D17" s="652">
        <v>53765870000</v>
      </c>
      <c r="E17" s="17">
        <v>47422677529</v>
      </c>
      <c r="F17" s="17">
        <v>37402430000</v>
      </c>
      <c r="G17" s="17">
        <v>28092470000</v>
      </c>
      <c r="H17" s="17">
        <v>26414280000</v>
      </c>
      <c r="I17" s="17">
        <v>20183180000</v>
      </c>
      <c r="J17" s="17">
        <v>18850250000</v>
      </c>
      <c r="K17" s="17">
        <v>14858252494</v>
      </c>
      <c r="L17" s="675"/>
      <c r="M17" s="752">
        <v>-221889090000</v>
      </c>
      <c r="N17" s="17">
        <v>-170392200000</v>
      </c>
      <c r="O17" s="17">
        <v>-139770490000</v>
      </c>
      <c r="P17" s="17">
        <v>-97559860000</v>
      </c>
      <c r="Q17" s="17">
        <v>-97333740000</v>
      </c>
      <c r="R17" s="17">
        <v>-84457850000</v>
      </c>
      <c r="S17" s="17">
        <v>-76357500000</v>
      </c>
      <c r="T17" s="17">
        <v>-67111490000</v>
      </c>
      <c r="U17" s="17">
        <v>-66424810000</v>
      </c>
      <c r="V17" s="17">
        <v>-60993960000</v>
      </c>
    </row>
    <row r="18" spans="1:22" x14ac:dyDescent="0.2">
      <c r="A18" s="746" t="s">
        <v>414</v>
      </c>
      <c r="B18" s="45" t="s">
        <v>280</v>
      </c>
      <c r="C18" s="45" t="s">
        <v>74</v>
      </c>
      <c r="D18" s="45" t="s">
        <v>45</v>
      </c>
      <c r="E18" s="45" t="s">
        <v>315</v>
      </c>
      <c r="F18" s="45" t="s">
        <v>68</v>
      </c>
      <c r="G18" s="45" t="s">
        <v>290</v>
      </c>
      <c r="H18" s="45" t="s">
        <v>181</v>
      </c>
      <c r="I18" s="45" t="s">
        <v>279</v>
      </c>
      <c r="J18" s="45" t="s">
        <v>40</v>
      </c>
      <c r="K18" s="45" t="s">
        <v>7</v>
      </c>
      <c r="L18" s="675"/>
      <c r="M18" s="751" t="s">
        <v>36</v>
      </c>
      <c r="N18" s="45" t="s">
        <v>16</v>
      </c>
      <c r="O18" s="45" t="s">
        <v>28</v>
      </c>
      <c r="P18" s="45" t="s">
        <v>24</v>
      </c>
      <c r="Q18" s="45" t="s">
        <v>18</v>
      </c>
      <c r="R18" s="45" t="s">
        <v>15</v>
      </c>
      <c r="S18" s="45" t="s">
        <v>27</v>
      </c>
      <c r="T18" s="45" t="s">
        <v>6</v>
      </c>
      <c r="U18" s="45" t="s">
        <v>65</v>
      </c>
      <c r="V18" s="45" t="s">
        <v>25</v>
      </c>
    </row>
    <row r="19" spans="1:22" x14ac:dyDescent="0.2">
      <c r="A19" s="746" t="s">
        <v>414</v>
      </c>
      <c r="B19" s="647">
        <v>101237567321</v>
      </c>
      <c r="C19" s="17">
        <v>47801330000</v>
      </c>
      <c r="D19" s="17">
        <v>46620880000</v>
      </c>
      <c r="E19" s="648">
        <v>37402010000</v>
      </c>
      <c r="F19" s="17">
        <v>35448840000</v>
      </c>
      <c r="G19" s="17">
        <v>30641990000</v>
      </c>
      <c r="H19" s="17">
        <v>22565510000</v>
      </c>
      <c r="I19" s="649">
        <v>20559600000</v>
      </c>
      <c r="J19" s="17">
        <v>20069150000</v>
      </c>
      <c r="K19" s="17">
        <v>18289610121</v>
      </c>
      <c r="L19" s="675"/>
      <c r="M19" s="752">
        <v>-301814110000</v>
      </c>
      <c r="N19" s="17">
        <v>-105590080000</v>
      </c>
      <c r="O19" s="17">
        <v>-82658530000</v>
      </c>
      <c r="P19" s="17">
        <v>-78132720000</v>
      </c>
      <c r="Q19" s="17">
        <v>-76484560000</v>
      </c>
      <c r="R19" s="17">
        <v>-63331080000</v>
      </c>
      <c r="S19" s="17">
        <v>-56815490000</v>
      </c>
      <c r="T19" s="17">
        <v>-43789830000</v>
      </c>
      <c r="U19" s="17">
        <v>-38575550000</v>
      </c>
      <c r="V19" s="17">
        <v>-29037880000</v>
      </c>
    </row>
    <row r="20" spans="1:22" x14ac:dyDescent="0.2">
      <c r="A20" s="746" t="s">
        <v>412</v>
      </c>
      <c r="B20" s="45" t="s">
        <v>45</v>
      </c>
      <c r="C20" s="45" t="s">
        <v>339</v>
      </c>
      <c r="D20" s="45" t="s">
        <v>98</v>
      </c>
      <c r="E20" s="45" t="s">
        <v>109</v>
      </c>
      <c r="F20" s="45" t="s">
        <v>315</v>
      </c>
      <c r="G20" s="45" t="s">
        <v>69</v>
      </c>
      <c r="H20" s="45" t="s">
        <v>18</v>
      </c>
      <c r="I20" s="45" t="s">
        <v>28</v>
      </c>
      <c r="J20" s="45" t="s">
        <v>290</v>
      </c>
      <c r="K20" s="45" t="s">
        <v>80</v>
      </c>
      <c r="L20" s="675"/>
      <c r="M20" s="751" t="s">
        <v>15</v>
      </c>
      <c r="N20" s="45" t="s">
        <v>36</v>
      </c>
      <c r="O20" s="45" t="s">
        <v>27</v>
      </c>
      <c r="P20" s="45" t="s">
        <v>24</v>
      </c>
      <c r="Q20" s="45" t="s">
        <v>62</v>
      </c>
      <c r="R20" s="45" t="s">
        <v>26</v>
      </c>
      <c r="S20" s="45" t="s">
        <v>8</v>
      </c>
      <c r="T20" s="45" t="s">
        <v>25</v>
      </c>
      <c r="U20" s="45" t="s">
        <v>6</v>
      </c>
      <c r="V20" s="45" t="s">
        <v>61</v>
      </c>
    </row>
    <row r="21" spans="1:22" x14ac:dyDescent="0.2">
      <c r="A21" s="746" t="s">
        <v>412</v>
      </c>
      <c r="B21" s="641">
        <v>106096210000</v>
      </c>
      <c r="C21" s="642">
        <v>90501320000</v>
      </c>
      <c r="D21" s="17">
        <v>45175040000</v>
      </c>
      <c r="E21" s="17">
        <v>41196700000</v>
      </c>
      <c r="F21" s="643">
        <v>37351250000</v>
      </c>
      <c r="G21" s="17">
        <v>31123960000</v>
      </c>
      <c r="H21" s="17">
        <v>29397520000</v>
      </c>
      <c r="I21" s="17">
        <v>28589110000</v>
      </c>
      <c r="J21" s="17">
        <v>27047120000</v>
      </c>
      <c r="K21" s="644">
        <v>24356180000</v>
      </c>
      <c r="L21" s="675"/>
      <c r="M21" s="752">
        <v>-147424170000</v>
      </c>
      <c r="N21" s="17">
        <v>-110973490000</v>
      </c>
      <c r="O21" s="17">
        <v>-101611390000</v>
      </c>
      <c r="P21" s="17">
        <v>-101583010000</v>
      </c>
      <c r="Q21" s="17">
        <v>-101150290000</v>
      </c>
      <c r="R21" s="17">
        <v>-83893360000</v>
      </c>
      <c r="S21" s="17">
        <v>-80823800000</v>
      </c>
      <c r="T21" s="17">
        <v>-72620590000</v>
      </c>
      <c r="U21" s="17">
        <v>-61640300000</v>
      </c>
      <c r="V21" s="645">
        <v>-45546000000</v>
      </c>
    </row>
    <row r="22" spans="1:22" x14ac:dyDescent="0.2">
      <c r="A22" s="746" t="s">
        <v>410</v>
      </c>
      <c r="B22" s="45" t="s">
        <v>5</v>
      </c>
      <c r="C22" s="45" t="s">
        <v>26</v>
      </c>
      <c r="D22" s="45" t="s">
        <v>28</v>
      </c>
      <c r="E22" s="45" t="s">
        <v>290</v>
      </c>
      <c r="F22" s="45" t="s">
        <v>284</v>
      </c>
      <c r="G22" s="45" t="s">
        <v>71</v>
      </c>
      <c r="H22" s="45" t="s">
        <v>38</v>
      </c>
      <c r="I22" s="45" t="s">
        <v>21</v>
      </c>
      <c r="J22" s="45" t="s">
        <v>14</v>
      </c>
      <c r="K22" s="45" t="s">
        <v>97</v>
      </c>
      <c r="L22" s="675"/>
      <c r="M22" s="751" t="s">
        <v>36</v>
      </c>
      <c r="N22" s="45" t="s">
        <v>27</v>
      </c>
      <c r="O22" s="45" t="s">
        <v>18</v>
      </c>
      <c r="P22" s="45" t="s">
        <v>25</v>
      </c>
      <c r="Q22" s="45" t="s">
        <v>67</v>
      </c>
      <c r="R22" s="45" t="s">
        <v>29</v>
      </c>
      <c r="S22" s="45" t="s">
        <v>6</v>
      </c>
      <c r="T22" s="45" t="s">
        <v>24</v>
      </c>
      <c r="U22" s="45" t="s">
        <v>9</v>
      </c>
      <c r="V22" s="45" t="s">
        <v>16</v>
      </c>
    </row>
    <row r="23" spans="1:22" x14ac:dyDescent="0.2">
      <c r="A23" s="746" t="s">
        <v>410</v>
      </c>
      <c r="B23" s="17">
        <v>74435390000</v>
      </c>
      <c r="C23" s="17">
        <v>72455670000</v>
      </c>
      <c r="D23" s="17">
        <v>63260800000</v>
      </c>
      <c r="E23" s="17">
        <v>57257020000</v>
      </c>
      <c r="F23" s="638">
        <v>47945250000</v>
      </c>
      <c r="G23" s="639">
        <v>45482850000</v>
      </c>
      <c r="H23" s="17">
        <v>33080190000</v>
      </c>
      <c r="I23" s="17">
        <v>27472555256</v>
      </c>
      <c r="J23" s="17">
        <v>25310760000</v>
      </c>
      <c r="K23" s="17">
        <v>20589990000</v>
      </c>
      <c r="L23" s="675"/>
      <c r="M23" s="752">
        <v>-148494620000</v>
      </c>
      <c r="N23" s="17">
        <v>-122822250000</v>
      </c>
      <c r="O23" s="17">
        <v>-93085180000</v>
      </c>
      <c r="P23" s="17">
        <v>-71898990000</v>
      </c>
      <c r="Q23" s="17">
        <v>-70287900000</v>
      </c>
      <c r="R23" s="17">
        <v>-53072350000</v>
      </c>
      <c r="S23" s="17">
        <v>-52169090000</v>
      </c>
      <c r="T23" s="17">
        <v>-48858700000</v>
      </c>
      <c r="U23" s="17">
        <v>-45109580000</v>
      </c>
      <c r="V23" s="17">
        <v>-33065410000</v>
      </c>
    </row>
    <row r="24" spans="1:22" x14ac:dyDescent="0.2">
      <c r="A24" s="746" t="s">
        <v>405</v>
      </c>
      <c r="B24" s="45" t="s">
        <v>38</v>
      </c>
      <c r="C24" s="45" t="s">
        <v>26</v>
      </c>
      <c r="D24" s="45" t="s">
        <v>68</v>
      </c>
      <c r="E24" s="45" t="s">
        <v>21</v>
      </c>
      <c r="F24" s="45" t="s">
        <v>31</v>
      </c>
      <c r="G24" s="45" t="s">
        <v>17</v>
      </c>
      <c r="H24" s="45" t="s">
        <v>315</v>
      </c>
      <c r="I24" s="45" t="s">
        <v>61</v>
      </c>
      <c r="J24" s="45" t="s">
        <v>45</v>
      </c>
      <c r="K24" s="45" t="s">
        <v>9</v>
      </c>
      <c r="L24" s="675"/>
      <c r="M24" s="751" t="s">
        <v>36</v>
      </c>
      <c r="N24" s="45" t="s">
        <v>27</v>
      </c>
      <c r="O24" s="45" t="s">
        <v>25</v>
      </c>
      <c r="P24" s="45" t="s">
        <v>15</v>
      </c>
      <c r="Q24" s="45" t="s">
        <v>18</v>
      </c>
      <c r="R24" s="45" t="s">
        <v>24</v>
      </c>
      <c r="S24" s="45" t="s">
        <v>19</v>
      </c>
      <c r="T24" s="45" t="s">
        <v>13</v>
      </c>
      <c r="U24" s="45" t="s">
        <v>16</v>
      </c>
      <c r="V24" s="45" t="s">
        <v>67</v>
      </c>
    </row>
    <row r="25" spans="1:22" x14ac:dyDescent="0.2">
      <c r="A25" s="746" t="s">
        <v>405</v>
      </c>
      <c r="B25" s="17">
        <v>153919130000</v>
      </c>
      <c r="C25" s="17">
        <v>84184480000</v>
      </c>
      <c r="D25" s="17">
        <v>49051460000</v>
      </c>
      <c r="E25" s="17">
        <v>40110875824</v>
      </c>
      <c r="F25" s="17">
        <v>37622630000</v>
      </c>
      <c r="G25" s="17">
        <v>36370320000</v>
      </c>
      <c r="H25" s="637">
        <v>35042070000</v>
      </c>
      <c r="I25" s="17">
        <v>29060610000</v>
      </c>
      <c r="J25" s="17">
        <v>28499430000</v>
      </c>
      <c r="K25" s="17">
        <v>22275040000</v>
      </c>
      <c r="L25" s="675"/>
      <c r="M25" s="753">
        <v>-721628480000</v>
      </c>
      <c r="N25" s="17">
        <v>-130715930000</v>
      </c>
      <c r="O25" s="17">
        <v>-123244250000</v>
      </c>
      <c r="P25" s="17">
        <v>-117779770000</v>
      </c>
      <c r="Q25" s="17">
        <v>-107575890000</v>
      </c>
      <c r="R25" s="17">
        <v>-74425550000</v>
      </c>
      <c r="S25" s="17">
        <v>-70664950000</v>
      </c>
      <c r="T25" s="17">
        <v>-64514330000</v>
      </c>
      <c r="U25" s="17">
        <v>-63473880000</v>
      </c>
      <c r="V25" s="17">
        <v>-54530510000</v>
      </c>
    </row>
    <row r="26" spans="1:22" x14ac:dyDescent="0.2">
      <c r="A26" s="746" t="s">
        <v>396</v>
      </c>
      <c r="B26" s="45" t="s">
        <v>38</v>
      </c>
      <c r="C26" s="45" t="s">
        <v>26</v>
      </c>
      <c r="D26" s="45" t="s">
        <v>5</v>
      </c>
      <c r="E26" s="45" t="s">
        <v>32</v>
      </c>
      <c r="F26" s="45" t="s">
        <v>21</v>
      </c>
      <c r="G26" s="45" t="s">
        <v>290</v>
      </c>
      <c r="H26" s="45" t="s">
        <v>70</v>
      </c>
      <c r="I26" s="45" t="s">
        <v>31</v>
      </c>
      <c r="J26" s="45" t="s">
        <v>17</v>
      </c>
      <c r="K26" s="45" t="s">
        <v>368</v>
      </c>
      <c r="L26" s="675"/>
      <c r="M26" s="751" t="s">
        <v>36</v>
      </c>
      <c r="N26" s="45" t="s">
        <v>27</v>
      </c>
      <c r="O26" s="45" t="s">
        <v>25</v>
      </c>
      <c r="P26" s="45" t="s">
        <v>24</v>
      </c>
      <c r="Q26" s="45" t="s">
        <v>66</v>
      </c>
      <c r="R26" s="45" t="s">
        <v>16</v>
      </c>
      <c r="S26" s="45" t="s">
        <v>111</v>
      </c>
      <c r="T26" s="45" t="s">
        <v>72</v>
      </c>
      <c r="U26" s="45" t="s">
        <v>13</v>
      </c>
      <c r="V26" s="45" t="s">
        <v>67</v>
      </c>
    </row>
    <row r="27" spans="1:22" x14ac:dyDescent="0.2">
      <c r="A27" s="746" t="s">
        <v>396</v>
      </c>
      <c r="B27" s="17">
        <v>138603740000</v>
      </c>
      <c r="C27" s="17">
        <v>88785170000</v>
      </c>
      <c r="D27" s="17">
        <v>61180010000</v>
      </c>
      <c r="E27" s="17">
        <v>46631300519</v>
      </c>
      <c r="F27" s="17">
        <v>36717065134</v>
      </c>
      <c r="G27" s="17">
        <v>35228650000</v>
      </c>
      <c r="H27" s="17">
        <v>31756230000</v>
      </c>
      <c r="I27" s="17">
        <v>25046120000</v>
      </c>
      <c r="J27" s="17">
        <v>23171170000</v>
      </c>
      <c r="K27" s="17">
        <v>22288130000</v>
      </c>
      <c r="L27" s="675"/>
      <c r="M27" s="754">
        <v>-495294190000</v>
      </c>
      <c r="N27" s="17">
        <v>-184131520000</v>
      </c>
      <c r="O27" s="17">
        <v>-102093230000</v>
      </c>
      <c r="P27" s="17">
        <v>-89526900000</v>
      </c>
      <c r="Q27" s="17">
        <v>-65899001583</v>
      </c>
      <c r="R27" s="17">
        <v>-60132620000</v>
      </c>
      <c r="S27" s="17">
        <v>-38662650000</v>
      </c>
      <c r="T27" s="17">
        <v>-28396880000</v>
      </c>
      <c r="U27" s="17">
        <v>-26199980000</v>
      </c>
      <c r="V27" s="17">
        <v>-21483140000</v>
      </c>
    </row>
    <row r="28" spans="1:22" x14ac:dyDescent="0.2">
      <c r="A28" s="746" t="s">
        <v>393</v>
      </c>
      <c r="B28" s="45" t="s">
        <v>64</v>
      </c>
      <c r="C28" s="45" t="s">
        <v>290</v>
      </c>
      <c r="D28" s="45" t="s">
        <v>339</v>
      </c>
      <c r="E28" s="45" t="s">
        <v>101</v>
      </c>
      <c r="F28" s="45" t="s">
        <v>39</v>
      </c>
      <c r="G28" s="45" t="s">
        <v>72</v>
      </c>
      <c r="H28" s="45" t="s">
        <v>394</v>
      </c>
      <c r="I28" s="45" t="s">
        <v>61</v>
      </c>
      <c r="J28" s="45" t="s">
        <v>44</v>
      </c>
      <c r="K28" s="45" t="s">
        <v>367</v>
      </c>
      <c r="L28" s="675"/>
      <c r="M28" s="751" t="s">
        <v>36</v>
      </c>
      <c r="N28" s="45" t="s">
        <v>27</v>
      </c>
      <c r="O28" s="45" t="s">
        <v>15</v>
      </c>
      <c r="P28" s="45" t="s">
        <v>83</v>
      </c>
      <c r="Q28" s="45" t="s">
        <v>24</v>
      </c>
      <c r="R28" s="45" t="s">
        <v>18</v>
      </c>
      <c r="S28" s="45" t="s">
        <v>13</v>
      </c>
      <c r="T28" s="45" t="s">
        <v>25</v>
      </c>
      <c r="U28" s="45" t="s">
        <v>16</v>
      </c>
      <c r="V28" s="45" t="s">
        <v>26</v>
      </c>
    </row>
    <row r="29" spans="1:22" x14ac:dyDescent="0.2">
      <c r="A29" s="746" t="s">
        <v>393</v>
      </c>
      <c r="B29" s="17">
        <v>71237770000</v>
      </c>
      <c r="C29" s="17">
        <v>49053090000</v>
      </c>
      <c r="D29" s="625">
        <v>30282240000</v>
      </c>
      <c r="E29" s="17">
        <v>19327190000</v>
      </c>
      <c r="F29" s="17">
        <v>13260910000</v>
      </c>
      <c r="G29" s="17">
        <v>12919360000</v>
      </c>
      <c r="H29" s="17">
        <v>12089760000</v>
      </c>
      <c r="I29" s="17">
        <v>11332460000</v>
      </c>
      <c r="J29" s="17">
        <v>8590800000</v>
      </c>
      <c r="K29" s="17">
        <v>8056050000</v>
      </c>
      <c r="L29" s="675"/>
      <c r="M29" s="752">
        <v>-259990770000</v>
      </c>
      <c r="N29" s="17">
        <v>-214070890000</v>
      </c>
      <c r="O29" s="17">
        <v>-203879690000</v>
      </c>
      <c r="P29" s="17">
        <v>-118842320000</v>
      </c>
      <c r="Q29" s="17">
        <v>-107060030000</v>
      </c>
      <c r="R29" s="17">
        <v>-101540750000</v>
      </c>
      <c r="S29" s="17">
        <v>-84441160000</v>
      </c>
      <c r="T29" s="17">
        <v>-69722400000</v>
      </c>
      <c r="U29" s="17">
        <v>-65633370000</v>
      </c>
      <c r="V29" s="17">
        <v>-63193490000</v>
      </c>
    </row>
    <row r="30" spans="1:22" x14ac:dyDescent="0.2">
      <c r="A30" s="746" t="s">
        <v>392</v>
      </c>
      <c r="B30" s="45" t="s">
        <v>31</v>
      </c>
      <c r="C30" s="45" t="s">
        <v>14</v>
      </c>
      <c r="D30" s="45" t="s">
        <v>202</v>
      </c>
      <c r="E30" s="45" t="s">
        <v>290</v>
      </c>
      <c r="F30" s="45" t="s">
        <v>43</v>
      </c>
      <c r="G30" s="45" t="s">
        <v>18</v>
      </c>
      <c r="H30" s="45" t="s">
        <v>38</v>
      </c>
      <c r="I30" s="45" t="s">
        <v>198</v>
      </c>
      <c r="J30" s="45" t="s">
        <v>384</v>
      </c>
      <c r="K30" s="45" t="s">
        <v>279</v>
      </c>
      <c r="L30" s="675"/>
      <c r="M30" s="751" t="s">
        <v>36</v>
      </c>
      <c r="N30" s="45" t="s">
        <v>15</v>
      </c>
      <c r="O30" s="45" t="s">
        <v>24</v>
      </c>
      <c r="P30" s="45" t="s">
        <v>13</v>
      </c>
      <c r="Q30" s="45" t="s">
        <v>5</v>
      </c>
      <c r="R30" s="45" t="s">
        <v>27</v>
      </c>
      <c r="S30" s="45" t="s">
        <v>6</v>
      </c>
      <c r="T30" s="45" t="s">
        <v>42</v>
      </c>
      <c r="U30" s="45" t="s">
        <v>73</v>
      </c>
      <c r="V30" s="45" t="s">
        <v>9</v>
      </c>
    </row>
    <row r="31" spans="1:22" x14ac:dyDescent="0.2">
      <c r="A31" s="746" t="s">
        <v>392</v>
      </c>
      <c r="B31" s="17">
        <v>44818930000</v>
      </c>
      <c r="C31" s="17">
        <v>39465750000</v>
      </c>
      <c r="D31" s="17">
        <v>30813230000</v>
      </c>
      <c r="E31" s="17">
        <v>23268560000</v>
      </c>
      <c r="F31" s="17">
        <v>20372120000</v>
      </c>
      <c r="G31" s="17">
        <v>18066500000</v>
      </c>
      <c r="H31" s="17">
        <v>15490520000</v>
      </c>
      <c r="I31" s="620">
        <v>14730430000</v>
      </c>
      <c r="J31" s="17">
        <v>14329560000</v>
      </c>
      <c r="K31" s="17">
        <v>11346480000</v>
      </c>
      <c r="L31" s="675"/>
      <c r="M31" s="752">
        <v>-172011100000</v>
      </c>
      <c r="N31" s="17">
        <v>-118243680000</v>
      </c>
      <c r="O31" s="17">
        <v>-100055800000</v>
      </c>
      <c r="P31" s="17">
        <v>-92565970000</v>
      </c>
      <c r="Q31" s="17">
        <v>-83678850000</v>
      </c>
      <c r="R31" s="17">
        <v>-64287370000</v>
      </c>
      <c r="S31" s="17">
        <v>-47067690000</v>
      </c>
      <c r="T31" s="621">
        <v>-39860110000</v>
      </c>
      <c r="U31" s="17">
        <v>-35589810000</v>
      </c>
      <c r="V31" s="17">
        <v>-29328860000</v>
      </c>
    </row>
    <row r="32" spans="1:22" x14ac:dyDescent="0.2">
      <c r="A32" s="746" t="s">
        <v>387</v>
      </c>
      <c r="B32" s="45" t="s">
        <v>290</v>
      </c>
      <c r="C32" s="45" t="s">
        <v>72</v>
      </c>
      <c r="D32" s="45" t="s">
        <v>24</v>
      </c>
      <c r="E32" s="45" t="s">
        <v>284</v>
      </c>
      <c r="F32" s="45" t="s">
        <v>21</v>
      </c>
      <c r="G32" s="45" t="s">
        <v>339</v>
      </c>
      <c r="H32" s="45" t="s">
        <v>69</v>
      </c>
      <c r="I32" s="45" t="s">
        <v>19</v>
      </c>
      <c r="J32" s="45" t="s">
        <v>97</v>
      </c>
      <c r="K32" s="45" t="s">
        <v>111</v>
      </c>
      <c r="L32" s="675"/>
      <c r="M32" s="45" t="s">
        <v>14</v>
      </c>
      <c r="N32" s="45" t="s">
        <v>15</v>
      </c>
      <c r="O32" s="45" t="s">
        <v>39</v>
      </c>
      <c r="P32" s="45" t="s">
        <v>16</v>
      </c>
      <c r="Q32" s="45" t="s">
        <v>27</v>
      </c>
      <c r="R32" s="45" t="s">
        <v>18</v>
      </c>
      <c r="S32" s="45" t="s">
        <v>350</v>
      </c>
      <c r="T32" s="45" t="s">
        <v>13</v>
      </c>
      <c r="U32" s="45" t="s">
        <v>33</v>
      </c>
      <c r="V32" s="45" t="s">
        <v>62</v>
      </c>
    </row>
    <row r="33" spans="1:22" x14ac:dyDescent="0.2">
      <c r="A33" s="746" t="s">
        <v>387</v>
      </c>
      <c r="B33" s="17">
        <v>64029050000</v>
      </c>
      <c r="C33" s="17">
        <v>43526790000</v>
      </c>
      <c r="D33" s="17">
        <v>24753150000</v>
      </c>
      <c r="E33" s="616">
        <v>23496270000</v>
      </c>
      <c r="F33" s="17">
        <v>20149424731</v>
      </c>
      <c r="G33" s="17">
        <v>17766670000</v>
      </c>
      <c r="H33" s="17">
        <v>13461340000</v>
      </c>
      <c r="I33" s="17">
        <v>12870570000</v>
      </c>
      <c r="J33" s="17">
        <v>11684540000</v>
      </c>
      <c r="K33" s="17">
        <v>10741010000</v>
      </c>
      <c r="L33" s="675"/>
      <c r="M33" s="17">
        <v>-76863420000</v>
      </c>
      <c r="N33" s="17">
        <v>-70378350000</v>
      </c>
      <c r="O33" s="617">
        <v>-64840560000</v>
      </c>
      <c r="P33" s="17">
        <v>-51698360000</v>
      </c>
      <c r="Q33" s="17">
        <v>-46084000000</v>
      </c>
      <c r="R33" s="17">
        <v>-31706390000</v>
      </c>
      <c r="S33" s="618">
        <v>-28859070000</v>
      </c>
      <c r="T33" s="17">
        <v>-26069780000</v>
      </c>
      <c r="U33" s="17">
        <v>-26041170000</v>
      </c>
      <c r="V33" s="17">
        <v>-25418440000</v>
      </c>
    </row>
    <row r="34" spans="1:22" x14ac:dyDescent="0.2">
      <c r="A34" s="746" t="s">
        <v>383</v>
      </c>
      <c r="B34" s="45" t="s">
        <v>26</v>
      </c>
      <c r="C34" s="45" t="s">
        <v>43</v>
      </c>
      <c r="D34" s="45" t="s">
        <v>30</v>
      </c>
      <c r="E34" s="45" t="s">
        <v>98</v>
      </c>
      <c r="F34" s="45" t="s">
        <v>44</v>
      </c>
      <c r="G34" s="45" t="s">
        <v>384</v>
      </c>
      <c r="H34" s="45" t="s">
        <v>199</v>
      </c>
      <c r="I34" s="45" t="s">
        <v>32</v>
      </c>
      <c r="J34" s="45" t="s">
        <v>209</v>
      </c>
      <c r="K34" s="45" t="s">
        <v>74</v>
      </c>
      <c r="L34" s="675"/>
      <c r="M34" s="45" t="s">
        <v>36</v>
      </c>
      <c r="N34" s="45" t="s">
        <v>83</v>
      </c>
      <c r="O34" s="45" t="s">
        <v>18</v>
      </c>
      <c r="P34" s="45" t="s">
        <v>24</v>
      </c>
      <c r="Q34" s="45" t="s">
        <v>16</v>
      </c>
      <c r="R34" s="45" t="s">
        <v>15</v>
      </c>
      <c r="S34" s="45" t="s">
        <v>70</v>
      </c>
      <c r="T34" s="45" t="s">
        <v>28</v>
      </c>
      <c r="U34" s="45" t="s">
        <v>280</v>
      </c>
      <c r="V34" s="45" t="s">
        <v>27</v>
      </c>
    </row>
    <row r="35" spans="1:22" x14ac:dyDescent="0.2">
      <c r="A35" s="746" t="s">
        <v>383</v>
      </c>
      <c r="B35" s="17">
        <v>64737439779</v>
      </c>
      <c r="C35" s="17">
        <v>42918423314</v>
      </c>
      <c r="D35" s="17">
        <v>25505799241</v>
      </c>
      <c r="E35" s="17">
        <v>25050762497</v>
      </c>
      <c r="F35" s="17">
        <v>23766750000</v>
      </c>
      <c r="G35" s="17">
        <v>18239496999</v>
      </c>
      <c r="H35" s="17">
        <v>16385610696</v>
      </c>
      <c r="I35" s="17">
        <v>14659480763</v>
      </c>
      <c r="J35" s="17">
        <v>13330160000</v>
      </c>
      <c r="K35" s="17">
        <v>12954050953</v>
      </c>
      <c r="L35" s="675"/>
      <c r="M35" s="17">
        <v>-223841312093</v>
      </c>
      <c r="N35" s="17">
        <v>-115855488093</v>
      </c>
      <c r="O35" s="17">
        <v>-91816155778</v>
      </c>
      <c r="P35" s="17">
        <v>-72684407222</v>
      </c>
      <c r="Q35" s="17">
        <v>-67684513332</v>
      </c>
      <c r="R35" s="17">
        <v>-54726843906</v>
      </c>
      <c r="S35" s="17">
        <v>-54235505669</v>
      </c>
      <c r="T35" s="17">
        <v>-46766090149</v>
      </c>
      <c r="U35" s="17">
        <v>-42853467878</v>
      </c>
      <c r="V35" s="17">
        <v>-41960074622</v>
      </c>
    </row>
    <row r="36" spans="1:22" x14ac:dyDescent="0.2">
      <c r="A36" s="746" t="s">
        <v>381</v>
      </c>
      <c r="B36" s="45" t="s">
        <v>26</v>
      </c>
      <c r="C36" s="45" t="s">
        <v>24</v>
      </c>
      <c r="D36" s="45" t="s">
        <v>28</v>
      </c>
      <c r="E36" s="45" t="s">
        <v>39</v>
      </c>
      <c r="F36" s="45" t="s">
        <v>63</v>
      </c>
      <c r="G36" s="45" t="s">
        <v>69</v>
      </c>
      <c r="H36" s="45" t="s">
        <v>41</v>
      </c>
      <c r="I36" s="45" t="s">
        <v>45</v>
      </c>
      <c r="J36" s="45" t="s">
        <v>288</v>
      </c>
      <c r="K36" s="45" t="s">
        <v>15</v>
      </c>
      <c r="L36" s="675"/>
      <c r="M36" s="751" t="s">
        <v>18</v>
      </c>
      <c r="N36" s="45" t="s">
        <v>70</v>
      </c>
      <c r="O36" s="45" t="s">
        <v>27</v>
      </c>
      <c r="P36" s="45" t="s">
        <v>36</v>
      </c>
      <c r="Q36" s="45" t="s">
        <v>61</v>
      </c>
      <c r="R36" s="45" t="s">
        <v>25</v>
      </c>
      <c r="S36" s="45" t="s">
        <v>16</v>
      </c>
      <c r="T36" s="45" t="s">
        <v>31</v>
      </c>
      <c r="U36" s="45" t="s">
        <v>72</v>
      </c>
      <c r="V36" s="45" t="s">
        <v>350</v>
      </c>
    </row>
    <row r="37" spans="1:22" x14ac:dyDescent="0.2">
      <c r="A37" s="746" t="s">
        <v>381</v>
      </c>
      <c r="B37" s="605">
        <v>138622680000</v>
      </c>
      <c r="C37" s="17">
        <v>121133470000</v>
      </c>
      <c r="D37" s="17">
        <v>38300430000</v>
      </c>
      <c r="E37" s="17">
        <v>30810070000</v>
      </c>
      <c r="F37" s="606">
        <v>29585200000</v>
      </c>
      <c r="G37" s="17">
        <v>26891510000</v>
      </c>
      <c r="H37" s="17">
        <v>25698850000</v>
      </c>
      <c r="I37" s="17">
        <v>24090100000</v>
      </c>
      <c r="J37" s="17">
        <v>18768370000</v>
      </c>
      <c r="K37" s="17">
        <v>18195400000</v>
      </c>
      <c r="L37" s="675"/>
      <c r="M37" s="752">
        <v>-137693770000</v>
      </c>
      <c r="N37" s="607">
        <v>-83357910000</v>
      </c>
      <c r="O37" s="17">
        <v>-73748710000</v>
      </c>
      <c r="P37" s="17">
        <v>-60949090000</v>
      </c>
      <c r="Q37" s="608">
        <v>-37308670000</v>
      </c>
      <c r="R37" s="17">
        <v>-28046780000</v>
      </c>
      <c r="S37" s="17">
        <v>-24291450000</v>
      </c>
      <c r="T37" s="17">
        <v>-20506140000</v>
      </c>
      <c r="U37" s="17">
        <v>-14571050000</v>
      </c>
      <c r="V37" s="17">
        <v>-14197380000</v>
      </c>
    </row>
    <row r="38" spans="1:22" x14ac:dyDescent="0.2">
      <c r="A38" s="746" t="s">
        <v>378</v>
      </c>
      <c r="B38" s="45" t="s">
        <v>36</v>
      </c>
      <c r="C38" s="45" t="s">
        <v>45</v>
      </c>
      <c r="D38" s="45" t="s">
        <v>98</v>
      </c>
      <c r="E38" s="45" t="s">
        <v>15</v>
      </c>
      <c r="F38" s="45" t="s">
        <v>109</v>
      </c>
      <c r="G38" s="45" t="s">
        <v>38</v>
      </c>
      <c r="H38" s="45" t="s">
        <v>19</v>
      </c>
      <c r="I38" s="45" t="s">
        <v>339</v>
      </c>
      <c r="J38" s="45" t="s">
        <v>61</v>
      </c>
      <c r="K38" s="45" t="s">
        <v>28</v>
      </c>
      <c r="L38" s="675"/>
      <c r="M38" s="751" t="s">
        <v>18</v>
      </c>
      <c r="N38" s="45" t="s">
        <v>6</v>
      </c>
      <c r="O38" s="45" t="s">
        <v>27</v>
      </c>
      <c r="P38" s="45" t="s">
        <v>70</v>
      </c>
      <c r="Q38" s="45" t="s">
        <v>16</v>
      </c>
      <c r="R38" s="45" t="s">
        <v>66</v>
      </c>
      <c r="S38" s="45" t="s">
        <v>97</v>
      </c>
      <c r="T38" s="45" t="s">
        <v>73</v>
      </c>
      <c r="U38" s="45" t="s">
        <v>25</v>
      </c>
      <c r="V38" s="45" t="s">
        <v>29</v>
      </c>
    </row>
    <row r="39" spans="1:22" x14ac:dyDescent="0.2">
      <c r="A39" s="746" t="s">
        <v>378</v>
      </c>
      <c r="B39" s="17">
        <v>98540190000</v>
      </c>
      <c r="C39" s="17">
        <v>64505520000</v>
      </c>
      <c r="D39" s="17">
        <v>44021360000</v>
      </c>
      <c r="E39" s="17">
        <v>41771180000</v>
      </c>
      <c r="F39" s="17">
        <v>32265490000</v>
      </c>
      <c r="G39" s="17">
        <v>28075360000</v>
      </c>
      <c r="H39" s="17">
        <v>27834080000</v>
      </c>
      <c r="I39" s="601">
        <v>27788220000</v>
      </c>
      <c r="J39" s="17">
        <v>25060480000</v>
      </c>
      <c r="K39" s="17">
        <v>25008150000</v>
      </c>
      <c r="L39" s="675"/>
      <c r="M39" s="752">
        <v>-86209290000</v>
      </c>
      <c r="N39" s="17">
        <v>-77995440000</v>
      </c>
      <c r="O39" s="17">
        <v>-66447960000</v>
      </c>
      <c r="P39" s="17">
        <v>-41711990000</v>
      </c>
      <c r="Q39" s="17">
        <v>-30968510000</v>
      </c>
      <c r="R39" s="17">
        <v>-29736559815</v>
      </c>
      <c r="S39" s="17">
        <v>-29073450000</v>
      </c>
      <c r="T39" s="17">
        <v>-27337080000</v>
      </c>
      <c r="U39" s="17">
        <v>-25614040000</v>
      </c>
      <c r="V39" s="17">
        <v>-23483740000</v>
      </c>
    </row>
    <row r="40" spans="1:22" x14ac:dyDescent="0.2">
      <c r="A40" s="746" t="s">
        <v>373</v>
      </c>
      <c r="B40" s="45" t="s">
        <v>38</v>
      </c>
      <c r="C40" s="45" t="s">
        <v>15</v>
      </c>
      <c r="D40" s="45" t="s">
        <v>69</v>
      </c>
      <c r="E40" s="45" t="s">
        <v>14</v>
      </c>
      <c r="F40" s="45" t="s">
        <v>26</v>
      </c>
      <c r="G40" s="45" t="s">
        <v>62</v>
      </c>
      <c r="H40" s="45" t="s">
        <v>111</v>
      </c>
      <c r="I40" s="45" t="s">
        <v>16</v>
      </c>
      <c r="J40" s="45" t="s">
        <v>24</v>
      </c>
      <c r="K40" s="45" t="s">
        <v>21</v>
      </c>
      <c r="L40" s="675"/>
      <c r="M40" s="751" t="s">
        <v>18</v>
      </c>
      <c r="N40" s="45" t="s">
        <v>36</v>
      </c>
      <c r="O40" s="45" t="s">
        <v>83</v>
      </c>
      <c r="P40" s="45" t="s">
        <v>13</v>
      </c>
      <c r="Q40" s="45" t="s">
        <v>27</v>
      </c>
      <c r="R40" s="45" t="s">
        <v>6</v>
      </c>
      <c r="S40" s="45" t="s">
        <v>43</v>
      </c>
      <c r="T40" s="45" t="s">
        <v>33</v>
      </c>
      <c r="U40" s="45" t="s">
        <v>39</v>
      </c>
      <c r="V40" s="45" t="s">
        <v>61</v>
      </c>
    </row>
    <row r="41" spans="1:22" x14ac:dyDescent="0.2">
      <c r="A41" s="746" t="s">
        <v>373</v>
      </c>
      <c r="B41" s="17">
        <v>139549190000</v>
      </c>
      <c r="C41" s="17">
        <v>68636670000</v>
      </c>
      <c r="D41" s="17">
        <v>50215420000</v>
      </c>
      <c r="E41" s="17">
        <v>47306310000</v>
      </c>
      <c r="F41" s="17">
        <v>45879600000</v>
      </c>
      <c r="G41" s="17">
        <v>36094040000</v>
      </c>
      <c r="H41" s="17">
        <v>34776890000</v>
      </c>
      <c r="I41" s="17">
        <v>30300910000</v>
      </c>
      <c r="J41" s="17">
        <v>24255540000</v>
      </c>
      <c r="K41" s="17">
        <v>21866895280</v>
      </c>
      <c r="L41" s="675"/>
      <c r="M41" s="752">
        <v>-129737760000</v>
      </c>
      <c r="N41" s="17">
        <v>-101754380000</v>
      </c>
      <c r="O41" s="17">
        <v>-99458120000</v>
      </c>
      <c r="P41" s="17">
        <v>-86581080000</v>
      </c>
      <c r="Q41" s="17">
        <v>-56248210000</v>
      </c>
      <c r="R41" s="17">
        <v>-48179950000</v>
      </c>
      <c r="S41" s="597">
        <v>-41845190000</v>
      </c>
      <c r="T41" s="17">
        <v>-34838020000</v>
      </c>
      <c r="U41" s="17">
        <v>-34161680000</v>
      </c>
      <c r="V41" s="598">
        <v>-33297420000</v>
      </c>
    </row>
    <row r="42" spans="1:22" x14ac:dyDescent="0.2">
      <c r="A42" s="746" t="s">
        <v>362</v>
      </c>
      <c r="B42" s="45" t="s">
        <v>83</v>
      </c>
      <c r="C42" s="45" t="s">
        <v>26</v>
      </c>
      <c r="D42" s="45" t="s">
        <v>36</v>
      </c>
      <c r="E42" s="45" t="s">
        <v>15</v>
      </c>
      <c r="F42" s="45" t="s">
        <v>28</v>
      </c>
      <c r="G42" s="45" t="s">
        <v>75</v>
      </c>
      <c r="H42" s="45" t="s">
        <v>279</v>
      </c>
      <c r="I42" s="45" t="s">
        <v>92</v>
      </c>
      <c r="J42" s="45" t="s">
        <v>219</v>
      </c>
      <c r="K42" s="45" t="s">
        <v>44</v>
      </c>
      <c r="L42" s="675"/>
      <c r="M42" s="45" t="s">
        <v>27</v>
      </c>
      <c r="N42" s="45" t="s">
        <v>13</v>
      </c>
      <c r="O42" s="45" t="s">
        <v>18</v>
      </c>
      <c r="P42" s="45" t="s">
        <v>24</v>
      </c>
      <c r="Q42" s="45" t="s">
        <v>280</v>
      </c>
      <c r="R42" s="45" t="s">
        <v>38</v>
      </c>
      <c r="S42" s="45" t="s">
        <v>25</v>
      </c>
      <c r="T42" s="45" t="s">
        <v>6</v>
      </c>
      <c r="U42" s="45" t="s">
        <v>5</v>
      </c>
      <c r="V42" s="45" t="s">
        <v>68</v>
      </c>
    </row>
    <row r="43" spans="1:22" x14ac:dyDescent="0.2">
      <c r="A43" s="746" t="s">
        <v>362</v>
      </c>
      <c r="B43" s="17">
        <v>62934030000</v>
      </c>
      <c r="C43" s="17">
        <v>53230990000</v>
      </c>
      <c r="D43" s="17">
        <v>47677400000</v>
      </c>
      <c r="E43" s="17">
        <v>21562410000</v>
      </c>
      <c r="F43" s="17">
        <v>18494360000</v>
      </c>
      <c r="G43" s="17">
        <v>14602110000</v>
      </c>
      <c r="H43" s="17">
        <v>14403030000</v>
      </c>
      <c r="I43" s="17">
        <v>14366420000</v>
      </c>
      <c r="J43" s="17">
        <v>14025956959</v>
      </c>
      <c r="K43" s="17">
        <v>13412750000</v>
      </c>
      <c r="L43" s="675"/>
      <c r="M43" s="17">
        <v>-674077800000</v>
      </c>
      <c r="N43" s="592">
        <v>-256790900000</v>
      </c>
      <c r="O43" s="17">
        <v>-129609020000</v>
      </c>
      <c r="P43" s="17">
        <v>-100134500000</v>
      </c>
      <c r="Q43" s="593">
        <v>-82791735776</v>
      </c>
      <c r="R43" s="17">
        <v>-75634800000</v>
      </c>
      <c r="S43" s="17">
        <v>-71506670000</v>
      </c>
      <c r="T43" s="17">
        <v>-41110730000</v>
      </c>
      <c r="U43" s="17">
        <v>-31046630000</v>
      </c>
      <c r="V43" s="17">
        <v>-30661180000</v>
      </c>
    </row>
    <row r="44" spans="1:22" x14ac:dyDescent="0.2">
      <c r="A44" s="746" t="s">
        <v>357</v>
      </c>
      <c r="B44" s="45" t="s">
        <v>199</v>
      </c>
      <c r="C44" s="45" t="s">
        <v>83</v>
      </c>
      <c r="D44" s="45" t="s">
        <v>74</v>
      </c>
      <c r="E44" s="45" t="s">
        <v>91</v>
      </c>
      <c r="F44" s="45" t="s">
        <v>44</v>
      </c>
      <c r="G44" s="45" t="s">
        <v>21</v>
      </c>
      <c r="H44" s="45" t="s">
        <v>202</v>
      </c>
      <c r="I44" s="45" t="s">
        <v>32</v>
      </c>
      <c r="J44" s="45" t="s">
        <v>97</v>
      </c>
      <c r="K44" s="45" t="s">
        <v>70</v>
      </c>
      <c r="L44" s="675"/>
      <c r="M44" s="45" t="s">
        <v>38</v>
      </c>
      <c r="N44" s="45" t="s">
        <v>36</v>
      </c>
      <c r="O44" s="45" t="s">
        <v>6</v>
      </c>
      <c r="P44" s="45" t="s">
        <v>13</v>
      </c>
      <c r="Q44" s="45" t="s">
        <v>25</v>
      </c>
      <c r="R44" s="45" t="s">
        <v>24</v>
      </c>
      <c r="S44" s="45" t="s">
        <v>19</v>
      </c>
      <c r="T44" s="45" t="s">
        <v>5</v>
      </c>
      <c r="U44" s="45" t="s">
        <v>18</v>
      </c>
      <c r="V44" s="45" t="s">
        <v>39</v>
      </c>
    </row>
    <row r="45" spans="1:22" x14ac:dyDescent="0.2">
      <c r="A45" s="746" t="s">
        <v>357</v>
      </c>
      <c r="B45" s="17">
        <v>45219620000</v>
      </c>
      <c r="C45" s="17">
        <v>42318950000</v>
      </c>
      <c r="D45" s="17">
        <v>36760940000</v>
      </c>
      <c r="E45" s="17">
        <v>27819680000</v>
      </c>
      <c r="F45" s="586">
        <v>24342580000</v>
      </c>
      <c r="G45" s="17">
        <v>23232946041</v>
      </c>
      <c r="H45" s="17">
        <v>21469380000</v>
      </c>
      <c r="I45" s="17">
        <v>19524331405</v>
      </c>
      <c r="J45" s="17">
        <v>19493570000</v>
      </c>
      <c r="K45" s="17">
        <v>18065170000</v>
      </c>
      <c r="L45" s="675"/>
      <c r="M45" s="587">
        <v>-218914600000</v>
      </c>
      <c r="N45" s="17">
        <v>-202647190000</v>
      </c>
      <c r="O45" s="17">
        <v>-176963200000</v>
      </c>
      <c r="P45" s="17">
        <v>-112905280000</v>
      </c>
      <c r="Q45" s="17">
        <v>-100471270000</v>
      </c>
      <c r="R45" s="17">
        <v>-90093530000</v>
      </c>
      <c r="S45" s="17">
        <v>-81462650000</v>
      </c>
      <c r="T45" s="17">
        <v>-73091600000</v>
      </c>
      <c r="U45" s="17">
        <v>-68857490000</v>
      </c>
      <c r="V45" s="17">
        <v>-63288240000</v>
      </c>
    </row>
    <row r="46" spans="1:22" x14ac:dyDescent="0.2">
      <c r="A46" s="746" t="s">
        <v>277</v>
      </c>
      <c r="B46" s="45" t="s">
        <v>36</v>
      </c>
      <c r="C46" s="45" t="s">
        <v>40</v>
      </c>
      <c r="D46" s="45" t="s">
        <v>83</v>
      </c>
      <c r="E46" s="45" t="s">
        <v>199</v>
      </c>
      <c r="F46" s="45" t="s">
        <v>61</v>
      </c>
      <c r="G46" s="45" t="s">
        <v>20</v>
      </c>
      <c r="H46" s="45" t="s">
        <v>42</v>
      </c>
      <c r="I46" s="45" t="s">
        <v>111</v>
      </c>
      <c r="J46" s="45" t="s">
        <v>31</v>
      </c>
      <c r="K46" s="45" t="s">
        <v>280</v>
      </c>
      <c r="L46" s="675"/>
      <c r="M46" s="751" t="s">
        <v>19</v>
      </c>
      <c r="N46" s="45" t="s">
        <v>15</v>
      </c>
      <c r="O46" s="45" t="s">
        <v>6</v>
      </c>
      <c r="P46" s="45" t="s">
        <v>62</v>
      </c>
      <c r="Q46" s="45" t="s">
        <v>5</v>
      </c>
      <c r="R46" s="45" t="s">
        <v>24</v>
      </c>
      <c r="S46" s="45" t="s">
        <v>26</v>
      </c>
      <c r="T46" s="45" t="s">
        <v>25</v>
      </c>
      <c r="U46" s="45" t="s">
        <v>67</v>
      </c>
      <c r="V46" s="45" t="s">
        <v>16</v>
      </c>
    </row>
    <row r="47" spans="1:22" x14ac:dyDescent="0.2">
      <c r="A47" s="746" t="s">
        <v>277</v>
      </c>
      <c r="B47" s="579">
        <v>136073680000</v>
      </c>
      <c r="C47" s="17">
        <v>44226590000</v>
      </c>
      <c r="D47" s="17">
        <v>42344040000</v>
      </c>
      <c r="E47" s="17">
        <v>27502840000</v>
      </c>
      <c r="F47" s="17">
        <v>22848400000</v>
      </c>
      <c r="G47" s="17">
        <v>22770570000</v>
      </c>
      <c r="H47" s="17">
        <v>22460430000</v>
      </c>
      <c r="I47" s="17">
        <v>20195210000</v>
      </c>
      <c r="J47" s="17">
        <v>16566870000</v>
      </c>
      <c r="K47" s="17">
        <v>15425151192</v>
      </c>
      <c r="L47" s="675"/>
      <c r="M47" s="752">
        <v>-335752850000</v>
      </c>
      <c r="N47" s="17">
        <v>-231061130000</v>
      </c>
      <c r="O47" s="17">
        <v>-188108080000</v>
      </c>
      <c r="P47" s="580">
        <v>-109278270000</v>
      </c>
      <c r="Q47" s="17">
        <v>-104055990000</v>
      </c>
      <c r="R47" s="17">
        <v>-100875810000</v>
      </c>
      <c r="S47" s="17">
        <v>-73342110000</v>
      </c>
      <c r="T47" s="17">
        <v>-59450940000</v>
      </c>
      <c r="U47" s="17">
        <v>-52791470000</v>
      </c>
      <c r="V47" s="17">
        <v>-52260180000</v>
      </c>
    </row>
    <row r="48" spans="1:22" x14ac:dyDescent="0.2">
      <c r="A48" s="746" t="s">
        <v>276</v>
      </c>
      <c r="B48" s="45" t="s">
        <v>36</v>
      </c>
      <c r="C48" s="45" t="s">
        <v>30</v>
      </c>
      <c r="D48" s="45" t="s">
        <v>7</v>
      </c>
      <c r="E48" s="45" t="s">
        <v>14</v>
      </c>
      <c r="F48" s="45" t="s">
        <v>286</v>
      </c>
      <c r="G48" s="45" t="s">
        <v>42</v>
      </c>
      <c r="H48" s="45" t="s">
        <v>315</v>
      </c>
      <c r="I48" s="45" t="s">
        <v>384</v>
      </c>
      <c r="J48" s="45" t="s">
        <v>38</v>
      </c>
      <c r="K48" s="45" t="s">
        <v>280</v>
      </c>
      <c r="L48" s="675"/>
      <c r="M48" s="751" t="s">
        <v>19</v>
      </c>
      <c r="N48" s="45" t="s">
        <v>24</v>
      </c>
      <c r="O48" s="45" t="s">
        <v>15</v>
      </c>
      <c r="P48" s="45" t="s">
        <v>26</v>
      </c>
      <c r="Q48" s="45" t="s">
        <v>67</v>
      </c>
      <c r="R48" s="45" t="s">
        <v>62</v>
      </c>
      <c r="S48" s="45" t="s">
        <v>97</v>
      </c>
      <c r="T48" s="45" t="s">
        <v>27</v>
      </c>
      <c r="U48" s="45" t="s">
        <v>41</v>
      </c>
      <c r="V48" s="45" t="s">
        <v>5</v>
      </c>
    </row>
    <row r="49" spans="1:22" x14ac:dyDescent="0.2">
      <c r="A49" s="746" t="s">
        <v>276</v>
      </c>
      <c r="B49" s="576">
        <v>112514690000</v>
      </c>
      <c r="C49" s="577">
        <v>39872210000</v>
      </c>
      <c r="D49" s="578">
        <v>23759837130</v>
      </c>
      <c r="E49" s="17">
        <v>23450350000</v>
      </c>
      <c r="F49" s="17">
        <v>17496820000</v>
      </c>
      <c r="G49" s="17">
        <v>14295160000</v>
      </c>
      <c r="H49" s="17">
        <v>11656550000</v>
      </c>
      <c r="I49" s="17">
        <v>11551980000</v>
      </c>
      <c r="J49" s="17">
        <v>10793740000</v>
      </c>
      <c r="K49" s="17">
        <v>10579792960</v>
      </c>
      <c r="L49" s="675"/>
      <c r="M49" s="766">
        <v>-464735810000</v>
      </c>
      <c r="N49" s="17">
        <v>-123869610000</v>
      </c>
      <c r="O49" s="17">
        <v>-93744550000</v>
      </c>
      <c r="P49" s="17">
        <v>-58546430000</v>
      </c>
      <c r="Q49" s="17">
        <v>-53301890000</v>
      </c>
      <c r="R49" s="17">
        <v>-47851590000</v>
      </c>
      <c r="S49" s="17">
        <v>-43408490000</v>
      </c>
      <c r="T49" s="17">
        <v>-41803380000</v>
      </c>
      <c r="U49" s="17">
        <v>-37237190000</v>
      </c>
      <c r="V49" s="17">
        <v>-36542560000</v>
      </c>
    </row>
    <row r="50" spans="1:22" x14ac:dyDescent="0.2">
      <c r="A50" s="746" t="s">
        <v>275</v>
      </c>
      <c r="B50" s="45" t="s">
        <v>40</v>
      </c>
      <c r="C50" s="45" t="s">
        <v>109</v>
      </c>
      <c r="D50" s="45" t="s">
        <v>36</v>
      </c>
      <c r="E50" s="45" t="s">
        <v>280</v>
      </c>
      <c r="F50" s="45" t="s">
        <v>13</v>
      </c>
      <c r="G50" s="45" t="s">
        <v>315</v>
      </c>
      <c r="H50" s="45" t="s">
        <v>31</v>
      </c>
      <c r="I50" s="45" t="s">
        <v>198</v>
      </c>
      <c r="J50" s="45" t="s">
        <v>83</v>
      </c>
      <c r="K50" s="45" t="s">
        <v>199</v>
      </c>
      <c r="L50" s="675"/>
      <c r="M50" s="751" t="s">
        <v>19</v>
      </c>
      <c r="N50" s="45" t="s">
        <v>15</v>
      </c>
      <c r="O50" s="45" t="s">
        <v>62</v>
      </c>
      <c r="P50" s="45" t="s">
        <v>18</v>
      </c>
      <c r="Q50" s="45" t="s">
        <v>24</v>
      </c>
      <c r="R50" s="45" t="s">
        <v>196</v>
      </c>
      <c r="S50" s="45" t="s">
        <v>9</v>
      </c>
      <c r="T50" s="45" t="s">
        <v>27</v>
      </c>
      <c r="U50" s="45" t="s">
        <v>68</v>
      </c>
      <c r="V50" s="45" t="s">
        <v>64</v>
      </c>
    </row>
    <row r="51" spans="1:22" x14ac:dyDescent="0.2">
      <c r="A51" s="746" t="s">
        <v>275</v>
      </c>
      <c r="B51" s="17">
        <v>32580580000</v>
      </c>
      <c r="C51" s="17">
        <v>30532570000</v>
      </c>
      <c r="D51" s="17">
        <v>29823250000</v>
      </c>
      <c r="E51" s="17">
        <v>20194188097</v>
      </c>
      <c r="F51" s="17">
        <v>16922170000</v>
      </c>
      <c r="G51" s="17">
        <v>14988670000</v>
      </c>
      <c r="H51" s="17">
        <v>14974490000</v>
      </c>
      <c r="I51" s="17">
        <v>9689940000</v>
      </c>
      <c r="J51" s="17">
        <v>9498690000</v>
      </c>
      <c r="K51" s="17">
        <v>9182130000</v>
      </c>
      <c r="L51" s="675"/>
      <c r="M51" s="752">
        <v>-109072070000</v>
      </c>
      <c r="N51" s="17">
        <v>-74121520000</v>
      </c>
      <c r="O51" s="17">
        <v>-62901470000</v>
      </c>
      <c r="P51" s="17">
        <v>-54705200000</v>
      </c>
      <c r="Q51" s="17">
        <v>-52798330000</v>
      </c>
      <c r="R51" s="17">
        <v>-46972200000</v>
      </c>
      <c r="S51" s="17">
        <v>-40593720000</v>
      </c>
      <c r="T51" s="17">
        <v>-37891920000</v>
      </c>
      <c r="U51" s="17">
        <v>-36981440000</v>
      </c>
      <c r="V51" s="17">
        <v>-35874770000</v>
      </c>
    </row>
    <row r="52" spans="1:22" x14ac:dyDescent="0.2">
      <c r="A52" s="746" t="s">
        <v>274</v>
      </c>
      <c r="B52" s="45" t="s">
        <v>21</v>
      </c>
      <c r="C52" s="45" t="s">
        <v>74</v>
      </c>
      <c r="D52" s="45" t="s">
        <v>83</v>
      </c>
      <c r="E52" s="45" t="s">
        <v>101</v>
      </c>
      <c r="F52" s="45" t="s">
        <v>41</v>
      </c>
      <c r="G52" s="45" t="s">
        <v>202</v>
      </c>
      <c r="H52" s="45" t="s">
        <v>97</v>
      </c>
      <c r="I52" s="45" t="s">
        <v>26</v>
      </c>
      <c r="J52" s="45" t="s">
        <v>181</v>
      </c>
      <c r="K52" s="45" t="s">
        <v>61</v>
      </c>
      <c r="L52" s="675"/>
      <c r="M52" s="45" t="s">
        <v>36</v>
      </c>
      <c r="N52" s="45" t="s">
        <v>18</v>
      </c>
      <c r="O52" s="45" t="s">
        <v>38</v>
      </c>
      <c r="P52" s="45" t="s">
        <v>27</v>
      </c>
      <c r="Q52" s="45" t="s">
        <v>5</v>
      </c>
      <c r="R52" s="45" t="s">
        <v>68</v>
      </c>
      <c r="S52" s="45" t="s">
        <v>11</v>
      </c>
      <c r="T52" s="45" t="s">
        <v>25</v>
      </c>
      <c r="U52" s="45" t="s">
        <v>24</v>
      </c>
      <c r="V52" s="45" t="s">
        <v>19</v>
      </c>
    </row>
    <row r="53" spans="1:22" x14ac:dyDescent="0.2">
      <c r="A53" s="746" t="s">
        <v>274</v>
      </c>
      <c r="B53" s="17">
        <v>47417972872</v>
      </c>
      <c r="C53" s="17">
        <v>33301510000</v>
      </c>
      <c r="D53" s="17">
        <v>32930560000</v>
      </c>
      <c r="E53" s="567">
        <v>26818920000</v>
      </c>
      <c r="F53" s="17">
        <v>19452410000</v>
      </c>
      <c r="G53" s="17">
        <v>18942750000</v>
      </c>
      <c r="H53" s="17">
        <v>17568800000</v>
      </c>
      <c r="I53" s="17">
        <v>16796970000</v>
      </c>
      <c r="J53" s="17">
        <v>16703890000</v>
      </c>
      <c r="K53" s="17">
        <v>15050570000</v>
      </c>
      <c r="L53" s="675"/>
      <c r="M53" s="568">
        <v>-355307980000</v>
      </c>
      <c r="N53" s="17">
        <v>-131876110000</v>
      </c>
      <c r="O53" s="569">
        <v>-112955840000</v>
      </c>
      <c r="P53" s="17">
        <v>-101784470000</v>
      </c>
      <c r="Q53" s="17">
        <v>-99262380000</v>
      </c>
      <c r="R53" s="17">
        <v>-91521650000</v>
      </c>
      <c r="S53" s="17">
        <v>-71990410000</v>
      </c>
      <c r="T53" s="17">
        <v>-57838840000</v>
      </c>
      <c r="U53" s="17">
        <v>-56965980000</v>
      </c>
      <c r="V53" s="17">
        <v>-52037880000</v>
      </c>
    </row>
    <row r="54" spans="1:22" x14ac:dyDescent="0.2">
      <c r="A54" s="746" t="s">
        <v>273</v>
      </c>
      <c r="B54" s="45" t="s">
        <v>74</v>
      </c>
      <c r="C54" s="45" t="s">
        <v>18</v>
      </c>
      <c r="D54" s="45" t="s">
        <v>15</v>
      </c>
      <c r="E54" s="45" t="s">
        <v>41</v>
      </c>
      <c r="F54" s="45" t="s">
        <v>61</v>
      </c>
      <c r="G54" s="45" t="s">
        <v>43</v>
      </c>
      <c r="H54" s="45" t="s">
        <v>97</v>
      </c>
      <c r="I54" s="45" t="s">
        <v>16</v>
      </c>
      <c r="J54" s="45" t="s">
        <v>338</v>
      </c>
      <c r="K54" s="45" t="s">
        <v>5</v>
      </c>
      <c r="L54" s="675"/>
      <c r="M54" s="45" t="s">
        <v>36</v>
      </c>
      <c r="N54" s="45" t="s">
        <v>27</v>
      </c>
      <c r="O54" s="45" t="s">
        <v>6</v>
      </c>
      <c r="P54" s="45" t="s">
        <v>33</v>
      </c>
      <c r="Q54" s="45" t="s">
        <v>26</v>
      </c>
      <c r="R54" s="45" t="s">
        <v>175</v>
      </c>
      <c r="S54" s="45" t="s">
        <v>67</v>
      </c>
      <c r="T54" s="45" t="s">
        <v>72</v>
      </c>
      <c r="U54" s="45" t="s">
        <v>11</v>
      </c>
      <c r="V54" s="45" t="s">
        <v>280</v>
      </c>
    </row>
    <row r="55" spans="1:22" x14ac:dyDescent="0.2">
      <c r="A55" s="746" t="s">
        <v>273</v>
      </c>
      <c r="B55" s="17">
        <v>99421180000</v>
      </c>
      <c r="C55" s="17">
        <v>81249230000</v>
      </c>
      <c r="D55" s="17">
        <v>80159280000</v>
      </c>
      <c r="E55" s="17">
        <v>77769940000</v>
      </c>
      <c r="F55" s="17">
        <v>40069270000</v>
      </c>
      <c r="G55" s="17">
        <v>30091860000</v>
      </c>
      <c r="H55" s="17">
        <v>27768980000</v>
      </c>
      <c r="I55" s="17">
        <v>21586440000</v>
      </c>
      <c r="J55" s="562">
        <v>19966351962</v>
      </c>
      <c r="K55" s="17">
        <v>19704750000</v>
      </c>
      <c r="L55" s="675"/>
      <c r="M55" s="563">
        <v>-187151180000</v>
      </c>
      <c r="N55" s="17">
        <v>-81418360000</v>
      </c>
      <c r="O55" s="17">
        <v>-67586100000</v>
      </c>
      <c r="P55" s="17">
        <v>-37896080000</v>
      </c>
      <c r="Q55" s="17">
        <v>-34553110000</v>
      </c>
      <c r="R55" s="17">
        <v>-25873370000</v>
      </c>
      <c r="S55" s="17">
        <v>-25620110000</v>
      </c>
      <c r="T55" s="17">
        <v>-23431020000</v>
      </c>
      <c r="U55" s="17">
        <v>-19251160000</v>
      </c>
      <c r="V55" s="17">
        <v>-18929961972</v>
      </c>
    </row>
    <row r="56" spans="1:22" x14ac:dyDescent="0.2">
      <c r="A56" s="746" t="s">
        <v>272</v>
      </c>
      <c r="B56" s="45" t="s">
        <v>61</v>
      </c>
      <c r="C56" s="45" t="s">
        <v>8</v>
      </c>
      <c r="D56" s="45" t="s">
        <v>74</v>
      </c>
      <c r="E56" s="45" t="s">
        <v>196</v>
      </c>
      <c r="F56" s="45" t="s">
        <v>75</v>
      </c>
      <c r="G56" s="45" t="s">
        <v>280</v>
      </c>
      <c r="H56" s="45" t="s">
        <v>28</v>
      </c>
      <c r="I56" s="45" t="s">
        <v>325</v>
      </c>
      <c r="J56" s="45" t="s">
        <v>21</v>
      </c>
      <c r="K56" s="45" t="s">
        <v>89</v>
      </c>
      <c r="L56" s="675"/>
      <c r="M56" s="45" t="s">
        <v>27</v>
      </c>
      <c r="N56" s="45" t="s">
        <v>67</v>
      </c>
      <c r="O56" s="45" t="s">
        <v>15</v>
      </c>
      <c r="P56" s="45" t="s">
        <v>24</v>
      </c>
      <c r="Q56" s="45" t="s">
        <v>36</v>
      </c>
      <c r="R56" s="45" t="s">
        <v>66</v>
      </c>
      <c r="S56" s="45" t="s">
        <v>92</v>
      </c>
      <c r="T56" s="45" t="s">
        <v>25</v>
      </c>
      <c r="U56" s="45" t="s">
        <v>5</v>
      </c>
      <c r="V56" s="45" t="s">
        <v>16</v>
      </c>
    </row>
    <row r="57" spans="1:22" x14ac:dyDescent="0.2">
      <c r="A57" s="746" t="s">
        <v>272</v>
      </c>
      <c r="B57" s="17">
        <v>60669220000</v>
      </c>
      <c r="C57" s="17">
        <v>48677070000</v>
      </c>
      <c r="D57" s="17">
        <v>40769830000</v>
      </c>
      <c r="E57" s="17">
        <v>40269870000</v>
      </c>
      <c r="F57" s="17">
        <v>38193450000</v>
      </c>
      <c r="G57" s="17">
        <v>28754533655</v>
      </c>
      <c r="H57" s="17">
        <v>20974700000</v>
      </c>
      <c r="I57" s="17">
        <v>16166400000</v>
      </c>
      <c r="J57" s="17">
        <v>12295623947</v>
      </c>
      <c r="K57" s="17">
        <v>10689545794</v>
      </c>
      <c r="L57" s="675"/>
      <c r="M57" s="17">
        <v>-126959910000</v>
      </c>
      <c r="N57" s="17">
        <v>-114711950000</v>
      </c>
      <c r="O57" s="17">
        <v>-81049560000</v>
      </c>
      <c r="P57" s="17">
        <v>-79379830000</v>
      </c>
      <c r="Q57" s="17">
        <v>-75925710000</v>
      </c>
      <c r="R57" s="17">
        <v>-71556755514</v>
      </c>
      <c r="S57" s="557">
        <v>-55611390000</v>
      </c>
      <c r="T57" s="17">
        <v>-55026300000</v>
      </c>
      <c r="U57" s="17">
        <v>-42973030000</v>
      </c>
      <c r="V57" s="17">
        <v>-42898830000</v>
      </c>
    </row>
    <row r="58" spans="1:22" x14ac:dyDescent="0.2">
      <c r="A58" s="746" t="s">
        <v>271</v>
      </c>
      <c r="B58" s="757" t="s">
        <v>74</v>
      </c>
      <c r="C58" s="45" t="s">
        <v>15</v>
      </c>
      <c r="D58" s="45" t="s">
        <v>72</v>
      </c>
      <c r="E58" s="45" t="s">
        <v>280</v>
      </c>
      <c r="F58" s="45" t="s">
        <v>92</v>
      </c>
      <c r="G58" s="45" t="s">
        <v>75</v>
      </c>
      <c r="H58" s="45" t="s">
        <v>40</v>
      </c>
      <c r="I58" s="45" t="s">
        <v>29</v>
      </c>
      <c r="J58" s="45" t="s">
        <v>38</v>
      </c>
      <c r="K58" s="45" t="s">
        <v>7</v>
      </c>
      <c r="L58" s="675"/>
      <c r="M58" s="45" t="s">
        <v>66</v>
      </c>
      <c r="N58" s="45" t="s">
        <v>111</v>
      </c>
      <c r="O58" s="45" t="s">
        <v>27</v>
      </c>
      <c r="P58" s="45" t="s">
        <v>24</v>
      </c>
      <c r="Q58" s="45" t="s">
        <v>13</v>
      </c>
      <c r="R58" s="45" t="s">
        <v>83</v>
      </c>
      <c r="S58" s="45" t="s">
        <v>16</v>
      </c>
      <c r="T58" s="45" t="s">
        <v>67</v>
      </c>
      <c r="U58" s="45" t="s">
        <v>6</v>
      </c>
      <c r="V58" s="45" t="s">
        <v>36</v>
      </c>
    </row>
    <row r="59" spans="1:22" x14ac:dyDescent="0.2">
      <c r="A59" s="746" t="s">
        <v>271</v>
      </c>
      <c r="B59" s="761">
        <v>288572790000</v>
      </c>
      <c r="C59" s="17">
        <v>83369090000</v>
      </c>
      <c r="D59" s="17">
        <v>40920830000</v>
      </c>
      <c r="E59" s="554">
        <v>32537151941</v>
      </c>
      <c r="F59" s="17">
        <v>26374990000</v>
      </c>
      <c r="G59" s="17">
        <v>19077510000</v>
      </c>
      <c r="H59" s="17">
        <v>15794450000</v>
      </c>
      <c r="I59" s="17">
        <v>13127100000</v>
      </c>
      <c r="J59" s="17">
        <v>12746290000</v>
      </c>
      <c r="K59" s="17">
        <v>12238142207</v>
      </c>
      <c r="L59" s="675"/>
      <c r="M59" s="555">
        <v>-371213929700</v>
      </c>
      <c r="N59" s="556">
        <v>-192735790000</v>
      </c>
      <c r="O59" s="17">
        <v>-141619600000</v>
      </c>
      <c r="P59" s="17">
        <v>-90566510000</v>
      </c>
      <c r="Q59" s="17">
        <v>-81316570000</v>
      </c>
      <c r="R59" s="17">
        <v>-78610560000</v>
      </c>
      <c r="S59" s="17">
        <v>-76474070000</v>
      </c>
      <c r="T59" s="17">
        <v>-53164440000</v>
      </c>
      <c r="U59" s="17">
        <v>-45584250000</v>
      </c>
      <c r="V59" s="17">
        <v>-44404250000</v>
      </c>
    </row>
    <row r="60" spans="1:22" x14ac:dyDescent="0.2">
      <c r="A60" s="746" t="s">
        <v>270</v>
      </c>
      <c r="B60" s="757" t="s">
        <v>74</v>
      </c>
      <c r="C60" s="45" t="s">
        <v>20</v>
      </c>
      <c r="D60" s="45" t="s">
        <v>98</v>
      </c>
      <c r="E60" s="45" t="s">
        <v>29</v>
      </c>
      <c r="F60" s="45" t="s">
        <v>61</v>
      </c>
      <c r="G60" s="45" t="s">
        <v>38</v>
      </c>
      <c r="H60" s="45" t="s">
        <v>92</v>
      </c>
      <c r="I60" s="45" t="s">
        <v>281</v>
      </c>
      <c r="J60" s="45" t="s">
        <v>70</v>
      </c>
      <c r="K60" s="45" t="s">
        <v>288</v>
      </c>
      <c r="L60" s="675"/>
      <c r="M60" s="751" t="s">
        <v>27</v>
      </c>
      <c r="N60" s="45" t="s">
        <v>24</v>
      </c>
      <c r="O60" s="45" t="s">
        <v>18</v>
      </c>
      <c r="P60" s="45" t="s">
        <v>66</v>
      </c>
      <c r="Q60" s="45" t="s">
        <v>16</v>
      </c>
      <c r="R60" s="45" t="s">
        <v>15</v>
      </c>
      <c r="S60" s="45" t="s">
        <v>19</v>
      </c>
      <c r="T60" s="45" t="s">
        <v>111</v>
      </c>
      <c r="U60" s="45" t="s">
        <v>182</v>
      </c>
      <c r="V60" s="45" t="s">
        <v>6</v>
      </c>
    </row>
    <row r="61" spans="1:22" x14ac:dyDescent="0.2">
      <c r="A61" s="746" t="s">
        <v>270</v>
      </c>
      <c r="B61" s="762">
        <v>165081380000</v>
      </c>
      <c r="C61" s="17">
        <v>44566710000</v>
      </c>
      <c r="D61" s="17">
        <v>40549350000</v>
      </c>
      <c r="E61" s="17">
        <v>31713300000</v>
      </c>
      <c r="F61" s="17">
        <v>23039020000</v>
      </c>
      <c r="G61" s="17">
        <v>17684110000</v>
      </c>
      <c r="H61" s="17">
        <v>17048500000</v>
      </c>
      <c r="I61" s="17">
        <v>16605040000</v>
      </c>
      <c r="J61" s="17">
        <v>13339810000</v>
      </c>
      <c r="K61" s="17">
        <v>9072020000</v>
      </c>
      <c r="L61" s="675"/>
      <c r="M61" s="752">
        <v>-204991740000</v>
      </c>
      <c r="N61" s="17">
        <v>-152774080000</v>
      </c>
      <c r="O61" s="17">
        <v>-105607400000</v>
      </c>
      <c r="P61" s="553">
        <v>-98238534878</v>
      </c>
      <c r="Q61" s="17">
        <v>-90410210000</v>
      </c>
      <c r="R61" s="17">
        <v>-71336940000</v>
      </c>
      <c r="S61" s="17">
        <v>-65364310000</v>
      </c>
      <c r="T61" s="17">
        <v>-43230750000</v>
      </c>
      <c r="U61" s="17">
        <v>-40391430000</v>
      </c>
      <c r="V61" s="17">
        <v>-37246790000</v>
      </c>
    </row>
    <row r="62" spans="1:22" x14ac:dyDescent="0.2">
      <c r="A62" s="746" t="s">
        <v>269</v>
      </c>
      <c r="B62" s="757" t="s">
        <v>74</v>
      </c>
      <c r="C62" s="45" t="s">
        <v>92</v>
      </c>
      <c r="D62" s="45" t="s">
        <v>61</v>
      </c>
      <c r="E62" s="45" t="s">
        <v>368</v>
      </c>
      <c r="F62" s="45" t="s">
        <v>26</v>
      </c>
      <c r="G62" s="45" t="s">
        <v>75</v>
      </c>
      <c r="H62" s="45" t="s">
        <v>45</v>
      </c>
      <c r="I62" s="45" t="s">
        <v>14</v>
      </c>
      <c r="J62" s="45" t="s">
        <v>211</v>
      </c>
      <c r="K62" s="45" t="s">
        <v>7</v>
      </c>
      <c r="L62" s="675"/>
      <c r="M62" s="751" t="s">
        <v>27</v>
      </c>
      <c r="N62" s="45" t="s">
        <v>24</v>
      </c>
      <c r="O62" s="45" t="s">
        <v>36</v>
      </c>
      <c r="P62" s="45" t="s">
        <v>18</v>
      </c>
      <c r="Q62" s="45" t="s">
        <v>25</v>
      </c>
      <c r="R62" s="45" t="s">
        <v>16</v>
      </c>
      <c r="S62" s="45" t="s">
        <v>111</v>
      </c>
      <c r="T62" s="45" t="s">
        <v>66</v>
      </c>
      <c r="U62" s="45" t="s">
        <v>19</v>
      </c>
      <c r="V62" s="45" t="s">
        <v>175</v>
      </c>
    </row>
    <row r="63" spans="1:22" x14ac:dyDescent="0.2">
      <c r="A63" s="746" t="s">
        <v>269</v>
      </c>
      <c r="B63" s="758">
        <v>47921520000</v>
      </c>
      <c r="C63" s="549">
        <v>42286920000</v>
      </c>
      <c r="D63" s="17">
        <v>38832560000</v>
      </c>
      <c r="E63" s="17">
        <v>37695790000</v>
      </c>
      <c r="F63" s="17">
        <v>37000190000</v>
      </c>
      <c r="G63" s="17">
        <v>33018920000</v>
      </c>
      <c r="H63" s="17">
        <v>28626690000</v>
      </c>
      <c r="I63" s="17">
        <v>24875130000</v>
      </c>
      <c r="J63" s="17">
        <v>19870280000</v>
      </c>
      <c r="K63" s="17">
        <v>17681441211</v>
      </c>
      <c r="L63" s="675"/>
      <c r="M63" s="752">
        <v>-148146080000</v>
      </c>
      <c r="N63" s="17">
        <v>-72804320000</v>
      </c>
      <c r="O63" s="17">
        <v>-66013810000</v>
      </c>
      <c r="P63" s="17">
        <v>-58242420000</v>
      </c>
      <c r="Q63" s="17">
        <v>-45662520000</v>
      </c>
      <c r="R63" s="17">
        <v>-44907920000</v>
      </c>
      <c r="S63" s="17">
        <v>-40558280000</v>
      </c>
      <c r="T63" s="17">
        <v>-40313047011</v>
      </c>
      <c r="U63" s="17">
        <v>-37368380000</v>
      </c>
      <c r="V63" s="17">
        <v>-36796970000</v>
      </c>
    </row>
    <row r="64" spans="1:22" x14ac:dyDescent="0.2">
      <c r="A64" s="746" t="s">
        <v>268</v>
      </c>
      <c r="B64" s="757" t="s">
        <v>18</v>
      </c>
      <c r="C64" s="45" t="s">
        <v>61</v>
      </c>
      <c r="D64" s="45" t="s">
        <v>14</v>
      </c>
      <c r="E64" s="45" t="s">
        <v>175</v>
      </c>
      <c r="F64" s="45" t="s">
        <v>83</v>
      </c>
      <c r="G64" s="45" t="s">
        <v>21</v>
      </c>
      <c r="H64" s="45" t="s">
        <v>15</v>
      </c>
      <c r="I64" s="45" t="s">
        <v>31</v>
      </c>
      <c r="J64" s="45" t="s">
        <v>24</v>
      </c>
      <c r="K64" s="45" t="s">
        <v>99</v>
      </c>
      <c r="L64" s="675"/>
      <c r="M64" s="751" t="s">
        <v>27</v>
      </c>
      <c r="N64" s="45" t="s">
        <v>73</v>
      </c>
      <c r="O64" s="45" t="s">
        <v>38</v>
      </c>
      <c r="P64" s="45" t="s">
        <v>19</v>
      </c>
      <c r="Q64" s="45" t="s">
        <v>40</v>
      </c>
      <c r="R64" s="45" t="s">
        <v>280</v>
      </c>
      <c r="S64" s="45" t="s">
        <v>16</v>
      </c>
      <c r="T64" s="45" t="s">
        <v>13</v>
      </c>
      <c r="U64" s="45" t="s">
        <v>36</v>
      </c>
      <c r="V64" s="45" t="s">
        <v>111</v>
      </c>
    </row>
    <row r="65" spans="1:22" x14ac:dyDescent="0.2">
      <c r="A65" s="746" t="s">
        <v>268</v>
      </c>
      <c r="B65" s="758">
        <v>210975290415</v>
      </c>
      <c r="C65" s="540">
        <v>111059600000</v>
      </c>
      <c r="D65" s="17">
        <v>56173906297</v>
      </c>
      <c r="E65" s="17">
        <v>46613797164</v>
      </c>
      <c r="F65" s="17">
        <v>43838090363</v>
      </c>
      <c r="G65" s="17">
        <v>42502841381</v>
      </c>
      <c r="H65" s="17">
        <v>41917250000</v>
      </c>
      <c r="I65" s="17">
        <v>41098570000</v>
      </c>
      <c r="J65" s="17">
        <v>37992637716</v>
      </c>
      <c r="K65" s="17">
        <v>30262701617</v>
      </c>
      <c r="L65" s="675"/>
      <c r="M65" s="752">
        <v>-192719460428</v>
      </c>
      <c r="N65" s="17">
        <v>-104634645225</v>
      </c>
      <c r="O65" s="541">
        <v>-88220525348</v>
      </c>
      <c r="P65" s="17">
        <v>-72616630000</v>
      </c>
      <c r="Q65" s="17">
        <v>-47434720000</v>
      </c>
      <c r="R65" s="542">
        <v>-36898528796</v>
      </c>
      <c r="S65" s="17">
        <v>-35382780000</v>
      </c>
      <c r="T65" s="17">
        <v>-32730126987</v>
      </c>
      <c r="U65" s="17">
        <v>-32377965401</v>
      </c>
      <c r="V65" s="17">
        <v>-21150680000</v>
      </c>
    </row>
    <row r="66" spans="1:22" x14ac:dyDescent="0.2">
      <c r="A66" s="746" t="s">
        <v>267</v>
      </c>
      <c r="B66" s="757" t="s">
        <v>18</v>
      </c>
      <c r="C66" s="45" t="s">
        <v>15</v>
      </c>
      <c r="D66" s="45" t="s">
        <v>75</v>
      </c>
      <c r="E66" s="45" t="s">
        <v>72</v>
      </c>
      <c r="F66" s="45" t="s">
        <v>24</v>
      </c>
      <c r="G66" s="45" t="s">
        <v>36</v>
      </c>
      <c r="H66" s="45" t="s">
        <v>14</v>
      </c>
      <c r="I66" s="45" t="s">
        <v>98</v>
      </c>
      <c r="J66" s="45" t="s">
        <v>315</v>
      </c>
      <c r="K66" s="45" t="s">
        <v>70</v>
      </c>
      <c r="L66" s="675"/>
      <c r="M66" s="751" t="s">
        <v>27</v>
      </c>
      <c r="N66" s="45" t="s">
        <v>19</v>
      </c>
      <c r="O66" s="45" t="s">
        <v>26</v>
      </c>
      <c r="P66" s="45" t="s">
        <v>9</v>
      </c>
      <c r="Q66" s="45" t="s">
        <v>13</v>
      </c>
      <c r="R66" s="45" t="s">
        <v>83</v>
      </c>
      <c r="S66" s="45" t="s">
        <v>111</v>
      </c>
      <c r="T66" s="45" t="s">
        <v>25</v>
      </c>
      <c r="U66" s="45" t="s">
        <v>280</v>
      </c>
      <c r="V66" s="45" t="s">
        <v>175</v>
      </c>
    </row>
    <row r="67" spans="1:22" x14ac:dyDescent="0.2">
      <c r="A67" s="746" t="s">
        <v>267</v>
      </c>
      <c r="B67" s="758">
        <v>271644430000</v>
      </c>
      <c r="C67" s="17">
        <v>176277630000</v>
      </c>
      <c r="D67" s="17">
        <v>78606310000</v>
      </c>
      <c r="E67" s="535">
        <v>59582570000</v>
      </c>
      <c r="F67" s="17">
        <v>51724120000</v>
      </c>
      <c r="G67" s="17">
        <v>50997860000</v>
      </c>
      <c r="H67" s="17">
        <v>45433550000</v>
      </c>
      <c r="I67" s="17">
        <v>36841100000</v>
      </c>
      <c r="J67" s="536">
        <v>32754480000</v>
      </c>
      <c r="K67" s="17">
        <v>31078780000</v>
      </c>
      <c r="L67" s="675"/>
      <c r="M67" s="752">
        <v>-142567540000</v>
      </c>
      <c r="N67" s="17">
        <v>-139482180000</v>
      </c>
      <c r="O67" s="17">
        <v>-44708180000</v>
      </c>
      <c r="P67" s="17">
        <v>-40861760000</v>
      </c>
      <c r="Q67" s="17">
        <v>-38677330000</v>
      </c>
      <c r="R67" s="17">
        <v>-35871820000</v>
      </c>
      <c r="S67" s="17">
        <v>-32298990000</v>
      </c>
      <c r="T67" s="17">
        <v>-28334220000</v>
      </c>
      <c r="U67" s="17">
        <v>-24878795445</v>
      </c>
      <c r="V67" s="17">
        <v>-23054840000</v>
      </c>
    </row>
    <row r="68" spans="1:22" x14ac:dyDescent="0.2">
      <c r="A68" s="746" t="s">
        <v>266</v>
      </c>
      <c r="B68" s="757" t="s">
        <v>18</v>
      </c>
      <c r="C68" s="45" t="s">
        <v>24</v>
      </c>
      <c r="D68" s="45" t="s">
        <v>74</v>
      </c>
      <c r="E68" s="45" t="s">
        <v>21</v>
      </c>
      <c r="F68" s="45" t="s">
        <v>199</v>
      </c>
      <c r="G68" s="45" t="s">
        <v>10</v>
      </c>
      <c r="H68" s="45" t="s">
        <v>75</v>
      </c>
      <c r="I68" s="45" t="s">
        <v>99</v>
      </c>
      <c r="J68" s="45" t="s">
        <v>8</v>
      </c>
      <c r="K68" s="45" t="s">
        <v>100</v>
      </c>
      <c r="L68" s="675"/>
      <c r="M68" s="751" t="s">
        <v>27</v>
      </c>
      <c r="N68" s="45" t="s">
        <v>16</v>
      </c>
      <c r="O68" s="45" t="s">
        <v>15</v>
      </c>
      <c r="P68" s="45" t="s">
        <v>26</v>
      </c>
      <c r="Q68" s="45" t="s">
        <v>111</v>
      </c>
      <c r="R68" s="45" t="s">
        <v>83</v>
      </c>
      <c r="S68" s="45" t="s">
        <v>175</v>
      </c>
      <c r="T68" s="45" t="s">
        <v>19</v>
      </c>
      <c r="U68" s="45" t="s">
        <v>14</v>
      </c>
      <c r="V68" s="45" t="s">
        <v>67</v>
      </c>
    </row>
    <row r="69" spans="1:22" x14ac:dyDescent="0.2">
      <c r="A69" s="746" t="s">
        <v>266</v>
      </c>
      <c r="B69" s="758">
        <v>220913684724</v>
      </c>
      <c r="C69" s="17">
        <v>37438480103</v>
      </c>
      <c r="D69" s="17">
        <v>34198048341</v>
      </c>
      <c r="E69" s="17">
        <v>22264377363</v>
      </c>
      <c r="F69" s="17">
        <v>19264472070</v>
      </c>
      <c r="G69" s="17">
        <v>17732829122</v>
      </c>
      <c r="H69" s="17">
        <v>15467210000</v>
      </c>
      <c r="I69" s="17">
        <v>15054480000</v>
      </c>
      <c r="J69" s="17">
        <v>11780670000</v>
      </c>
      <c r="K69" s="17">
        <v>11066960000</v>
      </c>
      <c r="L69" s="675"/>
      <c r="M69" s="752">
        <v>-148369267103</v>
      </c>
      <c r="N69" s="17">
        <v>-100405140000</v>
      </c>
      <c r="O69" s="17">
        <v>-93988350000</v>
      </c>
      <c r="P69" s="17">
        <v>-77115828415</v>
      </c>
      <c r="Q69" s="17">
        <v>-60445660000</v>
      </c>
      <c r="R69" s="17">
        <v>-59048070000</v>
      </c>
      <c r="S69" s="17">
        <v>-56256930000</v>
      </c>
      <c r="T69" s="17">
        <v>-52728470000</v>
      </c>
      <c r="U69" s="17">
        <v>-52187760000</v>
      </c>
      <c r="V69" s="17">
        <v>-51547240788</v>
      </c>
    </row>
    <row r="70" spans="1:22" x14ac:dyDescent="0.2">
      <c r="A70" s="746" t="s">
        <v>265</v>
      </c>
      <c r="B70" s="757" t="s">
        <v>18</v>
      </c>
      <c r="C70" s="45" t="s">
        <v>91</v>
      </c>
      <c r="D70" s="45" t="s">
        <v>98</v>
      </c>
      <c r="E70" s="45" t="s">
        <v>92</v>
      </c>
      <c r="F70" s="45" t="s">
        <v>199</v>
      </c>
      <c r="G70" s="45" t="s">
        <v>83</v>
      </c>
      <c r="H70" s="45" t="s">
        <v>196</v>
      </c>
      <c r="I70" s="45" t="s">
        <v>21</v>
      </c>
      <c r="J70" s="45" t="s">
        <v>181</v>
      </c>
      <c r="K70" s="45" t="s">
        <v>75</v>
      </c>
      <c r="L70" s="675"/>
      <c r="M70" s="751" t="s">
        <v>27</v>
      </c>
      <c r="N70" s="45" t="s">
        <v>19</v>
      </c>
      <c r="O70" s="45" t="s">
        <v>16</v>
      </c>
      <c r="P70" s="45" t="s">
        <v>32</v>
      </c>
      <c r="Q70" s="45" t="s">
        <v>14</v>
      </c>
      <c r="R70" s="45" t="s">
        <v>66</v>
      </c>
      <c r="S70" s="45" t="s">
        <v>62</v>
      </c>
      <c r="T70" s="45" t="s">
        <v>40</v>
      </c>
      <c r="U70" s="45" t="s">
        <v>175</v>
      </c>
      <c r="V70" s="45" t="s">
        <v>13</v>
      </c>
    </row>
    <row r="71" spans="1:22" x14ac:dyDescent="0.2">
      <c r="A71" s="746" t="s">
        <v>265</v>
      </c>
      <c r="B71" s="758">
        <v>122997256024</v>
      </c>
      <c r="C71" s="531">
        <v>51969160858</v>
      </c>
      <c r="D71" s="17">
        <v>19966810000</v>
      </c>
      <c r="E71" s="17">
        <v>15913152157</v>
      </c>
      <c r="F71" s="17">
        <v>15027027521</v>
      </c>
      <c r="G71" s="17">
        <v>13917068935</v>
      </c>
      <c r="H71" s="17">
        <v>11299086716</v>
      </c>
      <c r="I71" s="17">
        <v>8824443411</v>
      </c>
      <c r="J71" s="17">
        <v>4916722609</v>
      </c>
      <c r="K71" s="17">
        <v>4549855851</v>
      </c>
      <c r="L71" s="675"/>
      <c r="M71" s="752">
        <v>-125062770000</v>
      </c>
      <c r="N71" s="17">
        <v>-108249095450</v>
      </c>
      <c r="O71" s="17">
        <v>-74108541394</v>
      </c>
      <c r="P71" s="17">
        <v>-59925864716</v>
      </c>
      <c r="Q71" s="17">
        <v>-55803783239</v>
      </c>
      <c r="R71" s="532">
        <v>-53587079357</v>
      </c>
      <c r="S71" s="17">
        <v>-47400040793</v>
      </c>
      <c r="T71" s="17">
        <v>-41845951351</v>
      </c>
      <c r="U71" s="17">
        <v>-39655740000</v>
      </c>
      <c r="V71" s="17">
        <v>-37018550000</v>
      </c>
    </row>
    <row r="72" spans="1:22" x14ac:dyDescent="0.2">
      <c r="A72" s="746" t="s">
        <v>264</v>
      </c>
      <c r="B72" s="757" t="s">
        <v>18</v>
      </c>
      <c r="C72" s="45" t="s">
        <v>83</v>
      </c>
      <c r="D72" s="45" t="s">
        <v>199</v>
      </c>
      <c r="E72" s="45" t="s">
        <v>100</v>
      </c>
      <c r="F72" s="45" t="s">
        <v>72</v>
      </c>
      <c r="G72" s="45" t="s">
        <v>70</v>
      </c>
      <c r="H72" s="45" t="s">
        <v>74</v>
      </c>
      <c r="I72" s="45" t="s">
        <v>38</v>
      </c>
      <c r="J72" s="45" t="s">
        <v>10</v>
      </c>
      <c r="K72" s="45" t="s">
        <v>32</v>
      </c>
      <c r="L72" s="675"/>
      <c r="M72" s="751" t="s">
        <v>27</v>
      </c>
      <c r="N72" s="45" t="s">
        <v>28</v>
      </c>
      <c r="O72" s="45" t="s">
        <v>16</v>
      </c>
      <c r="P72" s="45" t="s">
        <v>36</v>
      </c>
      <c r="Q72" s="45" t="s">
        <v>9</v>
      </c>
      <c r="R72" s="45" t="s">
        <v>25</v>
      </c>
      <c r="S72" s="45" t="s">
        <v>39</v>
      </c>
      <c r="T72" s="45" t="s">
        <v>14</v>
      </c>
      <c r="U72" s="45" t="s">
        <v>68</v>
      </c>
      <c r="V72" s="45" t="s">
        <v>13</v>
      </c>
    </row>
    <row r="73" spans="1:22" x14ac:dyDescent="0.2">
      <c r="A73" s="746" t="s">
        <v>264</v>
      </c>
      <c r="B73" s="758">
        <v>70963300000</v>
      </c>
      <c r="C73" s="17">
        <v>61481100000</v>
      </c>
      <c r="D73" s="529">
        <v>48765430000</v>
      </c>
      <c r="E73" s="17">
        <v>30809520000</v>
      </c>
      <c r="F73" s="17">
        <v>19776950000</v>
      </c>
      <c r="G73" s="17">
        <v>19611000000</v>
      </c>
      <c r="H73" s="17">
        <v>18346010000</v>
      </c>
      <c r="I73" s="17">
        <v>16976680000</v>
      </c>
      <c r="J73" s="17">
        <v>14163700426</v>
      </c>
      <c r="K73" s="17">
        <v>11811757333</v>
      </c>
      <c r="L73" s="675"/>
      <c r="M73" s="752">
        <v>-192940930000</v>
      </c>
      <c r="N73" s="17">
        <v>-61108050000</v>
      </c>
      <c r="O73" s="17">
        <v>-55175230000</v>
      </c>
      <c r="P73" s="17">
        <v>-49772520000</v>
      </c>
      <c r="Q73" s="17">
        <v>-46928650000</v>
      </c>
      <c r="R73" s="17">
        <v>-44581760000</v>
      </c>
      <c r="S73" s="17">
        <v>-30644590000</v>
      </c>
      <c r="T73" s="17">
        <v>-30353590000</v>
      </c>
      <c r="U73" s="17">
        <v>-28181600000</v>
      </c>
      <c r="V73" s="17">
        <v>-25141480000</v>
      </c>
    </row>
    <row r="74" spans="1:22" x14ac:dyDescent="0.2">
      <c r="A74" s="746" t="s">
        <v>260</v>
      </c>
      <c r="B74" s="757" t="s">
        <v>18</v>
      </c>
      <c r="C74" s="45" t="s">
        <v>15</v>
      </c>
      <c r="D74" s="45" t="s">
        <v>21</v>
      </c>
      <c r="E74" s="45" t="s">
        <v>199</v>
      </c>
      <c r="F74" s="45" t="s">
        <v>40</v>
      </c>
      <c r="G74" s="45" t="s">
        <v>61</v>
      </c>
      <c r="H74" s="45" t="s">
        <v>70</v>
      </c>
      <c r="I74" s="45" t="s">
        <v>71</v>
      </c>
      <c r="J74" s="45" t="s">
        <v>64</v>
      </c>
      <c r="K74" s="45" t="s">
        <v>290</v>
      </c>
      <c r="L74" s="675"/>
      <c r="M74" s="751" t="s">
        <v>27</v>
      </c>
      <c r="N74" s="45" t="s">
        <v>28</v>
      </c>
      <c r="O74" s="45" t="s">
        <v>182</v>
      </c>
      <c r="P74" s="45" t="s">
        <v>83</v>
      </c>
      <c r="Q74" s="45" t="s">
        <v>62</v>
      </c>
      <c r="R74" s="45" t="s">
        <v>9</v>
      </c>
      <c r="S74" s="45" t="s">
        <v>100</v>
      </c>
      <c r="T74" s="45" t="s">
        <v>74</v>
      </c>
      <c r="U74" s="45" t="s">
        <v>6</v>
      </c>
      <c r="V74" s="45" t="s">
        <v>11</v>
      </c>
    </row>
    <row r="75" spans="1:22" x14ac:dyDescent="0.2">
      <c r="A75" s="746" t="s">
        <v>260</v>
      </c>
      <c r="B75" s="758">
        <v>110173800000</v>
      </c>
      <c r="C75" s="17">
        <v>86887130000</v>
      </c>
      <c r="D75" s="17">
        <v>54750764400</v>
      </c>
      <c r="E75" s="525">
        <v>43875220000</v>
      </c>
      <c r="F75" s="17">
        <v>33132700000</v>
      </c>
      <c r="G75" s="17">
        <v>20626610000</v>
      </c>
      <c r="H75" s="17">
        <v>18006950000</v>
      </c>
      <c r="I75" s="526">
        <v>16174500000</v>
      </c>
      <c r="J75" s="17">
        <v>16015860000</v>
      </c>
      <c r="K75" s="17">
        <v>14946970000</v>
      </c>
      <c r="L75" s="675"/>
      <c r="M75" s="755">
        <v>-1250918830000</v>
      </c>
      <c r="N75" s="17">
        <v>-136838790000</v>
      </c>
      <c r="O75" s="527">
        <v>-101054980000</v>
      </c>
      <c r="P75" s="17">
        <v>-67460830000</v>
      </c>
      <c r="Q75" s="17">
        <v>-64103700000</v>
      </c>
      <c r="R75" s="17">
        <v>-61660700000</v>
      </c>
      <c r="S75" s="17">
        <v>-39415280000</v>
      </c>
      <c r="T75" s="17">
        <v>-30328480000</v>
      </c>
      <c r="U75" s="17">
        <v>-29647040000</v>
      </c>
      <c r="V75" s="17">
        <v>-29576400000</v>
      </c>
    </row>
    <row r="76" spans="1:22" x14ac:dyDescent="0.2">
      <c r="A76" s="746" t="s">
        <v>259</v>
      </c>
      <c r="B76" s="45" t="s">
        <v>15</v>
      </c>
      <c r="C76" s="45" t="s">
        <v>21</v>
      </c>
      <c r="D76" s="45" t="s">
        <v>18</v>
      </c>
      <c r="E76" s="45" t="s">
        <v>40</v>
      </c>
      <c r="F76" s="45" t="s">
        <v>26</v>
      </c>
      <c r="G76" s="45" t="s">
        <v>72</v>
      </c>
      <c r="H76" s="45" t="s">
        <v>100</v>
      </c>
      <c r="I76" s="45" t="s">
        <v>67</v>
      </c>
      <c r="J76" s="45" t="s">
        <v>13</v>
      </c>
      <c r="K76" s="45" t="s">
        <v>24</v>
      </c>
      <c r="L76" s="675"/>
      <c r="M76" s="751" t="s">
        <v>27</v>
      </c>
      <c r="N76" s="45" t="s">
        <v>83</v>
      </c>
      <c r="O76" s="45" t="s">
        <v>73</v>
      </c>
      <c r="P76" s="45" t="s">
        <v>25</v>
      </c>
      <c r="Q76" s="45" t="s">
        <v>19</v>
      </c>
      <c r="R76" s="45" t="s">
        <v>39</v>
      </c>
      <c r="S76" s="45" t="s">
        <v>16</v>
      </c>
      <c r="T76" s="45" t="s">
        <v>14</v>
      </c>
      <c r="U76" s="45" t="s">
        <v>196</v>
      </c>
      <c r="V76" s="45" t="s">
        <v>74</v>
      </c>
    </row>
    <row r="77" spans="1:22" x14ac:dyDescent="0.2">
      <c r="A77" s="746" t="s">
        <v>259</v>
      </c>
      <c r="B77" s="17">
        <v>82083370000</v>
      </c>
      <c r="C77" s="17">
        <v>74508187214</v>
      </c>
      <c r="D77" s="17">
        <v>68115850000</v>
      </c>
      <c r="E77" s="17">
        <v>55207440000</v>
      </c>
      <c r="F77" s="17">
        <v>45678000000</v>
      </c>
      <c r="G77" s="17">
        <v>36544540000</v>
      </c>
      <c r="H77" s="17">
        <v>31919710000</v>
      </c>
      <c r="I77" s="17">
        <v>24986880000</v>
      </c>
      <c r="J77" s="17">
        <v>23008110000</v>
      </c>
      <c r="K77" s="17">
        <v>16989730000</v>
      </c>
      <c r="L77" s="675"/>
      <c r="M77" s="756">
        <v>-926748340000</v>
      </c>
      <c r="N77" s="519">
        <v>-219331790000</v>
      </c>
      <c r="O77" s="17">
        <v>-72060740000</v>
      </c>
      <c r="P77" s="17">
        <v>-50843330000</v>
      </c>
      <c r="Q77" s="17">
        <v>-45113450000</v>
      </c>
      <c r="R77" s="17">
        <v>-43637050000</v>
      </c>
      <c r="S77" s="17">
        <v>-35298780000</v>
      </c>
      <c r="T77" s="17">
        <v>-30499190000</v>
      </c>
      <c r="U77" s="17">
        <v>-30097550000</v>
      </c>
      <c r="V77" s="17">
        <v>-29158710000</v>
      </c>
    </row>
    <row r="78" spans="1:22" x14ac:dyDescent="0.2">
      <c r="A78" s="746" t="s">
        <v>258</v>
      </c>
      <c r="B78" s="45" t="s">
        <v>15</v>
      </c>
      <c r="C78" s="45" t="s">
        <v>18</v>
      </c>
      <c r="D78" s="45" t="s">
        <v>24</v>
      </c>
      <c r="E78" s="45" t="s">
        <v>26</v>
      </c>
      <c r="F78" s="45" t="s">
        <v>70</v>
      </c>
      <c r="G78" s="45" t="s">
        <v>13</v>
      </c>
      <c r="H78" s="45" t="s">
        <v>97</v>
      </c>
      <c r="I78" s="45" t="s">
        <v>32</v>
      </c>
      <c r="J78" s="45" t="s">
        <v>182</v>
      </c>
      <c r="K78" s="45" t="s">
        <v>7</v>
      </c>
      <c r="L78" s="675"/>
      <c r="M78" s="45" t="s">
        <v>83</v>
      </c>
      <c r="N78" s="45" t="s">
        <v>27</v>
      </c>
      <c r="O78" s="45" t="s">
        <v>62</v>
      </c>
      <c r="P78" s="45" t="s">
        <v>39</v>
      </c>
      <c r="Q78" s="45" t="s">
        <v>38</v>
      </c>
      <c r="R78" s="45" t="s">
        <v>25</v>
      </c>
      <c r="S78" s="45" t="s">
        <v>30</v>
      </c>
      <c r="T78" s="45" t="s">
        <v>109</v>
      </c>
      <c r="U78" s="45" t="s">
        <v>175</v>
      </c>
      <c r="V78" s="45" t="s">
        <v>31</v>
      </c>
    </row>
    <row r="79" spans="1:22" x14ac:dyDescent="0.2">
      <c r="A79" s="746" t="s">
        <v>258</v>
      </c>
      <c r="B79" s="17">
        <v>219699410000</v>
      </c>
      <c r="C79" s="17">
        <v>123763290000</v>
      </c>
      <c r="D79" s="17">
        <v>115585850000</v>
      </c>
      <c r="E79" s="17">
        <v>42892810000</v>
      </c>
      <c r="F79" s="17">
        <v>21674870000</v>
      </c>
      <c r="G79" s="17">
        <v>19908490000</v>
      </c>
      <c r="H79" s="17">
        <v>18621600000</v>
      </c>
      <c r="I79" s="17">
        <v>16052850091</v>
      </c>
      <c r="J79" s="17">
        <v>15295470000</v>
      </c>
      <c r="K79" s="17">
        <v>14753190953</v>
      </c>
      <c r="L79" s="675"/>
      <c r="M79" s="17">
        <v>-100559040000</v>
      </c>
      <c r="N79" s="17">
        <v>-68740880000</v>
      </c>
      <c r="O79" s="17">
        <v>-50213240000</v>
      </c>
      <c r="P79" s="17">
        <v>-27978600000</v>
      </c>
      <c r="Q79" s="513">
        <v>-26277870000</v>
      </c>
      <c r="R79" s="17">
        <v>-23289570000</v>
      </c>
      <c r="S79" s="17">
        <v>-22576090000</v>
      </c>
      <c r="T79" s="17">
        <v>-21354740000</v>
      </c>
      <c r="U79" s="17">
        <v>-19003380000</v>
      </c>
      <c r="V79" s="17">
        <v>-18674410000</v>
      </c>
    </row>
    <row r="80" spans="1:22" x14ac:dyDescent="0.2">
      <c r="A80" s="746" t="s">
        <v>257</v>
      </c>
      <c r="B80" s="757" t="s">
        <v>18</v>
      </c>
      <c r="C80" s="45" t="s">
        <v>100</v>
      </c>
      <c r="D80" s="45" t="s">
        <v>196</v>
      </c>
      <c r="E80" s="45" t="s">
        <v>6</v>
      </c>
      <c r="F80" s="45" t="s">
        <v>74</v>
      </c>
      <c r="G80" s="45" t="s">
        <v>11</v>
      </c>
      <c r="H80" s="45" t="s">
        <v>202</v>
      </c>
      <c r="I80" s="45" t="s">
        <v>337</v>
      </c>
      <c r="J80" s="45" t="s">
        <v>21</v>
      </c>
      <c r="K80" s="45" t="s">
        <v>109</v>
      </c>
      <c r="L80" s="675"/>
      <c r="M80" s="45" t="s">
        <v>62</v>
      </c>
      <c r="N80" s="45" t="s">
        <v>27</v>
      </c>
      <c r="O80" s="45" t="s">
        <v>83</v>
      </c>
      <c r="P80" s="45" t="s">
        <v>39</v>
      </c>
      <c r="Q80" s="45" t="s">
        <v>14</v>
      </c>
      <c r="R80" s="45" t="s">
        <v>16</v>
      </c>
      <c r="S80" s="45" t="s">
        <v>45</v>
      </c>
      <c r="T80" s="45" t="s">
        <v>31</v>
      </c>
      <c r="U80" s="45" t="s">
        <v>33</v>
      </c>
      <c r="V80" s="45" t="s">
        <v>25</v>
      </c>
    </row>
    <row r="81" spans="1:22" x14ac:dyDescent="0.2">
      <c r="A81" s="746" t="s">
        <v>257</v>
      </c>
      <c r="B81" s="758">
        <v>101498730000</v>
      </c>
      <c r="C81" s="17">
        <v>44803450000</v>
      </c>
      <c r="D81" s="17">
        <v>40821090000</v>
      </c>
      <c r="E81" s="17">
        <v>39801600000</v>
      </c>
      <c r="F81" s="17">
        <v>33938630000</v>
      </c>
      <c r="G81" s="17">
        <v>31600500000</v>
      </c>
      <c r="H81" s="17">
        <v>27199920000</v>
      </c>
      <c r="I81" s="17">
        <v>26079170000</v>
      </c>
      <c r="J81" s="17">
        <v>26038722201</v>
      </c>
      <c r="K81" s="17">
        <v>24926650000</v>
      </c>
      <c r="L81" s="675"/>
      <c r="M81" s="510">
        <v>-101802730000</v>
      </c>
      <c r="N81" s="17">
        <v>-63764640000</v>
      </c>
      <c r="O81" s="17">
        <v>-53564780000</v>
      </c>
      <c r="P81" s="17">
        <v>-40865640000</v>
      </c>
      <c r="Q81" s="17">
        <v>-27677530000</v>
      </c>
      <c r="R81" s="17">
        <v>-24170370000</v>
      </c>
      <c r="S81" s="17">
        <v>-19262130000</v>
      </c>
      <c r="T81" s="17">
        <v>-16365010000</v>
      </c>
      <c r="U81" s="17">
        <v>-11510450000</v>
      </c>
      <c r="V81" s="17">
        <v>-10483240000</v>
      </c>
    </row>
    <row r="82" spans="1:22" x14ac:dyDescent="0.2">
      <c r="A82" s="746" t="s">
        <v>256</v>
      </c>
      <c r="B82" s="757" t="s">
        <v>18</v>
      </c>
      <c r="C82" s="45" t="s">
        <v>196</v>
      </c>
      <c r="D82" s="45" t="s">
        <v>25</v>
      </c>
      <c r="E82" s="45" t="s">
        <v>13</v>
      </c>
      <c r="F82" s="45" t="s">
        <v>26</v>
      </c>
      <c r="G82" s="45" t="s">
        <v>15</v>
      </c>
      <c r="H82" s="45" t="s">
        <v>45</v>
      </c>
      <c r="I82" s="45" t="s">
        <v>21</v>
      </c>
      <c r="J82" s="45" t="s">
        <v>111</v>
      </c>
      <c r="K82" s="45" t="s">
        <v>68</v>
      </c>
      <c r="L82" s="675"/>
      <c r="M82" s="45" t="s">
        <v>27</v>
      </c>
      <c r="N82" s="45" t="s">
        <v>60</v>
      </c>
      <c r="O82" s="45" t="s">
        <v>14</v>
      </c>
      <c r="P82" s="45" t="s">
        <v>280</v>
      </c>
      <c r="Q82" s="45" t="s">
        <v>202</v>
      </c>
      <c r="R82" s="45" t="s">
        <v>62</v>
      </c>
      <c r="S82" s="45" t="s">
        <v>16</v>
      </c>
      <c r="T82" s="45" t="s">
        <v>83</v>
      </c>
      <c r="U82" s="45" t="s">
        <v>31</v>
      </c>
      <c r="V82" s="45" t="s">
        <v>19</v>
      </c>
    </row>
    <row r="83" spans="1:22" x14ac:dyDescent="0.2">
      <c r="A83" s="746" t="s">
        <v>256</v>
      </c>
      <c r="B83" s="763">
        <v>545488620000</v>
      </c>
      <c r="C83" s="17">
        <v>84355080000</v>
      </c>
      <c r="D83" s="17">
        <v>59676690000</v>
      </c>
      <c r="E83" s="17">
        <v>51893840000</v>
      </c>
      <c r="F83" s="17">
        <v>48507030000</v>
      </c>
      <c r="G83" s="17">
        <v>42962210000</v>
      </c>
      <c r="H83" s="17">
        <v>25227010000</v>
      </c>
      <c r="I83" s="17">
        <v>24082715561</v>
      </c>
      <c r="J83" s="17">
        <v>18905350000</v>
      </c>
      <c r="K83" s="17">
        <v>18870560000</v>
      </c>
      <c r="L83" s="675"/>
      <c r="M83" s="17">
        <v>-57110140000</v>
      </c>
      <c r="N83" s="503">
        <v>-34920256491</v>
      </c>
      <c r="O83" s="17">
        <v>-27341160000</v>
      </c>
      <c r="P83" s="504">
        <v>-25152658199</v>
      </c>
      <c r="Q83" s="17">
        <v>-24531500000</v>
      </c>
      <c r="R83" s="17">
        <v>-23564240000</v>
      </c>
      <c r="S83" s="17">
        <v>-22812010000</v>
      </c>
      <c r="T83" s="17">
        <v>-21211180000</v>
      </c>
      <c r="U83" s="17">
        <v>-18748220000</v>
      </c>
      <c r="V83" s="17">
        <v>-17052360000</v>
      </c>
    </row>
    <row r="84" spans="1:22" x14ac:dyDescent="0.2">
      <c r="A84" s="746" t="s">
        <v>255</v>
      </c>
      <c r="B84" s="757" t="s">
        <v>18</v>
      </c>
      <c r="C84" s="45" t="s">
        <v>175</v>
      </c>
      <c r="D84" s="45" t="s">
        <v>24</v>
      </c>
      <c r="E84" s="45" t="s">
        <v>27</v>
      </c>
      <c r="F84" s="45" t="s">
        <v>13</v>
      </c>
      <c r="G84" s="45" t="s">
        <v>67</v>
      </c>
      <c r="H84" s="45" t="s">
        <v>26</v>
      </c>
      <c r="I84" s="45" t="s">
        <v>21</v>
      </c>
      <c r="J84" s="45" t="s">
        <v>82</v>
      </c>
      <c r="K84" s="45" t="s">
        <v>72</v>
      </c>
      <c r="L84" s="675"/>
      <c r="M84" s="45" t="s">
        <v>44</v>
      </c>
      <c r="N84" s="45" t="s">
        <v>5</v>
      </c>
      <c r="O84" s="45" t="s">
        <v>19</v>
      </c>
      <c r="P84" s="45" t="s">
        <v>100</v>
      </c>
      <c r="Q84" s="45" t="s">
        <v>25</v>
      </c>
      <c r="R84" s="45" t="s">
        <v>16</v>
      </c>
      <c r="S84" s="45" t="s">
        <v>8</v>
      </c>
      <c r="T84" s="45" t="s">
        <v>9</v>
      </c>
      <c r="U84" s="45" t="s">
        <v>62</v>
      </c>
      <c r="V84" s="45" t="s">
        <v>39</v>
      </c>
    </row>
    <row r="85" spans="1:22" x14ac:dyDescent="0.2">
      <c r="A85" s="746" t="s">
        <v>255</v>
      </c>
      <c r="B85" s="758">
        <v>239654170000</v>
      </c>
      <c r="C85" s="498">
        <v>54782470000</v>
      </c>
      <c r="D85" s="17">
        <v>44963930000</v>
      </c>
      <c r="E85" s="17">
        <v>24799900000</v>
      </c>
      <c r="F85" s="17">
        <v>17867230000</v>
      </c>
      <c r="G85" s="17">
        <v>14410800000</v>
      </c>
      <c r="H85" s="17">
        <v>13574340000</v>
      </c>
      <c r="I85" s="17">
        <v>9120394555</v>
      </c>
      <c r="J85" s="17">
        <v>9018210000</v>
      </c>
      <c r="K85" s="17">
        <v>8156550000</v>
      </c>
      <c r="L85" s="675"/>
      <c r="M85" s="499">
        <v>-469863100000</v>
      </c>
      <c r="N85" s="17">
        <v>-102748350000</v>
      </c>
      <c r="O85" s="17">
        <v>-65185020000</v>
      </c>
      <c r="P85" s="17">
        <v>-61020160000</v>
      </c>
      <c r="Q85" s="17">
        <v>-47054970000</v>
      </c>
      <c r="R85" s="17">
        <v>-38606410000</v>
      </c>
      <c r="S85" s="17">
        <v>-37278440000</v>
      </c>
      <c r="T85" s="17">
        <v>-26364650000</v>
      </c>
      <c r="U85" s="17">
        <v>-25589580000</v>
      </c>
      <c r="V85" s="17">
        <v>-21522880000</v>
      </c>
    </row>
    <row r="86" spans="1:22" x14ac:dyDescent="0.2">
      <c r="A86" s="746" t="s">
        <v>254</v>
      </c>
      <c r="B86" s="757" t="s">
        <v>18</v>
      </c>
      <c r="C86" s="45" t="s">
        <v>32</v>
      </c>
      <c r="D86" s="45" t="s">
        <v>13</v>
      </c>
      <c r="E86" s="45" t="s">
        <v>26</v>
      </c>
      <c r="F86" s="45" t="s">
        <v>70</v>
      </c>
      <c r="G86" s="45" t="s">
        <v>67</v>
      </c>
      <c r="H86" s="45" t="s">
        <v>24</v>
      </c>
      <c r="I86" s="45" t="s">
        <v>5</v>
      </c>
      <c r="J86" s="45" t="s">
        <v>9</v>
      </c>
      <c r="K86" s="45" t="s">
        <v>39</v>
      </c>
      <c r="L86" s="675"/>
      <c r="M86" s="45" t="s">
        <v>100</v>
      </c>
      <c r="N86" s="45" t="s">
        <v>19</v>
      </c>
      <c r="O86" s="45" t="s">
        <v>25</v>
      </c>
      <c r="P86" s="45" t="s">
        <v>204</v>
      </c>
      <c r="Q86" s="45" t="s">
        <v>30</v>
      </c>
      <c r="R86" s="45" t="s">
        <v>16</v>
      </c>
      <c r="S86" s="45" t="s">
        <v>61</v>
      </c>
      <c r="T86" s="45" t="s">
        <v>111</v>
      </c>
      <c r="U86" s="45" t="s">
        <v>14</v>
      </c>
      <c r="V86" s="45" t="s">
        <v>63</v>
      </c>
    </row>
    <row r="87" spans="1:22" x14ac:dyDescent="0.2">
      <c r="A87" s="746" t="s">
        <v>254</v>
      </c>
      <c r="B87" s="758">
        <v>274502380000</v>
      </c>
      <c r="C87" s="17">
        <v>95173849503</v>
      </c>
      <c r="D87" s="17">
        <v>68822170000</v>
      </c>
      <c r="E87" s="17">
        <v>49809100000</v>
      </c>
      <c r="F87" s="17">
        <v>47954760000</v>
      </c>
      <c r="G87" s="17">
        <v>43194780000</v>
      </c>
      <c r="H87" s="17">
        <v>42966390000</v>
      </c>
      <c r="I87" s="17">
        <v>36160350000</v>
      </c>
      <c r="J87" s="17">
        <v>28076030000</v>
      </c>
      <c r="K87" s="17">
        <v>24822170000</v>
      </c>
      <c r="L87" s="675"/>
      <c r="M87" s="17">
        <v>-59779360000</v>
      </c>
      <c r="N87" s="17">
        <v>-57914470000</v>
      </c>
      <c r="O87" s="17">
        <v>-56574720000</v>
      </c>
      <c r="P87" s="17">
        <v>-30199230000</v>
      </c>
      <c r="Q87" s="17">
        <v>-24927560000</v>
      </c>
      <c r="R87" s="17">
        <v>-19066540000</v>
      </c>
      <c r="S87" s="17">
        <v>-17330000000</v>
      </c>
      <c r="T87" s="17">
        <v>-17315880000</v>
      </c>
      <c r="U87" s="17">
        <v>-16386760000</v>
      </c>
      <c r="V87" s="17">
        <v>-10695330000</v>
      </c>
    </row>
    <row r="88" spans="1:22" x14ac:dyDescent="0.2">
      <c r="A88" s="746" t="s">
        <v>253</v>
      </c>
      <c r="B88" s="757" t="s">
        <v>18</v>
      </c>
      <c r="C88" s="45" t="s">
        <v>32</v>
      </c>
      <c r="D88" s="45" t="s">
        <v>6</v>
      </c>
      <c r="E88" s="45" t="s">
        <v>68</v>
      </c>
      <c r="F88" s="45" t="s">
        <v>15</v>
      </c>
      <c r="G88" s="45" t="s">
        <v>70</v>
      </c>
      <c r="H88" s="45" t="s">
        <v>24</v>
      </c>
      <c r="I88" s="45" t="s">
        <v>79</v>
      </c>
      <c r="J88" s="45" t="s">
        <v>73</v>
      </c>
      <c r="K88" s="45" t="s">
        <v>13</v>
      </c>
      <c r="L88" s="675"/>
      <c r="M88" s="45" t="s">
        <v>100</v>
      </c>
      <c r="N88" s="45" t="s">
        <v>33</v>
      </c>
      <c r="O88" s="45" t="s">
        <v>97</v>
      </c>
      <c r="P88" s="45" t="s">
        <v>62</v>
      </c>
      <c r="Q88" s="45" t="s">
        <v>315</v>
      </c>
      <c r="R88" s="45" t="s">
        <v>30</v>
      </c>
      <c r="S88" s="45" t="s">
        <v>108</v>
      </c>
      <c r="T88" s="45" t="s">
        <v>26</v>
      </c>
      <c r="U88" s="45" t="s">
        <v>109</v>
      </c>
      <c r="V88" s="45" t="s">
        <v>8</v>
      </c>
    </row>
    <row r="89" spans="1:22" x14ac:dyDescent="0.2">
      <c r="A89" s="746" t="s">
        <v>253</v>
      </c>
      <c r="B89" s="758">
        <v>210583440000</v>
      </c>
      <c r="C89" s="17">
        <v>79187531196</v>
      </c>
      <c r="D89" s="17">
        <v>45284800000</v>
      </c>
      <c r="E89" s="17">
        <v>42586530000</v>
      </c>
      <c r="F89" s="17">
        <v>40831670000</v>
      </c>
      <c r="G89" s="17">
        <v>28799250000</v>
      </c>
      <c r="H89" s="17">
        <v>21956530000</v>
      </c>
      <c r="I89" s="17">
        <v>20563360000</v>
      </c>
      <c r="J89" s="17">
        <v>18207710000</v>
      </c>
      <c r="K89" s="17">
        <v>17283080000</v>
      </c>
      <c r="L89" s="675"/>
      <c r="M89" s="17">
        <v>-43934320000</v>
      </c>
      <c r="N89" s="496">
        <v>-40154010000</v>
      </c>
      <c r="O89" s="17">
        <v>-35386810000</v>
      </c>
      <c r="P89" s="17">
        <v>-34837490000</v>
      </c>
      <c r="Q89" s="17">
        <v>-26934710000</v>
      </c>
      <c r="R89" s="17">
        <v>-25711370000</v>
      </c>
      <c r="S89" s="497">
        <v>-24140250000</v>
      </c>
      <c r="T89" s="17">
        <v>-22166440000</v>
      </c>
      <c r="U89" s="17">
        <v>-21935770000</v>
      </c>
      <c r="V89" s="17">
        <v>-16181870000</v>
      </c>
    </row>
    <row r="90" spans="1:22" x14ac:dyDescent="0.2">
      <c r="A90" s="746" t="s">
        <v>252</v>
      </c>
      <c r="B90" s="45" t="s">
        <v>15</v>
      </c>
      <c r="C90" s="45" t="s">
        <v>18</v>
      </c>
      <c r="D90" s="45" t="s">
        <v>6</v>
      </c>
      <c r="E90" s="45" t="s">
        <v>32</v>
      </c>
      <c r="F90" s="45" t="s">
        <v>5</v>
      </c>
      <c r="G90" s="45" t="s">
        <v>68</v>
      </c>
      <c r="H90" s="45" t="s">
        <v>40</v>
      </c>
      <c r="I90" s="45" t="s">
        <v>368</v>
      </c>
      <c r="J90" s="45" t="s">
        <v>16</v>
      </c>
      <c r="K90" s="45" t="s">
        <v>100</v>
      </c>
      <c r="L90" s="675"/>
      <c r="M90" s="45" t="s">
        <v>27</v>
      </c>
      <c r="N90" s="45" t="s">
        <v>13</v>
      </c>
      <c r="O90" s="45" t="s">
        <v>62</v>
      </c>
      <c r="P90" s="45" t="s">
        <v>33</v>
      </c>
      <c r="Q90" s="45" t="s">
        <v>45</v>
      </c>
      <c r="R90" s="45" t="s">
        <v>75</v>
      </c>
      <c r="S90" s="45" t="s">
        <v>21</v>
      </c>
      <c r="T90" s="45" t="s">
        <v>69</v>
      </c>
      <c r="U90" s="45" t="s">
        <v>30</v>
      </c>
      <c r="V90" s="45" t="s">
        <v>65</v>
      </c>
    </row>
    <row r="91" spans="1:22" x14ac:dyDescent="0.2">
      <c r="A91" s="746" t="s">
        <v>252</v>
      </c>
      <c r="B91" s="17">
        <v>163984090000</v>
      </c>
      <c r="C91" s="17">
        <v>160361570000</v>
      </c>
      <c r="D91" s="17">
        <v>91076780000</v>
      </c>
      <c r="E91" s="17">
        <v>79917759560</v>
      </c>
      <c r="F91" s="17">
        <v>72750560000</v>
      </c>
      <c r="G91" s="17">
        <v>60505710000</v>
      </c>
      <c r="H91" s="17">
        <v>49151280000</v>
      </c>
      <c r="I91" s="17">
        <v>47614990000</v>
      </c>
      <c r="J91" s="17">
        <v>39603600000</v>
      </c>
      <c r="K91" s="17">
        <v>37962390000</v>
      </c>
      <c r="L91" s="675"/>
      <c r="M91" s="17">
        <v>-84720520000</v>
      </c>
      <c r="N91" s="17">
        <v>-51271160000</v>
      </c>
      <c r="O91" s="17">
        <v>-45390670000</v>
      </c>
      <c r="P91" s="17">
        <v>-37123900000</v>
      </c>
      <c r="Q91" s="17">
        <v>-27912800000</v>
      </c>
      <c r="R91" s="17">
        <v>-20792140000</v>
      </c>
      <c r="S91" s="17">
        <v>-18885349479</v>
      </c>
      <c r="T91" s="17">
        <v>-16124530000</v>
      </c>
      <c r="U91" s="17">
        <v>-15713610000</v>
      </c>
      <c r="V91" s="17">
        <v>-15591480000</v>
      </c>
    </row>
    <row r="92" spans="1:22" x14ac:dyDescent="0.2">
      <c r="A92" s="746" t="s">
        <v>251</v>
      </c>
      <c r="B92" s="45" t="s">
        <v>15</v>
      </c>
      <c r="C92" s="45" t="s">
        <v>18</v>
      </c>
      <c r="D92" s="45" t="s">
        <v>5</v>
      </c>
      <c r="E92" s="45" t="s">
        <v>175</v>
      </c>
      <c r="F92" s="45" t="s">
        <v>13</v>
      </c>
      <c r="G92" s="45" t="s">
        <v>70</v>
      </c>
      <c r="H92" s="45" t="s">
        <v>28</v>
      </c>
      <c r="I92" s="45" t="s">
        <v>32</v>
      </c>
      <c r="J92" s="45" t="s">
        <v>351</v>
      </c>
      <c r="K92" s="45" t="s">
        <v>384</v>
      </c>
      <c r="L92" s="675"/>
      <c r="M92" s="45" t="s">
        <v>27</v>
      </c>
      <c r="N92" s="45" t="s">
        <v>100</v>
      </c>
      <c r="O92" s="45" t="s">
        <v>26</v>
      </c>
      <c r="P92" s="45" t="s">
        <v>6</v>
      </c>
      <c r="Q92" s="45" t="s">
        <v>99</v>
      </c>
      <c r="R92" s="45" t="s">
        <v>196</v>
      </c>
      <c r="S92" s="45" t="s">
        <v>61</v>
      </c>
      <c r="T92" s="45" t="s">
        <v>24</v>
      </c>
      <c r="U92" s="45" t="s">
        <v>30</v>
      </c>
      <c r="V92" s="45" t="s">
        <v>19</v>
      </c>
    </row>
    <row r="93" spans="1:22" x14ac:dyDescent="0.2">
      <c r="A93" s="746" t="s">
        <v>251</v>
      </c>
      <c r="B93" s="17">
        <v>102673120000</v>
      </c>
      <c r="C93" s="17">
        <v>91234370000</v>
      </c>
      <c r="D93" s="17">
        <v>44825670000</v>
      </c>
      <c r="E93" s="17">
        <v>42490610000</v>
      </c>
      <c r="F93" s="17">
        <v>33725560000</v>
      </c>
      <c r="G93" s="17">
        <v>32853150000</v>
      </c>
      <c r="H93" s="17">
        <v>30346090000</v>
      </c>
      <c r="I93" s="17">
        <v>28367751275</v>
      </c>
      <c r="J93" s="493">
        <v>21330840000</v>
      </c>
      <c r="K93" s="17">
        <v>17572310000</v>
      </c>
      <c r="L93" s="675"/>
      <c r="M93" s="17">
        <v>-177372680000</v>
      </c>
      <c r="N93" s="17">
        <v>-57925620000</v>
      </c>
      <c r="O93" s="17">
        <v>-50360290000</v>
      </c>
      <c r="P93" s="17">
        <v>-41816980000</v>
      </c>
      <c r="Q93" s="17">
        <v>-29120330000</v>
      </c>
      <c r="R93" s="17">
        <v>-26821580000</v>
      </c>
      <c r="S93" s="494">
        <v>-25744970000</v>
      </c>
      <c r="T93" s="17">
        <v>-23782970000</v>
      </c>
      <c r="U93" s="17">
        <v>-23374690000</v>
      </c>
      <c r="V93" s="17">
        <v>-22070270000</v>
      </c>
    </row>
    <row r="94" spans="1:22" x14ac:dyDescent="0.2">
      <c r="A94" s="746" t="s">
        <v>250</v>
      </c>
      <c r="B94" s="45" t="s">
        <v>6</v>
      </c>
      <c r="C94" s="45" t="s">
        <v>5</v>
      </c>
      <c r="D94" s="45" t="s">
        <v>25</v>
      </c>
      <c r="E94" s="45" t="s">
        <v>9</v>
      </c>
      <c r="F94" s="45" t="s">
        <v>368</v>
      </c>
      <c r="G94" s="45" t="s">
        <v>107</v>
      </c>
      <c r="H94" s="45" t="s">
        <v>19</v>
      </c>
      <c r="I94" s="45" t="s">
        <v>32</v>
      </c>
      <c r="J94" s="45" t="s">
        <v>16</v>
      </c>
      <c r="K94" s="45" t="s">
        <v>111</v>
      </c>
      <c r="L94" s="675"/>
      <c r="M94" s="45" t="s">
        <v>18</v>
      </c>
      <c r="N94" s="45" t="s">
        <v>67</v>
      </c>
      <c r="O94" s="45" t="s">
        <v>27</v>
      </c>
      <c r="P94" s="45" t="s">
        <v>62</v>
      </c>
      <c r="Q94" s="45" t="s">
        <v>100</v>
      </c>
      <c r="R94" s="45" t="s">
        <v>30</v>
      </c>
      <c r="S94" s="45" t="s">
        <v>33</v>
      </c>
      <c r="T94" s="45" t="s">
        <v>61</v>
      </c>
      <c r="U94" s="45" t="s">
        <v>24</v>
      </c>
      <c r="V94" s="45" t="s">
        <v>14</v>
      </c>
    </row>
    <row r="95" spans="1:22" x14ac:dyDescent="0.2">
      <c r="A95" s="746" t="s">
        <v>250</v>
      </c>
      <c r="B95" s="17">
        <v>141745820000</v>
      </c>
      <c r="C95" s="17">
        <v>62325510000</v>
      </c>
      <c r="D95" s="17">
        <v>50427120000</v>
      </c>
      <c r="E95" s="17">
        <v>47737230000</v>
      </c>
      <c r="F95" s="17">
        <v>41999800000</v>
      </c>
      <c r="G95" s="489">
        <v>36354310000</v>
      </c>
      <c r="H95" s="17">
        <v>31557530000</v>
      </c>
      <c r="I95" s="17">
        <v>31068312602</v>
      </c>
      <c r="J95" s="17">
        <v>28241380000</v>
      </c>
      <c r="K95" s="17">
        <v>28083920000</v>
      </c>
      <c r="L95" s="675"/>
      <c r="M95" s="17">
        <v>-88580890000</v>
      </c>
      <c r="N95" s="17">
        <v>-63510270000</v>
      </c>
      <c r="O95" s="17">
        <v>-60901780000</v>
      </c>
      <c r="P95" s="17">
        <v>-47246580000</v>
      </c>
      <c r="Q95" s="17">
        <v>-28488500000</v>
      </c>
      <c r="R95" s="17">
        <v>-25328560000</v>
      </c>
      <c r="S95" s="17">
        <v>-25087790000</v>
      </c>
      <c r="T95" s="17">
        <v>-22391960000</v>
      </c>
      <c r="U95" s="17">
        <v>-19315550000</v>
      </c>
      <c r="V95" s="17">
        <v>-19015970000</v>
      </c>
    </row>
    <row r="96" spans="1:22" x14ac:dyDescent="0.2">
      <c r="A96" s="746" t="s">
        <v>249</v>
      </c>
      <c r="B96" s="45" t="s">
        <v>24</v>
      </c>
      <c r="C96" s="45" t="s">
        <v>100</v>
      </c>
      <c r="D96" s="45" t="s">
        <v>6</v>
      </c>
      <c r="E96" s="45" t="s">
        <v>15</v>
      </c>
      <c r="F96" s="45" t="s">
        <v>9</v>
      </c>
      <c r="G96" s="45" t="s">
        <v>97</v>
      </c>
      <c r="H96" s="45" t="s">
        <v>11</v>
      </c>
      <c r="I96" s="45" t="s">
        <v>204</v>
      </c>
      <c r="J96" s="45" t="s">
        <v>28</v>
      </c>
      <c r="K96" s="45" t="s">
        <v>14</v>
      </c>
      <c r="L96" s="675"/>
      <c r="M96" s="45" t="s">
        <v>18</v>
      </c>
      <c r="N96" s="45" t="s">
        <v>67</v>
      </c>
      <c r="O96" s="45" t="s">
        <v>62</v>
      </c>
      <c r="P96" s="45" t="s">
        <v>27</v>
      </c>
      <c r="Q96" s="45" t="s">
        <v>21</v>
      </c>
      <c r="R96" s="45" t="s">
        <v>30</v>
      </c>
      <c r="S96" s="45" t="s">
        <v>25</v>
      </c>
      <c r="T96" s="45" t="s">
        <v>196</v>
      </c>
      <c r="U96" s="45" t="s">
        <v>337</v>
      </c>
      <c r="V96" s="45" t="s">
        <v>10</v>
      </c>
    </row>
    <row r="97" spans="1:22" x14ac:dyDescent="0.2">
      <c r="A97" s="746" t="s">
        <v>249</v>
      </c>
      <c r="B97" s="17">
        <v>93564320000</v>
      </c>
      <c r="C97" s="17">
        <v>90782500000</v>
      </c>
      <c r="D97" s="17">
        <v>89399130000</v>
      </c>
      <c r="E97" s="17">
        <v>81910260000</v>
      </c>
      <c r="F97" s="17">
        <v>67094780000</v>
      </c>
      <c r="G97" s="17">
        <v>64931460000</v>
      </c>
      <c r="H97" s="17">
        <v>47917350000</v>
      </c>
      <c r="I97" s="17">
        <v>46714460000</v>
      </c>
      <c r="J97" s="17">
        <v>42447050000</v>
      </c>
      <c r="K97" s="17">
        <v>37412420000</v>
      </c>
      <c r="L97" s="675"/>
      <c r="M97" s="17">
        <v>-97899570000</v>
      </c>
      <c r="N97" s="17">
        <v>-60611390000</v>
      </c>
      <c r="O97" s="487">
        <v>-58583190000</v>
      </c>
      <c r="P97" s="17">
        <v>-44574870000</v>
      </c>
      <c r="Q97" s="488">
        <v>-41488526844</v>
      </c>
      <c r="R97" s="17">
        <v>-38763660000</v>
      </c>
      <c r="S97" s="17">
        <v>-22321990000</v>
      </c>
      <c r="T97" s="17">
        <v>-18359830000</v>
      </c>
      <c r="U97" s="17">
        <v>-14217640000</v>
      </c>
      <c r="V97" s="17">
        <v>-11889718981</v>
      </c>
    </row>
    <row r="98" spans="1:22" x14ac:dyDescent="0.2">
      <c r="A98" s="746" t="s">
        <v>248</v>
      </c>
      <c r="B98" s="45" t="s">
        <v>24</v>
      </c>
      <c r="C98" s="45" t="s">
        <v>39</v>
      </c>
      <c r="D98" s="45" t="s">
        <v>18</v>
      </c>
      <c r="E98" s="45" t="s">
        <v>5</v>
      </c>
      <c r="F98" s="45" t="s">
        <v>109</v>
      </c>
      <c r="G98" s="45" t="s">
        <v>82</v>
      </c>
      <c r="H98" s="45" t="s">
        <v>11</v>
      </c>
      <c r="I98" s="45" t="s">
        <v>350</v>
      </c>
      <c r="J98" s="45" t="s">
        <v>74</v>
      </c>
      <c r="K98" s="45" t="s">
        <v>103</v>
      </c>
      <c r="L98" s="675"/>
      <c r="M98" s="751" t="s">
        <v>27</v>
      </c>
      <c r="N98" s="45" t="s">
        <v>26</v>
      </c>
      <c r="O98" s="45" t="s">
        <v>67</v>
      </c>
      <c r="P98" s="45" t="s">
        <v>25</v>
      </c>
      <c r="Q98" s="45" t="s">
        <v>65</v>
      </c>
      <c r="R98" s="45" t="s">
        <v>19</v>
      </c>
      <c r="S98" s="45" t="s">
        <v>62</v>
      </c>
      <c r="T98" s="45" t="s">
        <v>9</v>
      </c>
      <c r="U98" s="45" t="s">
        <v>8</v>
      </c>
      <c r="V98" s="45" t="s">
        <v>202</v>
      </c>
    </row>
    <row r="99" spans="1:22" x14ac:dyDescent="0.2">
      <c r="A99" s="746" t="s">
        <v>248</v>
      </c>
      <c r="B99" s="17">
        <v>106422050000</v>
      </c>
      <c r="C99" s="483">
        <v>62078060000</v>
      </c>
      <c r="D99" s="17">
        <v>28219830000</v>
      </c>
      <c r="E99" s="17">
        <v>22986940000</v>
      </c>
      <c r="F99" s="17">
        <v>16920630000</v>
      </c>
      <c r="G99" s="17">
        <v>11690820000</v>
      </c>
      <c r="H99" s="17">
        <v>11590810000</v>
      </c>
      <c r="I99" s="484">
        <v>10866700000</v>
      </c>
      <c r="J99" s="17">
        <v>5881860000</v>
      </c>
      <c r="K99" s="17">
        <v>5590656159</v>
      </c>
      <c r="L99" s="675"/>
      <c r="M99" s="752">
        <v>-145764350000</v>
      </c>
      <c r="N99" s="17">
        <v>-67104260000</v>
      </c>
      <c r="O99" s="17">
        <v>-66081700000</v>
      </c>
      <c r="P99" s="17">
        <v>-50888550000</v>
      </c>
      <c r="Q99" s="485">
        <v>-42590070000</v>
      </c>
      <c r="R99" s="17">
        <v>-36328000000</v>
      </c>
      <c r="S99" s="17">
        <v>-35125030000</v>
      </c>
      <c r="T99" s="17">
        <v>-30998450000</v>
      </c>
      <c r="U99" s="17">
        <v>-19881190000</v>
      </c>
      <c r="V99" s="17">
        <v>-19838980000</v>
      </c>
    </row>
    <row r="100" spans="1:22" x14ac:dyDescent="0.2">
      <c r="A100" s="746" t="s">
        <v>247</v>
      </c>
      <c r="B100" s="45" t="s">
        <v>5</v>
      </c>
      <c r="C100" s="45" t="s">
        <v>18</v>
      </c>
      <c r="D100" s="45" t="s">
        <v>11</v>
      </c>
      <c r="E100" s="45" t="s">
        <v>28</v>
      </c>
      <c r="F100" s="45" t="s">
        <v>224</v>
      </c>
      <c r="G100" s="45" t="s">
        <v>109</v>
      </c>
      <c r="H100" s="45" t="s">
        <v>97</v>
      </c>
      <c r="I100" s="45" t="s">
        <v>70</v>
      </c>
      <c r="J100" s="45" t="s">
        <v>196</v>
      </c>
      <c r="K100" s="45" t="s">
        <v>100</v>
      </c>
      <c r="L100" s="675"/>
      <c r="M100" s="751" t="s">
        <v>27</v>
      </c>
      <c r="N100" s="45" t="s">
        <v>24</v>
      </c>
      <c r="O100" s="45" t="s">
        <v>25</v>
      </c>
      <c r="P100" s="45" t="s">
        <v>13</v>
      </c>
      <c r="Q100" s="45" t="s">
        <v>67</v>
      </c>
      <c r="R100" s="45" t="s">
        <v>26</v>
      </c>
      <c r="S100" s="45" t="s">
        <v>98</v>
      </c>
      <c r="T100" s="45" t="s">
        <v>65</v>
      </c>
      <c r="U100" s="45" t="s">
        <v>45</v>
      </c>
      <c r="V100" s="45" t="s">
        <v>40</v>
      </c>
    </row>
    <row r="101" spans="1:22" x14ac:dyDescent="0.2">
      <c r="A101" s="746" t="s">
        <v>247</v>
      </c>
      <c r="B101" s="17">
        <v>90542080000</v>
      </c>
      <c r="C101" s="17">
        <v>57682310000</v>
      </c>
      <c r="D101" s="17">
        <v>55873620000</v>
      </c>
      <c r="E101" s="17">
        <v>52227660000</v>
      </c>
      <c r="F101" s="478">
        <v>50011340000</v>
      </c>
      <c r="G101" s="17">
        <v>45222010000</v>
      </c>
      <c r="H101" s="17">
        <v>42850670000</v>
      </c>
      <c r="I101" s="17">
        <v>39505120000</v>
      </c>
      <c r="J101" s="17">
        <v>37494840000</v>
      </c>
      <c r="K101" s="17">
        <v>30712550000</v>
      </c>
      <c r="L101" s="675"/>
      <c r="M101" s="752">
        <v>-207424690000</v>
      </c>
      <c r="N101" s="17">
        <v>-83689170000</v>
      </c>
      <c r="O101" s="17">
        <v>-64141700000</v>
      </c>
      <c r="P101" s="17">
        <v>-59299540000</v>
      </c>
      <c r="Q101" s="17">
        <v>-47660420000</v>
      </c>
      <c r="R101" s="17">
        <v>-42798440000</v>
      </c>
      <c r="S101" s="479">
        <v>-40927580000</v>
      </c>
      <c r="T101" s="480">
        <v>-35911970000</v>
      </c>
      <c r="U101" s="17">
        <v>-34567010000</v>
      </c>
      <c r="V101" s="17">
        <v>-31486720000</v>
      </c>
    </row>
    <row r="102" spans="1:22" x14ac:dyDescent="0.2">
      <c r="A102" s="746" t="s">
        <v>246</v>
      </c>
      <c r="B102" s="45" t="s">
        <v>18</v>
      </c>
      <c r="C102" s="45" t="s">
        <v>40</v>
      </c>
      <c r="D102" s="45" t="s">
        <v>21</v>
      </c>
      <c r="E102" s="45" t="s">
        <v>10</v>
      </c>
      <c r="F102" s="45" t="s">
        <v>7</v>
      </c>
      <c r="G102" s="45" t="s">
        <v>8</v>
      </c>
      <c r="H102" s="45" t="s">
        <v>98</v>
      </c>
      <c r="I102" s="45" t="s">
        <v>332</v>
      </c>
      <c r="J102" s="45" t="s">
        <v>29</v>
      </c>
      <c r="K102" s="45" t="s">
        <v>279</v>
      </c>
      <c r="L102" s="675"/>
      <c r="M102" s="751" t="s">
        <v>27</v>
      </c>
      <c r="N102" s="45" t="s">
        <v>19</v>
      </c>
      <c r="O102" s="45" t="s">
        <v>5</v>
      </c>
      <c r="P102" s="45" t="s">
        <v>13</v>
      </c>
      <c r="Q102" s="45" t="s">
        <v>24</v>
      </c>
      <c r="R102" s="45" t="s">
        <v>45</v>
      </c>
      <c r="S102" s="45" t="s">
        <v>68</v>
      </c>
      <c r="T102" s="45" t="s">
        <v>73</v>
      </c>
      <c r="U102" s="45" t="s">
        <v>15</v>
      </c>
      <c r="V102" s="45" t="s">
        <v>196</v>
      </c>
    </row>
    <row r="103" spans="1:22" x14ac:dyDescent="0.2">
      <c r="A103" s="746" t="s">
        <v>246</v>
      </c>
      <c r="B103" s="17">
        <v>105562810000</v>
      </c>
      <c r="C103" s="17">
        <v>30395810000</v>
      </c>
      <c r="D103" s="17">
        <v>25240925757</v>
      </c>
      <c r="E103" s="17">
        <v>24651519592</v>
      </c>
      <c r="F103" s="17">
        <v>17246547991</v>
      </c>
      <c r="G103" s="17">
        <v>16158690000</v>
      </c>
      <c r="H103" s="17">
        <v>15999880000</v>
      </c>
      <c r="I103" s="17">
        <v>11193990000</v>
      </c>
      <c r="J103" s="17">
        <v>9368690000</v>
      </c>
      <c r="K103" s="17">
        <v>7228620000</v>
      </c>
      <c r="L103" s="675"/>
      <c r="M103" s="752">
        <v>-280215730000</v>
      </c>
      <c r="N103" s="475">
        <v>-210510170000</v>
      </c>
      <c r="O103" s="17">
        <v>-86190280000</v>
      </c>
      <c r="P103" s="17">
        <v>-77208970000</v>
      </c>
      <c r="Q103" s="17">
        <v>-75175760000</v>
      </c>
      <c r="R103" s="17">
        <v>-58582260000</v>
      </c>
      <c r="S103" s="17">
        <v>-57784280000</v>
      </c>
      <c r="T103" s="17">
        <v>-54136470000</v>
      </c>
      <c r="U103" s="17">
        <v>-54002990000</v>
      </c>
      <c r="V103" s="17">
        <v>-53859070000</v>
      </c>
    </row>
    <row r="104" spans="1:22" x14ac:dyDescent="0.2">
      <c r="A104" s="746" t="s">
        <v>245</v>
      </c>
      <c r="B104" s="45" t="s">
        <v>178</v>
      </c>
      <c r="C104" s="45" t="s">
        <v>79</v>
      </c>
      <c r="D104" s="45" t="s">
        <v>15</v>
      </c>
      <c r="E104" s="45" t="s">
        <v>8</v>
      </c>
      <c r="F104" s="45" t="s">
        <v>21</v>
      </c>
      <c r="G104" s="45" t="s">
        <v>19</v>
      </c>
      <c r="H104" s="45" t="s">
        <v>278</v>
      </c>
      <c r="I104" s="45" t="s">
        <v>16</v>
      </c>
      <c r="J104" s="45" t="s">
        <v>224</v>
      </c>
      <c r="K104" s="45" t="s">
        <v>18</v>
      </c>
      <c r="L104" s="675"/>
      <c r="M104" s="751" t="s">
        <v>27</v>
      </c>
      <c r="N104" s="45" t="s">
        <v>26</v>
      </c>
      <c r="O104" s="45" t="s">
        <v>45</v>
      </c>
      <c r="P104" s="45" t="s">
        <v>196</v>
      </c>
      <c r="Q104" s="45" t="s">
        <v>24</v>
      </c>
      <c r="R104" s="45" t="s">
        <v>14</v>
      </c>
      <c r="S104" s="45" t="s">
        <v>111</v>
      </c>
      <c r="T104" s="45" t="s">
        <v>100</v>
      </c>
      <c r="U104" s="45" t="s">
        <v>28</v>
      </c>
      <c r="V104" s="45" t="s">
        <v>9</v>
      </c>
    </row>
    <row r="105" spans="1:22" x14ac:dyDescent="0.2">
      <c r="A105" s="746" t="s">
        <v>245</v>
      </c>
      <c r="B105" s="472">
        <v>63809490000</v>
      </c>
      <c r="C105" s="17">
        <v>40423080000</v>
      </c>
      <c r="D105" s="17">
        <v>27232960000</v>
      </c>
      <c r="E105" s="17">
        <v>26908830000</v>
      </c>
      <c r="F105" s="17">
        <v>25049261529</v>
      </c>
      <c r="G105" s="17">
        <v>18460100000</v>
      </c>
      <c r="H105" s="17">
        <v>16220910000</v>
      </c>
      <c r="I105" s="17">
        <v>14637450000</v>
      </c>
      <c r="J105" s="17">
        <v>14051090000</v>
      </c>
      <c r="K105" s="17">
        <v>13300870000</v>
      </c>
      <c r="L105" s="675"/>
      <c r="M105" s="752">
        <v>-247350820000</v>
      </c>
      <c r="N105" s="17">
        <v>-84727420000</v>
      </c>
      <c r="O105" s="473">
        <v>-61433790000</v>
      </c>
      <c r="P105" s="17">
        <v>-60827160000</v>
      </c>
      <c r="Q105" s="17">
        <v>-49881820000</v>
      </c>
      <c r="R105" s="17">
        <v>-45128640000</v>
      </c>
      <c r="S105" s="17">
        <v>-39797370000</v>
      </c>
      <c r="T105" s="17">
        <v>-34403090000</v>
      </c>
      <c r="U105" s="17">
        <v>-29195190000</v>
      </c>
      <c r="V105" s="17">
        <v>-27743550000</v>
      </c>
    </row>
    <row r="106" spans="1:22" x14ac:dyDescent="0.2">
      <c r="A106" s="746" t="s">
        <v>244</v>
      </c>
      <c r="B106" s="45" t="s">
        <v>40</v>
      </c>
      <c r="C106" s="45" t="s">
        <v>5</v>
      </c>
      <c r="D106" s="45" t="s">
        <v>18</v>
      </c>
      <c r="E106" s="45" t="s">
        <v>32</v>
      </c>
      <c r="F106" s="45" t="s">
        <v>178</v>
      </c>
      <c r="G106" s="45" t="s">
        <v>111</v>
      </c>
      <c r="H106" s="45" t="s">
        <v>70</v>
      </c>
      <c r="I106" s="45" t="s">
        <v>98</v>
      </c>
      <c r="J106" s="45" t="s">
        <v>31</v>
      </c>
      <c r="K106" s="45" t="s">
        <v>28</v>
      </c>
      <c r="L106" s="675"/>
      <c r="M106" s="751" t="s">
        <v>27</v>
      </c>
      <c r="N106" s="45" t="s">
        <v>67</v>
      </c>
      <c r="O106" s="45" t="s">
        <v>24</v>
      </c>
      <c r="P106" s="45" t="s">
        <v>75</v>
      </c>
      <c r="Q106" s="45" t="s">
        <v>196</v>
      </c>
      <c r="R106" s="45" t="s">
        <v>45</v>
      </c>
      <c r="S106" s="45" t="s">
        <v>26</v>
      </c>
      <c r="T106" s="45" t="s">
        <v>68</v>
      </c>
      <c r="U106" s="45" t="s">
        <v>184</v>
      </c>
      <c r="V106" s="45" t="s">
        <v>42</v>
      </c>
    </row>
    <row r="107" spans="1:22" x14ac:dyDescent="0.2">
      <c r="A107" s="746" t="s">
        <v>244</v>
      </c>
      <c r="B107" s="468">
        <v>94040600000</v>
      </c>
      <c r="C107" s="17">
        <v>85467050000</v>
      </c>
      <c r="D107" s="17">
        <v>74814430000</v>
      </c>
      <c r="E107" s="17">
        <v>64210784960</v>
      </c>
      <c r="F107" s="469">
        <v>59340490000</v>
      </c>
      <c r="G107" s="17">
        <v>55413350000</v>
      </c>
      <c r="H107" s="17">
        <v>34514800000</v>
      </c>
      <c r="I107" s="17">
        <v>33203570000</v>
      </c>
      <c r="J107" s="17">
        <v>30046210000</v>
      </c>
      <c r="K107" s="17">
        <v>25151280000</v>
      </c>
      <c r="L107" s="675"/>
      <c r="M107" s="752">
        <v>-246180560000</v>
      </c>
      <c r="N107" s="17">
        <v>-75085470000</v>
      </c>
      <c r="O107" s="17">
        <v>-52668330000</v>
      </c>
      <c r="P107" s="17">
        <v>-50037780000</v>
      </c>
      <c r="Q107" s="17">
        <v>-33123090000</v>
      </c>
      <c r="R107" s="17">
        <v>-22975170000</v>
      </c>
      <c r="S107" s="17">
        <v>-19990560000</v>
      </c>
      <c r="T107" s="17">
        <v>-12248080000</v>
      </c>
      <c r="U107" s="17">
        <v>-11973500000</v>
      </c>
      <c r="V107" s="470">
        <v>-11386370000</v>
      </c>
    </row>
    <row r="108" spans="1:22" x14ac:dyDescent="0.2">
      <c r="A108" s="746" t="s">
        <v>243</v>
      </c>
      <c r="B108" s="45" t="s">
        <v>38</v>
      </c>
      <c r="C108" s="45" t="s">
        <v>67</v>
      </c>
      <c r="D108" s="45" t="s">
        <v>28</v>
      </c>
      <c r="E108" s="45" t="s">
        <v>175</v>
      </c>
      <c r="F108" s="45" t="s">
        <v>279</v>
      </c>
      <c r="G108" s="45" t="s">
        <v>91</v>
      </c>
      <c r="H108" s="45" t="s">
        <v>8</v>
      </c>
      <c r="I108" s="45" t="s">
        <v>224</v>
      </c>
      <c r="J108" s="45" t="s">
        <v>14</v>
      </c>
      <c r="K108" s="45" t="s">
        <v>82</v>
      </c>
      <c r="L108" s="675"/>
      <c r="M108" s="751" t="s">
        <v>27</v>
      </c>
      <c r="N108" s="45" t="s">
        <v>75</v>
      </c>
      <c r="O108" s="45" t="s">
        <v>24</v>
      </c>
      <c r="P108" s="45" t="s">
        <v>73</v>
      </c>
      <c r="Q108" s="45" t="s">
        <v>196</v>
      </c>
      <c r="R108" s="45" t="s">
        <v>18</v>
      </c>
      <c r="S108" s="45" t="s">
        <v>26</v>
      </c>
      <c r="T108" s="45" t="s">
        <v>16</v>
      </c>
      <c r="U108" s="45" t="s">
        <v>100</v>
      </c>
      <c r="V108" s="45" t="s">
        <v>19</v>
      </c>
    </row>
    <row r="109" spans="1:22" x14ac:dyDescent="0.2">
      <c r="A109" s="746" t="s">
        <v>243</v>
      </c>
      <c r="B109" s="465">
        <v>427750610000</v>
      </c>
      <c r="C109" s="17">
        <v>29807542793</v>
      </c>
      <c r="D109" s="17">
        <v>28543420000</v>
      </c>
      <c r="E109" s="17">
        <v>14729970000</v>
      </c>
      <c r="F109" s="17">
        <v>13431680000</v>
      </c>
      <c r="G109" s="17">
        <v>13381946123</v>
      </c>
      <c r="H109" s="17">
        <v>13244597951</v>
      </c>
      <c r="I109" s="17">
        <v>13035001653</v>
      </c>
      <c r="J109" s="17">
        <v>11858910000</v>
      </c>
      <c r="K109" s="17">
        <v>10891130090</v>
      </c>
      <c r="L109" s="675"/>
      <c r="M109" s="752">
        <v>-216272537368</v>
      </c>
      <c r="N109" s="466">
        <v>-168386670000</v>
      </c>
      <c r="O109" s="17">
        <v>-65931792266</v>
      </c>
      <c r="P109" s="17">
        <v>-62992400000</v>
      </c>
      <c r="Q109" s="17">
        <v>-58847170000</v>
      </c>
      <c r="R109" s="17">
        <v>-48591159895</v>
      </c>
      <c r="S109" s="17">
        <v>-47433030000</v>
      </c>
      <c r="T109" s="17">
        <v>-45849743720</v>
      </c>
      <c r="U109" s="17">
        <v>-44673820000</v>
      </c>
      <c r="V109" s="17">
        <v>-37034850000</v>
      </c>
    </row>
    <row r="110" spans="1:22" x14ac:dyDescent="0.2">
      <c r="A110" s="746" t="s">
        <v>242</v>
      </c>
      <c r="B110" s="45" t="s">
        <v>18</v>
      </c>
      <c r="C110" s="45" t="s">
        <v>178</v>
      </c>
      <c r="D110" s="45" t="s">
        <v>175</v>
      </c>
      <c r="E110" s="45" t="s">
        <v>26</v>
      </c>
      <c r="F110" s="45" t="s">
        <v>15</v>
      </c>
      <c r="G110" s="45" t="s">
        <v>25</v>
      </c>
      <c r="H110" s="45" t="s">
        <v>11</v>
      </c>
      <c r="I110" s="45" t="s">
        <v>215</v>
      </c>
      <c r="J110" s="45" t="s">
        <v>9</v>
      </c>
      <c r="K110" s="45" t="s">
        <v>8</v>
      </c>
      <c r="L110" s="675"/>
      <c r="M110" s="751" t="s">
        <v>27</v>
      </c>
      <c r="N110" s="45" t="s">
        <v>24</v>
      </c>
      <c r="O110" s="45" t="s">
        <v>74</v>
      </c>
      <c r="P110" s="45" t="s">
        <v>67</v>
      </c>
      <c r="Q110" s="45" t="s">
        <v>279</v>
      </c>
      <c r="R110" s="45" t="s">
        <v>73</v>
      </c>
      <c r="S110" s="45" t="s">
        <v>40</v>
      </c>
      <c r="T110" s="45" t="s">
        <v>60</v>
      </c>
      <c r="U110" s="45" t="s">
        <v>75</v>
      </c>
      <c r="V110" s="45" t="s">
        <v>69</v>
      </c>
    </row>
    <row r="111" spans="1:22" x14ac:dyDescent="0.2">
      <c r="A111" s="746" t="s">
        <v>242</v>
      </c>
      <c r="B111" s="460">
        <v>276121530000</v>
      </c>
      <c r="C111" s="17">
        <v>56453680000</v>
      </c>
      <c r="D111" s="17">
        <v>48765340000</v>
      </c>
      <c r="E111" s="17">
        <v>46808880000</v>
      </c>
      <c r="F111" s="17">
        <v>44359010000</v>
      </c>
      <c r="G111" s="17">
        <v>36680920000</v>
      </c>
      <c r="H111" s="17">
        <v>35351290000</v>
      </c>
      <c r="I111" s="17">
        <v>28143000000</v>
      </c>
      <c r="J111" s="17">
        <v>27196200000</v>
      </c>
      <c r="K111" s="17">
        <v>24100840000</v>
      </c>
      <c r="L111" s="675"/>
      <c r="M111" s="752">
        <v>-132747590000</v>
      </c>
      <c r="N111" s="17">
        <v>-65866300000</v>
      </c>
      <c r="O111" s="17">
        <v>-56802620000</v>
      </c>
      <c r="P111" s="17">
        <v>-30189250000</v>
      </c>
      <c r="Q111" s="461">
        <v>-22960620000</v>
      </c>
      <c r="R111" s="17">
        <v>-21420240000</v>
      </c>
      <c r="S111" s="17">
        <v>-19092080000</v>
      </c>
      <c r="T111" s="17">
        <v>-18644513420</v>
      </c>
      <c r="U111" s="17">
        <v>-15356200000</v>
      </c>
      <c r="V111" s="17">
        <v>-13998450000</v>
      </c>
    </row>
    <row r="112" spans="1:22" x14ac:dyDescent="0.2">
      <c r="A112" s="746" t="s">
        <v>241</v>
      </c>
      <c r="B112" s="45" t="s">
        <v>32</v>
      </c>
      <c r="C112" s="45" t="s">
        <v>178</v>
      </c>
      <c r="D112" s="45" t="s">
        <v>15</v>
      </c>
      <c r="E112" s="45" t="s">
        <v>175</v>
      </c>
      <c r="F112" s="45" t="s">
        <v>224</v>
      </c>
      <c r="G112" s="45" t="s">
        <v>19</v>
      </c>
      <c r="H112" s="45" t="s">
        <v>13</v>
      </c>
      <c r="I112" s="45" t="s">
        <v>28</v>
      </c>
      <c r="J112" s="45" t="s">
        <v>62</v>
      </c>
      <c r="K112" s="45" t="s">
        <v>61</v>
      </c>
      <c r="L112" s="675"/>
      <c r="M112" s="751" t="s">
        <v>27</v>
      </c>
      <c r="N112" s="45" t="s">
        <v>25</v>
      </c>
      <c r="O112" s="45" t="s">
        <v>100</v>
      </c>
      <c r="P112" s="45" t="s">
        <v>324</v>
      </c>
      <c r="Q112" s="45" t="s">
        <v>69</v>
      </c>
      <c r="R112" s="45" t="s">
        <v>72</v>
      </c>
      <c r="S112" s="45" t="s">
        <v>24</v>
      </c>
      <c r="T112" s="45" t="s">
        <v>14</v>
      </c>
      <c r="U112" s="45" t="s">
        <v>31</v>
      </c>
      <c r="V112" s="45" t="s">
        <v>67</v>
      </c>
    </row>
    <row r="113" spans="1:22" x14ac:dyDescent="0.2">
      <c r="A113" s="746" t="s">
        <v>241</v>
      </c>
      <c r="B113" s="17">
        <v>64244168735</v>
      </c>
      <c r="C113" s="452">
        <v>56719100000</v>
      </c>
      <c r="D113" s="17">
        <v>54597370000</v>
      </c>
      <c r="E113" s="17">
        <v>42048840000</v>
      </c>
      <c r="F113" s="453">
        <v>36116770000</v>
      </c>
      <c r="G113" s="17">
        <v>35296590000</v>
      </c>
      <c r="H113" s="17">
        <v>32414800000</v>
      </c>
      <c r="I113" s="17">
        <v>32114280000</v>
      </c>
      <c r="J113" s="17">
        <v>29503890000</v>
      </c>
      <c r="K113" s="17">
        <v>28076860000</v>
      </c>
      <c r="L113" s="675"/>
      <c r="M113" s="752">
        <v>-282946710000</v>
      </c>
      <c r="N113" s="17">
        <v>-122637680000</v>
      </c>
      <c r="O113" s="17">
        <v>-27601790000</v>
      </c>
      <c r="P113" s="454">
        <v>-27096630000</v>
      </c>
      <c r="Q113" s="17">
        <v>-26937520000</v>
      </c>
      <c r="R113" s="17">
        <v>-23959660000</v>
      </c>
      <c r="S113" s="17">
        <v>-22257710000</v>
      </c>
      <c r="T113" s="17">
        <v>-18202210000</v>
      </c>
      <c r="U113" s="17">
        <v>-17977280000</v>
      </c>
      <c r="V113" s="17">
        <v>-15538520000</v>
      </c>
    </row>
    <row r="114" spans="1:22" x14ac:dyDescent="0.2">
      <c r="A114" s="746" t="s">
        <v>240</v>
      </c>
      <c r="B114" s="45" t="s">
        <v>75</v>
      </c>
      <c r="C114" s="45" t="s">
        <v>18</v>
      </c>
      <c r="D114" s="45" t="s">
        <v>19</v>
      </c>
      <c r="E114" s="45" t="s">
        <v>178</v>
      </c>
      <c r="F114" s="45" t="s">
        <v>24</v>
      </c>
      <c r="G114" s="45" t="s">
        <v>16</v>
      </c>
      <c r="H114" s="45" t="s">
        <v>79</v>
      </c>
      <c r="I114" s="45" t="s">
        <v>14</v>
      </c>
      <c r="J114" s="45" t="s">
        <v>61</v>
      </c>
      <c r="K114" s="45" t="s">
        <v>70</v>
      </c>
      <c r="L114" s="675"/>
      <c r="M114" s="751" t="s">
        <v>27</v>
      </c>
      <c r="N114" s="45" t="s">
        <v>73</v>
      </c>
      <c r="O114" s="45" t="s">
        <v>100</v>
      </c>
      <c r="P114" s="45" t="s">
        <v>8</v>
      </c>
      <c r="Q114" s="45" t="s">
        <v>5</v>
      </c>
      <c r="R114" s="45" t="s">
        <v>26</v>
      </c>
      <c r="S114" s="45" t="s">
        <v>45</v>
      </c>
      <c r="T114" s="45" t="s">
        <v>175</v>
      </c>
      <c r="U114" s="45" t="s">
        <v>41</v>
      </c>
      <c r="V114" s="45" t="s">
        <v>202</v>
      </c>
    </row>
    <row r="115" spans="1:22" x14ac:dyDescent="0.2">
      <c r="A115" s="746" t="s">
        <v>240</v>
      </c>
      <c r="B115" s="17">
        <v>224222080000</v>
      </c>
      <c r="C115" s="17">
        <v>120952130000</v>
      </c>
      <c r="D115" s="17">
        <v>64256410000</v>
      </c>
      <c r="E115" s="447">
        <v>55393940000</v>
      </c>
      <c r="F115" s="17">
        <v>46587510000</v>
      </c>
      <c r="G115" s="17">
        <v>46360510000</v>
      </c>
      <c r="H115" s="17">
        <v>46132860000</v>
      </c>
      <c r="I115" s="17">
        <v>44949160000</v>
      </c>
      <c r="J115" s="17">
        <v>43939440000</v>
      </c>
      <c r="K115" s="17">
        <v>40110220000</v>
      </c>
      <c r="L115" s="675"/>
      <c r="M115" s="752">
        <v>-228093530000</v>
      </c>
      <c r="N115" s="448">
        <v>-111443390000</v>
      </c>
      <c r="O115" s="17">
        <v>-43434860000</v>
      </c>
      <c r="P115" s="17">
        <v>-42876910000</v>
      </c>
      <c r="Q115" s="17">
        <v>-41533220000</v>
      </c>
      <c r="R115" s="17">
        <v>-36217530000</v>
      </c>
      <c r="S115" s="17">
        <v>-25147140000</v>
      </c>
      <c r="T115" s="17">
        <v>-21741990000</v>
      </c>
      <c r="U115" s="17">
        <v>-21543620000</v>
      </c>
      <c r="V115" s="17">
        <v>-20500510000</v>
      </c>
    </row>
    <row r="116" spans="1:22" x14ac:dyDescent="0.2">
      <c r="A116" s="746" t="s">
        <v>239</v>
      </c>
      <c r="B116" s="45" t="s">
        <v>24</v>
      </c>
      <c r="C116" s="45" t="s">
        <v>18</v>
      </c>
      <c r="D116" s="45" t="s">
        <v>13</v>
      </c>
      <c r="E116" s="45" t="s">
        <v>40</v>
      </c>
      <c r="F116" s="45" t="s">
        <v>196</v>
      </c>
      <c r="G116" s="45" t="s">
        <v>74</v>
      </c>
      <c r="H116" s="45" t="s">
        <v>14</v>
      </c>
      <c r="I116" s="45" t="s">
        <v>99</v>
      </c>
      <c r="J116" s="45" t="s">
        <v>61</v>
      </c>
      <c r="K116" s="45" t="s">
        <v>31</v>
      </c>
      <c r="L116" s="675"/>
      <c r="M116" s="45" t="s">
        <v>15</v>
      </c>
      <c r="N116" s="45" t="s">
        <v>27</v>
      </c>
      <c r="O116" s="45" t="s">
        <v>73</v>
      </c>
      <c r="P116" s="45" t="s">
        <v>26</v>
      </c>
      <c r="Q116" s="45" t="s">
        <v>60</v>
      </c>
      <c r="R116" s="45" t="s">
        <v>175</v>
      </c>
      <c r="S116" s="45" t="s">
        <v>401</v>
      </c>
      <c r="T116" s="45" t="s">
        <v>209</v>
      </c>
      <c r="U116" s="45" t="s">
        <v>75</v>
      </c>
      <c r="V116" s="45" t="s">
        <v>63</v>
      </c>
    </row>
    <row r="117" spans="1:22" x14ac:dyDescent="0.2">
      <c r="A117" s="746" t="s">
        <v>239</v>
      </c>
      <c r="B117" s="17">
        <v>135598370000</v>
      </c>
      <c r="C117" s="17">
        <v>110453300000</v>
      </c>
      <c r="D117" s="17">
        <v>84089480000</v>
      </c>
      <c r="E117" s="440">
        <v>78242590000</v>
      </c>
      <c r="F117" s="17">
        <v>72633460000</v>
      </c>
      <c r="G117" s="441">
        <v>66510550000</v>
      </c>
      <c r="H117" s="17">
        <v>48428820000</v>
      </c>
      <c r="I117" s="17">
        <v>46950050000</v>
      </c>
      <c r="J117" s="17">
        <v>43643020000</v>
      </c>
      <c r="K117" s="17">
        <v>39300030000</v>
      </c>
      <c r="L117" s="675"/>
      <c r="M117" s="17">
        <v>-113806130000</v>
      </c>
      <c r="N117" s="17">
        <v>-110710690000</v>
      </c>
      <c r="O117" s="17">
        <v>-46892530000</v>
      </c>
      <c r="P117" s="17">
        <v>-34446490000</v>
      </c>
      <c r="Q117" s="17">
        <v>-22312851966</v>
      </c>
      <c r="R117" s="17">
        <v>-16706570000</v>
      </c>
      <c r="S117" s="17">
        <v>-15092140000</v>
      </c>
      <c r="T117" s="17">
        <v>-12308720000</v>
      </c>
      <c r="U117" s="17">
        <v>-9518840000</v>
      </c>
      <c r="V117" s="17">
        <v>-9041100000</v>
      </c>
    </row>
    <row r="118" spans="1:22" x14ac:dyDescent="0.2">
      <c r="A118" s="746" t="s">
        <v>238</v>
      </c>
      <c r="B118" s="45" t="s">
        <v>69</v>
      </c>
      <c r="C118" s="45" t="s">
        <v>61</v>
      </c>
      <c r="D118" s="45" t="s">
        <v>72</v>
      </c>
      <c r="E118" s="45" t="s">
        <v>99</v>
      </c>
      <c r="F118" s="45" t="s">
        <v>16</v>
      </c>
      <c r="G118" s="45" t="s">
        <v>183</v>
      </c>
      <c r="H118" s="45" t="s">
        <v>324</v>
      </c>
      <c r="I118" s="45" t="s">
        <v>224</v>
      </c>
      <c r="J118" s="45" t="s">
        <v>89</v>
      </c>
      <c r="K118" s="45" t="s">
        <v>202</v>
      </c>
      <c r="L118" s="675"/>
      <c r="M118" s="45" t="s">
        <v>27</v>
      </c>
      <c r="N118" s="45" t="s">
        <v>24</v>
      </c>
      <c r="O118" s="45" t="s">
        <v>5</v>
      </c>
      <c r="P118" s="45" t="s">
        <v>111</v>
      </c>
      <c r="Q118" s="45" t="s">
        <v>9</v>
      </c>
      <c r="R118" s="45" t="s">
        <v>28</v>
      </c>
      <c r="S118" s="45" t="s">
        <v>6</v>
      </c>
      <c r="T118" s="45" t="s">
        <v>26</v>
      </c>
      <c r="U118" s="45" t="s">
        <v>31</v>
      </c>
      <c r="V118" s="45" t="s">
        <v>67</v>
      </c>
    </row>
    <row r="119" spans="1:22" x14ac:dyDescent="0.2">
      <c r="A119" s="746" t="s">
        <v>238</v>
      </c>
      <c r="B119" s="436">
        <v>74953220000</v>
      </c>
      <c r="C119" s="17">
        <v>54820000000</v>
      </c>
      <c r="D119" s="437">
        <v>51551070000</v>
      </c>
      <c r="E119" s="17">
        <v>29217820000</v>
      </c>
      <c r="F119" s="17">
        <v>22531680000</v>
      </c>
      <c r="G119" s="17">
        <v>22302040000</v>
      </c>
      <c r="H119" s="17">
        <v>19503350000</v>
      </c>
      <c r="I119" s="17">
        <v>16087890000</v>
      </c>
      <c r="J119" s="17">
        <v>15688784427</v>
      </c>
      <c r="K119" s="17">
        <v>15355030000</v>
      </c>
      <c r="L119" s="675"/>
      <c r="M119" s="17">
        <v>-177221900000</v>
      </c>
      <c r="N119" s="17">
        <v>-157867090000</v>
      </c>
      <c r="O119" s="17">
        <v>-133007430000</v>
      </c>
      <c r="P119" s="17">
        <v>-84796250000</v>
      </c>
      <c r="Q119" s="17">
        <v>-82894590000</v>
      </c>
      <c r="R119" s="17">
        <v>-78442150000</v>
      </c>
      <c r="S119" s="17">
        <v>-69753420000</v>
      </c>
      <c r="T119" s="17">
        <v>-66204750000</v>
      </c>
      <c r="U119" s="17">
        <v>-46744460000</v>
      </c>
      <c r="V119" s="17">
        <v>-41882330000</v>
      </c>
    </row>
    <row r="120" spans="1:22" x14ac:dyDescent="0.2">
      <c r="A120" s="746" t="s">
        <v>237</v>
      </c>
      <c r="B120" s="45" t="s">
        <v>83</v>
      </c>
      <c r="C120" s="45" t="s">
        <v>32</v>
      </c>
      <c r="D120" s="45" t="s">
        <v>18</v>
      </c>
      <c r="E120" s="45" t="s">
        <v>202</v>
      </c>
      <c r="F120" s="45" t="s">
        <v>111</v>
      </c>
      <c r="G120" s="45" t="s">
        <v>99</v>
      </c>
      <c r="H120" s="45" t="s">
        <v>45</v>
      </c>
      <c r="I120" s="45" t="s">
        <v>73</v>
      </c>
      <c r="J120" s="45" t="s">
        <v>199</v>
      </c>
      <c r="K120" s="45" t="s">
        <v>41</v>
      </c>
      <c r="L120" s="675"/>
      <c r="M120" s="45" t="s">
        <v>14</v>
      </c>
      <c r="N120" s="45" t="s">
        <v>9</v>
      </c>
      <c r="O120" s="45" t="s">
        <v>5</v>
      </c>
      <c r="P120" s="45" t="s">
        <v>26</v>
      </c>
      <c r="Q120" s="45" t="s">
        <v>24</v>
      </c>
      <c r="R120" s="45" t="s">
        <v>27</v>
      </c>
      <c r="S120" s="45" t="s">
        <v>25</v>
      </c>
      <c r="T120" s="45" t="s">
        <v>196</v>
      </c>
      <c r="U120" s="45" t="s">
        <v>75</v>
      </c>
      <c r="V120" s="45" t="s">
        <v>67</v>
      </c>
    </row>
    <row r="121" spans="1:22" x14ac:dyDescent="0.2">
      <c r="A121" s="746" t="s">
        <v>237</v>
      </c>
      <c r="B121" s="428">
        <v>189695840000</v>
      </c>
      <c r="C121" s="429">
        <v>162556294428</v>
      </c>
      <c r="D121" s="17">
        <v>70721320000</v>
      </c>
      <c r="E121" s="430">
        <v>65933640000</v>
      </c>
      <c r="F121" s="17">
        <v>63668980000</v>
      </c>
      <c r="G121" s="17">
        <v>58797140000</v>
      </c>
      <c r="H121" s="17">
        <v>52099560000</v>
      </c>
      <c r="I121" s="17">
        <v>49247490000</v>
      </c>
      <c r="J121" s="17">
        <v>33904930000</v>
      </c>
      <c r="K121" s="17">
        <v>32976830000</v>
      </c>
      <c r="L121" s="675"/>
      <c r="M121" s="431">
        <v>-283068570000</v>
      </c>
      <c r="N121" s="432">
        <v>-224023520000</v>
      </c>
      <c r="O121" s="17">
        <v>-156020900000</v>
      </c>
      <c r="P121" s="17">
        <v>-141336030000</v>
      </c>
      <c r="Q121" s="17">
        <v>-129125420000</v>
      </c>
      <c r="R121" s="17">
        <v>-118189540000</v>
      </c>
      <c r="S121" s="17">
        <v>-81705480000</v>
      </c>
      <c r="T121" s="17">
        <v>-53673670000</v>
      </c>
      <c r="U121" s="17">
        <v>-33545820000</v>
      </c>
      <c r="V121" s="17">
        <v>-30004540000</v>
      </c>
    </row>
    <row r="122" spans="1:22" x14ac:dyDescent="0.2">
      <c r="A122" s="746" t="s">
        <v>236</v>
      </c>
      <c r="B122" s="45" t="s">
        <v>100</v>
      </c>
      <c r="C122" s="45" t="s">
        <v>18</v>
      </c>
      <c r="D122" s="45" t="s">
        <v>196</v>
      </c>
      <c r="E122" s="45" t="s">
        <v>32</v>
      </c>
      <c r="F122" s="45" t="s">
        <v>14</v>
      </c>
      <c r="G122" s="45" t="s">
        <v>75</v>
      </c>
      <c r="H122" s="45" t="s">
        <v>61</v>
      </c>
      <c r="I122" s="45" t="s">
        <v>73</v>
      </c>
      <c r="J122" s="45" t="s">
        <v>99</v>
      </c>
      <c r="K122" s="45" t="s">
        <v>82</v>
      </c>
      <c r="L122" s="675"/>
      <c r="M122" s="45" t="s">
        <v>26</v>
      </c>
      <c r="N122" s="45" t="s">
        <v>5</v>
      </c>
      <c r="O122" s="45" t="s">
        <v>24</v>
      </c>
      <c r="P122" s="45" t="s">
        <v>9</v>
      </c>
      <c r="Q122" s="45" t="s">
        <v>28</v>
      </c>
      <c r="R122" s="45" t="s">
        <v>111</v>
      </c>
      <c r="S122" s="45" t="s">
        <v>6</v>
      </c>
      <c r="T122" s="45" t="s">
        <v>19</v>
      </c>
      <c r="U122" s="45" t="s">
        <v>25</v>
      </c>
      <c r="V122" s="45" t="s">
        <v>40</v>
      </c>
    </row>
    <row r="123" spans="1:22" x14ac:dyDescent="0.2">
      <c r="A123" s="746" t="s">
        <v>236</v>
      </c>
      <c r="B123" s="422">
        <v>165655590000</v>
      </c>
      <c r="C123" s="17">
        <v>129696930000</v>
      </c>
      <c r="D123" s="17">
        <v>86712210000</v>
      </c>
      <c r="E123" s="423">
        <v>70447947659</v>
      </c>
      <c r="F123" s="17">
        <v>47098690000</v>
      </c>
      <c r="G123" s="17">
        <v>29407990000</v>
      </c>
      <c r="H123" s="17">
        <v>28284700000</v>
      </c>
      <c r="I123" s="17">
        <v>24990200000</v>
      </c>
      <c r="J123" s="17">
        <v>24427990000</v>
      </c>
      <c r="K123" s="17">
        <v>21964270000</v>
      </c>
      <c r="L123" s="675"/>
      <c r="M123" s="17">
        <v>-248090690000</v>
      </c>
      <c r="N123" s="17">
        <v>-170110110000</v>
      </c>
      <c r="O123" s="17">
        <v>-159276120000</v>
      </c>
      <c r="P123" s="424">
        <v>-98182980000</v>
      </c>
      <c r="Q123" s="17">
        <v>-85718400000</v>
      </c>
      <c r="R123" s="17">
        <v>-68309180000</v>
      </c>
      <c r="S123" s="17">
        <v>-60194660000</v>
      </c>
      <c r="T123" s="17">
        <v>-42379390000</v>
      </c>
      <c r="U123" s="17">
        <v>-36431370000</v>
      </c>
      <c r="V123" s="17">
        <v>-31247030000</v>
      </c>
    </row>
    <row r="124" spans="1:22" x14ac:dyDescent="0.2">
      <c r="A124" s="746" t="s">
        <v>235</v>
      </c>
      <c r="B124" s="45" t="s">
        <v>18</v>
      </c>
      <c r="C124" s="45" t="s">
        <v>16</v>
      </c>
      <c r="D124" s="45" t="s">
        <v>32</v>
      </c>
      <c r="E124" s="45" t="s">
        <v>5</v>
      </c>
      <c r="F124" s="45" t="s">
        <v>19</v>
      </c>
      <c r="G124" s="45" t="s">
        <v>102</v>
      </c>
      <c r="H124" s="45" t="s">
        <v>40</v>
      </c>
      <c r="I124" s="45" t="s">
        <v>31</v>
      </c>
      <c r="J124" s="45" t="s">
        <v>101</v>
      </c>
      <c r="K124" s="45" t="s">
        <v>111</v>
      </c>
      <c r="L124" s="675"/>
      <c r="M124" s="45" t="s">
        <v>26</v>
      </c>
      <c r="N124" s="45" t="s">
        <v>6</v>
      </c>
      <c r="O124" s="45" t="s">
        <v>27</v>
      </c>
      <c r="P124" s="45" t="s">
        <v>14</v>
      </c>
      <c r="Q124" s="45" t="s">
        <v>24</v>
      </c>
      <c r="R124" s="45" t="s">
        <v>73</v>
      </c>
      <c r="S124" s="45" t="s">
        <v>75</v>
      </c>
      <c r="T124" s="45" t="s">
        <v>25</v>
      </c>
      <c r="U124" s="45" t="s">
        <v>315</v>
      </c>
      <c r="V124" s="45" t="s">
        <v>13</v>
      </c>
    </row>
    <row r="125" spans="1:22" x14ac:dyDescent="0.2">
      <c r="A125" s="746" t="s">
        <v>235</v>
      </c>
      <c r="B125" s="17">
        <v>169745900000</v>
      </c>
      <c r="C125" s="17">
        <v>54704030000</v>
      </c>
      <c r="D125" s="17">
        <v>51280267066</v>
      </c>
      <c r="E125" s="17">
        <v>34805490000</v>
      </c>
      <c r="F125" s="17">
        <v>27315590000</v>
      </c>
      <c r="G125" s="17">
        <v>24022220000</v>
      </c>
      <c r="H125" s="17">
        <v>23909310000</v>
      </c>
      <c r="I125" s="17">
        <v>23848140000</v>
      </c>
      <c r="J125" s="418">
        <v>23567380000</v>
      </c>
      <c r="K125" s="17">
        <v>19946680000</v>
      </c>
      <c r="L125" s="675"/>
      <c r="M125" s="17">
        <v>-218517630000</v>
      </c>
      <c r="N125" s="17">
        <v>-189456720000</v>
      </c>
      <c r="O125" s="17">
        <v>-150852040000</v>
      </c>
      <c r="P125" s="17">
        <v>-145273450000</v>
      </c>
      <c r="Q125" s="17">
        <v>-94135350000</v>
      </c>
      <c r="R125" s="17">
        <v>-53874110000</v>
      </c>
      <c r="S125" s="17">
        <v>-47816700000</v>
      </c>
      <c r="T125" s="17">
        <v>-43908630000</v>
      </c>
      <c r="U125" s="419">
        <v>-37852420000</v>
      </c>
      <c r="V125" s="17">
        <v>-36853710000</v>
      </c>
    </row>
    <row r="126" spans="1:22" x14ac:dyDescent="0.2">
      <c r="A126" s="746" t="s">
        <v>234</v>
      </c>
      <c r="B126" s="45" t="s">
        <v>14</v>
      </c>
      <c r="C126" s="45" t="s">
        <v>5</v>
      </c>
      <c r="D126" s="45" t="s">
        <v>18</v>
      </c>
      <c r="E126" s="45" t="s">
        <v>204</v>
      </c>
      <c r="F126" s="45" t="s">
        <v>8</v>
      </c>
      <c r="G126" s="45" t="s">
        <v>16</v>
      </c>
      <c r="H126" s="45" t="s">
        <v>337</v>
      </c>
      <c r="I126" s="45" t="s">
        <v>31</v>
      </c>
      <c r="J126" s="45" t="s">
        <v>7</v>
      </c>
      <c r="K126" s="45" t="s">
        <v>196</v>
      </c>
      <c r="L126" s="675"/>
      <c r="M126" s="45" t="s">
        <v>27</v>
      </c>
      <c r="N126" s="45" t="s">
        <v>25</v>
      </c>
      <c r="O126" s="45" t="s">
        <v>83</v>
      </c>
      <c r="P126" s="45" t="s">
        <v>24</v>
      </c>
      <c r="Q126" s="45" t="s">
        <v>75</v>
      </c>
      <c r="R126" s="45" t="s">
        <v>26</v>
      </c>
      <c r="S126" s="45" t="s">
        <v>6</v>
      </c>
      <c r="T126" s="45" t="s">
        <v>15</v>
      </c>
      <c r="U126" s="45" t="s">
        <v>97</v>
      </c>
      <c r="V126" s="45" t="s">
        <v>9</v>
      </c>
    </row>
    <row r="127" spans="1:22" x14ac:dyDescent="0.2">
      <c r="A127" s="746" t="s">
        <v>234</v>
      </c>
      <c r="B127" s="17">
        <v>182560220000</v>
      </c>
      <c r="C127" s="17">
        <v>45977320000</v>
      </c>
      <c r="D127" s="17">
        <v>34748415324</v>
      </c>
      <c r="E127" s="17">
        <v>31826516172</v>
      </c>
      <c r="F127" s="17">
        <v>31471871716</v>
      </c>
      <c r="G127" s="17">
        <v>30486850000</v>
      </c>
      <c r="H127" s="414">
        <v>26945945636</v>
      </c>
      <c r="I127" s="17">
        <v>21392468806</v>
      </c>
      <c r="J127" s="17">
        <v>18747265138</v>
      </c>
      <c r="K127" s="17">
        <v>18390960000</v>
      </c>
      <c r="L127" s="675"/>
      <c r="M127" s="17">
        <v>-323204470000</v>
      </c>
      <c r="N127" s="415">
        <v>-255703040000</v>
      </c>
      <c r="O127" s="416">
        <v>-192301632553</v>
      </c>
      <c r="P127" s="17">
        <v>-159946283236</v>
      </c>
      <c r="Q127" s="417">
        <v>-158446285450</v>
      </c>
      <c r="R127" s="17">
        <v>-122359472621</v>
      </c>
      <c r="S127" s="17">
        <v>-112128316766</v>
      </c>
      <c r="T127" s="17">
        <v>-73965160000</v>
      </c>
      <c r="U127" s="17">
        <v>-66087075570</v>
      </c>
      <c r="V127" s="17">
        <v>-42581837224</v>
      </c>
    </row>
    <row r="128" spans="1:22" x14ac:dyDescent="0.2">
      <c r="A128" s="746" t="s">
        <v>233</v>
      </c>
      <c r="B128" s="45" t="s">
        <v>209</v>
      </c>
      <c r="C128" s="45" t="s">
        <v>45</v>
      </c>
      <c r="D128" s="45" t="s">
        <v>18</v>
      </c>
      <c r="E128" s="45" t="s">
        <v>68</v>
      </c>
      <c r="F128" s="45" t="s">
        <v>107</v>
      </c>
      <c r="G128" s="45" t="s">
        <v>224</v>
      </c>
      <c r="H128" s="45" t="s">
        <v>64</v>
      </c>
      <c r="I128" s="45" t="s">
        <v>70</v>
      </c>
      <c r="J128" s="45" t="s">
        <v>13</v>
      </c>
      <c r="K128" s="45" t="s">
        <v>61</v>
      </c>
      <c r="L128" s="675"/>
      <c r="M128" s="45" t="s">
        <v>26</v>
      </c>
      <c r="N128" s="45" t="s">
        <v>11</v>
      </c>
      <c r="O128" s="45" t="s">
        <v>27</v>
      </c>
      <c r="P128" s="45" t="s">
        <v>97</v>
      </c>
      <c r="Q128" s="45" t="s">
        <v>24</v>
      </c>
      <c r="R128" s="45" t="s">
        <v>25</v>
      </c>
      <c r="S128" s="45" t="s">
        <v>9</v>
      </c>
      <c r="T128" s="45" t="s">
        <v>15</v>
      </c>
      <c r="U128" s="45" t="s">
        <v>368</v>
      </c>
      <c r="V128" s="45" t="s">
        <v>14</v>
      </c>
    </row>
    <row r="129" spans="1:22" x14ac:dyDescent="0.2">
      <c r="A129" s="746" t="s">
        <v>233</v>
      </c>
      <c r="B129" s="407">
        <v>45332240000</v>
      </c>
      <c r="C129" s="17">
        <v>32641190000</v>
      </c>
      <c r="D129" s="17">
        <v>29483140000</v>
      </c>
      <c r="E129" s="17">
        <v>17968760000</v>
      </c>
      <c r="F129" s="17">
        <v>17015590000</v>
      </c>
      <c r="G129" s="17">
        <v>14932150000</v>
      </c>
      <c r="H129" s="17">
        <v>13466190000</v>
      </c>
      <c r="I129" s="17">
        <v>12121100000</v>
      </c>
      <c r="J129" s="17">
        <v>10527480000</v>
      </c>
      <c r="K129" s="17">
        <v>10173340000</v>
      </c>
      <c r="L129" s="675"/>
      <c r="M129" s="408">
        <v>-1008216290000</v>
      </c>
      <c r="N129" s="409">
        <v>-164721490000</v>
      </c>
      <c r="O129" s="17">
        <v>-135075230000</v>
      </c>
      <c r="P129" s="410">
        <v>-118811110000</v>
      </c>
      <c r="Q129" s="17">
        <v>-71786220000</v>
      </c>
      <c r="R129" s="17">
        <v>-42886720000</v>
      </c>
      <c r="S129" s="17">
        <v>-38992010000</v>
      </c>
      <c r="T129" s="17">
        <v>-38822510000</v>
      </c>
      <c r="U129" s="411">
        <v>-38079950000</v>
      </c>
      <c r="V129" s="17">
        <v>-33054060000</v>
      </c>
    </row>
    <row r="130" spans="1:22" x14ac:dyDescent="0.2">
      <c r="A130" s="746" t="s">
        <v>232</v>
      </c>
      <c r="B130" s="45" t="s">
        <v>196</v>
      </c>
      <c r="C130" s="45" t="s">
        <v>16</v>
      </c>
      <c r="D130" s="45" t="s">
        <v>97</v>
      </c>
      <c r="E130" s="45" t="s">
        <v>11</v>
      </c>
      <c r="F130" s="45" t="s">
        <v>70</v>
      </c>
      <c r="G130" s="45" t="s">
        <v>111</v>
      </c>
      <c r="H130" s="45" t="s">
        <v>5</v>
      </c>
      <c r="I130" s="45" t="s">
        <v>40</v>
      </c>
      <c r="J130" s="45" t="s">
        <v>8</v>
      </c>
      <c r="K130" s="45" t="s">
        <v>202</v>
      </c>
      <c r="L130" s="675"/>
      <c r="M130" s="45" t="s">
        <v>6</v>
      </c>
      <c r="N130" s="45" t="s">
        <v>18</v>
      </c>
      <c r="O130" s="45" t="s">
        <v>24</v>
      </c>
      <c r="P130" s="45" t="s">
        <v>14</v>
      </c>
      <c r="Q130" s="45" t="s">
        <v>10</v>
      </c>
      <c r="R130" s="45" t="s">
        <v>368</v>
      </c>
      <c r="S130" s="45" t="s">
        <v>26</v>
      </c>
      <c r="T130" s="45" t="s">
        <v>27</v>
      </c>
      <c r="U130" s="45" t="s">
        <v>68</v>
      </c>
      <c r="V130" s="45" t="s">
        <v>32</v>
      </c>
    </row>
    <row r="131" spans="1:22" x14ac:dyDescent="0.2">
      <c r="A131" s="746" t="s">
        <v>232</v>
      </c>
      <c r="B131" s="17">
        <v>121342210000</v>
      </c>
      <c r="C131" s="17">
        <v>94186580000</v>
      </c>
      <c r="D131" s="17">
        <v>82135410000</v>
      </c>
      <c r="E131" s="17">
        <v>57915710000</v>
      </c>
      <c r="F131" s="17">
        <v>50167100000</v>
      </c>
      <c r="G131" s="17">
        <v>45033290000</v>
      </c>
      <c r="H131" s="17">
        <v>42035620000</v>
      </c>
      <c r="I131" s="17">
        <v>34439110000</v>
      </c>
      <c r="J131" s="17">
        <v>27823800000</v>
      </c>
      <c r="K131" s="17">
        <v>23899780000</v>
      </c>
      <c r="L131" s="675"/>
      <c r="M131" s="401">
        <v>-395381380000</v>
      </c>
      <c r="N131" s="17">
        <v>-140754150000</v>
      </c>
      <c r="O131" s="17">
        <v>-56580000000</v>
      </c>
      <c r="P131" s="17">
        <v>-46716650000</v>
      </c>
      <c r="Q131" s="17">
        <v>-45042548929</v>
      </c>
      <c r="R131" s="402">
        <v>-35962370000</v>
      </c>
      <c r="S131" s="17">
        <v>-25964450000</v>
      </c>
      <c r="T131" s="17">
        <v>-25695520000</v>
      </c>
      <c r="U131" s="17">
        <v>-23803850000</v>
      </c>
      <c r="V131" s="17">
        <v>-20470117161</v>
      </c>
    </row>
    <row r="132" spans="1:22" x14ac:dyDescent="0.2">
      <c r="A132" s="746" t="s">
        <v>231</v>
      </c>
      <c r="B132" s="45" t="s">
        <v>75</v>
      </c>
      <c r="C132" s="45" t="s">
        <v>196</v>
      </c>
      <c r="D132" s="45" t="s">
        <v>14</v>
      </c>
      <c r="E132" s="45" t="s">
        <v>13</v>
      </c>
      <c r="F132" s="45" t="s">
        <v>32</v>
      </c>
      <c r="G132" s="45" t="s">
        <v>5</v>
      </c>
      <c r="H132" s="45" t="s">
        <v>111</v>
      </c>
      <c r="I132" s="45" t="s">
        <v>401</v>
      </c>
      <c r="J132" s="45" t="s">
        <v>9</v>
      </c>
      <c r="K132" s="45" t="s">
        <v>62</v>
      </c>
      <c r="L132" s="675"/>
      <c r="M132" s="751" t="s">
        <v>24</v>
      </c>
      <c r="N132" s="45" t="s">
        <v>26</v>
      </c>
      <c r="O132" s="45" t="s">
        <v>27</v>
      </c>
      <c r="P132" s="45" t="s">
        <v>6</v>
      </c>
      <c r="Q132" s="45" t="s">
        <v>73</v>
      </c>
      <c r="R132" s="45" t="s">
        <v>15</v>
      </c>
      <c r="S132" s="45" t="s">
        <v>28</v>
      </c>
      <c r="T132" s="45" t="s">
        <v>19</v>
      </c>
      <c r="U132" s="45" t="s">
        <v>31</v>
      </c>
      <c r="V132" s="45" t="s">
        <v>40</v>
      </c>
    </row>
    <row r="133" spans="1:22" x14ac:dyDescent="0.2">
      <c r="A133" s="746" t="s">
        <v>231</v>
      </c>
      <c r="B133" s="398">
        <v>237384840000</v>
      </c>
      <c r="C133" s="17">
        <v>61533010000</v>
      </c>
      <c r="D133" s="17">
        <v>40767410000</v>
      </c>
      <c r="E133" s="17">
        <v>37686790000</v>
      </c>
      <c r="F133" s="17">
        <v>32919770302</v>
      </c>
      <c r="G133" s="17">
        <v>30498880000</v>
      </c>
      <c r="H133" s="17">
        <v>25181310000</v>
      </c>
      <c r="I133" s="17">
        <v>17640830000</v>
      </c>
      <c r="J133" s="17">
        <v>15800550000</v>
      </c>
      <c r="K133" s="17">
        <v>15058690000</v>
      </c>
      <c r="L133" s="675"/>
      <c r="M133" s="752">
        <v>-163695190000</v>
      </c>
      <c r="N133" s="17">
        <v>-134837600000</v>
      </c>
      <c r="O133" s="17">
        <v>-103244260000</v>
      </c>
      <c r="P133" s="17">
        <v>-89148640000</v>
      </c>
      <c r="Q133" s="17">
        <v>-55176750000</v>
      </c>
      <c r="R133" s="17">
        <v>-45313830000</v>
      </c>
      <c r="S133" s="17">
        <v>-34265880000</v>
      </c>
      <c r="T133" s="17">
        <v>-30012850000</v>
      </c>
      <c r="U133" s="17">
        <v>-26127930000</v>
      </c>
      <c r="V133" s="17">
        <v>-25015180000</v>
      </c>
    </row>
    <row r="134" spans="1:22" x14ac:dyDescent="0.2">
      <c r="A134" s="746" t="s">
        <v>230</v>
      </c>
      <c r="B134" s="45" t="s">
        <v>97</v>
      </c>
      <c r="C134" s="45" t="s">
        <v>111</v>
      </c>
      <c r="D134" s="45" t="s">
        <v>196</v>
      </c>
      <c r="E134" s="45" t="s">
        <v>13</v>
      </c>
      <c r="F134" s="45" t="s">
        <v>14</v>
      </c>
      <c r="G134" s="45" t="s">
        <v>18</v>
      </c>
      <c r="H134" s="45" t="s">
        <v>45</v>
      </c>
      <c r="I134" s="45" t="s">
        <v>202</v>
      </c>
      <c r="J134" s="45" t="s">
        <v>21</v>
      </c>
      <c r="K134" s="45" t="s">
        <v>19</v>
      </c>
      <c r="L134" s="675"/>
      <c r="M134" s="751" t="s">
        <v>24</v>
      </c>
      <c r="N134" s="45" t="s">
        <v>15</v>
      </c>
      <c r="O134" s="45" t="s">
        <v>27</v>
      </c>
      <c r="P134" s="45" t="s">
        <v>100</v>
      </c>
      <c r="Q134" s="45" t="s">
        <v>73</v>
      </c>
      <c r="R134" s="45" t="s">
        <v>67</v>
      </c>
      <c r="S134" s="45" t="s">
        <v>26</v>
      </c>
      <c r="T134" s="45" t="s">
        <v>9</v>
      </c>
      <c r="U134" s="45" t="s">
        <v>98</v>
      </c>
      <c r="V134" s="45" t="s">
        <v>75</v>
      </c>
    </row>
    <row r="135" spans="1:22" x14ac:dyDescent="0.2">
      <c r="A135" s="746" t="s">
        <v>230</v>
      </c>
      <c r="B135" s="393">
        <v>192843620000</v>
      </c>
      <c r="C135" s="17">
        <v>147682350000</v>
      </c>
      <c r="D135" s="17">
        <v>122182750000</v>
      </c>
      <c r="E135" s="17">
        <v>78849200000</v>
      </c>
      <c r="F135" s="17">
        <v>42039260000</v>
      </c>
      <c r="G135" s="17">
        <v>38997760000</v>
      </c>
      <c r="H135" s="17">
        <v>29788580000</v>
      </c>
      <c r="I135" s="17">
        <v>26286590000</v>
      </c>
      <c r="J135" s="17">
        <v>19989502486</v>
      </c>
      <c r="K135" s="17">
        <v>18525400000</v>
      </c>
      <c r="L135" s="675"/>
      <c r="M135" s="752">
        <v>-219206700000</v>
      </c>
      <c r="N135" s="17">
        <v>-135783270000</v>
      </c>
      <c r="O135" s="17">
        <v>-115812990000</v>
      </c>
      <c r="P135" s="17">
        <v>-78144540000</v>
      </c>
      <c r="Q135" s="17">
        <v>-69628560000</v>
      </c>
      <c r="R135" s="17">
        <v>-61262090000</v>
      </c>
      <c r="S135" s="17">
        <v>-59930660000</v>
      </c>
      <c r="T135" s="17">
        <v>-52857710000</v>
      </c>
      <c r="U135" s="394">
        <v>-37877050000</v>
      </c>
      <c r="V135" s="17">
        <v>-27097530000</v>
      </c>
    </row>
    <row r="136" spans="1:22" x14ac:dyDescent="0.2">
      <c r="A136" s="746" t="s">
        <v>228</v>
      </c>
      <c r="B136" s="45" t="s">
        <v>6</v>
      </c>
      <c r="C136" s="45" t="s">
        <v>111</v>
      </c>
      <c r="D136" s="45" t="s">
        <v>5</v>
      </c>
      <c r="E136" s="45" t="s">
        <v>14</v>
      </c>
      <c r="F136" s="45" t="s">
        <v>18</v>
      </c>
      <c r="G136" s="45" t="s">
        <v>28</v>
      </c>
      <c r="H136" s="45" t="s">
        <v>10</v>
      </c>
      <c r="I136" s="45" t="s">
        <v>99</v>
      </c>
      <c r="J136" s="45" t="s">
        <v>25</v>
      </c>
      <c r="K136" s="45" t="s">
        <v>13</v>
      </c>
      <c r="L136" s="675"/>
      <c r="M136" s="751" t="s">
        <v>24</v>
      </c>
      <c r="N136" s="45" t="s">
        <v>26</v>
      </c>
      <c r="O136" s="45" t="s">
        <v>27</v>
      </c>
      <c r="P136" s="45" t="s">
        <v>100</v>
      </c>
      <c r="Q136" s="45" t="s">
        <v>73</v>
      </c>
      <c r="R136" s="45" t="s">
        <v>40</v>
      </c>
      <c r="S136" s="45" t="s">
        <v>175</v>
      </c>
      <c r="T136" s="45" t="s">
        <v>199</v>
      </c>
      <c r="U136" s="45" t="s">
        <v>19</v>
      </c>
      <c r="V136" s="45" t="s">
        <v>182</v>
      </c>
    </row>
    <row r="137" spans="1:22" x14ac:dyDescent="0.2">
      <c r="A137" s="746" t="s">
        <v>228</v>
      </c>
      <c r="B137" s="382">
        <v>187794580000</v>
      </c>
      <c r="C137" s="17">
        <v>148127540000</v>
      </c>
      <c r="D137" s="17">
        <v>114481230000</v>
      </c>
      <c r="E137" s="17">
        <v>63847550000</v>
      </c>
      <c r="F137" s="17">
        <v>51072770000</v>
      </c>
      <c r="G137" s="17">
        <v>43269660000</v>
      </c>
      <c r="H137" s="17">
        <v>41914383127</v>
      </c>
      <c r="I137" s="17">
        <v>37804480000</v>
      </c>
      <c r="J137" s="17">
        <v>33043210000</v>
      </c>
      <c r="K137" s="17">
        <v>29025640000</v>
      </c>
      <c r="L137" s="675"/>
      <c r="M137" s="752">
        <v>-202426550000</v>
      </c>
      <c r="N137" s="383">
        <v>-173552550000</v>
      </c>
      <c r="O137" s="17">
        <v>-165119260000</v>
      </c>
      <c r="P137" s="384">
        <v>-146880910000</v>
      </c>
      <c r="Q137" s="17">
        <v>-85955320000</v>
      </c>
      <c r="R137" s="385">
        <v>-63725040000</v>
      </c>
      <c r="S137" s="386">
        <v>-57436870000</v>
      </c>
      <c r="T137" s="387">
        <v>-43627160000</v>
      </c>
      <c r="U137" s="17">
        <v>-26832440000</v>
      </c>
      <c r="V137" s="17">
        <v>-25904260000</v>
      </c>
    </row>
    <row r="138" spans="1:22" x14ac:dyDescent="0.2">
      <c r="A138" s="746" t="s">
        <v>227</v>
      </c>
      <c r="B138" s="45" t="s">
        <v>28</v>
      </c>
      <c r="C138" s="45" t="s">
        <v>14</v>
      </c>
      <c r="D138" s="45" t="s">
        <v>18</v>
      </c>
      <c r="E138" s="45" t="s">
        <v>92</v>
      </c>
      <c r="F138" s="45" t="s">
        <v>97</v>
      </c>
      <c r="G138" s="45" t="s">
        <v>40</v>
      </c>
      <c r="H138" s="45" t="s">
        <v>9</v>
      </c>
      <c r="I138" s="45" t="s">
        <v>111</v>
      </c>
      <c r="J138" s="45" t="s">
        <v>108</v>
      </c>
      <c r="K138" s="45" t="s">
        <v>39</v>
      </c>
      <c r="L138" s="675"/>
      <c r="M138" s="45" t="s">
        <v>67</v>
      </c>
      <c r="N138" s="45" t="s">
        <v>24</v>
      </c>
      <c r="O138" s="45" t="s">
        <v>26</v>
      </c>
      <c r="P138" s="45" t="s">
        <v>175</v>
      </c>
      <c r="Q138" s="45" t="s">
        <v>27</v>
      </c>
      <c r="R138" s="45" t="s">
        <v>16</v>
      </c>
      <c r="S138" s="45" t="s">
        <v>196</v>
      </c>
      <c r="T138" s="45" t="s">
        <v>70</v>
      </c>
      <c r="U138" s="45" t="s">
        <v>25</v>
      </c>
      <c r="V138" s="45" t="s">
        <v>75</v>
      </c>
    </row>
    <row r="139" spans="1:22" x14ac:dyDescent="0.2">
      <c r="A139" s="746" t="s">
        <v>227</v>
      </c>
      <c r="B139" s="17">
        <v>102145700000</v>
      </c>
      <c r="C139" s="17">
        <v>101406880000</v>
      </c>
      <c r="D139" s="17">
        <v>59750170000</v>
      </c>
      <c r="E139" s="374">
        <v>41887560000</v>
      </c>
      <c r="F139" s="17">
        <v>40906410000</v>
      </c>
      <c r="G139" s="17">
        <v>36817100000</v>
      </c>
      <c r="H139" s="17">
        <v>35498760000</v>
      </c>
      <c r="I139" s="17">
        <v>29547970000</v>
      </c>
      <c r="J139" s="17">
        <v>29199700000</v>
      </c>
      <c r="K139" s="17">
        <v>17332400000</v>
      </c>
      <c r="L139" s="675"/>
      <c r="M139" s="17">
        <v>-176740530000</v>
      </c>
      <c r="N139" s="17">
        <v>-83323070000</v>
      </c>
      <c r="O139" s="17">
        <v>-81617500000</v>
      </c>
      <c r="P139" s="375">
        <v>-50440200000</v>
      </c>
      <c r="Q139" s="17">
        <v>-44274780000</v>
      </c>
      <c r="R139" s="17">
        <v>-36295190000</v>
      </c>
      <c r="S139" s="17">
        <v>-34918380000</v>
      </c>
      <c r="T139" s="17">
        <v>-31858400000</v>
      </c>
      <c r="U139" s="17">
        <v>-28065660000</v>
      </c>
      <c r="V139" s="17">
        <v>-25677580000</v>
      </c>
    </row>
    <row r="140" spans="1:22" x14ac:dyDescent="0.2">
      <c r="A140" s="746" t="s">
        <v>226</v>
      </c>
      <c r="B140" s="45" t="s">
        <v>67</v>
      </c>
      <c r="C140" s="45" t="s">
        <v>98</v>
      </c>
      <c r="D140" s="45" t="s">
        <v>64</v>
      </c>
      <c r="E140" s="45" t="s">
        <v>108</v>
      </c>
      <c r="F140" s="45" t="s">
        <v>31</v>
      </c>
      <c r="G140" s="45" t="s">
        <v>28</v>
      </c>
      <c r="H140" s="45" t="s">
        <v>215</v>
      </c>
      <c r="I140" s="45" t="s">
        <v>202</v>
      </c>
      <c r="J140" s="45" t="s">
        <v>288</v>
      </c>
      <c r="K140" s="45" t="s">
        <v>182</v>
      </c>
      <c r="L140" s="675"/>
      <c r="M140" s="45" t="s">
        <v>5</v>
      </c>
      <c r="N140" s="45" t="s">
        <v>25</v>
      </c>
      <c r="O140" s="45" t="s">
        <v>16</v>
      </c>
      <c r="P140" s="45" t="s">
        <v>73</v>
      </c>
      <c r="Q140" s="45" t="s">
        <v>15</v>
      </c>
      <c r="R140" s="45" t="s">
        <v>19</v>
      </c>
      <c r="S140" s="45" t="s">
        <v>24</v>
      </c>
      <c r="T140" s="45" t="s">
        <v>45</v>
      </c>
      <c r="U140" s="45" t="s">
        <v>11</v>
      </c>
      <c r="V140" s="45" t="s">
        <v>18</v>
      </c>
    </row>
    <row r="141" spans="1:22" x14ac:dyDescent="0.2">
      <c r="A141" s="746" t="s">
        <v>226</v>
      </c>
      <c r="B141" s="365">
        <v>195355660000</v>
      </c>
      <c r="C141" s="366">
        <v>88111540000</v>
      </c>
      <c r="D141" s="367">
        <v>73523700000</v>
      </c>
      <c r="E141" s="368">
        <v>45773470000</v>
      </c>
      <c r="F141" s="17">
        <v>42487330000</v>
      </c>
      <c r="G141" s="17">
        <v>42146980000</v>
      </c>
      <c r="H141" s="369">
        <v>34815010000</v>
      </c>
      <c r="I141" s="17">
        <v>30609800000</v>
      </c>
      <c r="J141" s="370">
        <v>27622070000</v>
      </c>
      <c r="K141" s="17">
        <v>20280930000</v>
      </c>
      <c r="L141" s="675"/>
      <c r="M141" s="17">
        <v>-159195630000</v>
      </c>
      <c r="N141" s="17">
        <v>-84710070000</v>
      </c>
      <c r="O141" s="17">
        <v>-79348710000</v>
      </c>
      <c r="P141" s="17">
        <v>-74816880000</v>
      </c>
      <c r="Q141" s="17">
        <v>-72468040000</v>
      </c>
      <c r="R141" s="17">
        <v>-72344940000</v>
      </c>
      <c r="S141" s="17">
        <v>-47954380000</v>
      </c>
      <c r="T141" s="17">
        <v>-47640530000</v>
      </c>
      <c r="U141" s="17">
        <v>-40055070000</v>
      </c>
      <c r="V141" s="17">
        <v>-39408510000</v>
      </c>
    </row>
    <row r="142" spans="1:22" x14ac:dyDescent="0.2">
      <c r="A142" s="746" t="s">
        <v>225</v>
      </c>
      <c r="B142" s="45" t="s">
        <v>25</v>
      </c>
      <c r="C142" s="45" t="s">
        <v>100</v>
      </c>
      <c r="D142" s="45" t="s">
        <v>31</v>
      </c>
      <c r="E142" s="45" t="s">
        <v>20</v>
      </c>
      <c r="F142" s="45" t="s">
        <v>26</v>
      </c>
      <c r="G142" s="45" t="s">
        <v>67</v>
      </c>
      <c r="H142" s="45" t="s">
        <v>40</v>
      </c>
      <c r="I142" s="45" t="s">
        <v>196</v>
      </c>
      <c r="J142" s="45" t="s">
        <v>14</v>
      </c>
      <c r="K142" s="45" t="s">
        <v>39</v>
      </c>
      <c r="L142" s="675"/>
      <c r="M142" s="45" t="s">
        <v>27</v>
      </c>
      <c r="N142" s="45" t="s">
        <v>28</v>
      </c>
      <c r="O142" s="45" t="s">
        <v>16</v>
      </c>
      <c r="P142" s="45" t="s">
        <v>24</v>
      </c>
      <c r="Q142" s="45" t="s">
        <v>15</v>
      </c>
      <c r="R142" s="45" t="s">
        <v>72</v>
      </c>
      <c r="S142" s="45" t="s">
        <v>73</v>
      </c>
      <c r="T142" s="45" t="s">
        <v>5</v>
      </c>
      <c r="U142" s="45" t="s">
        <v>111</v>
      </c>
      <c r="V142" s="45" t="s">
        <v>41</v>
      </c>
    </row>
    <row r="143" spans="1:22" x14ac:dyDescent="0.2">
      <c r="A143" s="746" t="s">
        <v>225</v>
      </c>
      <c r="B143" s="354">
        <v>141397000000</v>
      </c>
      <c r="C143" s="355">
        <v>132142220000</v>
      </c>
      <c r="D143" s="17">
        <v>93533160000</v>
      </c>
      <c r="E143" s="356">
        <v>80360940000</v>
      </c>
      <c r="F143" s="17">
        <v>77925100000</v>
      </c>
      <c r="G143" s="17">
        <v>72781430000</v>
      </c>
      <c r="H143" s="357">
        <v>63774350000</v>
      </c>
      <c r="I143" s="17">
        <v>63653000000</v>
      </c>
      <c r="J143" s="17">
        <v>62485620000</v>
      </c>
      <c r="K143" s="17">
        <v>41912460000</v>
      </c>
      <c r="L143" s="675"/>
      <c r="M143" s="17">
        <v>-184955040000</v>
      </c>
      <c r="N143" s="358">
        <v>-143286560000</v>
      </c>
      <c r="O143" s="17">
        <v>-130674460000</v>
      </c>
      <c r="P143" s="17">
        <v>-106813710000</v>
      </c>
      <c r="Q143" s="17">
        <v>-85753550000</v>
      </c>
      <c r="R143" s="17">
        <v>-53824320000</v>
      </c>
      <c r="S143" s="17">
        <v>-53319110000</v>
      </c>
      <c r="T143" s="17">
        <v>-51618680000</v>
      </c>
      <c r="U143" s="17">
        <v>-39924060000</v>
      </c>
      <c r="V143" s="17">
        <v>-34396170000</v>
      </c>
    </row>
    <row r="144" spans="1:22" x14ac:dyDescent="0.2">
      <c r="A144" s="746" t="s">
        <v>223</v>
      </c>
      <c r="B144" s="45" t="s">
        <v>204</v>
      </c>
      <c r="C144" s="45" t="s">
        <v>100</v>
      </c>
      <c r="D144" s="45" t="s">
        <v>20</v>
      </c>
      <c r="E144" s="45" t="s">
        <v>368</v>
      </c>
      <c r="F144" s="45" t="s">
        <v>109</v>
      </c>
      <c r="G144" s="45" t="s">
        <v>39</v>
      </c>
      <c r="H144" s="45" t="s">
        <v>384</v>
      </c>
      <c r="I144" s="45" t="s">
        <v>19</v>
      </c>
      <c r="J144" s="45" t="s">
        <v>32</v>
      </c>
      <c r="K144" s="45" t="s">
        <v>9</v>
      </c>
      <c r="L144" s="675"/>
      <c r="M144" s="45" t="s">
        <v>15</v>
      </c>
      <c r="N144" s="45" t="s">
        <v>27</v>
      </c>
      <c r="O144" s="45" t="s">
        <v>6</v>
      </c>
      <c r="P144" s="45" t="s">
        <v>24</v>
      </c>
      <c r="Q144" s="45" t="s">
        <v>14</v>
      </c>
      <c r="R144" s="45" t="s">
        <v>67</v>
      </c>
      <c r="S144" s="45" t="s">
        <v>13</v>
      </c>
      <c r="T144" s="45" t="s">
        <v>178</v>
      </c>
      <c r="U144" s="45" t="s">
        <v>16</v>
      </c>
      <c r="V144" s="45" t="s">
        <v>28</v>
      </c>
    </row>
    <row r="145" spans="1:22" x14ac:dyDescent="0.2">
      <c r="A145" s="746" t="s">
        <v>223</v>
      </c>
      <c r="B145" s="349">
        <v>138574700000</v>
      </c>
      <c r="C145" s="17">
        <v>99700770000</v>
      </c>
      <c r="D145" s="17">
        <v>69796670000</v>
      </c>
      <c r="E145" s="17">
        <v>43933430000</v>
      </c>
      <c r="F145" s="17">
        <v>43932520000</v>
      </c>
      <c r="G145" s="17">
        <v>35981610000</v>
      </c>
      <c r="H145" s="17">
        <v>31831800000</v>
      </c>
      <c r="I145" s="17">
        <v>19649230000</v>
      </c>
      <c r="J145" s="17">
        <v>19276991700</v>
      </c>
      <c r="K145" s="17">
        <v>17160410000</v>
      </c>
      <c r="L145" s="675"/>
      <c r="M145" s="17">
        <v>-198375910000</v>
      </c>
      <c r="N145" s="17">
        <v>-157564660000</v>
      </c>
      <c r="O145" s="17">
        <v>-118205290000</v>
      </c>
      <c r="P145" s="17">
        <v>-94430450000</v>
      </c>
      <c r="Q145" s="17">
        <v>-94352270000</v>
      </c>
      <c r="R145" s="17">
        <v>-93668870000</v>
      </c>
      <c r="S145" s="17">
        <v>-92895410000</v>
      </c>
      <c r="T145" s="350">
        <v>-89909400000</v>
      </c>
      <c r="U145" s="17">
        <v>-85216880000</v>
      </c>
      <c r="V145" s="17">
        <v>-79878320000</v>
      </c>
    </row>
    <row r="146" spans="1:22" x14ac:dyDescent="0.2">
      <c r="A146" s="746" t="s">
        <v>222</v>
      </c>
      <c r="B146" s="45" t="s">
        <v>5</v>
      </c>
      <c r="C146" s="45" t="s">
        <v>73</v>
      </c>
      <c r="D146" s="45" t="s">
        <v>32</v>
      </c>
      <c r="E146" s="45" t="s">
        <v>10</v>
      </c>
      <c r="F146" s="45" t="s">
        <v>70</v>
      </c>
      <c r="G146" s="45" t="s">
        <v>11</v>
      </c>
      <c r="H146" s="45" t="s">
        <v>199</v>
      </c>
      <c r="I146" s="45" t="s">
        <v>107</v>
      </c>
      <c r="J146" s="45" t="s">
        <v>384</v>
      </c>
      <c r="K146" s="45" t="s">
        <v>202</v>
      </c>
      <c r="L146" s="675"/>
      <c r="M146" s="45" t="s">
        <v>27</v>
      </c>
      <c r="N146" s="45" t="s">
        <v>24</v>
      </c>
      <c r="O146" s="45" t="s">
        <v>31</v>
      </c>
      <c r="P146" s="45" t="s">
        <v>178</v>
      </c>
      <c r="Q146" s="45" t="s">
        <v>15</v>
      </c>
      <c r="R146" s="45" t="s">
        <v>74</v>
      </c>
      <c r="S146" s="45" t="s">
        <v>18</v>
      </c>
      <c r="T146" s="45" t="s">
        <v>45</v>
      </c>
      <c r="U146" s="45" t="s">
        <v>13</v>
      </c>
      <c r="V146" s="45" t="s">
        <v>28</v>
      </c>
    </row>
    <row r="147" spans="1:22" x14ac:dyDescent="0.2">
      <c r="A147" s="746" t="s">
        <v>222</v>
      </c>
      <c r="B147" s="17">
        <v>130160180000</v>
      </c>
      <c r="C147" s="338">
        <v>71089960000</v>
      </c>
      <c r="D147" s="17">
        <v>54450977103</v>
      </c>
      <c r="E147" s="17">
        <v>52174469075</v>
      </c>
      <c r="F147" s="17">
        <v>50329160000</v>
      </c>
      <c r="G147" s="17">
        <v>49153970000</v>
      </c>
      <c r="H147" s="339">
        <v>40578890000</v>
      </c>
      <c r="I147" s="340">
        <v>28199510000</v>
      </c>
      <c r="J147" s="17">
        <v>25843630000</v>
      </c>
      <c r="K147" s="17">
        <v>20378640000</v>
      </c>
      <c r="L147" s="675"/>
      <c r="M147" s="17">
        <v>-165695960000</v>
      </c>
      <c r="N147" s="17">
        <v>-141209170000</v>
      </c>
      <c r="O147" s="341">
        <v>-104343370000</v>
      </c>
      <c r="P147" s="342">
        <v>-80165790000</v>
      </c>
      <c r="Q147" s="17">
        <v>-63773950000</v>
      </c>
      <c r="R147" s="17">
        <v>-57218770000</v>
      </c>
      <c r="S147" s="17">
        <v>-56243270000</v>
      </c>
      <c r="T147" s="343">
        <v>-52787040000</v>
      </c>
      <c r="U147" s="17">
        <v>-50884000000</v>
      </c>
      <c r="V147" s="17">
        <v>-48598210000</v>
      </c>
    </row>
    <row r="148" spans="1:22" x14ac:dyDescent="0.2">
      <c r="A148" s="746" t="s">
        <v>221</v>
      </c>
      <c r="B148" s="45" t="s">
        <v>18</v>
      </c>
      <c r="C148" s="45" t="s">
        <v>72</v>
      </c>
      <c r="D148" s="45" t="s">
        <v>15</v>
      </c>
      <c r="E148" s="45" t="s">
        <v>69</v>
      </c>
      <c r="F148" s="45" t="s">
        <v>9</v>
      </c>
      <c r="G148" s="45" t="s">
        <v>70</v>
      </c>
      <c r="H148" s="45" t="s">
        <v>61</v>
      </c>
      <c r="I148" s="45" t="s">
        <v>82</v>
      </c>
      <c r="J148" s="45" t="s">
        <v>5</v>
      </c>
      <c r="K148" s="45" t="s">
        <v>64</v>
      </c>
      <c r="L148" s="675"/>
      <c r="M148" s="45" t="s">
        <v>24</v>
      </c>
      <c r="N148" s="45" t="s">
        <v>27</v>
      </c>
      <c r="O148" s="45" t="s">
        <v>97</v>
      </c>
      <c r="P148" s="45" t="s">
        <v>6</v>
      </c>
      <c r="Q148" s="45" t="s">
        <v>13</v>
      </c>
      <c r="R148" s="45" t="s">
        <v>17</v>
      </c>
      <c r="S148" s="45" t="s">
        <v>111</v>
      </c>
      <c r="T148" s="45" t="s">
        <v>178</v>
      </c>
      <c r="U148" s="45" t="s">
        <v>26</v>
      </c>
      <c r="V148" s="45" t="s">
        <v>45</v>
      </c>
    </row>
    <row r="149" spans="1:22" x14ac:dyDescent="0.2">
      <c r="A149" s="746" t="s">
        <v>221</v>
      </c>
      <c r="B149" s="17">
        <v>68469660000</v>
      </c>
      <c r="C149" s="17">
        <v>41985390000</v>
      </c>
      <c r="D149" s="17">
        <v>31343350000</v>
      </c>
      <c r="E149" s="17">
        <v>31265240000</v>
      </c>
      <c r="F149" s="17">
        <v>25189840000</v>
      </c>
      <c r="G149" s="17">
        <v>22840210000</v>
      </c>
      <c r="H149" s="17">
        <v>21917700000</v>
      </c>
      <c r="I149" s="17">
        <v>21784580000</v>
      </c>
      <c r="J149" s="17">
        <v>18946090000</v>
      </c>
      <c r="K149" s="17">
        <v>18463670000</v>
      </c>
      <c r="L149" s="675"/>
      <c r="M149" s="332">
        <v>-242689890000</v>
      </c>
      <c r="N149" s="17">
        <v>-121064800000</v>
      </c>
      <c r="O149" s="17">
        <v>-50972630000</v>
      </c>
      <c r="P149" s="17">
        <v>-49235320000</v>
      </c>
      <c r="Q149" s="17">
        <v>-43589130000</v>
      </c>
      <c r="R149" s="17">
        <v>-43362600000</v>
      </c>
      <c r="S149" s="17">
        <v>-38846110000</v>
      </c>
      <c r="T149" s="17">
        <v>-33618610000</v>
      </c>
      <c r="U149" s="17">
        <v>-32530060000</v>
      </c>
      <c r="V149" s="17">
        <v>-28858930000</v>
      </c>
    </row>
    <row r="150" spans="1:22" x14ac:dyDescent="0.2">
      <c r="A150" s="746" t="s">
        <v>220</v>
      </c>
      <c r="B150" s="45" t="s">
        <v>20</v>
      </c>
      <c r="C150" s="45" t="s">
        <v>290</v>
      </c>
      <c r="D150" s="45" t="s">
        <v>25</v>
      </c>
      <c r="E150" s="45" t="s">
        <v>14</v>
      </c>
      <c r="F150" s="45" t="s">
        <v>31</v>
      </c>
      <c r="G150" s="45" t="s">
        <v>175</v>
      </c>
      <c r="H150" s="45" t="s">
        <v>67</v>
      </c>
      <c r="I150" s="45" t="s">
        <v>204</v>
      </c>
      <c r="J150" s="45" t="s">
        <v>182</v>
      </c>
      <c r="K150" s="45" t="s">
        <v>286</v>
      </c>
      <c r="L150" s="675"/>
      <c r="M150" s="45" t="s">
        <v>18</v>
      </c>
      <c r="N150" s="45" t="s">
        <v>11</v>
      </c>
      <c r="O150" s="45" t="s">
        <v>26</v>
      </c>
      <c r="P150" s="45" t="s">
        <v>24</v>
      </c>
      <c r="Q150" s="45" t="s">
        <v>10</v>
      </c>
      <c r="R150" s="45" t="s">
        <v>45</v>
      </c>
      <c r="S150" s="45" t="s">
        <v>178</v>
      </c>
      <c r="T150" s="45" t="s">
        <v>72</v>
      </c>
      <c r="U150" s="45" t="s">
        <v>97</v>
      </c>
      <c r="V150" s="45" t="s">
        <v>111</v>
      </c>
    </row>
    <row r="151" spans="1:22" x14ac:dyDescent="0.2">
      <c r="A151" s="746" t="s">
        <v>220</v>
      </c>
      <c r="B151" s="17">
        <v>70739950000</v>
      </c>
      <c r="C151" s="326">
        <v>64518730000</v>
      </c>
      <c r="D151" s="17">
        <v>57718570000</v>
      </c>
      <c r="E151" s="17">
        <v>51621270000</v>
      </c>
      <c r="F151" s="17">
        <v>49354310000</v>
      </c>
      <c r="G151" s="17">
        <v>39039020000</v>
      </c>
      <c r="H151" s="17">
        <v>34127470000</v>
      </c>
      <c r="I151" s="17">
        <v>31261960000</v>
      </c>
      <c r="J151" s="17">
        <v>30929470000</v>
      </c>
      <c r="K151" s="327">
        <v>29750040000</v>
      </c>
      <c r="L151" s="675"/>
      <c r="M151" s="17">
        <v>-262716650000</v>
      </c>
      <c r="N151" s="328">
        <v>-145258060000</v>
      </c>
      <c r="O151" s="17">
        <v>-54538170000</v>
      </c>
      <c r="P151" s="17">
        <v>-54030930000</v>
      </c>
      <c r="Q151" s="17">
        <v>-49245132283</v>
      </c>
      <c r="R151" s="329">
        <v>-40167230000</v>
      </c>
      <c r="S151" s="330">
        <v>-35969370000</v>
      </c>
      <c r="T151" s="17">
        <v>-34612570000</v>
      </c>
      <c r="U151" s="17">
        <v>-33002050000</v>
      </c>
      <c r="V151" s="17">
        <v>-29609670000</v>
      </c>
    </row>
    <row r="152" spans="1:22" x14ac:dyDescent="0.2">
      <c r="A152" s="746" t="s">
        <v>218</v>
      </c>
      <c r="B152" s="45" t="s">
        <v>31</v>
      </c>
      <c r="C152" s="45" t="s">
        <v>20</v>
      </c>
      <c r="D152" s="45" t="s">
        <v>204</v>
      </c>
      <c r="E152" s="45" t="s">
        <v>15</v>
      </c>
      <c r="F152" s="45" t="s">
        <v>74</v>
      </c>
      <c r="G152" s="45" t="s">
        <v>70</v>
      </c>
      <c r="H152" s="45" t="s">
        <v>27</v>
      </c>
      <c r="I152" s="45" t="s">
        <v>67</v>
      </c>
      <c r="J152" s="45" t="s">
        <v>14</v>
      </c>
      <c r="K152" s="45" t="s">
        <v>62</v>
      </c>
      <c r="L152" s="675"/>
      <c r="M152" s="45" t="s">
        <v>32</v>
      </c>
      <c r="N152" s="45" t="s">
        <v>26</v>
      </c>
      <c r="O152" s="45" t="s">
        <v>111</v>
      </c>
      <c r="P152" s="45" t="s">
        <v>16</v>
      </c>
      <c r="Q152" s="45" t="s">
        <v>73</v>
      </c>
      <c r="R152" s="45" t="s">
        <v>99</v>
      </c>
      <c r="S152" s="45" t="s">
        <v>368</v>
      </c>
      <c r="T152" s="45" t="s">
        <v>18</v>
      </c>
      <c r="U152" s="45" t="s">
        <v>28</v>
      </c>
      <c r="V152" s="45" t="s">
        <v>199</v>
      </c>
    </row>
    <row r="153" spans="1:22" x14ac:dyDescent="0.2">
      <c r="A153" s="746" t="s">
        <v>218</v>
      </c>
      <c r="B153" s="318">
        <v>97335880000</v>
      </c>
      <c r="C153" s="17">
        <v>65853950000</v>
      </c>
      <c r="D153" s="319">
        <v>62858430000</v>
      </c>
      <c r="E153" s="17">
        <v>62554850000</v>
      </c>
      <c r="F153" s="17">
        <v>49861960000</v>
      </c>
      <c r="G153" s="17">
        <v>47540200000</v>
      </c>
      <c r="H153" s="17">
        <v>46811610000</v>
      </c>
      <c r="I153" s="17">
        <v>40155590000</v>
      </c>
      <c r="J153" s="17">
        <v>38350850000</v>
      </c>
      <c r="K153" s="320">
        <v>38206710000</v>
      </c>
      <c r="L153" s="675"/>
      <c r="M153" s="321">
        <v>-98016386649</v>
      </c>
      <c r="N153" s="17">
        <v>-91638870000</v>
      </c>
      <c r="O153" s="17">
        <v>-64205350000</v>
      </c>
      <c r="P153" s="17">
        <v>-49033810000</v>
      </c>
      <c r="Q153" s="17">
        <v>-41053250000</v>
      </c>
      <c r="R153" s="17">
        <v>-37820000000</v>
      </c>
      <c r="S153" s="322">
        <v>-34289660000</v>
      </c>
      <c r="T153" s="17">
        <v>-32941900000</v>
      </c>
      <c r="U153" s="17">
        <v>-25970400000</v>
      </c>
      <c r="V153" s="17">
        <v>-25901970000</v>
      </c>
    </row>
    <row r="154" spans="1:22" x14ac:dyDescent="0.2">
      <c r="A154" s="746" t="s">
        <v>217</v>
      </c>
      <c r="B154" s="45" t="s">
        <v>70</v>
      </c>
      <c r="C154" s="45" t="s">
        <v>368</v>
      </c>
      <c r="D154" s="45" t="s">
        <v>28</v>
      </c>
      <c r="E154" s="45" t="s">
        <v>102</v>
      </c>
      <c r="F154" s="45" t="s">
        <v>21</v>
      </c>
      <c r="G154" s="45" t="s">
        <v>31</v>
      </c>
      <c r="H154" s="45" t="s">
        <v>10</v>
      </c>
      <c r="I154" s="45" t="s">
        <v>181</v>
      </c>
      <c r="J154" s="45" t="s">
        <v>337</v>
      </c>
      <c r="K154" s="45" t="s">
        <v>72</v>
      </c>
      <c r="L154" s="675"/>
      <c r="M154" s="45" t="s">
        <v>24</v>
      </c>
      <c r="N154" s="45" t="s">
        <v>16</v>
      </c>
      <c r="O154" s="45" t="s">
        <v>111</v>
      </c>
      <c r="P154" s="45" t="s">
        <v>6</v>
      </c>
      <c r="Q154" s="45" t="s">
        <v>5</v>
      </c>
      <c r="R154" s="45" t="s">
        <v>19</v>
      </c>
      <c r="S154" s="45" t="s">
        <v>18</v>
      </c>
      <c r="T154" s="45" t="s">
        <v>9</v>
      </c>
      <c r="U154" s="45" t="s">
        <v>26</v>
      </c>
      <c r="V154" s="45" t="s">
        <v>27</v>
      </c>
    </row>
    <row r="155" spans="1:22" x14ac:dyDescent="0.2">
      <c r="A155" s="746" t="s">
        <v>217</v>
      </c>
      <c r="B155" s="311">
        <v>71073400000</v>
      </c>
      <c r="C155" s="312">
        <v>63592420000</v>
      </c>
      <c r="D155" s="17">
        <v>36174600000</v>
      </c>
      <c r="E155" s="313">
        <v>31559430000</v>
      </c>
      <c r="F155" s="17">
        <v>26945394985</v>
      </c>
      <c r="G155" s="17">
        <v>22750710000</v>
      </c>
      <c r="H155" s="17">
        <v>21766324169</v>
      </c>
      <c r="I155" s="17">
        <v>18720480000</v>
      </c>
      <c r="J155" s="17">
        <v>16373870000</v>
      </c>
      <c r="K155" s="17">
        <v>14955080000</v>
      </c>
      <c r="L155" s="675"/>
      <c r="M155" s="17">
        <v>-126701830000</v>
      </c>
      <c r="N155" s="17">
        <v>-105951480000</v>
      </c>
      <c r="O155" s="17">
        <v>-80455250000</v>
      </c>
      <c r="P155" s="17">
        <v>-66804530000</v>
      </c>
      <c r="Q155" s="17">
        <v>-64402350000</v>
      </c>
      <c r="R155" s="17">
        <v>-52136070000</v>
      </c>
      <c r="S155" s="17">
        <v>-37670830000</v>
      </c>
      <c r="T155" s="17">
        <v>-34484660000</v>
      </c>
      <c r="U155" s="17">
        <v>-34305370000</v>
      </c>
      <c r="V155" s="17">
        <v>-32872440000</v>
      </c>
    </row>
    <row r="156" spans="1:22" x14ac:dyDescent="0.2">
      <c r="A156" s="746" t="s">
        <v>216</v>
      </c>
      <c r="B156" s="45" t="s">
        <v>11</v>
      </c>
      <c r="C156" s="45" t="s">
        <v>28</v>
      </c>
      <c r="D156" s="45" t="s">
        <v>5</v>
      </c>
      <c r="E156" s="45" t="s">
        <v>10</v>
      </c>
      <c r="F156" s="45" t="s">
        <v>9</v>
      </c>
      <c r="G156" s="45" t="s">
        <v>25</v>
      </c>
      <c r="H156" s="45" t="s">
        <v>64</v>
      </c>
      <c r="I156" s="45" t="s">
        <v>6</v>
      </c>
      <c r="J156" s="45" t="s">
        <v>97</v>
      </c>
      <c r="K156" s="45" t="s">
        <v>70</v>
      </c>
      <c r="L156" s="675"/>
      <c r="M156" s="45" t="s">
        <v>24</v>
      </c>
      <c r="N156" s="45" t="s">
        <v>27</v>
      </c>
      <c r="O156" s="45" t="s">
        <v>100</v>
      </c>
      <c r="P156" s="45" t="s">
        <v>13</v>
      </c>
      <c r="Q156" s="45" t="s">
        <v>18</v>
      </c>
      <c r="R156" s="45" t="s">
        <v>15</v>
      </c>
      <c r="S156" s="45" t="s">
        <v>111</v>
      </c>
      <c r="T156" s="45" t="s">
        <v>14</v>
      </c>
      <c r="U156" s="45" t="s">
        <v>175</v>
      </c>
      <c r="V156" s="45" t="s">
        <v>384</v>
      </c>
    </row>
    <row r="157" spans="1:22" x14ac:dyDescent="0.2">
      <c r="A157" s="746" t="s">
        <v>216</v>
      </c>
      <c r="B157" s="302">
        <v>298044320000</v>
      </c>
      <c r="C157" s="17">
        <v>96000710000</v>
      </c>
      <c r="D157" s="17">
        <v>81673430000</v>
      </c>
      <c r="E157" s="17">
        <v>67947047478</v>
      </c>
      <c r="F157" s="17">
        <v>45891770000</v>
      </c>
      <c r="G157" s="17">
        <v>43674850000</v>
      </c>
      <c r="H157" s="17">
        <v>36509200000</v>
      </c>
      <c r="I157" s="17">
        <v>27032800000</v>
      </c>
      <c r="J157" s="17">
        <v>22211770000</v>
      </c>
      <c r="K157" s="17">
        <v>21071530000</v>
      </c>
      <c r="L157" s="675"/>
      <c r="M157" s="303">
        <v>-153327650000</v>
      </c>
      <c r="N157" s="17">
        <v>-88668810000</v>
      </c>
      <c r="O157" s="304">
        <v>-74696900000</v>
      </c>
      <c r="P157" s="17">
        <v>-58236870000</v>
      </c>
      <c r="Q157" s="17">
        <v>-57118700000</v>
      </c>
      <c r="R157" s="17">
        <v>-48069730000</v>
      </c>
      <c r="S157" s="17">
        <v>-25761500000</v>
      </c>
      <c r="T157" s="17">
        <v>-24024510000</v>
      </c>
      <c r="U157" s="17">
        <v>-20451450000</v>
      </c>
      <c r="V157" s="17">
        <v>-20167830000</v>
      </c>
    </row>
    <row r="158" spans="1:22" x14ac:dyDescent="0.2">
      <c r="A158" s="746" t="s">
        <v>213</v>
      </c>
      <c r="B158" s="45" t="s">
        <v>61</v>
      </c>
      <c r="C158" s="45" t="s">
        <v>5</v>
      </c>
      <c r="D158" s="45" t="s">
        <v>19</v>
      </c>
      <c r="E158" s="45" t="s">
        <v>28</v>
      </c>
      <c r="F158" s="45" t="s">
        <v>111</v>
      </c>
      <c r="G158" s="45" t="s">
        <v>25</v>
      </c>
      <c r="H158" s="45" t="s">
        <v>14</v>
      </c>
      <c r="I158" s="45" t="s">
        <v>26</v>
      </c>
      <c r="J158" s="45" t="s">
        <v>70</v>
      </c>
      <c r="K158" s="45" t="s">
        <v>199</v>
      </c>
      <c r="L158" s="675"/>
      <c r="M158" s="45" t="s">
        <v>27</v>
      </c>
      <c r="N158" s="45" t="s">
        <v>11</v>
      </c>
      <c r="O158" s="45" t="s">
        <v>9</v>
      </c>
      <c r="P158" s="45" t="s">
        <v>32</v>
      </c>
      <c r="Q158" s="45" t="s">
        <v>97</v>
      </c>
      <c r="R158" s="45" t="s">
        <v>67</v>
      </c>
      <c r="S158" s="45" t="s">
        <v>24</v>
      </c>
      <c r="T158" s="45" t="s">
        <v>401</v>
      </c>
      <c r="U158" s="45" t="s">
        <v>13</v>
      </c>
      <c r="V158" s="45" t="s">
        <v>10</v>
      </c>
    </row>
    <row r="159" spans="1:22" x14ac:dyDescent="0.2">
      <c r="A159" s="746" t="s">
        <v>213</v>
      </c>
      <c r="B159" s="296">
        <v>84995910000</v>
      </c>
      <c r="C159" s="17">
        <v>72500930000</v>
      </c>
      <c r="D159" s="17">
        <v>71020810000</v>
      </c>
      <c r="E159" s="17">
        <v>49347250000</v>
      </c>
      <c r="F159" s="17">
        <v>41796320000</v>
      </c>
      <c r="G159" s="17">
        <v>41771580000</v>
      </c>
      <c r="H159" s="17">
        <v>39382900000</v>
      </c>
      <c r="I159" s="17">
        <v>35033990000</v>
      </c>
      <c r="J159" s="17">
        <v>31350940000</v>
      </c>
      <c r="K159" s="17">
        <v>28954280000</v>
      </c>
      <c r="L159" s="675"/>
      <c r="M159" s="17">
        <v>-215915230000</v>
      </c>
      <c r="N159" s="17">
        <v>-116251910000</v>
      </c>
      <c r="O159" s="17">
        <v>-55145180000</v>
      </c>
      <c r="P159" s="17">
        <v>-38347735901</v>
      </c>
      <c r="Q159" s="17">
        <v>-37893230000</v>
      </c>
      <c r="R159" s="17">
        <v>-31269410000</v>
      </c>
      <c r="S159" s="17">
        <v>-28830280000</v>
      </c>
      <c r="T159" s="297">
        <v>-28235990000</v>
      </c>
      <c r="U159" s="17">
        <v>-27926800000</v>
      </c>
      <c r="V159" s="17">
        <v>-24081175740</v>
      </c>
    </row>
    <row r="160" spans="1:22" x14ac:dyDescent="0.2">
      <c r="A160" s="746" t="s">
        <v>212</v>
      </c>
      <c r="B160" s="45" t="s">
        <v>18</v>
      </c>
      <c r="C160" s="45" t="s">
        <v>26</v>
      </c>
      <c r="D160" s="45" t="s">
        <v>14</v>
      </c>
      <c r="E160" s="45" t="s">
        <v>384</v>
      </c>
      <c r="F160" s="45" t="s">
        <v>28</v>
      </c>
      <c r="G160" s="45" t="s">
        <v>15</v>
      </c>
      <c r="H160" s="45" t="s">
        <v>70</v>
      </c>
      <c r="I160" s="45" t="s">
        <v>62</v>
      </c>
      <c r="J160" s="45" t="s">
        <v>10</v>
      </c>
      <c r="K160" s="45" t="s">
        <v>111</v>
      </c>
      <c r="L160" s="675"/>
      <c r="M160" s="45" t="s">
        <v>5</v>
      </c>
      <c r="N160" s="45" t="s">
        <v>27</v>
      </c>
      <c r="O160" s="45" t="s">
        <v>24</v>
      </c>
      <c r="P160" s="45" t="s">
        <v>68</v>
      </c>
      <c r="Q160" s="45" t="s">
        <v>73</v>
      </c>
      <c r="R160" s="45" t="s">
        <v>13</v>
      </c>
      <c r="S160" s="45" t="s">
        <v>19</v>
      </c>
      <c r="T160" s="45" t="s">
        <v>184</v>
      </c>
      <c r="U160" s="45" t="s">
        <v>9</v>
      </c>
      <c r="V160" s="45" t="s">
        <v>91</v>
      </c>
    </row>
    <row r="161" spans="1:22" x14ac:dyDescent="0.2">
      <c r="A161" s="746" t="s">
        <v>212</v>
      </c>
      <c r="B161" s="289">
        <v>211393470000</v>
      </c>
      <c r="C161" s="290">
        <v>115231140000</v>
      </c>
      <c r="D161" s="17">
        <v>99272440000</v>
      </c>
      <c r="E161" s="291">
        <v>50824050000</v>
      </c>
      <c r="F161" s="17">
        <v>48176500000</v>
      </c>
      <c r="G161" s="17">
        <v>38984060000</v>
      </c>
      <c r="H161" s="17">
        <v>29513960000</v>
      </c>
      <c r="I161" s="17">
        <v>28987650000</v>
      </c>
      <c r="J161" s="17">
        <v>27493338925</v>
      </c>
      <c r="K161" s="17">
        <v>26501370000</v>
      </c>
      <c r="L161" s="675"/>
      <c r="M161" s="17">
        <v>-136097160000</v>
      </c>
      <c r="N161" s="17">
        <v>-124899670000</v>
      </c>
      <c r="O161" s="17">
        <v>-39515570000</v>
      </c>
      <c r="P161" s="17">
        <v>-38667970000</v>
      </c>
      <c r="Q161" s="17">
        <v>-37742940000</v>
      </c>
      <c r="R161" s="17">
        <v>-37275180000</v>
      </c>
      <c r="S161" s="17">
        <v>-31879710000</v>
      </c>
      <c r="T161" s="17">
        <v>-22392980000</v>
      </c>
      <c r="U161" s="17">
        <v>-20478700000</v>
      </c>
      <c r="V161" s="292">
        <v>-17579700000</v>
      </c>
    </row>
    <row r="162" spans="1:22" x14ac:dyDescent="0.2">
      <c r="A162" s="746" t="s">
        <v>210</v>
      </c>
      <c r="B162" s="45" t="s">
        <v>111</v>
      </c>
      <c r="C162" s="45" t="s">
        <v>100</v>
      </c>
      <c r="D162" s="45" t="s">
        <v>6</v>
      </c>
      <c r="E162" s="45" t="s">
        <v>18</v>
      </c>
      <c r="F162" s="45" t="s">
        <v>61</v>
      </c>
      <c r="G162" s="45" t="s">
        <v>70</v>
      </c>
      <c r="H162" s="45" t="s">
        <v>19</v>
      </c>
      <c r="I162" s="45" t="s">
        <v>75</v>
      </c>
      <c r="J162" s="45" t="s">
        <v>196</v>
      </c>
      <c r="K162" s="45" t="s">
        <v>24</v>
      </c>
      <c r="L162" s="675"/>
      <c r="M162" s="45" t="s">
        <v>15</v>
      </c>
      <c r="N162" s="45" t="s">
        <v>73</v>
      </c>
      <c r="O162" s="45" t="s">
        <v>28</v>
      </c>
      <c r="P162" s="45" t="s">
        <v>27</v>
      </c>
      <c r="Q162" s="45" t="s">
        <v>72</v>
      </c>
      <c r="R162" s="45" t="s">
        <v>182</v>
      </c>
      <c r="S162" s="45" t="s">
        <v>67</v>
      </c>
      <c r="T162" s="45" t="s">
        <v>32</v>
      </c>
      <c r="U162" s="45" t="s">
        <v>175</v>
      </c>
      <c r="V162" s="45" t="s">
        <v>68</v>
      </c>
    </row>
    <row r="163" spans="1:22" x14ac:dyDescent="0.2">
      <c r="A163" s="746" t="s">
        <v>210</v>
      </c>
      <c r="B163" s="282">
        <v>281551050000</v>
      </c>
      <c r="C163" s="283">
        <v>103999210000</v>
      </c>
      <c r="D163" s="17">
        <v>77310480000</v>
      </c>
      <c r="E163" s="17">
        <v>75800150000</v>
      </c>
      <c r="F163" s="284">
        <v>74162780000</v>
      </c>
      <c r="G163" s="285">
        <v>60035840000</v>
      </c>
      <c r="H163" s="17">
        <v>51888630000</v>
      </c>
      <c r="I163" s="17">
        <v>37202590000</v>
      </c>
      <c r="J163" s="17">
        <v>36471510000</v>
      </c>
      <c r="K163" s="17">
        <v>33746140000</v>
      </c>
      <c r="L163" s="675"/>
      <c r="M163" s="17">
        <v>-109369880000</v>
      </c>
      <c r="N163" s="286">
        <v>-88574230000</v>
      </c>
      <c r="O163" s="17">
        <v>-58101350000</v>
      </c>
      <c r="P163" s="17">
        <v>-52778020000</v>
      </c>
      <c r="Q163" s="17">
        <v>-47999440000</v>
      </c>
      <c r="R163" s="17">
        <v>-39558190000</v>
      </c>
      <c r="S163" s="17">
        <v>-38451310000</v>
      </c>
      <c r="T163" s="17">
        <v>-37165624674</v>
      </c>
      <c r="U163" s="287">
        <v>-32323020000</v>
      </c>
      <c r="V163" s="17">
        <v>-28170540000</v>
      </c>
    </row>
    <row r="164" spans="1:22" x14ac:dyDescent="0.2">
      <c r="A164" s="746" t="s">
        <v>205</v>
      </c>
      <c r="B164" s="45" t="s">
        <v>18</v>
      </c>
      <c r="C164" s="45" t="s">
        <v>5</v>
      </c>
      <c r="D164" s="45" t="s">
        <v>11</v>
      </c>
      <c r="E164" s="45" t="s">
        <v>14</v>
      </c>
      <c r="F164" s="45" t="s">
        <v>97</v>
      </c>
      <c r="G164" s="45" t="s">
        <v>9</v>
      </c>
      <c r="H164" s="45" t="s">
        <v>6</v>
      </c>
      <c r="I164" s="45" t="s">
        <v>368</v>
      </c>
      <c r="J164" s="45" t="s">
        <v>10</v>
      </c>
      <c r="K164" s="45" t="s">
        <v>401</v>
      </c>
      <c r="L164" s="675"/>
      <c r="M164" s="45" t="s">
        <v>24</v>
      </c>
      <c r="N164" s="45" t="s">
        <v>15</v>
      </c>
      <c r="O164" s="45" t="s">
        <v>27</v>
      </c>
      <c r="P164" s="45" t="s">
        <v>31</v>
      </c>
      <c r="Q164" s="45" t="s">
        <v>25</v>
      </c>
      <c r="R164" s="45" t="s">
        <v>32</v>
      </c>
      <c r="S164" s="45" t="s">
        <v>26</v>
      </c>
      <c r="T164" s="45" t="s">
        <v>72</v>
      </c>
      <c r="U164" s="45" t="s">
        <v>70</v>
      </c>
      <c r="V164" s="45" t="s">
        <v>286</v>
      </c>
    </row>
    <row r="165" spans="1:22" x14ac:dyDescent="0.2">
      <c r="A165" s="746" t="s">
        <v>205</v>
      </c>
      <c r="B165" s="17">
        <v>138670380000</v>
      </c>
      <c r="C165" s="17">
        <v>128877060000</v>
      </c>
      <c r="D165" s="17">
        <v>127545260000</v>
      </c>
      <c r="E165" s="17">
        <v>107398850000</v>
      </c>
      <c r="F165" s="17">
        <v>85920160000</v>
      </c>
      <c r="G165" s="17">
        <v>81698120000</v>
      </c>
      <c r="H165" s="17">
        <v>76993730000</v>
      </c>
      <c r="I165" s="276">
        <v>53602860000</v>
      </c>
      <c r="J165" s="17">
        <v>41272162125</v>
      </c>
      <c r="K165" s="277">
        <v>35814410000</v>
      </c>
      <c r="L165" s="675"/>
      <c r="M165" s="278">
        <v>-135007920000</v>
      </c>
      <c r="N165" s="17">
        <v>-89027570000</v>
      </c>
      <c r="O165" s="17">
        <v>-41104890000</v>
      </c>
      <c r="P165" s="279">
        <v>-40993530000</v>
      </c>
      <c r="Q165" s="17">
        <v>-38635160000</v>
      </c>
      <c r="R165" s="17">
        <v>-38060857054</v>
      </c>
      <c r="S165" s="17">
        <v>-31889590000</v>
      </c>
      <c r="T165" s="17">
        <v>-31885900000</v>
      </c>
      <c r="U165" s="17">
        <v>-27958580000</v>
      </c>
      <c r="V165" s="280">
        <v>-24342220000</v>
      </c>
    </row>
    <row r="166" spans="1:22" x14ac:dyDescent="0.2">
      <c r="A166" s="746" t="s">
        <v>201</v>
      </c>
      <c r="B166" s="45" t="s">
        <v>5</v>
      </c>
      <c r="C166" s="45" t="s">
        <v>15</v>
      </c>
      <c r="D166" s="45" t="s">
        <v>61</v>
      </c>
      <c r="E166" s="45" t="s">
        <v>70</v>
      </c>
      <c r="F166" s="45" t="s">
        <v>111</v>
      </c>
      <c r="G166" s="45" t="s">
        <v>11</v>
      </c>
      <c r="H166" s="45" t="s">
        <v>42</v>
      </c>
      <c r="I166" s="45" t="s">
        <v>79</v>
      </c>
      <c r="J166" s="45" t="s">
        <v>99</v>
      </c>
      <c r="K166" s="45" t="s">
        <v>278</v>
      </c>
      <c r="L166" s="675"/>
      <c r="M166" s="45" t="s">
        <v>27</v>
      </c>
      <c r="N166" s="45" t="s">
        <v>25</v>
      </c>
      <c r="O166" s="45" t="s">
        <v>24</v>
      </c>
      <c r="P166" s="45" t="s">
        <v>8</v>
      </c>
      <c r="Q166" s="45" t="s">
        <v>32</v>
      </c>
      <c r="R166" s="45" t="s">
        <v>13</v>
      </c>
      <c r="S166" s="45" t="s">
        <v>68</v>
      </c>
      <c r="T166" s="45" t="s">
        <v>290</v>
      </c>
      <c r="U166" s="45" t="s">
        <v>74</v>
      </c>
      <c r="V166" s="45" t="s">
        <v>202</v>
      </c>
    </row>
    <row r="167" spans="1:22" x14ac:dyDescent="0.2">
      <c r="A167" s="746" t="s">
        <v>201</v>
      </c>
      <c r="B167" s="17">
        <v>179303340000</v>
      </c>
      <c r="C167" s="17">
        <v>91077110000</v>
      </c>
      <c r="D167" s="17">
        <v>56364050000</v>
      </c>
      <c r="E167" s="267">
        <v>48223480000</v>
      </c>
      <c r="F167" s="17">
        <v>40382370000</v>
      </c>
      <c r="G167" s="17">
        <v>39203190000</v>
      </c>
      <c r="H167" s="17">
        <v>39155040000</v>
      </c>
      <c r="I167" s="17">
        <v>21594160000</v>
      </c>
      <c r="J167" s="17">
        <v>21495320000</v>
      </c>
      <c r="K167" s="268">
        <v>20956640000</v>
      </c>
      <c r="L167" s="675"/>
      <c r="M167" s="17">
        <v>-211387070000</v>
      </c>
      <c r="N167" s="17">
        <v>-172251080000</v>
      </c>
      <c r="O167" s="17">
        <v>-115261060000</v>
      </c>
      <c r="P167" s="269">
        <v>-97911720000</v>
      </c>
      <c r="Q167" s="17">
        <v>-47760816672</v>
      </c>
      <c r="R167" s="17">
        <v>-39929470000</v>
      </c>
      <c r="S167" s="17">
        <v>-36098430000</v>
      </c>
      <c r="T167" s="270">
        <v>-32912640000</v>
      </c>
      <c r="U167" s="17">
        <v>-25025360000</v>
      </c>
      <c r="V167" s="17">
        <v>-24447880000</v>
      </c>
    </row>
    <row r="168" spans="1:22" x14ac:dyDescent="0.2">
      <c r="A168" s="746" t="s">
        <v>197</v>
      </c>
      <c r="B168" s="45" t="s">
        <v>15</v>
      </c>
      <c r="C168" s="45" t="s">
        <v>5</v>
      </c>
      <c r="D168" s="45" t="s">
        <v>68</v>
      </c>
      <c r="E168" s="45" t="s">
        <v>73</v>
      </c>
      <c r="F168" s="45" t="s">
        <v>16</v>
      </c>
      <c r="G168" s="45" t="s">
        <v>65</v>
      </c>
      <c r="H168" s="45" t="s">
        <v>14</v>
      </c>
      <c r="I168" s="45" t="s">
        <v>111</v>
      </c>
      <c r="J168" s="45" t="s">
        <v>91</v>
      </c>
      <c r="K168" s="45" t="s">
        <v>75</v>
      </c>
      <c r="L168" s="675"/>
      <c r="M168" s="45" t="s">
        <v>109</v>
      </c>
      <c r="N168" s="45" t="s">
        <v>19</v>
      </c>
      <c r="O168" s="45" t="s">
        <v>182</v>
      </c>
      <c r="P168" s="45" t="s">
        <v>97</v>
      </c>
      <c r="Q168" s="45" t="s">
        <v>26</v>
      </c>
      <c r="R168" s="45" t="s">
        <v>33</v>
      </c>
      <c r="S168" s="45" t="s">
        <v>27</v>
      </c>
      <c r="T168" s="45" t="s">
        <v>181</v>
      </c>
      <c r="U168" s="45" t="s">
        <v>184</v>
      </c>
      <c r="V168" s="45" t="s">
        <v>290</v>
      </c>
    </row>
    <row r="169" spans="1:22" x14ac:dyDescent="0.2">
      <c r="A169" s="746" t="s">
        <v>197</v>
      </c>
      <c r="B169" s="17">
        <v>129772140000</v>
      </c>
      <c r="C169" s="17">
        <v>54900690000</v>
      </c>
      <c r="D169" s="17">
        <v>42955320000</v>
      </c>
      <c r="E169" s="17">
        <v>38130650000</v>
      </c>
      <c r="F169" s="17">
        <v>37992370000</v>
      </c>
      <c r="G169" s="17">
        <v>35258490000</v>
      </c>
      <c r="H169" s="17">
        <v>33804620000</v>
      </c>
      <c r="I169" s="17">
        <v>30187860000</v>
      </c>
      <c r="J169" s="255">
        <v>28343720000</v>
      </c>
      <c r="K169" s="17">
        <v>22617580000</v>
      </c>
      <c r="L169" s="675"/>
      <c r="M169" s="256">
        <v>-69500850000</v>
      </c>
      <c r="N169" s="17">
        <v>-37064640000</v>
      </c>
      <c r="O169" s="17">
        <v>-33693840000</v>
      </c>
      <c r="P169" s="17">
        <v>-29111630000</v>
      </c>
      <c r="Q169" s="17">
        <v>-26639300000</v>
      </c>
      <c r="R169" s="17">
        <v>-24501110000</v>
      </c>
      <c r="S169" s="17">
        <v>-23254800000</v>
      </c>
      <c r="T169" s="257">
        <v>-21630930000</v>
      </c>
      <c r="U169" s="17">
        <v>-21259250000</v>
      </c>
      <c r="V169" s="258">
        <v>-19707780000</v>
      </c>
    </row>
    <row r="170" spans="1:22" x14ac:dyDescent="0.2">
      <c r="A170" s="746" t="s">
        <v>194</v>
      </c>
      <c r="B170" s="45" t="s">
        <v>15</v>
      </c>
      <c r="C170" s="45" t="s">
        <v>5</v>
      </c>
      <c r="D170" s="45" t="s">
        <v>28</v>
      </c>
      <c r="E170" s="45" t="s">
        <v>175</v>
      </c>
      <c r="F170" s="45" t="s">
        <v>100</v>
      </c>
      <c r="G170" s="45" t="s">
        <v>21</v>
      </c>
      <c r="H170" s="45" t="s">
        <v>25</v>
      </c>
      <c r="I170" s="45" t="s">
        <v>11</v>
      </c>
      <c r="J170" s="45" t="s">
        <v>10</v>
      </c>
      <c r="K170" s="45" t="s">
        <v>75</v>
      </c>
      <c r="L170" s="675"/>
      <c r="M170" s="45" t="s">
        <v>14</v>
      </c>
      <c r="N170" s="45" t="s">
        <v>16</v>
      </c>
      <c r="O170" s="45" t="s">
        <v>73</v>
      </c>
      <c r="P170" s="45" t="s">
        <v>18</v>
      </c>
      <c r="Q170" s="45" t="s">
        <v>24</v>
      </c>
      <c r="R170" s="45" t="s">
        <v>26</v>
      </c>
      <c r="S170" s="45" t="s">
        <v>32</v>
      </c>
      <c r="T170" s="45" t="s">
        <v>68</v>
      </c>
      <c r="U170" s="45" t="s">
        <v>41</v>
      </c>
      <c r="V170" s="45" t="s">
        <v>67</v>
      </c>
    </row>
    <row r="171" spans="1:22" x14ac:dyDescent="0.2">
      <c r="A171" s="746" t="s">
        <v>194</v>
      </c>
      <c r="B171" s="248">
        <v>452399350000</v>
      </c>
      <c r="C171" s="17">
        <v>131709810000</v>
      </c>
      <c r="D171" s="17">
        <v>88784810000</v>
      </c>
      <c r="E171" s="249">
        <v>53348090000</v>
      </c>
      <c r="F171" s="17">
        <v>46391860000</v>
      </c>
      <c r="G171" s="17">
        <v>39806611128</v>
      </c>
      <c r="H171" s="17">
        <v>31146800000</v>
      </c>
      <c r="I171" s="17">
        <v>27819140000</v>
      </c>
      <c r="J171" s="17">
        <v>25294257373</v>
      </c>
      <c r="K171" s="17">
        <v>23332250000</v>
      </c>
      <c r="L171" s="675"/>
      <c r="M171" s="17">
        <v>-87174720000</v>
      </c>
      <c r="N171" s="17">
        <v>-72952980000</v>
      </c>
      <c r="O171" s="250">
        <v>-64092490000</v>
      </c>
      <c r="P171" s="17">
        <v>-63258400000</v>
      </c>
      <c r="Q171" s="17">
        <v>-53311060000</v>
      </c>
      <c r="R171" s="17">
        <v>-43677450000</v>
      </c>
      <c r="S171" s="17">
        <v>-43440143298</v>
      </c>
      <c r="T171" s="17">
        <v>-38687690000</v>
      </c>
      <c r="U171" s="17">
        <v>-35853160000</v>
      </c>
      <c r="V171" s="17">
        <v>-26864290000</v>
      </c>
    </row>
    <row r="172" spans="1:22" x14ac:dyDescent="0.2">
      <c r="A172" s="746" t="s">
        <v>191</v>
      </c>
      <c r="B172" s="45" t="s">
        <v>28</v>
      </c>
      <c r="C172" s="45" t="s">
        <v>8</v>
      </c>
      <c r="D172" s="45" t="s">
        <v>5</v>
      </c>
      <c r="E172" s="45" t="s">
        <v>15</v>
      </c>
      <c r="F172" s="45" t="s">
        <v>290</v>
      </c>
      <c r="G172" s="45" t="s">
        <v>74</v>
      </c>
      <c r="H172" s="45" t="s">
        <v>21</v>
      </c>
      <c r="I172" s="45" t="s">
        <v>175</v>
      </c>
      <c r="J172" s="45" t="s">
        <v>92</v>
      </c>
      <c r="K172" s="45" t="s">
        <v>39</v>
      </c>
      <c r="L172" s="675"/>
      <c r="M172" s="45" t="s">
        <v>14</v>
      </c>
      <c r="N172" s="45" t="s">
        <v>16</v>
      </c>
      <c r="O172" s="45" t="s">
        <v>18</v>
      </c>
      <c r="P172" s="45" t="s">
        <v>26</v>
      </c>
      <c r="Q172" s="45" t="s">
        <v>73</v>
      </c>
      <c r="R172" s="45" t="s">
        <v>68</v>
      </c>
      <c r="S172" s="45" t="s">
        <v>99</v>
      </c>
      <c r="T172" s="45" t="s">
        <v>67</v>
      </c>
      <c r="U172" s="45" t="s">
        <v>97</v>
      </c>
      <c r="V172" s="45" t="s">
        <v>33</v>
      </c>
    </row>
    <row r="173" spans="1:22" x14ac:dyDescent="0.2">
      <c r="A173" s="746" t="s">
        <v>191</v>
      </c>
      <c r="B173" s="243">
        <v>214884360000</v>
      </c>
      <c r="C173" s="244">
        <v>134071960000</v>
      </c>
      <c r="D173" s="17">
        <v>37980360000</v>
      </c>
      <c r="E173" s="17">
        <v>37400480000</v>
      </c>
      <c r="F173" s="17">
        <v>35399410000</v>
      </c>
      <c r="G173" s="17">
        <v>31614240000</v>
      </c>
      <c r="H173" s="17">
        <v>31539313214</v>
      </c>
      <c r="I173" s="17">
        <v>26733940000</v>
      </c>
      <c r="J173" s="17">
        <v>26246970000</v>
      </c>
      <c r="K173" s="17">
        <v>26002170000</v>
      </c>
      <c r="L173" s="675"/>
      <c r="M173" s="245">
        <v>-173212390000</v>
      </c>
      <c r="N173" s="17">
        <v>-98621600000</v>
      </c>
      <c r="O173" s="17">
        <v>-81416940000</v>
      </c>
      <c r="P173" s="17">
        <v>-46372020000</v>
      </c>
      <c r="Q173" s="17">
        <v>-35504910000</v>
      </c>
      <c r="R173" s="17">
        <v>-22380740000</v>
      </c>
      <c r="S173" s="17">
        <v>-20282760000</v>
      </c>
      <c r="T173" s="17">
        <v>-19657900000</v>
      </c>
      <c r="U173" s="17">
        <v>-19523970000</v>
      </c>
      <c r="V173" s="17">
        <v>-16540050000</v>
      </c>
    </row>
    <row r="174" spans="1:22" x14ac:dyDescent="0.2">
      <c r="A174" s="746" t="s">
        <v>123</v>
      </c>
      <c r="B174" s="45" t="s">
        <v>28</v>
      </c>
      <c r="C174" s="45" t="s">
        <v>109</v>
      </c>
      <c r="D174" s="45" t="s">
        <v>25</v>
      </c>
      <c r="E174" s="45" t="s">
        <v>21</v>
      </c>
      <c r="F174" s="45" t="s">
        <v>24</v>
      </c>
      <c r="G174" s="45" t="s">
        <v>181</v>
      </c>
      <c r="H174" s="45" t="s">
        <v>19</v>
      </c>
      <c r="I174" s="45" t="s">
        <v>15</v>
      </c>
      <c r="J174" s="45" t="s">
        <v>182</v>
      </c>
      <c r="K174" s="45" t="s">
        <v>31</v>
      </c>
      <c r="L174" s="675"/>
      <c r="M174" s="45" t="s">
        <v>16</v>
      </c>
      <c r="N174" s="45" t="s">
        <v>18</v>
      </c>
      <c r="O174" s="45" t="s">
        <v>11</v>
      </c>
      <c r="P174" s="45" t="s">
        <v>68</v>
      </c>
      <c r="Q174" s="45" t="s">
        <v>26</v>
      </c>
      <c r="R174" s="45" t="s">
        <v>5</v>
      </c>
      <c r="S174" s="45" t="s">
        <v>62</v>
      </c>
      <c r="T174" s="45" t="s">
        <v>72</v>
      </c>
      <c r="U174" s="45" t="s">
        <v>17</v>
      </c>
      <c r="V174" s="45" t="s">
        <v>97</v>
      </c>
    </row>
    <row r="175" spans="1:22" x14ac:dyDescent="0.2">
      <c r="A175" s="746" t="s">
        <v>123</v>
      </c>
      <c r="B175" s="17">
        <v>119567200000</v>
      </c>
      <c r="C175" s="234">
        <v>95431180000</v>
      </c>
      <c r="D175" s="17">
        <v>49526430000</v>
      </c>
      <c r="E175" s="17">
        <v>46414639320</v>
      </c>
      <c r="F175" s="17">
        <v>36777190000</v>
      </c>
      <c r="G175" s="235">
        <v>32682860000</v>
      </c>
      <c r="H175" s="17">
        <v>29692490000</v>
      </c>
      <c r="I175" s="17">
        <v>27160650000</v>
      </c>
      <c r="J175" s="17">
        <v>23894200000</v>
      </c>
      <c r="K175" s="17">
        <v>17948850000</v>
      </c>
      <c r="L175" s="675"/>
      <c r="M175" s="17">
        <v>-195597250000</v>
      </c>
      <c r="N175" s="17">
        <v>-183550820000</v>
      </c>
      <c r="O175" s="236">
        <v>-141870650000</v>
      </c>
      <c r="P175" s="17">
        <v>-78815980000</v>
      </c>
      <c r="Q175" s="17">
        <v>-76307530000</v>
      </c>
      <c r="R175" s="17">
        <v>-65102140000</v>
      </c>
      <c r="S175" s="237">
        <v>-50248840000</v>
      </c>
      <c r="T175" s="17">
        <v>-45452720000</v>
      </c>
      <c r="U175" s="17">
        <v>-44572980000</v>
      </c>
      <c r="V175" s="17">
        <v>-42950250000</v>
      </c>
    </row>
    <row r="176" spans="1:22" x14ac:dyDescent="0.2">
      <c r="A176" s="746" t="s">
        <v>122</v>
      </c>
      <c r="B176" s="45" t="s">
        <v>28</v>
      </c>
      <c r="C176" s="45" t="s">
        <v>79</v>
      </c>
      <c r="D176" s="45" t="s">
        <v>21</v>
      </c>
      <c r="E176" s="45" t="s">
        <v>73</v>
      </c>
      <c r="F176" s="45" t="s">
        <v>384</v>
      </c>
      <c r="G176" s="45" t="s">
        <v>401</v>
      </c>
      <c r="H176" s="45" t="s">
        <v>351</v>
      </c>
      <c r="I176" s="45" t="s">
        <v>175</v>
      </c>
      <c r="J176" s="45" t="s">
        <v>286</v>
      </c>
      <c r="K176" s="45" t="s">
        <v>27</v>
      </c>
      <c r="L176" s="675"/>
      <c r="M176" s="45" t="s">
        <v>15</v>
      </c>
      <c r="N176" s="45" t="s">
        <v>16</v>
      </c>
      <c r="O176" s="45" t="s">
        <v>26</v>
      </c>
      <c r="P176" s="45" t="s">
        <v>18</v>
      </c>
      <c r="Q176" s="45" t="s">
        <v>14</v>
      </c>
      <c r="R176" s="45" t="s">
        <v>24</v>
      </c>
      <c r="S176" s="45" t="s">
        <v>17</v>
      </c>
      <c r="T176" s="45" t="s">
        <v>109</v>
      </c>
      <c r="U176" s="45" t="s">
        <v>62</v>
      </c>
      <c r="V176" s="45" t="s">
        <v>25</v>
      </c>
    </row>
    <row r="177" spans="1:22" x14ac:dyDescent="0.2">
      <c r="A177" s="746" t="s">
        <v>122</v>
      </c>
      <c r="B177" s="17">
        <v>54354040000</v>
      </c>
      <c r="C177" s="222">
        <v>48180640000</v>
      </c>
      <c r="D177" s="17">
        <v>33736644443</v>
      </c>
      <c r="E177" s="17">
        <v>26464500000</v>
      </c>
      <c r="F177" s="223">
        <v>19087390000</v>
      </c>
      <c r="G177" s="224">
        <v>18995130000</v>
      </c>
      <c r="H177" s="225">
        <v>17282020000</v>
      </c>
      <c r="I177" s="17">
        <v>14568630000</v>
      </c>
      <c r="J177" s="17">
        <v>12460100000</v>
      </c>
      <c r="K177" s="17">
        <v>11688980000</v>
      </c>
      <c r="L177" s="675"/>
      <c r="M177" s="17">
        <v>-150053210000</v>
      </c>
      <c r="N177" s="17">
        <v>-116988070000</v>
      </c>
      <c r="O177" s="226">
        <v>-109431350000</v>
      </c>
      <c r="P177" s="17">
        <v>-105485590000</v>
      </c>
      <c r="Q177" s="17">
        <v>-96350110000</v>
      </c>
      <c r="R177" s="17">
        <v>-63550200000</v>
      </c>
      <c r="S177" s="227">
        <v>-54658440000</v>
      </c>
      <c r="T177" s="228">
        <v>-49218670000</v>
      </c>
      <c r="U177" s="229">
        <v>-44939510000</v>
      </c>
      <c r="V177" s="17">
        <v>-37513090000</v>
      </c>
    </row>
    <row r="178" spans="1:22" x14ac:dyDescent="0.2">
      <c r="A178" s="746" t="s">
        <v>121</v>
      </c>
      <c r="B178" s="45" t="s">
        <v>65</v>
      </c>
      <c r="C178" s="45" t="s">
        <v>14</v>
      </c>
      <c r="D178" s="45" t="s">
        <v>42</v>
      </c>
      <c r="E178" s="45" t="s">
        <v>175</v>
      </c>
      <c r="F178" s="45" t="s">
        <v>70</v>
      </c>
      <c r="G178" s="45" t="s">
        <v>68</v>
      </c>
      <c r="H178" s="45" t="s">
        <v>11</v>
      </c>
      <c r="I178" s="45" t="s">
        <v>28</v>
      </c>
      <c r="J178" s="45" t="s">
        <v>27</v>
      </c>
      <c r="K178" s="45" t="s">
        <v>82</v>
      </c>
      <c r="L178" s="675"/>
      <c r="M178" s="45" t="s">
        <v>15</v>
      </c>
      <c r="N178" s="45" t="s">
        <v>18</v>
      </c>
      <c r="O178" s="45" t="s">
        <v>97</v>
      </c>
      <c r="P178" s="45" t="s">
        <v>26</v>
      </c>
      <c r="Q178" s="45" t="s">
        <v>75</v>
      </c>
      <c r="R178" s="45" t="s">
        <v>16</v>
      </c>
      <c r="S178" s="45" t="s">
        <v>100</v>
      </c>
      <c r="T178" s="45" t="s">
        <v>17</v>
      </c>
      <c r="U178" s="45" t="s">
        <v>25</v>
      </c>
      <c r="V178" s="45" t="s">
        <v>199</v>
      </c>
    </row>
    <row r="179" spans="1:22" x14ac:dyDescent="0.2">
      <c r="A179" s="746" t="s">
        <v>121</v>
      </c>
      <c r="B179" s="214">
        <v>449523260000</v>
      </c>
      <c r="C179" s="215">
        <v>191529280000</v>
      </c>
      <c r="D179" s="216">
        <v>81147580000</v>
      </c>
      <c r="E179" s="217">
        <v>44599560000</v>
      </c>
      <c r="F179" s="17">
        <v>39866530000</v>
      </c>
      <c r="G179" s="17">
        <v>35780420000</v>
      </c>
      <c r="H179" s="17">
        <v>31374580000</v>
      </c>
      <c r="I179" s="17">
        <v>27471140000</v>
      </c>
      <c r="J179" s="17">
        <v>26799640000</v>
      </c>
      <c r="K179" s="218">
        <v>26702560000</v>
      </c>
      <c r="L179" s="675"/>
      <c r="M179" s="17">
        <v>-147793570000</v>
      </c>
      <c r="N179" s="17">
        <v>-94703000000</v>
      </c>
      <c r="O179" s="219">
        <v>-75849460000</v>
      </c>
      <c r="P179" s="17">
        <v>-52153120000</v>
      </c>
      <c r="Q179" s="17">
        <v>-50029860000</v>
      </c>
      <c r="R179" s="17">
        <v>-49663330000</v>
      </c>
      <c r="S179" s="220">
        <v>-49153840000</v>
      </c>
      <c r="T179" s="17">
        <v>-34298880000</v>
      </c>
      <c r="U179" s="17">
        <v>-31861030000</v>
      </c>
      <c r="V179" s="17">
        <v>-28309720000</v>
      </c>
    </row>
    <row r="180" spans="1:22" x14ac:dyDescent="0.2">
      <c r="A180" s="746" t="s">
        <v>120</v>
      </c>
      <c r="B180" s="45" t="s">
        <v>65</v>
      </c>
      <c r="C180" s="45" t="s">
        <v>11</v>
      </c>
      <c r="D180" s="45" t="s">
        <v>27</v>
      </c>
      <c r="E180" s="45" t="s">
        <v>25</v>
      </c>
      <c r="F180" s="45" t="s">
        <v>67</v>
      </c>
      <c r="G180" s="45" t="s">
        <v>28</v>
      </c>
      <c r="H180" s="45" t="s">
        <v>5</v>
      </c>
      <c r="I180" s="45" t="s">
        <v>39</v>
      </c>
      <c r="J180" s="45" t="s">
        <v>89</v>
      </c>
      <c r="K180" s="45" t="s">
        <v>175</v>
      </c>
      <c r="L180" s="675"/>
      <c r="M180" s="45" t="s">
        <v>18</v>
      </c>
      <c r="N180" s="45" t="s">
        <v>14</v>
      </c>
      <c r="O180" s="45" t="s">
        <v>16</v>
      </c>
      <c r="P180" s="45" t="s">
        <v>348</v>
      </c>
      <c r="Q180" s="45" t="s">
        <v>97</v>
      </c>
      <c r="R180" s="45" t="s">
        <v>8</v>
      </c>
      <c r="S180" s="45" t="s">
        <v>72</v>
      </c>
      <c r="T180" s="45" t="s">
        <v>19</v>
      </c>
      <c r="U180" s="45" t="s">
        <v>17</v>
      </c>
      <c r="V180" s="45" t="s">
        <v>99</v>
      </c>
    </row>
    <row r="181" spans="1:22" x14ac:dyDescent="0.2">
      <c r="A181" s="746" t="s">
        <v>120</v>
      </c>
      <c r="B181" s="209">
        <v>219158950000</v>
      </c>
      <c r="C181" s="17">
        <v>145753590000</v>
      </c>
      <c r="D181" s="17">
        <v>119436410000</v>
      </c>
      <c r="E181" s="17">
        <v>114762870000</v>
      </c>
      <c r="F181" s="210">
        <v>112549870000</v>
      </c>
      <c r="G181" s="17">
        <v>74147210000</v>
      </c>
      <c r="H181" s="17">
        <v>47182960000</v>
      </c>
      <c r="I181" s="17">
        <v>37845480000</v>
      </c>
      <c r="J181" s="17">
        <v>27497530099</v>
      </c>
      <c r="K181" s="211">
        <v>26108020000</v>
      </c>
      <c r="L181" s="675"/>
      <c r="M181" s="17">
        <v>-86214660000</v>
      </c>
      <c r="N181" s="17">
        <v>-84834710000</v>
      </c>
      <c r="O181" s="17">
        <v>-74608100000</v>
      </c>
      <c r="P181" s="212">
        <v>-74318580000</v>
      </c>
      <c r="Q181" s="17">
        <v>-63115280000</v>
      </c>
      <c r="R181" s="17">
        <v>-42881650000</v>
      </c>
      <c r="S181" s="17">
        <v>-33478340000</v>
      </c>
      <c r="T181" s="17">
        <v>-29944140000</v>
      </c>
      <c r="U181" s="17">
        <v>-27759990000</v>
      </c>
      <c r="V181" s="17">
        <v>-27062940000</v>
      </c>
    </row>
    <row r="182" spans="1:22" x14ac:dyDescent="0.2">
      <c r="A182" s="746" t="s">
        <v>119</v>
      </c>
      <c r="B182" s="45" t="s">
        <v>27</v>
      </c>
      <c r="C182" s="45" t="s">
        <v>25</v>
      </c>
      <c r="D182" s="45" t="s">
        <v>67</v>
      </c>
      <c r="E182" s="45" t="s">
        <v>26</v>
      </c>
      <c r="F182" s="45" t="s">
        <v>109</v>
      </c>
      <c r="G182" s="45" t="s">
        <v>15</v>
      </c>
      <c r="H182" s="45" t="s">
        <v>33</v>
      </c>
      <c r="I182" s="45" t="s">
        <v>5</v>
      </c>
      <c r="J182" s="45" t="s">
        <v>31</v>
      </c>
      <c r="K182" s="45" t="s">
        <v>65</v>
      </c>
      <c r="L182" s="675"/>
      <c r="M182" s="45" t="s">
        <v>6</v>
      </c>
      <c r="N182" s="45" t="s">
        <v>74</v>
      </c>
      <c r="O182" s="45" t="s">
        <v>18</v>
      </c>
      <c r="P182" s="45" t="s">
        <v>24</v>
      </c>
      <c r="Q182" s="45" t="s">
        <v>19</v>
      </c>
      <c r="R182" s="45" t="s">
        <v>196</v>
      </c>
      <c r="S182" s="45" t="s">
        <v>97</v>
      </c>
      <c r="T182" s="45" t="s">
        <v>14</v>
      </c>
      <c r="U182" s="45" t="s">
        <v>181</v>
      </c>
      <c r="V182" s="45" t="s">
        <v>16</v>
      </c>
    </row>
    <row r="183" spans="1:22" x14ac:dyDescent="0.2">
      <c r="A183" s="746" t="s">
        <v>119</v>
      </c>
      <c r="B183" s="17">
        <v>193819070000</v>
      </c>
      <c r="C183" s="199">
        <v>115930180000</v>
      </c>
      <c r="D183" s="200">
        <v>110658130000</v>
      </c>
      <c r="E183" s="201">
        <v>86514950000</v>
      </c>
      <c r="F183" s="202">
        <v>48207160000</v>
      </c>
      <c r="G183" s="17">
        <v>46278300000</v>
      </c>
      <c r="H183" s="17">
        <v>35711350000</v>
      </c>
      <c r="I183" s="17">
        <v>27705750000</v>
      </c>
      <c r="J183" s="17">
        <v>23912540000</v>
      </c>
      <c r="K183" s="17">
        <v>22035700000</v>
      </c>
      <c r="L183" s="675"/>
      <c r="M183" s="203">
        <v>-146008600000</v>
      </c>
      <c r="N183" s="204">
        <v>-61426250000</v>
      </c>
      <c r="O183" s="17">
        <v>-60999870000</v>
      </c>
      <c r="P183" s="17">
        <v>-48918650000</v>
      </c>
      <c r="Q183" s="17">
        <v>-36808560000</v>
      </c>
      <c r="R183" s="17">
        <v>-32294340000</v>
      </c>
      <c r="S183" s="17">
        <v>-28131260000</v>
      </c>
      <c r="T183" s="17">
        <v>-24763920000</v>
      </c>
      <c r="U183" s="205">
        <v>-18076810000</v>
      </c>
      <c r="V183" s="17">
        <v>-17798120000</v>
      </c>
    </row>
    <row r="184" spans="1:22" x14ac:dyDescent="0.2">
      <c r="A184" s="746" t="s">
        <v>141</v>
      </c>
      <c r="B184" s="45" t="s">
        <v>100</v>
      </c>
      <c r="C184" s="45" t="s">
        <v>75</v>
      </c>
      <c r="D184" s="45" t="s">
        <v>67</v>
      </c>
      <c r="E184" s="45" t="s">
        <v>202</v>
      </c>
      <c r="F184" s="45" t="s">
        <v>199</v>
      </c>
      <c r="G184" s="45" t="s">
        <v>290</v>
      </c>
      <c r="H184" s="45" t="s">
        <v>288</v>
      </c>
      <c r="I184" s="45" t="s">
        <v>209</v>
      </c>
      <c r="J184" s="45" t="s">
        <v>99</v>
      </c>
      <c r="K184" s="45" t="s">
        <v>111</v>
      </c>
      <c r="L184" s="675"/>
      <c r="M184" s="45" t="s">
        <v>24</v>
      </c>
      <c r="N184" s="45" t="s">
        <v>14</v>
      </c>
      <c r="O184" s="45" t="s">
        <v>6</v>
      </c>
      <c r="P184" s="45" t="s">
        <v>32</v>
      </c>
      <c r="Q184" s="45" t="s">
        <v>18</v>
      </c>
      <c r="R184" s="45" t="s">
        <v>11</v>
      </c>
      <c r="S184" s="45" t="s">
        <v>17</v>
      </c>
      <c r="T184" s="45" t="s">
        <v>28</v>
      </c>
      <c r="U184" s="45" t="s">
        <v>8</v>
      </c>
      <c r="V184" s="45" t="s">
        <v>62</v>
      </c>
    </row>
    <row r="185" spans="1:22" x14ac:dyDescent="0.2">
      <c r="A185" s="746" t="s">
        <v>141</v>
      </c>
      <c r="B185" s="188">
        <v>55575000000</v>
      </c>
      <c r="C185" s="17">
        <v>42294630000</v>
      </c>
      <c r="D185" s="17">
        <v>40827990000</v>
      </c>
      <c r="E185" s="189">
        <v>37012200000</v>
      </c>
      <c r="F185" s="190">
        <v>35055590000</v>
      </c>
      <c r="G185" s="17">
        <v>23253040000</v>
      </c>
      <c r="H185" s="191">
        <v>22167900000</v>
      </c>
      <c r="I185" s="192">
        <v>19902280000</v>
      </c>
      <c r="J185" s="17">
        <v>16687570000</v>
      </c>
      <c r="K185" s="17">
        <v>15069220000</v>
      </c>
      <c r="L185" s="675"/>
      <c r="M185" s="17">
        <v>-123222340000</v>
      </c>
      <c r="N185" s="17">
        <v>-119090580000</v>
      </c>
      <c r="O185" s="17">
        <v>-83417950000</v>
      </c>
      <c r="P185" s="193">
        <v>-57943461238</v>
      </c>
      <c r="Q185" s="17">
        <v>-52857160000</v>
      </c>
      <c r="R185" s="17">
        <v>-49768870000</v>
      </c>
      <c r="S185" s="194">
        <v>-47128540000</v>
      </c>
      <c r="T185" s="17">
        <v>-33509070000</v>
      </c>
      <c r="U185" s="17">
        <v>-32943040000</v>
      </c>
      <c r="V185" s="17">
        <v>-32479730000</v>
      </c>
    </row>
    <row r="186" spans="1:22" x14ac:dyDescent="0.2">
      <c r="A186" s="746" t="s">
        <v>142</v>
      </c>
      <c r="B186" s="45" t="s">
        <v>65</v>
      </c>
      <c r="C186" s="45" t="s">
        <v>15</v>
      </c>
      <c r="D186" s="45" t="s">
        <v>348</v>
      </c>
      <c r="E186" s="45" t="s">
        <v>97</v>
      </c>
      <c r="F186" s="45" t="s">
        <v>324</v>
      </c>
      <c r="G186" s="45" t="s">
        <v>5</v>
      </c>
      <c r="H186" s="45" t="s">
        <v>21</v>
      </c>
      <c r="I186" s="45" t="s">
        <v>45</v>
      </c>
      <c r="J186" s="45" t="s">
        <v>281</v>
      </c>
      <c r="K186" s="45" t="s">
        <v>368</v>
      </c>
      <c r="L186" s="675"/>
      <c r="M186" s="45" t="s">
        <v>24</v>
      </c>
      <c r="N186" s="45" t="s">
        <v>19</v>
      </c>
      <c r="O186" s="45" t="s">
        <v>18</v>
      </c>
      <c r="P186" s="45" t="s">
        <v>196</v>
      </c>
      <c r="Q186" s="45" t="s">
        <v>25</v>
      </c>
      <c r="R186" s="45" t="s">
        <v>11</v>
      </c>
      <c r="S186" s="45" t="s">
        <v>14</v>
      </c>
      <c r="T186" s="45" t="s">
        <v>6</v>
      </c>
      <c r="U186" s="45" t="s">
        <v>26</v>
      </c>
      <c r="V186" s="45" t="s">
        <v>62</v>
      </c>
    </row>
    <row r="187" spans="1:22" x14ac:dyDescent="0.2">
      <c r="A187" s="746" t="s">
        <v>142</v>
      </c>
      <c r="B187" s="181">
        <v>122711410000</v>
      </c>
      <c r="C187" s="17">
        <v>114615000000</v>
      </c>
      <c r="D187" s="182">
        <v>84123540000</v>
      </c>
      <c r="E187" s="17">
        <v>39292390000</v>
      </c>
      <c r="F187" s="183">
        <v>34959860000</v>
      </c>
      <c r="G187" s="17">
        <v>23503290000</v>
      </c>
      <c r="H187" s="17">
        <v>22317379239</v>
      </c>
      <c r="I187" s="17">
        <v>20063300000</v>
      </c>
      <c r="J187" s="17">
        <v>19191210000</v>
      </c>
      <c r="K187" s="17">
        <v>12724350000</v>
      </c>
      <c r="L187" s="675"/>
      <c r="M187" s="17">
        <v>-131649010000</v>
      </c>
      <c r="N187" s="184">
        <v>-91972860000</v>
      </c>
      <c r="O187" s="17">
        <v>-84183430000</v>
      </c>
      <c r="P187" s="185">
        <v>-66135330000</v>
      </c>
      <c r="Q187" s="17">
        <v>-64568820000</v>
      </c>
      <c r="R187" s="17">
        <v>-48235040000</v>
      </c>
      <c r="S187" s="17">
        <v>-46471220000</v>
      </c>
      <c r="T187" s="17">
        <v>-39479040000</v>
      </c>
      <c r="U187" s="17">
        <v>-36725100000</v>
      </c>
      <c r="V187" s="17">
        <v>-32572880000</v>
      </c>
    </row>
    <row r="188" spans="1:22" x14ac:dyDescent="0.2">
      <c r="A188" s="746" t="s">
        <v>143</v>
      </c>
      <c r="B188" s="45" t="s">
        <v>6</v>
      </c>
      <c r="C188" s="45" t="s">
        <v>19</v>
      </c>
      <c r="D188" s="45" t="s">
        <v>74</v>
      </c>
      <c r="E188" s="45" t="s">
        <v>16</v>
      </c>
      <c r="F188" s="45" t="s">
        <v>72</v>
      </c>
      <c r="G188" s="45" t="s">
        <v>14</v>
      </c>
      <c r="H188" s="45" t="s">
        <v>199</v>
      </c>
      <c r="I188" s="45" t="s">
        <v>5</v>
      </c>
      <c r="J188" s="45" t="s">
        <v>9</v>
      </c>
      <c r="K188" s="45" t="s">
        <v>15</v>
      </c>
      <c r="L188" s="675"/>
      <c r="M188" s="45" t="s">
        <v>75</v>
      </c>
      <c r="N188" s="45" t="s">
        <v>24</v>
      </c>
      <c r="O188" s="45" t="s">
        <v>25</v>
      </c>
      <c r="P188" s="45" t="s">
        <v>18</v>
      </c>
      <c r="Q188" s="45" t="s">
        <v>196</v>
      </c>
      <c r="R188" s="45" t="s">
        <v>97</v>
      </c>
      <c r="S188" s="45" t="s">
        <v>13</v>
      </c>
      <c r="T188" s="45" t="s">
        <v>100</v>
      </c>
      <c r="U188" s="45" t="s">
        <v>11</v>
      </c>
      <c r="V188" s="45" t="s">
        <v>30</v>
      </c>
    </row>
    <row r="189" spans="1:22" x14ac:dyDescent="0.2">
      <c r="A189" s="746" t="s">
        <v>143</v>
      </c>
      <c r="B189" s="173">
        <v>158425160000</v>
      </c>
      <c r="C189" s="17">
        <v>103209480000</v>
      </c>
      <c r="D189" s="174">
        <v>55748700000</v>
      </c>
      <c r="E189" s="17">
        <v>28425290000</v>
      </c>
      <c r="F189" s="17">
        <v>24230580000</v>
      </c>
      <c r="G189" s="17">
        <v>23671160000</v>
      </c>
      <c r="H189" s="17">
        <v>19537430000</v>
      </c>
      <c r="I189" s="17">
        <v>16355540000</v>
      </c>
      <c r="J189" s="17">
        <v>15921580000</v>
      </c>
      <c r="K189" s="17">
        <v>15678160000</v>
      </c>
      <c r="L189" s="675"/>
      <c r="M189" s="175">
        <v>-80796970000</v>
      </c>
      <c r="N189" s="17">
        <v>-60497890000</v>
      </c>
      <c r="O189" s="17">
        <v>-46580690000</v>
      </c>
      <c r="P189" s="17">
        <v>-45059620000</v>
      </c>
      <c r="Q189" s="176">
        <v>-40151850000</v>
      </c>
      <c r="R189" s="17">
        <v>-40085820000</v>
      </c>
      <c r="S189" s="17">
        <v>-37473530000</v>
      </c>
      <c r="T189" s="177">
        <v>-34417020000</v>
      </c>
      <c r="U189" s="17">
        <v>-25215310000</v>
      </c>
      <c r="V189" s="17">
        <v>-24667260000</v>
      </c>
    </row>
    <row r="190" spans="1:22" x14ac:dyDescent="0.2">
      <c r="A190" s="746" t="s">
        <v>144</v>
      </c>
      <c r="B190" s="45" t="s">
        <v>11</v>
      </c>
      <c r="C190" s="45" t="s">
        <v>61</v>
      </c>
      <c r="D190" s="45" t="s">
        <v>28</v>
      </c>
      <c r="E190" s="45" t="s">
        <v>31</v>
      </c>
      <c r="F190" s="45" t="s">
        <v>21</v>
      </c>
      <c r="G190" s="45" t="s">
        <v>8</v>
      </c>
      <c r="H190" s="45" t="s">
        <v>19</v>
      </c>
      <c r="I190" s="45" t="s">
        <v>73</v>
      </c>
      <c r="J190" s="45" t="s">
        <v>9</v>
      </c>
      <c r="K190" s="45" t="s">
        <v>72</v>
      </c>
      <c r="L190" s="675"/>
      <c r="M190" s="45" t="s">
        <v>10</v>
      </c>
      <c r="N190" s="45" t="s">
        <v>27</v>
      </c>
      <c r="O190" s="45" t="s">
        <v>97</v>
      </c>
      <c r="P190" s="45" t="s">
        <v>15</v>
      </c>
      <c r="Q190" s="45" t="s">
        <v>13</v>
      </c>
      <c r="R190" s="45" t="s">
        <v>26</v>
      </c>
      <c r="S190" s="45" t="s">
        <v>68</v>
      </c>
      <c r="T190" s="45" t="s">
        <v>18</v>
      </c>
      <c r="U190" s="45" t="s">
        <v>24</v>
      </c>
      <c r="V190" s="45" t="s">
        <v>25</v>
      </c>
    </row>
    <row r="191" spans="1:22" x14ac:dyDescent="0.2">
      <c r="A191" s="746" t="s">
        <v>144</v>
      </c>
      <c r="B191" s="17">
        <v>45559260000</v>
      </c>
      <c r="C191" s="17">
        <v>42683030000</v>
      </c>
      <c r="D191" s="17">
        <v>40167370000</v>
      </c>
      <c r="E191" s="17">
        <v>38367260000</v>
      </c>
      <c r="F191" s="17">
        <v>35378302590</v>
      </c>
      <c r="G191" s="17">
        <v>33435380000</v>
      </c>
      <c r="H191" s="17">
        <v>30420570000</v>
      </c>
      <c r="I191" s="17">
        <v>22925000000</v>
      </c>
      <c r="J191" s="17">
        <v>20882720000</v>
      </c>
      <c r="K191" s="17">
        <v>16269820000</v>
      </c>
      <c r="L191" s="675"/>
      <c r="M191" s="17">
        <v>-89741274657</v>
      </c>
      <c r="N191" s="17">
        <v>-89643420000</v>
      </c>
      <c r="O191" s="168">
        <v>-67669830000</v>
      </c>
      <c r="P191" s="17">
        <v>-66429720000</v>
      </c>
      <c r="Q191" s="17">
        <v>-60494740000</v>
      </c>
      <c r="R191" s="17">
        <v>-56355970000</v>
      </c>
      <c r="S191" s="17">
        <v>-54937490000</v>
      </c>
      <c r="T191" s="17">
        <v>-47055920000</v>
      </c>
      <c r="U191" s="17">
        <v>-44606740000</v>
      </c>
      <c r="V191" s="17">
        <v>-32181130000</v>
      </c>
    </row>
    <row r="192" spans="1:22" x14ac:dyDescent="0.2">
      <c r="A192" s="746" t="s">
        <v>145</v>
      </c>
      <c r="B192" s="45" t="s">
        <v>19</v>
      </c>
      <c r="C192" s="45" t="s">
        <v>14</v>
      </c>
      <c r="D192" s="45" t="s">
        <v>31</v>
      </c>
      <c r="E192" s="45" t="s">
        <v>290</v>
      </c>
      <c r="F192" s="45" t="s">
        <v>6</v>
      </c>
      <c r="G192" s="45" t="s">
        <v>73</v>
      </c>
      <c r="H192" s="45" t="s">
        <v>315</v>
      </c>
      <c r="I192" s="45" t="s">
        <v>24</v>
      </c>
      <c r="J192" s="45" t="s">
        <v>28</v>
      </c>
      <c r="K192" s="45" t="s">
        <v>111</v>
      </c>
      <c r="L192" s="675"/>
      <c r="M192" s="45" t="s">
        <v>10</v>
      </c>
      <c r="N192" s="45" t="s">
        <v>68</v>
      </c>
      <c r="O192" s="45" t="s">
        <v>13</v>
      </c>
      <c r="P192" s="45" t="s">
        <v>5</v>
      </c>
      <c r="Q192" s="45" t="s">
        <v>25</v>
      </c>
      <c r="R192" s="45" t="s">
        <v>97</v>
      </c>
      <c r="S192" s="45" t="s">
        <v>15</v>
      </c>
      <c r="T192" s="45" t="s">
        <v>41</v>
      </c>
      <c r="U192" s="45" t="s">
        <v>33</v>
      </c>
      <c r="V192" s="45" t="s">
        <v>67</v>
      </c>
    </row>
    <row r="193" spans="1:22" x14ac:dyDescent="0.2">
      <c r="A193" s="746" t="s">
        <v>145</v>
      </c>
      <c r="B193" s="161">
        <v>195785200000</v>
      </c>
      <c r="C193" s="17">
        <v>92951040000</v>
      </c>
      <c r="D193" s="162">
        <v>51936790000</v>
      </c>
      <c r="E193" s="163">
        <v>42320480000</v>
      </c>
      <c r="F193" s="17">
        <v>37458860000</v>
      </c>
      <c r="G193" s="17">
        <v>35486070000</v>
      </c>
      <c r="H193" s="164">
        <v>24602520000</v>
      </c>
      <c r="I193" s="17">
        <v>21678070000</v>
      </c>
      <c r="J193" s="17">
        <v>21328250000</v>
      </c>
      <c r="K193" s="17">
        <v>14807170000</v>
      </c>
      <c r="L193" s="675"/>
      <c r="M193" s="165">
        <v>-119303604860</v>
      </c>
      <c r="N193" s="166">
        <v>-101585690000</v>
      </c>
      <c r="O193" s="17">
        <v>-55288700000</v>
      </c>
      <c r="P193" s="17">
        <v>-53070780000</v>
      </c>
      <c r="Q193" s="17">
        <v>-49591290000</v>
      </c>
      <c r="R193" s="17">
        <v>-42086570000</v>
      </c>
      <c r="S193" s="17">
        <v>-39687100000</v>
      </c>
      <c r="T193" s="17">
        <v>-26967190000</v>
      </c>
      <c r="U193" s="17">
        <v>-20410210000</v>
      </c>
      <c r="V193" s="17">
        <v>-18386920000</v>
      </c>
    </row>
    <row r="194" spans="1:22" x14ac:dyDescent="0.2">
      <c r="A194" s="746" t="s">
        <v>146</v>
      </c>
      <c r="B194" s="45" t="s">
        <v>196</v>
      </c>
      <c r="C194" s="45" t="s">
        <v>75</v>
      </c>
      <c r="D194" s="45" t="s">
        <v>18</v>
      </c>
      <c r="E194" s="45" t="s">
        <v>100</v>
      </c>
      <c r="F194" s="45" t="s">
        <v>5</v>
      </c>
      <c r="G194" s="45" t="s">
        <v>73</v>
      </c>
      <c r="H194" s="45" t="s">
        <v>31</v>
      </c>
      <c r="I194" s="45" t="s">
        <v>98</v>
      </c>
      <c r="J194" s="45" t="s">
        <v>26</v>
      </c>
      <c r="K194" s="45" t="s">
        <v>182</v>
      </c>
      <c r="L194" s="675"/>
      <c r="M194" s="45" t="s">
        <v>24</v>
      </c>
      <c r="N194" s="45" t="s">
        <v>10</v>
      </c>
      <c r="O194" s="45" t="s">
        <v>41</v>
      </c>
      <c r="P194" s="45" t="s">
        <v>16</v>
      </c>
      <c r="Q194" s="45" t="s">
        <v>97</v>
      </c>
      <c r="R194" s="45" t="s">
        <v>27</v>
      </c>
      <c r="S194" s="45" t="s">
        <v>25</v>
      </c>
      <c r="T194" s="45" t="s">
        <v>74</v>
      </c>
      <c r="U194" s="45" t="s">
        <v>68</v>
      </c>
      <c r="V194" s="45" t="s">
        <v>14</v>
      </c>
    </row>
    <row r="195" spans="1:22" x14ac:dyDescent="0.2">
      <c r="A195" s="746" t="s">
        <v>146</v>
      </c>
      <c r="B195" s="156">
        <v>154264184341</v>
      </c>
      <c r="C195" s="17">
        <v>91151920000</v>
      </c>
      <c r="D195" s="17">
        <v>60056840000</v>
      </c>
      <c r="E195" s="157">
        <v>33478000000</v>
      </c>
      <c r="F195" s="17">
        <v>26699210000</v>
      </c>
      <c r="G195" s="17">
        <v>24831100000</v>
      </c>
      <c r="H195" s="17">
        <v>23234070000</v>
      </c>
      <c r="I195" s="17">
        <v>21889100000</v>
      </c>
      <c r="J195" s="17">
        <v>21432430000</v>
      </c>
      <c r="K195" s="17">
        <v>14777740000</v>
      </c>
      <c r="L195" s="675"/>
      <c r="M195" s="17">
        <v>-80357300000</v>
      </c>
      <c r="N195" s="17">
        <v>-55515705973</v>
      </c>
      <c r="O195" s="17">
        <v>-53712820000</v>
      </c>
      <c r="P195" s="17">
        <v>-42441400000</v>
      </c>
      <c r="Q195" s="17">
        <v>-42139290000</v>
      </c>
      <c r="R195" s="17">
        <v>-40331720000</v>
      </c>
      <c r="S195" s="17">
        <v>-34883470000</v>
      </c>
      <c r="T195" s="17">
        <v>-32848770000</v>
      </c>
      <c r="U195" s="17">
        <v>-27670390000</v>
      </c>
      <c r="V195" s="17">
        <v>-27244160000</v>
      </c>
    </row>
    <row r="196" spans="1:22" x14ac:dyDescent="0.2">
      <c r="A196" s="746" t="s">
        <v>147</v>
      </c>
      <c r="B196" s="45" t="s">
        <v>43</v>
      </c>
      <c r="C196" s="45" t="s">
        <v>15</v>
      </c>
      <c r="D196" s="45" t="s">
        <v>18</v>
      </c>
      <c r="E196" s="45" t="s">
        <v>21</v>
      </c>
      <c r="F196" s="45" t="s">
        <v>19</v>
      </c>
      <c r="G196" s="45" t="s">
        <v>9</v>
      </c>
      <c r="H196" s="45" t="s">
        <v>111</v>
      </c>
      <c r="I196" s="45" t="s">
        <v>5</v>
      </c>
      <c r="J196" s="45" t="s">
        <v>286</v>
      </c>
      <c r="K196" s="45" t="s">
        <v>209</v>
      </c>
      <c r="L196" s="675"/>
      <c r="M196" s="45" t="s">
        <v>27</v>
      </c>
      <c r="N196" s="45" t="s">
        <v>25</v>
      </c>
      <c r="O196" s="45" t="s">
        <v>67</v>
      </c>
      <c r="P196" s="45" t="s">
        <v>30</v>
      </c>
      <c r="Q196" s="45" t="s">
        <v>16</v>
      </c>
      <c r="R196" s="45" t="s">
        <v>33</v>
      </c>
      <c r="S196" s="45" t="s">
        <v>97</v>
      </c>
      <c r="T196" s="45" t="s">
        <v>98</v>
      </c>
      <c r="U196" s="45" t="s">
        <v>70</v>
      </c>
      <c r="V196" s="45" t="s">
        <v>324</v>
      </c>
    </row>
    <row r="197" spans="1:22" x14ac:dyDescent="0.2">
      <c r="A197" s="746" t="s">
        <v>147</v>
      </c>
      <c r="B197" s="150">
        <v>293471173592</v>
      </c>
      <c r="C197" s="17">
        <v>61321239815</v>
      </c>
      <c r="D197" s="17">
        <v>56526305691</v>
      </c>
      <c r="E197" s="17">
        <v>18156442160</v>
      </c>
      <c r="F197" s="17">
        <v>17044540671</v>
      </c>
      <c r="G197" s="17">
        <v>15983716995</v>
      </c>
      <c r="H197" s="17">
        <v>15332171024</v>
      </c>
      <c r="I197" s="17">
        <v>13387836840</v>
      </c>
      <c r="J197" s="17">
        <v>13240966154</v>
      </c>
      <c r="K197" s="151">
        <v>12612798979</v>
      </c>
      <c r="L197" s="675"/>
      <c r="M197" s="17">
        <v>-72457970507</v>
      </c>
      <c r="N197" s="17">
        <v>-48521057197</v>
      </c>
      <c r="O197" s="17">
        <v>-48082330404</v>
      </c>
      <c r="P197" s="17">
        <v>-29966111857</v>
      </c>
      <c r="Q197" s="17">
        <v>-27015288463</v>
      </c>
      <c r="R197" s="17">
        <v>-21162959829</v>
      </c>
      <c r="S197" s="17">
        <v>-20839799363</v>
      </c>
      <c r="T197" s="17">
        <v>-20520657433</v>
      </c>
      <c r="U197" s="17">
        <v>-20012101151</v>
      </c>
      <c r="V197" s="152">
        <v>-16053302745</v>
      </c>
    </row>
    <row r="198" spans="1:22" x14ac:dyDescent="0.2">
      <c r="A198" s="746" t="s">
        <v>148</v>
      </c>
      <c r="B198" s="45" t="s">
        <v>5</v>
      </c>
      <c r="C198" s="45" t="s">
        <v>15</v>
      </c>
      <c r="D198" s="45" t="s">
        <v>11</v>
      </c>
      <c r="E198" s="45" t="s">
        <v>45</v>
      </c>
      <c r="F198" s="45" t="s">
        <v>9</v>
      </c>
      <c r="G198" s="45" t="s">
        <v>17</v>
      </c>
      <c r="H198" s="45" t="s">
        <v>16</v>
      </c>
      <c r="I198" s="45" t="s">
        <v>204</v>
      </c>
      <c r="J198" s="45" t="s">
        <v>184</v>
      </c>
      <c r="K198" s="45" t="s">
        <v>337</v>
      </c>
      <c r="L198" s="675"/>
      <c r="M198" s="45" t="s">
        <v>25</v>
      </c>
      <c r="N198" s="45" t="s">
        <v>24</v>
      </c>
      <c r="O198" s="45" t="s">
        <v>6</v>
      </c>
      <c r="P198" s="45" t="s">
        <v>13</v>
      </c>
      <c r="Q198" s="45" t="s">
        <v>67</v>
      </c>
      <c r="R198" s="45" t="s">
        <v>196</v>
      </c>
      <c r="S198" s="45" t="s">
        <v>30</v>
      </c>
      <c r="T198" s="45" t="s">
        <v>10</v>
      </c>
      <c r="U198" s="45" t="s">
        <v>97</v>
      </c>
      <c r="V198" s="45" t="s">
        <v>39</v>
      </c>
    </row>
    <row r="199" spans="1:22" x14ac:dyDescent="0.2">
      <c r="A199" s="746" t="s">
        <v>148</v>
      </c>
      <c r="B199" s="146">
        <v>194895359282</v>
      </c>
      <c r="C199" s="17">
        <v>113217936114</v>
      </c>
      <c r="D199" s="17">
        <v>79932750000</v>
      </c>
      <c r="E199" s="17">
        <v>57444273749</v>
      </c>
      <c r="F199" s="17">
        <v>56313530000</v>
      </c>
      <c r="G199" s="17">
        <v>43428679396</v>
      </c>
      <c r="H199" s="17">
        <v>43182600000</v>
      </c>
      <c r="I199" s="147">
        <v>40396084380</v>
      </c>
      <c r="J199" s="17">
        <v>22930860000</v>
      </c>
      <c r="K199" s="148">
        <v>20131660000</v>
      </c>
      <c r="L199" s="675"/>
      <c r="M199" s="149">
        <v>-184570080000</v>
      </c>
      <c r="N199" s="17">
        <v>-93371128842</v>
      </c>
      <c r="O199" s="17">
        <v>-69710940000</v>
      </c>
      <c r="P199" s="17">
        <v>-49740739703</v>
      </c>
      <c r="Q199" s="17">
        <v>-37524871909</v>
      </c>
      <c r="R199" s="17">
        <v>-25718530000</v>
      </c>
      <c r="S199" s="17">
        <v>-23615340394</v>
      </c>
      <c r="T199" s="17">
        <v>-23114359559</v>
      </c>
      <c r="U199" s="17">
        <v>-22454362431</v>
      </c>
      <c r="V199" s="17">
        <v>-22358295454</v>
      </c>
    </row>
    <row r="200" spans="1:22" x14ac:dyDescent="0.2">
      <c r="A200" s="746" t="s">
        <v>149</v>
      </c>
      <c r="B200" s="45" t="s">
        <v>14</v>
      </c>
      <c r="C200" s="45" t="s">
        <v>41</v>
      </c>
      <c r="D200" s="45" t="s">
        <v>45</v>
      </c>
      <c r="E200" s="45" t="s">
        <v>196</v>
      </c>
      <c r="F200" s="45" t="s">
        <v>60</v>
      </c>
      <c r="G200" s="45" t="s">
        <v>184</v>
      </c>
      <c r="H200" s="45" t="s">
        <v>17</v>
      </c>
      <c r="I200" s="45" t="s">
        <v>21</v>
      </c>
      <c r="J200" s="45" t="s">
        <v>281</v>
      </c>
      <c r="K200" s="45" t="s">
        <v>62</v>
      </c>
      <c r="L200" s="675"/>
      <c r="M200" s="45" t="s">
        <v>25</v>
      </c>
      <c r="N200" s="45" t="s">
        <v>24</v>
      </c>
      <c r="O200" s="45" t="s">
        <v>27</v>
      </c>
      <c r="P200" s="45" t="s">
        <v>18</v>
      </c>
      <c r="Q200" s="45" t="s">
        <v>9</v>
      </c>
      <c r="R200" s="45" t="s">
        <v>13</v>
      </c>
      <c r="S200" s="45" t="s">
        <v>99</v>
      </c>
      <c r="T200" s="45" t="s">
        <v>30</v>
      </c>
      <c r="U200" s="45" t="s">
        <v>28</v>
      </c>
      <c r="V200" s="45" t="s">
        <v>290</v>
      </c>
    </row>
    <row r="201" spans="1:22" x14ac:dyDescent="0.2">
      <c r="A201" s="746" t="s">
        <v>149</v>
      </c>
      <c r="B201" s="17">
        <v>100897513531</v>
      </c>
      <c r="C201" s="17">
        <v>84516830000</v>
      </c>
      <c r="D201" s="17">
        <v>55282665187</v>
      </c>
      <c r="E201" s="17">
        <v>51065965877</v>
      </c>
      <c r="F201" s="17">
        <v>50645664491</v>
      </c>
      <c r="G201" s="140">
        <v>35697780000</v>
      </c>
      <c r="H201" s="17">
        <v>31989140000</v>
      </c>
      <c r="I201" s="17">
        <v>30895294462</v>
      </c>
      <c r="J201" s="141">
        <v>27744160000</v>
      </c>
      <c r="K201" s="17">
        <v>26861950000</v>
      </c>
      <c r="L201" s="675"/>
      <c r="M201" s="142">
        <v>-141247960000</v>
      </c>
      <c r="N201" s="17">
        <v>-81820510451</v>
      </c>
      <c r="O201" s="17">
        <v>-27733740000</v>
      </c>
      <c r="P201" s="17">
        <v>-27594400000</v>
      </c>
      <c r="Q201" s="17">
        <v>-26258859381</v>
      </c>
      <c r="R201" s="17">
        <v>-22168880000</v>
      </c>
      <c r="S201" s="17">
        <v>-20316440000</v>
      </c>
      <c r="T201" s="17">
        <v>-15926890000</v>
      </c>
      <c r="U201" s="17">
        <v>-14139870000</v>
      </c>
      <c r="V201" s="143">
        <v>-13815566759</v>
      </c>
    </row>
    <row r="202" spans="1:22" x14ac:dyDescent="0.2">
      <c r="A202" s="746" t="s">
        <v>150</v>
      </c>
      <c r="B202" s="45" t="s">
        <v>14</v>
      </c>
      <c r="C202" s="45" t="s">
        <v>45</v>
      </c>
      <c r="D202" s="45" t="s">
        <v>111</v>
      </c>
      <c r="E202" s="45" t="s">
        <v>19</v>
      </c>
      <c r="F202" s="45" t="s">
        <v>20</v>
      </c>
      <c r="G202" s="45" t="s">
        <v>33</v>
      </c>
      <c r="H202" s="45" t="s">
        <v>17</v>
      </c>
      <c r="I202" s="45" t="s">
        <v>16</v>
      </c>
      <c r="J202" s="45" t="s">
        <v>99</v>
      </c>
      <c r="K202" s="45" t="s">
        <v>184</v>
      </c>
      <c r="L202" s="675"/>
      <c r="M202" s="45" t="s">
        <v>41</v>
      </c>
      <c r="N202" s="45" t="s">
        <v>24</v>
      </c>
      <c r="O202" s="45" t="s">
        <v>26</v>
      </c>
      <c r="P202" s="45" t="s">
        <v>25</v>
      </c>
      <c r="Q202" s="45" t="s">
        <v>30</v>
      </c>
      <c r="R202" s="45" t="s">
        <v>18</v>
      </c>
      <c r="S202" s="45" t="s">
        <v>8</v>
      </c>
      <c r="T202" s="45" t="s">
        <v>102</v>
      </c>
      <c r="U202" s="45" t="s">
        <v>71</v>
      </c>
      <c r="V202" s="45" t="s">
        <v>15</v>
      </c>
    </row>
    <row r="203" spans="1:22" x14ac:dyDescent="0.2">
      <c r="A203" s="746" t="s">
        <v>150</v>
      </c>
      <c r="B203" s="17">
        <v>58241780000</v>
      </c>
      <c r="C203" s="17">
        <v>40905360000</v>
      </c>
      <c r="D203" s="17">
        <v>34590880000</v>
      </c>
      <c r="E203" s="17">
        <v>31492550000</v>
      </c>
      <c r="F203" s="17">
        <v>29803240000</v>
      </c>
      <c r="G203" s="17">
        <v>25671060000</v>
      </c>
      <c r="H203" s="17">
        <v>24247250000</v>
      </c>
      <c r="I203" s="17">
        <v>22214070000</v>
      </c>
      <c r="J203" s="17">
        <v>15780030000</v>
      </c>
      <c r="K203" s="17">
        <v>14672440000</v>
      </c>
      <c r="L203" s="675"/>
      <c r="M203" s="137">
        <v>-148170660000</v>
      </c>
      <c r="N203" s="17">
        <v>-59703140000</v>
      </c>
      <c r="O203" s="17">
        <v>-34000790000</v>
      </c>
      <c r="P203" s="17">
        <v>-31468260000</v>
      </c>
      <c r="Q203" s="17">
        <v>-27277450000</v>
      </c>
      <c r="R203" s="17">
        <v>-26939100000</v>
      </c>
      <c r="S203" s="17">
        <v>-22453310000</v>
      </c>
      <c r="T203" s="138">
        <v>-15431670000</v>
      </c>
      <c r="U203" s="17">
        <v>-13834836011</v>
      </c>
      <c r="V203" s="17">
        <v>-11812340000</v>
      </c>
    </row>
    <row r="204" spans="1:22" x14ac:dyDescent="0.2">
      <c r="A204" s="746" t="s">
        <v>151</v>
      </c>
      <c r="B204" s="45" t="s">
        <v>15</v>
      </c>
      <c r="C204" s="45" t="s">
        <v>45</v>
      </c>
      <c r="D204" s="45" t="s">
        <v>17</v>
      </c>
      <c r="E204" s="45" t="s">
        <v>20</v>
      </c>
      <c r="F204" s="45" t="s">
        <v>61</v>
      </c>
      <c r="G204" s="45" t="s">
        <v>60</v>
      </c>
      <c r="H204" s="45" t="s">
        <v>8</v>
      </c>
      <c r="I204" s="45" t="s">
        <v>99</v>
      </c>
      <c r="J204" s="45" t="s">
        <v>16</v>
      </c>
      <c r="K204" s="45" t="s">
        <v>19</v>
      </c>
      <c r="L204" s="675"/>
      <c r="M204" s="45" t="s">
        <v>27</v>
      </c>
      <c r="N204" s="45" t="s">
        <v>26</v>
      </c>
      <c r="O204" s="45" t="s">
        <v>24</v>
      </c>
      <c r="P204" s="45" t="s">
        <v>67</v>
      </c>
      <c r="Q204" s="45" t="s">
        <v>33</v>
      </c>
      <c r="R204" s="45" t="s">
        <v>72</v>
      </c>
      <c r="S204" s="45" t="s">
        <v>14</v>
      </c>
      <c r="T204" s="45" t="s">
        <v>18</v>
      </c>
      <c r="U204" s="45" t="s">
        <v>5</v>
      </c>
      <c r="V204" s="45" t="s">
        <v>338</v>
      </c>
    </row>
    <row r="205" spans="1:22" x14ac:dyDescent="0.2">
      <c r="A205" s="746" t="s">
        <v>151</v>
      </c>
      <c r="B205" s="17">
        <v>91738340000</v>
      </c>
      <c r="C205" s="128">
        <v>83258380000</v>
      </c>
      <c r="D205" s="17">
        <v>76915170000</v>
      </c>
      <c r="E205" s="17">
        <v>70500040000</v>
      </c>
      <c r="F205" s="129">
        <v>68633810000</v>
      </c>
      <c r="G205" s="17">
        <v>56991136874</v>
      </c>
      <c r="H205" s="17">
        <v>53139700000</v>
      </c>
      <c r="I205" s="17">
        <v>38858930000</v>
      </c>
      <c r="J205" s="17">
        <v>38464480000</v>
      </c>
      <c r="K205" s="17">
        <v>24182310000</v>
      </c>
      <c r="L205" s="675"/>
      <c r="M205" s="17">
        <v>-108276150000</v>
      </c>
      <c r="N205" s="17">
        <v>-57237820000</v>
      </c>
      <c r="O205" s="17">
        <v>-38604090000</v>
      </c>
      <c r="P205" s="17">
        <v>-27492530000</v>
      </c>
      <c r="Q205" s="17">
        <v>-22485720000</v>
      </c>
      <c r="R205" s="17">
        <v>-15345160000</v>
      </c>
      <c r="S205" s="17">
        <v>-12241770000</v>
      </c>
      <c r="T205" s="17">
        <v>-11814700000</v>
      </c>
      <c r="U205" s="17">
        <v>-11343720000</v>
      </c>
      <c r="V205" s="17">
        <v>-11049321405</v>
      </c>
    </row>
    <row r="206" spans="1:22" x14ac:dyDescent="0.2">
      <c r="A206" s="746" t="s">
        <v>152</v>
      </c>
      <c r="B206" s="45" t="s">
        <v>15</v>
      </c>
      <c r="C206" s="45" t="s">
        <v>25</v>
      </c>
      <c r="D206" s="45" t="s">
        <v>19</v>
      </c>
      <c r="E206" s="45" t="s">
        <v>13</v>
      </c>
      <c r="F206" s="45" t="s">
        <v>17</v>
      </c>
      <c r="G206" s="45" t="s">
        <v>5</v>
      </c>
      <c r="H206" s="45" t="s">
        <v>8</v>
      </c>
      <c r="I206" s="45" t="s">
        <v>16</v>
      </c>
      <c r="J206" s="45" t="s">
        <v>20</v>
      </c>
      <c r="K206" s="45" t="s">
        <v>184</v>
      </c>
      <c r="L206" s="675"/>
      <c r="M206" s="45" t="s">
        <v>28</v>
      </c>
      <c r="N206" s="45" t="s">
        <v>24</v>
      </c>
      <c r="O206" s="45" t="s">
        <v>14</v>
      </c>
      <c r="P206" s="45" t="s">
        <v>68</v>
      </c>
      <c r="Q206" s="45" t="s">
        <v>6</v>
      </c>
      <c r="R206" s="45" t="s">
        <v>18</v>
      </c>
      <c r="S206" s="45" t="s">
        <v>31</v>
      </c>
      <c r="T206" s="45" t="s">
        <v>69</v>
      </c>
      <c r="U206" s="45" t="s">
        <v>33</v>
      </c>
      <c r="V206" s="45" t="s">
        <v>26</v>
      </c>
    </row>
    <row r="207" spans="1:22" x14ac:dyDescent="0.2">
      <c r="A207" s="746" t="s">
        <v>152</v>
      </c>
      <c r="B207" s="17">
        <v>70035770000</v>
      </c>
      <c r="C207" s="123">
        <v>53223960000</v>
      </c>
      <c r="D207" s="17">
        <v>41156910000</v>
      </c>
      <c r="E207" s="17">
        <v>31895890000</v>
      </c>
      <c r="F207" s="17">
        <v>30737620000</v>
      </c>
      <c r="G207" s="17">
        <v>30682760000</v>
      </c>
      <c r="H207" s="17">
        <v>23053340000</v>
      </c>
      <c r="I207" s="17">
        <v>22522980000</v>
      </c>
      <c r="J207" s="17">
        <v>19783320000</v>
      </c>
      <c r="K207" s="17">
        <v>16155970000</v>
      </c>
      <c r="L207" s="675"/>
      <c r="M207" s="17">
        <v>-58930020000</v>
      </c>
      <c r="N207" s="17">
        <v>-58789100000</v>
      </c>
      <c r="O207" s="17">
        <v>-39180250000</v>
      </c>
      <c r="P207" s="17">
        <v>-34011940000</v>
      </c>
      <c r="Q207" s="17">
        <v>-30910870000</v>
      </c>
      <c r="R207" s="17">
        <v>-30576970000</v>
      </c>
      <c r="S207" s="17">
        <v>-28738710000</v>
      </c>
      <c r="T207" s="17">
        <v>-22076100000</v>
      </c>
      <c r="U207" s="17">
        <v>-20321740000</v>
      </c>
      <c r="V207" s="17">
        <v>-18635230000</v>
      </c>
    </row>
    <row r="208" spans="1:22" x14ac:dyDescent="0.2">
      <c r="A208" s="746" t="s">
        <v>153</v>
      </c>
      <c r="B208" s="45" t="s">
        <v>5</v>
      </c>
      <c r="C208" s="45" t="s">
        <v>20</v>
      </c>
      <c r="D208" s="45" t="s">
        <v>15</v>
      </c>
      <c r="E208" s="45" t="s">
        <v>60</v>
      </c>
      <c r="F208" s="45" t="s">
        <v>17</v>
      </c>
      <c r="G208" s="45" t="s">
        <v>16</v>
      </c>
      <c r="H208" s="45" t="s">
        <v>14</v>
      </c>
      <c r="I208" s="45" t="s">
        <v>9</v>
      </c>
      <c r="J208" s="45" t="s">
        <v>19</v>
      </c>
      <c r="K208" s="45" t="s">
        <v>13</v>
      </c>
      <c r="L208" s="675"/>
      <c r="M208" s="45" t="s">
        <v>18</v>
      </c>
      <c r="N208" s="45" t="s">
        <v>68</v>
      </c>
      <c r="O208" s="45" t="s">
        <v>24</v>
      </c>
      <c r="P208" s="45" t="s">
        <v>26</v>
      </c>
      <c r="Q208" s="45" t="s">
        <v>384</v>
      </c>
      <c r="R208" s="45" t="s">
        <v>28</v>
      </c>
      <c r="S208" s="45" t="s">
        <v>25</v>
      </c>
      <c r="T208" s="45" t="s">
        <v>182</v>
      </c>
      <c r="U208" s="45" t="s">
        <v>368</v>
      </c>
      <c r="V208" s="45" t="s">
        <v>69</v>
      </c>
    </row>
    <row r="209" spans="1:22" x14ac:dyDescent="0.2">
      <c r="A209" s="746" t="s">
        <v>153</v>
      </c>
      <c r="B209" s="17">
        <v>120786030000</v>
      </c>
      <c r="C209" s="119">
        <v>79286090000</v>
      </c>
      <c r="D209" s="17">
        <v>78103900000</v>
      </c>
      <c r="E209" s="17">
        <v>63605697998</v>
      </c>
      <c r="F209" s="17">
        <v>38216160000</v>
      </c>
      <c r="G209" s="17">
        <v>31255760000</v>
      </c>
      <c r="H209" s="17">
        <v>29629090000</v>
      </c>
      <c r="I209" s="17">
        <v>27840340000</v>
      </c>
      <c r="J209" s="17">
        <v>23726970000</v>
      </c>
      <c r="K209" s="17">
        <v>21506530000</v>
      </c>
      <c r="L209" s="675"/>
      <c r="M209" s="17">
        <v>-63199720000</v>
      </c>
      <c r="N209" s="120">
        <v>-56518740000</v>
      </c>
      <c r="O209" s="17">
        <v>-52855950000</v>
      </c>
      <c r="P209" s="17">
        <v>-36601080000</v>
      </c>
      <c r="Q209" s="121">
        <v>-32183630000</v>
      </c>
      <c r="R209" s="17">
        <v>-28015680000</v>
      </c>
      <c r="S209" s="17">
        <v>-23712560000</v>
      </c>
      <c r="T209" s="17">
        <v>-23566850000</v>
      </c>
      <c r="U209" s="17">
        <v>-22986640000</v>
      </c>
      <c r="V209" s="17">
        <v>-22455630000</v>
      </c>
    </row>
    <row r="210" spans="1:22" x14ac:dyDescent="0.2">
      <c r="A210" s="746" t="s">
        <v>154</v>
      </c>
      <c r="B210" s="45" t="s">
        <v>14</v>
      </c>
      <c r="C210" s="45" t="s">
        <v>17</v>
      </c>
      <c r="D210" s="45" t="s">
        <v>8</v>
      </c>
      <c r="E210" s="45" t="s">
        <v>16</v>
      </c>
      <c r="F210" s="45" t="s">
        <v>25</v>
      </c>
      <c r="G210" s="45" t="s">
        <v>19</v>
      </c>
      <c r="H210" s="45" t="s">
        <v>73</v>
      </c>
      <c r="I210" s="45" t="s">
        <v>13</v>
      </c>
      <c r="J210" s="45" t="s">
        <v>20</v>
      </c>
      <c r="K210" s="45" t="s">
        <v>61</v>
      </c>
      <c r="L210" s="675"/>
      <c r="M210" s="45" t="s">
        <v>28</v>
      </c>
      <c r="N210" s="45" t="s">
        <v>6</v>
      </c>
      <c r="O210" s="45" t="s">
        <v>111</v>
      </c>
      <c r="P210" s="45" t="s">
        <v>89</v>
      </c>
      <c r="Q210" s="45" t="s">
        <v>18</v>
      </c>
      <c r="R210" s="45" t="s">
        <v>33</v>
      </c>
      <c r="S210" s="45" t="s">
        <v>72</v>
      </c>
      <c r="T210" s="45" t="s">
        <v>31</v>
      </c>
      <c r="U210" s="45" t="s">
        <v>195</v>
      </c>
      <c r="V210" s="45" t="s">
        <v>67</v>
      </c>
    </row>
    <row r="211" spans="1:22" x14ac:dyDescent="0.2">
      <c r="A211" s="746" t="s">
        <v>154</v>
      </c>
      <c r="B211" s="17">
        <v>135594830000</v>
      </c>
      <c r="C211" s="111">
        <v>113617170000</v>
      </c>
      <c r="D211" s="112">
        <v>67303270000</v>
      </c>
      <c r="E211" s="17">
        <v>46390620000</v>
      </c>
      <c r="F211" s="17">
        <v>37654980000</v>
      </c>
      <c r="G211" s="17">
        <v>35702340000</v>
      </c>
      <c r="H211" s="17">
        <v>30218790000</v>
      </c>
      <c r="I211" s="17">
        <v>23396240000</v>
      </c>
      <c r="J211" s="17">
        <v>16534840000</v>
      </c>
      <c r="K211" s="17">
        <v>16181620000</v>
      </c>
      <c r="L211" s="675"/>
      <c r="M211" s="17">
        <v>-54132460000</v>
      </c>
      <c r="N211" s="17">
        <v>-41532220000</v>
      </c>
      <c r="O211" s="17">
        <v>-33789110000</v>
      </c>
      <c r="P211" s="17">
        <v>-25898500006</v>
      </c>
      <c r="Q211" s="17">
        <v>-23406460000</v>
      </c>
      <c r="R211" s="17">
        <v>-19165400000</v>
      </c>
      <c r="S211" s="17">
        <v>-17153720000</v>
      </c>
      <c r="T211" s="17">
        <v>-14274730000</v>
      </c>
      <c r="U211" s="113">
        <v>-13595650000</v>
      </c>
      <c r="V211" s="17">
        <v>-13105200000</v>
      </c>
    </row>
    <row r="212" spans="1:22" x14ac:dyDescent="0.2">
      <c r="A212" s="746" t="s">
        <v>155</v>
      </c>
      <c r="B212" s="45" t="s">
        <v>41</v>
      </c>
      <c r="C212" s="45" t="s">
        <v>19</v>
      </c>
      <c r="D212" s="45" t="s">
        <v>14</v>
      </c>
      <c r="E212" s="45" t="s">
        <v>17</v>
      </c>
      <c r="F212" s="45" t="s">
        <v>60</v>
      </c>
      <c r="G212" s="45" t="s">
        <v>20</v>
      </c>
      <c r="H212" s="45" t="s">
        <v>15</v>
      </c>
      <c r="I212" s="45" t="s">
        <v>45</v>
      </c>
      <c r="J212" s="45" t="s">
        <v>62</v>
      </c>
      <c r="K212" s="45" t="s">
        <v>13</v>
      </c>
      <c r="L212" s="675"/>
      <c r="M212" s="45" t="s">
        <v>5</v>
      </c>
      <c r="N212" s="45" t="s">
        <v>27</v>
      </c>
      <c r="O212" s="45" t="s">
        <v>26</v>
      </c>
      <c r="P212" s="45" t="s">
        <v>28</v>
      </c>
      <c r="Q212" s="45" t="s">
        <v>24</v>
      </c>
      <c r="R212" s="45" t="s">
        <v>31</v>
      </c>
      <c r="S212" s="45" t="s">
        <v>71</v>
      </c>
      <c r="T212" s="45" t="s">
        <v>6</v>
      </c>
      <c r="U212" s="45" t="s">
        <v>69</v>
      </c>
      <c r="V212" s="45" t="s">
        <v>182</v>
      </c>
    </row>
    <row r="213" spans="1:22" x14ac:dyDescent="0.2">
      <c r="A213" s="746" t="s">
        <v>155</v>
      </c>
      <c r="B213" s="107">
        <v>126333210000</v>
      </c>
      <c r="C213" s="108">
        <v>67354880000</v>
      </c>
      <c r="D213" s="17">
        <v>63983050000</v>
      </c>
      <c r="E213" s="17">
        <v>62012510000</v>
      </c>
      <c r="F213" s="17">
        <v>56014311497</v>
      </c>
      <c r="G213" s="109">
        <v>51625720000</v>
      </c>
      <c r="H213" s="17">
        <v>44593090000</v>
      </c>
      <c r="I213" s="17">
        <v>36351330000</v>
      </c>
      <c r="J213" s="17">
        <v>32001920000</v>
      </c>
      <c r="K213" s="17">
        <v>31791210000</v>
      </c>
      <c r="L213" s="675"/>
      <c r="M213" s="17">
        <v>-69495530000</v>
      </c>
      <c r="N213" s="17">
        <v>-30681630000</v>
      </c>
      <c r="O213" s="17">
        <v>-23851280000</v>
      </c>
      <c r="P213" s="17">
        <v>-19033880000</v>
      </c>
      <c r="Q213" s="17">
        <v>-15659950000</v>
      </c>
      <c r="R213" s="17">
        <v>-14084480000</v>
      </c>
      <c r="S213" s="17">
        <v>-13219727812</v>
      </c>
      <c r="T213" s="17">
        <v>-12419890000</v>
      </c>
      <c r="U213" s="17">
        <v>-11961090000</v>
      </c>
      <c r="V213" s="17">
        <v>-11740440000</v>
      </c>
    </row>
    <row r="214" spans="1:22" x14ac:dyDescent="0.2">
      <c r="A214" s="746" t="s">
        <v>156</v>
      </c>
      <c r="B214" s="45" t="s">
        <v>15</v>
      </c>
      <c r="C214" s="45" t="s">
        <v>14</v>
      </c>
      <c r="D214" s="45" t="s">
        <v>18</v>
      </c>
      <c r="E214" s="45" t="s">
        <v>16</v>
      </c>
      <c r="F214" s="45" t="s">
        <v>27</v>
      </c>
      <c r="G214" s="45" t="s">
        <v>13</v>
      </c>
      <c r="H214" s="45" t="s">
        <v>70</v>
      </c>
      <c r="I214" s="45" t="s">
        <v>61</v>
      </c>
      <c r="J214" s="45" t="s">
        <v>97</v>
      </c>
      <c r="K214" s="45" t="s">
        <v>9</v>
      </c>
      <c r="L214" s="675"/>
      <c r="M214" s="45" t="s">
        <v>5</v>
      </c>
      <c r="N214" s="45" t="s">
        <v>25</v>
      </c>
      <c r="O214" s="45" t="s">
        <v>32</v>
      </c>
      <c r="P214" s="45" t="s">
        <v>31</v>
      </c>
      <c r="Q214" s="45" t="s">
        <v>6</v>
      </c>
      <c r="R214" s="45" t="s">
        <v>24</v>
      </c>
      <c r="S214" s="45" t="s">
        <v>29</v>
      </c>
      <c r="T214" s="45" t="s">
        <v>182</v>
      </c>
      <c r="U214" s="45" t="s">
        <v>30</v>
      </c>
      <c r="V214" s="45" t="s">
        <v>28</v>
      </c>
    </row>
    <row r="215" spans="1:22" x14ac:dyDescent="0.2">
      <c r="A215" s="746" t="s">
        <v>156</v>
      </c>
      <c r="B215" s="17">
        <v>98505700000</v>
      </c>
      <c r="C215" s="17">
        <v>70992800000</v>
      </c>
      <c r="D215" s="17">
        <v>64316470000</v>
      </c>
      <c r="E215" s="17">
        <v>47993720000</v>
      </c>
      <c r="F215" s="17">
        <v>43043850000</v>
      </c>
      <c r="G215" s="17">
        <v>39366350000</v>
      </c>
      <c r="H215" s="17">
        <v>31171570000</v>
      </c>
      <c r="I215" s="17">
        <v>30449260000</v>
      </c>
      <c r="J215" s="17">
        <v>24719810000</v>
      </c>
      <c r="K215" s="17">
        <v>20753740000</v>
      </c>
      <c r="L215" s="675"/>
      <c r="M215" s="17">
        <v>-85908050000</v>
      </c>
      <c r="N215" s="17">
        <v>-74323240000</v>
      </c>
      <c r="O215" s="17">
        <v>-33667365016</v>
      </c>
      <c r="P215" s="17">
        <v>-30197830000</v>
      </c>
      <c r="Q215" s="17">
        <v>-28530630000</v>
      </c>
      <c r="R215" s="17">
        <v>-22700550000</v>
      </c>
      <c r="S215" s="17">
        <v>-18844420000</v>
      </c>
      <c r="T215" s="17">
        <v>-17193140000</v>
      </c>
      <c r="U215" s="17">
        <v>-14833650000</v>
      </c>
      <c r="V215" s="17">
        <v>-13554890000</v>
      </c>
    </row>
    <row r="216" spans="1:22" x14ac:dyDescent="0.2">
      <c r="A216" s="746" t="s">
        <v>437</v>
      </c>
      <c r="B216" s="757" t="s">
        <v>18</v>
      </c>
      <c r="C216" s="45" t="s">
        <v>27</v>
      </c>
      <c r="D216" s="45" t="s">
        <v>17</v>
      </c>
      <c r="E216" s="45" t="s">
        <v>13</v>
      </c>
      <c r="F216" s="45" t="s">
        <v>16</v>
      </c>
      <c r="G216" s="45" t="s">
        <v>14</v>
      </c>
      <c r="H216" s="45" t="s">
        <v>111</v>
      </c>
      <c r="I216" s="45" t="s">
        <v>99</v>
      </c>
      <c r="J216" s="45" t="s">
        <v>21</v>
      </c>
      <c r="K216" s="45" t="s">
        <v>338</v>
      </c>
      <c r="L216" s="675"/>
      <c r="M216" s="45" t="s">
        <v>25</v>
      </c>
      <c r="N216" s="45" t="s">
        <v>32</v>
      </c>
      <c r="O216" s="45" t="s">
        <v>39</v>
      </c>
      <c r="P216" s="45" t="s">
        <v>30</v>
      </c>
      <c r="Q216" s="45" t="s">
        <v>73</v>
      </c>
      <c r="R216" s="45" t="s">
        <v>6</v>
      </c>
      <c r="S216" s="45" t="s">
        <v>70</v>
      </c>
      <c r="T216" s="45" t="s">
        <v>29</v>
      </c>
      <c r="U216" s="45" t="s">
        <v>31</v>
      </c>
      <c r="V216" s="45" t="s">
        <v>33</v>
      </c>
    </row>
    <row r="217" spans="1:22" x14ac:dyDescent="0.2">
      <c r="A217" s="746" t="s">
        <v>437</v>
      </c>
      <c r="B217" s="758">
        <v>121673390000</v>
      </c>
      <c r="C217" s="17">
        <v>95247010000</v>
      </c>
      <c r="D217" s="17">
        <v>36286650000</v>
      </c>
      <c r="E217" s="17">
        <v>33697500000</v>
      </c>
      <c r="F217" s="17">
        <v>33218670000</v>
      </c>
      <c r="G217" s="17">
        <v>20195670000</v>
      </c>
      <c r="H217" s="17">
        <v>14977290000</v>
      </c>
      <c r="I217" s="17">
        <v>14800610000</v>
      </c>
      <c r="J217" s="17">
        <v>13545513565</v>
      </c>
      <c r="K217" s="101">
        <v>12780834663</v>
      </c>
      <c r="L217" s="675"/>
      <c r="M217" s="17">
        <v>-54414650000</v>
      </c>
      <c r="N217" s="17">
        <v>-38531668194</v>
      </c>
      <c r="O217" s="17">
        <v>-32455310000</v>
      </c>
      <c r="P217" s="17">
        <v>-31549870000</v>
      </c>
      <c r="Q217" s="17">
        <v>-29797430000</v>
      </c>
      <c r="R217" s="17">
        <v>-25685760000</v>
      </c>
      <c r="S217" s="17">
        <v>-19319580000</v>
      </c>
      <c r="T217" s="17">
        <v>-18578470000</v>
      </c>
      <c r="U217" s="17">
        <v>-17092290000</v>
      </c>
      <c r="V217" s="17">
        <v>-16685930000</v>
      </c>
    </row>
    <row r="218" spans="1:22" x14ac:dyDescent="0.2">
      <c r="A218" s="746" t="s">
        <v>157</v>
      </c>
      <c r="B218" s="757" t="s">
        <v>18</v>
      </c>
      <c r="C218" s="45" t="s">
        <v>15</v>
      </c>
      <c r="D218" s="45" t="s">
        <v>13</v>
      </c>
      <c r="E218" s="45" t="s">
        <v>14</v>
      </c>
      <c r="F218" s="45" t="s">
        <v>16</v>
      </c>
      <c r="G218" s="45" t="s">
        <v>11</v>
      </c>
      <c r="H218" s="45" t="s">
        <v>8</v>
      </c>
      <c r="I218" s="45" t="s">
        <v>17</v>
      </c>
      <c r="J218" s="45" t="s">
        <v>5</v>
      </c>
      <c r="K218" s="45" t="s">
        <v>73</v>
      </c>
      <c r="L218" s="675"/>
      <c r="M218" s="45" t="s">
        <v>25</v>
      </c>
      <c r="N218" s="45" t="s">
        <v>30</v>
      </c>
      <c r="O218" s="45" t="s">
        <v>28</v>
      </c>
      <c r="P218" s="45" t="s">
        <v>24</v>
      </c>
      <c r="Q218" s="45" t="s">
        <v>27</v>
      </c>
      <c r="R218" s="45" t="s">
        <v>111</v>
      </c>
      <c r="S218" s="45" t="s">
        <v>33</v>
      </c>
      <c r="T218" s="45" t="s">
        <v>19</v>
      </c>
      <c r="U218" s="45" t="s">
        <v>29</v>
      </c>
      <c r="V218" s="45" t="s">
        <v>72</v>
      </c>
    </row>
    <row r="219" spans="1:22" x14ac:dyDescent="0.2">
      <c r="A219" s="746" t="s">
        <v>157</v>
      </c>
      <c r="B219" s="764">
        <v>158949880000</v>
      </c>
      <c r="C219" s="17">
        <v>91308020000</v>
      </c>
      <c r="D219" s="17">
        <v>73422400000</v>
      </c>
      <c r="E219" s="17">
        <v>48170140000</v>
      </c>
      <c r="F219" s="17">
        <v>32965020000</v>
      </c>
      <c r="G219" s="17">
        <v>25836060000</v>
      </c>
      <c r="H219" s="17">
        <v>24733550000</v>
      </c>
      <c r="I219" s="17">
        <v>24344830000</v>
      </c>
      <c r="J219" s="17">
        <v>15074340000</v>
      </c>
      <c r="K219" s="17">
        <v>14782960000</v>
      </c>
      <c r="L219" s="675"/>
      <c r="M219" s="17">
        <v>-75402410000</v>
      </c>
      <c r="N219" s="98">
        <v>-43569290000</v>
      </c>
      <c r="O219" s="17">
        <v>-43044760000</v>
      </c>
      <c r="P219" s="17">
        <v>-39251700000</v>
      </c>
      <c r="Q219" s="17">
        <v>-27501890000</v>
      </c>
      <c r="R219" s="17">
        <v>-25578110000</v>
      </c>
      <c r="S219" s="17">
        <v>-23414470000</v>
      </c>
      <c r="T219" s="17">
        <v>-21077480000</v>
      </c>
      <c r="U219" s="17">
        <v>-20495530000</v>
      </c>
      <c r="V219" s="17">
        <v>-15730620000</v>
      </c>
    </row>
    <row r="220" spans="1:22" x14ac:dyDescent="0.2">
      <c r="A220" s="746" t="s">
        <v>158</v>
      </c>
      <c r="B220" s="757" t="s">
        <v>18</v>
      </c>
      <c r="C220" s="45" t="s">
        <v>14</v>
      </c>
      <c r="D220" s="45" t="s">
        <v>16</v>
      </c>
      <c r="E220" s="45" t="s">
        <v>13</v>
      </c>
      <c r="F220" s="45" t="s">
        <v>17</v>
      </c>
      <c r="G220" s="45" t="s">
        <v>27</v>
      </c>
      <c r="H220" s="45" t="s">
        <v>20</v>
      </c>
      <c r="I220" s="45" t="s">
        <v>19</v>
      </c>
      <c r="J220" s="45" t="s">
        <v>28</v>
      </c>
      <c r="K220" s="45" t="s">
        <v>8</v>
      </c>
      <c r="L220" s="675"/>
      <c r="M220" s="45" t="s">
        <v>5</v>
      </c>
      <c r="N220" s="45" t="s">
        <v>24</v>
      </c>
      <c r="O220" s="45" t="s">
        <v>70</v>
      </c>
      <c r="P220" s="45" t="s">
        <v>25</v>
      </c>
      <c r="Q220" s="45" t="s">
        <v>29</v>
      </c>
      <c r="R220" s="45" t="s">
        <v>72</v>
      </c>
      <c r="S220" s="45" t="s">
        <v>45</v>
      </c>
      <c r="T220" s="45" t="s">
        <v>33</v>
      </c>
      <c r="U220" s="45" t="s">
        <v>67</v>
      </c>
      <c r="V220" s="45" t="s">
        <v>338</v>
      </c>
    </row>
    <row r="221" spans="1:22" x14ac:dyDescent="0.2">
      <c r="A221" s="746" t="s">
        <v>158</v>
      </c>
      <c r="B221" s="765">
        <v>147762410000</v>
      </c>
      <c r="C221" s="17">
        <v>75813170000</v>
      </c>
      <c r="D221" s="17">
        <v>50912330000</v>
      </c>
      <c r="E221" s="17">
        <v>50694940000</v>
      </c>
      <c r="F221" s="17">
        <v>17015850000</v>
      </c>
      <c r="G221" s="17">
        <v>15616430000</v>
      </c>
      <c r="H221" s="17">
        <v>15552780000</v>
      </c>
      <c r="I221" s="17">
        <v>13302420000</v>
      </c>
      <c r="J221" s="17">
        <v>11044500000</v>
      </c>
      <c r="K221" s="17">
        <v>9296610000</v>
      </c>
      <c r="L221" s="675"/>
      <c r="M221" s="17">
        <v>-66585280000</v>
      </c>
      <c r="N221" s="17">
        <v>-61149030000</v>
      </c>
      <c r="O221" s="17">
        <v>-39988030000</v>
      </c>
      <c r="P221" s="17">
        <v>-34798950000</v>
      </c>
      <c r="Q221" s="17">
        <v>-23280030000</v>
      </c>
      <c r="R221" s="17">
        <v>-20913030000</v>
      </c>
      <c r="S221" s="17">
        <v>-20168110000</v>
      </c>
      <c r="T221" s="17">
        <v>-19873280000</v>
      </c>
      <c r="U221" s="17">
        <v>-16180300000</v>
      </c>
      <c r="V221" s="17">
        <v>-14975740226</v>
      </c>
    </row>
    <row r="222" spans="1:22" x14ac:dyDescent="0.2">
      <c r="A222" s="746" t="s">
        <v>159</v>
      </c>
      <c r="B222" s="45" t="s">
        <v>19</v>
      </c>
      <c r="C222" s="45" t="s">
        <v>14</v>
      </c>
      <c r="D222" s="45" t="s">
        <v>18</v>
      </c>
      <c r="E222" s="45" t="s">
        <v>17</v>
      </c>
      <c r="F222" s="45" t="s">
        <v>73</v>
      </c>
      <c r="G222" s="45" t="s">
        <v>99</v>
      </c>
      <c r="H222" s="45" t="s">
        <v>15</v>
      </c>
      <c r="I222" s="45" t="s">
        <v>6</v>
      </c>
      <c r="J222" s="45" t="s">
        <v>63</v>
      </c>
      <c r="K222" s="45" t="s">
        <v>21</v>
      </c>
      <c r="L222" s="675"/>
      <c r="M222" s="45" t="s">
        <v>24</v>
      </c>
      <c r="N222" s="45" t="s">
        <v>29</v>
      </c>
      <c r="O222" s="45" t="s">
        <v>25</v>
      </c>
      <c r="P222" s="45" t="s">
        <v>31</v>
      </c>
      <c r="Q222" s="45" t="s">
        <v>30</v>
      </c>
      <c r="R222" s="45" t="s">
        <v>5</v>
      </c>
      <c r="S222" s="45" t="s">
        <v>71</v>
      </c>
      <c r="T222" s="45" t="s">
        <v>74</v>
      </c>
      <c r="U222" s="45" t="s">
        <v>82</v>
      </c>
      <c r="V222" s="45" t="s">
        <v>70</v>
      </c>
    </row>
    <row r="223" spans="1:22" x14ac:dyDescent="0.2">
      <c r="A223" s="746" t="s">
        <v>159</v>
      </c>
      <c r="B223" s="17">
        <v>63375710000</v>
      </c>
      <c r="C223" s="17">
        <v>58040880000</v>
      </c>
      <c r="D223" s="17">
        <v>55970140000</v>
      </c>
      <c r="E223" s="17">
        <v>24064160000</v>
      </c>
      <c r="F223" s="17">
        <v>22073550000</v>
      </c>
      <c r="G223" s="17">
        <v>20979280000</v>
      </c>
      <c r="H223" s="17">
        <v>17020260000</v>
      </c>
      <c r="I223" s="17">
        <v>10082050000</v>
      </c>
      <c r="J223" s="17">
        <v>9924240000</v>
      </c>
      <c r="K223" s="17">
        <v>8155045089</v>
      </c>
      <c r="L223" s="675"/>
      <c r="M223" s="17">
        <v>-85234940000</v>
      </c>
      <c r="N223" s="17">
        <v>-34858400000</v>
      </c>
      <c r="O223" s="17">
        <v>-22755560000</v>
      </c>
      <c r="P223" s="17">
        <v>-22450800000</v>
      </c>
      <c r="Q223" s="17">
        <v>-18005800000</v>
      </c>
      <c r="R223" s="17">
        <v>-17701710000</v>
      </c>
      <c r="S223" s="17">
        <v>-15723060916</v>
      </c>
      <c r="T223" s="17">
        <v>-12670910000</v>
      </c>
      <c r="U223" s="17">
        <v>-12490940000</v>
      </c>
      <c r="V223" s="17">
        <v>-8730710000</v>
      </c>
    </row>
    <row r="224" spans="1:22" x14ac:dyDescent="0.2">
      <c r="A224" s="746" t="s">
        <v>160</v>
      </c>
      <c r="B224" s="45" t="s">
        <v>14</v>
      </c>
      <c r="C224" s="45" t="s">
        <v>13</v>
      </c>
      <c r="D224" s="45" t="s">
        <v>16</v>
      </c>
      <c r="E224" s="45" t="s">
        <v>19</v>
      </c>
      <c r="F224" s="45" t="s">
        <v>18</v>
      </c>
      <c r="G224" s="45" t="s">
        <v>99</v>
      </c>
      <c r="H224" s="45" t="s">
        <v>62</v>
      </c>
      <c r="I224" s="45" t="s">
        <v>8</v>
      </c>
      <c r="J224" s="45" t="s">
        <v>66</v>
      </c>
      <c r="K224" s="45" t="s">
        <v>21</v>
      </c>
      <c r="L224" s="675"/>
      <c r="M224" s="45" t="s">
        <v>24</v>
      </c>
      <c r="N224" s="45" t="s">
        <v>184</v>
      </c>
      <c r="O224" s="45" t="s">
        <v>10</v>
      </c>
      <c r="P224" s="45" t="s">
        <v>69</v>
      </c>
      <c r="Q224" s="45" t="s">
        <v>29</v>
      </c>
      <c r="R224" s="45" t="s">
        <v>70</v>
      </c>
      <c r="S224" s="45" t="s">
        <v>97</v>
      </c>
      <c r="T224" s="45" t="s">
        <v>25</v>
      </c>
      <c r="U224" s="45" t="s">
        <v>182</v>
      </c>
      <c r="V224" s="45" t="s">
        <v>73</v>
      </c>
    </row>
    <row r="225" spans="1:22" x14ac:dyDescent="0.2">
      <c r="A225" s="746" t="s">
        <v>160</v>
      </c>
      <c r="B225" s="17">
        <v>78181190000</v>
      </c>
      <c r="C225" s="17">
        <v>77828860000</v>
      </c>
      <c r="D225" s="17">
        <v>58765130000</v>
      </c>
      <c r="E225" s="17">
        <v>52975920000</v>
      </c>
      <c r="F225" s="17">
        <v>51859580000</v>
      </c>
      <c r="G225" s="17">
        <v>23987800000</v>
      </c>
      <c r="H225" s="17">
        <v>16904430000</v>
      </c>
      <c r="I225" s="17">
        <v>16025800000</v>
      </c>
      <c r="J225" s="87">
        <v>15688828428</v>
      </c>
      <c r="K225" s="17">
        <v>15290419127</v>
      </c>
      <c r="L225" s="675"/>
      <c r="M225" s="17">
        <v>-104764160000</v>
      </c>
      <c r="N225" s="88">
        <v>-98042190000</v>
      </c>
      <c r="O225" s="89">
        <v>-69506232335</v>
      </c>
      <c r="P225" s="17">
        <v>-34617480000</v>
      </c>
      <c r="Q225" s="17">
        <v>-32625720000</v>
      </c>
      <c r="R225" s="17">
        <v>-32059370000</v>
      </c>
      <c r="S225" s="17">
        <v>-27991080000</v>
      </c>
      <c r="T225" s="17">
        <v>-22973500000</v>
      </c>
      <c r="U225" s="17">
        <v>-17348310000</v>
      </c>
      <c r="V225" s="17">
        <v>-14992840000</v>
      </c>
    </row>
    <row r="226" spans="1:22" x14ac:dyDescent="0.2">
      <c r="A226" s="746" t="s">
        <v>161</v>
      </c>
      <c r="B226" s="45" t="s">
        <v>14</v>
      </c>
      <c r="C226" s="45" t="s">
        <v>21</v>
      </c>
      <c r="D226" s="45" t="s">
        <v>15</v>
      </c>
      <c r="E226" s="45" t="s">
        <v>16</v>
      </c>
      <c r="F226" s="45" t="s">
        <v>111</v>
      </c>
      <c r="G226" s="45" t="s">
        <v>13</v>
      </c>
      <c r="H226" s="45" t="s">
        <v>11</v>
      </c>
      <c r="I226" s="45" t="s">
        <v>64</v>
      </c>
      <c r="J226" s="45" t="s">
        <v>45</v>
      </c>
      <c r="K226" s="45" t="s">
        <v>9</v>
      </c>
      <c r="L226" s="675"/>
      <c r="M226" s="45" t="s">
        <v>10</v>
      </c>
      <c r="N226" s="45" t="s">
        <v>5</v>
      </c>
      <c r="O226" s="45" t="s">
        <v>73</v>
      </c>
      <c r="P226" s="45" t="s">
        <v>24</v>
      </c>
      <c r="Q226" s="45" t="s">
        <v>25</v>
      </c>
      <c r="R226" s="45" t="s">
        <v>18</v>
      </c>
      <c r="S226" s="45" t="s">
        <v>27</v>
      </c>
      <c r="T226" s="45" t="s">
        <v>29</v>
      </c>
      <c r="U226" s="45" t="s">
        <v>28</v>
      </c>
      <c r="V226" s="45" t="s">
        <v>70</v>
      </c>
    </row>
    <row r="227" spans="1:22" x14ac:dyDescent="0.2">
      <c r="A227" s="746" t="s">
        <v>161</v>
      </c>
      <c r="B227" s="17">
        <v>71775570000</v>
      </c>
      <c r="C227" s="17">
        <v>59662075842</v>
      </c>
      <c r="D227" s="17">
        <v>58957220000</v>
      </c>
      <c r="E227" s="17">
        <v>49178320000</v>
      </c>
      <c r="F227" s="17">
        <v>47912770000</v>
      </c>
      <c r="G227" s="17">
        <v>46754450000</v>
      </c>
      <c r="H227" s="17">
        <v>43887920000</v>
      </c>
      <c r="I227" s="17">
        <v>35319510000</v>
      </c>
      <c r="J227" s="17">
        <v>24859070000</v>
      </c>
      <c r="K227" s="17">
        <v>21530760000</v>
      </c>
      <c r="L227" s="675"/>
      <c r="M227" s="84">
        <v>-66978178911</v>
      </c>
      <c r="N227" s="17">
        <v>-42730280000</v>
      </c>
      <c r="O227" s="17">
        <v>-41682800000</v>
      </c>
      <c r="P227" s="17">
        <v>-36755140000</v>
      </c>
      <c r="Q227" s="17">
        <v>-34334780000</v>
      </c>
      <c r="R227" s="17">
        <v>-28160960000</v>
      </c>
      <c r="S227" s="17">
        <v>-28135990000</v>
      </c>
      <c r="T227" s="17">
        <v>-26081750000</v>
      </c>
      <c r="U227" s="17">
        <v>-25506230000</v>
      </c>
      <c r="V227" s="17">
        <v>-23451380000</v>
      </c>
    </row>
    <row r="228" spans="1:22" x14ac:dyDescent="0.2">
      <c r="A228" s="746" t="s">
        <v>162</v>
      </c>
      <c r="B228" s="45" t="s">
        <v>13</v>
      </c>
      <c r="C228" s="45" t="s">
        <v>19</v>
      </c>
      <c r="D228" s="45" t="s">
        <v>14</v>
      </c>
      <c r="E228" s="45" t="s">
        <v>18</v>
      </c>
      <c r="F228" s="45" t="s">
        <v>15</v>
      </c>
      <c r="G228" s="45" t="s">
        <v>21</v>
      </c>
      <c r="H228" s="45" t="s">
        <v>6</v>
      </c>
      <c r="I228" s="45" t="s">
        <v>61</v>
      </c>
      <c r="J228" s="45" t="s">
        <v>111</v>
      </c>
      <c r="K228" s="45" t="s">
        <v>39</v>
      </c>
      <c r="L228" s="675"/>
      <c r="M228" s="45" t="s">
        <v>28</v>
      </c>
      <c r="N228" s="45" t="s">
        <v>32</v>
      </c>
      <c r="O228" s="45" t="s">
        <v>24</v>
      </c>
      <c r="P228" s="45" t="s">
        <v>27</v>
      </c>
      <c r="Q228" s="45" t="s">
        <v>29</v>
      </c>
      <c r="R228" s="45" t="s">
        <v>31</v>
      </c>
      <c r="S228" s="45" t="s">
        <v>33</v>
      </c>
      <c r="T228" s="45" t="s">
        <v>70</v>
      </c>
      <c r="U228" s="45" t="s">
        <v>69</v>
      </c>
      <c r="V228" s="45" t="s">
        <v>10</v>
      </c>
    </row>
    <row r="229" spans="1:22" x14ac:dyDescent="0.2">
      <c r="A229" s="746" t="s">
        <v>162</v>
      </c>
      <c r="B229" s="17">
        <v>71447440000</v>
      </c>
      <c r="C229" s="80">
        <v>64008080000</v>
      </c>
      <c r="D229" s="17">
        <v>44395950000</v>
      </c>
      <c r="E229" s="17">
        <v>42842480000</v>
      </c>
      <c r="F229" s="17">
        <v>19116880000</v>
      </c>
      <c r="G229" s="17">
        <v>18081195053</v>
      </c>
      <c r="H229" s="17">
        <v>16974270000</v>
      </c>
      <c r="I229" s="17">
        <v>13386930000</v>
      </c>
      <c r="J229" s="17">
        <v>13116430000</v>
      </c>
      <c r="K229" s="17">
        <v>12814520000</v>
      </c>
      <c r="L229" s="675"/>
      <c r="M229" s="17">
        <v>-56187670000</v>
      </c>
      <c r="N229" s="81">
        <v>-54911198640</v>
      </c>
      <c r="O229" s="17">
        <v>-51296710000</v>
      </c>
      <c r="P229" s="17">
        <v>-42370570000</v>
      </c>
      <c r="Q229" s="17">
        <v>-33028900000</v>
      </c>
      <c r="R229" s="17">
        <v>-31060190000</v>
      </c>
      <c r="S229" s="17">
        <v>-30574310000</v>
      </c>
      <c r="T229" s="17">
        <v>-28333680000</v>
      </c>
      <c r="U229" s="17">
        <v>-26124680000</v>
      </c>
      <c r="V229" s="17">
        <v>-25057856462</v>
      </c>
    </row>
    <row r="230" spans="1:22" x14ac:dyDescent="0.2">
      <c r="A230" s="746" t="s">
        <v>163</v>
      </c>
      <c r="B230" s="45" t="s">
        <v>15</v>
      </c>
      <c r="C230" s="45" t="s">
        <v>13</v>
      </c>
      <c r="D230" s="45" t="s">
        <v>64</v>
      </c>
      <c r="E230" s="45" t="s">
        <v>21</v>
      </c>
      <c r="F230" s="45" t="s">
        <v>99</v>
      </c>
      <c r="G230" s="45" t="s">
        <v>18</v>
      </c>
      <c r="H230" s="45" t="s">
        <v>39</v>
      </c>
      <c r="I230" s="45" t="s">
        <v>5</v>
      </c>
      <c r="J230" s="45" t="s">
        <v>63</v>
      </c>
      <c r="K230" s="45" t="s">
        <v>6</v>
      </c>
      <c r="L230" s="675"/>
      <c r="M230" s="45" t="s">
        <v>24</v>
      </c>
      <c r="N230" s="45" t="s">
        <v>32</v>
      </c>
      <c r="O230" s="45" t="s">
        <v>25</v>
      </c>
      <c r="P230" s="45" t="s">
        <v>26</v>
      </c>
      <c r="Q230" s="45" t="s">
        <v>73</v>
      </c>
      <c r="R230" s="45" t="s">
        <v>45</v>
      </c>
      <c r="S230" s="45" t="s">
        <v>19</v>
      </c>
      <c r="T230" s="45" t="s">
        <v>74</v>
      </c>
      <c r="U230" s="45" t="s">
        <v>10</v>
      </c>
      <c r="V230" s="45" t="s">
        <v>17</v>
      </c>
    </row>
    <row r="231" spans="1:22" x14ac:dyDescent="0.2">
      <c r="A231" s="746" t="s">
        <v>163</v>
      </c>
      <c r="B231" s="17">
        <v>99706050000</v>
      </c>
      <c r="C231" s="17">
        <v>77715810000</v>
      </c>
      <c r="D231" s="72">
        <v>56825100000</v>
      </c>
      <c r="E231" s="17">
        <v>50379960098</v>
      </c>
      <c r="F231" s="17">
        <v>37352730000</v>
      </c>
      <c r="G231" s="17">
        <v>20417330000</v>
      </c>
      <c r="H231" s="17">
        <v>20075030000</v>
      </c>
      <c r="I231" s="17">
        <v>19900980000</v>
      </c>
      <c r="J231" s="17">
        <v>16448380000</v>
      </c>
      <c r="K231" s="17">
        <v>15832900000</v>
      </c>
      <c r="L231" s="675"/>
      <c r="M231" s="17">
        <v>-73213140000</v>
      </c>
      <c r="N231" s="73">
        <v>-52038307572</v>
      </c>
      <c r="O231" s="17">
        <v>-50095540000</v>
      </c>
      <c r="P231" s="17">
        <v>-47152480000</v>
      </c>
      <c r="Q231" s="74">
        <v>-43223270000</v>
      </c>
      <c r="R231" s="75">
        <v>-39733320000</v>
      </c>
      <c r="S231" s="17">
        <v>-36493410000</v>
      </c>
      <c r="T231" s="17">
        <v>-26961440000</v>
      </c>
      <c r="U231" s="17">
        <v>-26006295939</v>
      </c>
      <c r="V231" s="17">
        <v>-22044020000</v>
      </c>
    </row>
    <row r="232" spans="1:22" x14ac:dyDescent="0.2">
      <c r="A232" s="746" t="s">
        <v>164</v>
      </c>
      <c r="B232" s="757" t="s">
        <v>13</v>
      </c>
      <c r="C232" s="45" t="s">
        <v>61</v>
      </c>
      <c r="D232" s="45" t="s">
        <v>100</v>
      </c>
      <c r="E232" s="45" t="s">
        <v>16</v>
      </c>
      <c r="F232" s="45" t="s">
        <v>63</v>
      </c>
      <c r="G232" s="45" t="s">
        <v>9</v>
      </c>
      <c r="H232" s="45" t="s">
        <v>368</v>
      </c>
      <c r="I232" s="45" t="s">
        <v>75</v>
      </c>
      <c r="J232" s="45" t="s">
        <v>182</v>
      </c>
      <c r="K232" s="45" t="s">
        <v>65</v>
      </c>
      <c r="L232" s="675"/>
      <c r="M232" s="45" t="s">
        <v>26</v>
      </c>
      <c r="N232" s="45" t="s">
        <v>111</v>
      </c>
      <c r="O232" s="45" t="s">
        <v>74</v>
      </c>
      <c r="P232" s="45" t="s">
        <v>28</v>
      </c>
      <c r="Q232" s="45" t="s">
        <v>24</v>
      </c>
      <c r="R232" s="45" t="s">
        <v>27</v>
      </c>
      <c r="S232" s="45" t="s">
        <v>25</v>
      </c>
      <c r="T232" s="45" t="s">
        <v>33</v>
      </c>
      <c r="U232" s="45" t="s">
        <v>73</v>
      </c>
      <c r="V232" s="45" t="s">
        <v>18</v>
      </c>
    </row>
    <row r="233" spans="1:22" x14ac:dyDescent="0.2">
      <c r="A233" s="746" t="s">
        <v>164</v>
      </c>
      <c r="B233" s="758">
        <v>63552870000</v>
      </c>
      <c r="C233" s="68">
        <v>41742970000</v>
      </c>
      <c r="D233" s="17">
        <v>25967600000</v>
      </c>
      <c r="E233" s="17">
        <v>22320090000</v>
      </c>
      <c r="F233" s="17">
        <v>20484940000</v>
      </c>
      <c r="G233" s="17">
        <v>15686950000</v>
      </c>
      <c r="H233" s="17">
        <v>13919760000</v>
      </c>
      <c r="I233" s="17">
        <v>13606320000</v>
      </c>
      <c r="J233" s="17">
        <v>13328630000</v>
      </c>
      <c r="K233" s="17">
        <v>10385880000</v>
      </c>
      <c r="L233" s="675"/>
      <c r="M233" s="17">
        <v>-58651930000</v>
      </c>
      <c r="N233" s="17">
        <v>-52379980000</v>
      </c>
      <c r="O233" s="69">
        <v>-40515000000</v>
      </c>
      <c r="P233" s="17">
        <v>-35515060000</v>
      </c>
      <c r="Q233" s="17">
        <v>-34972230000</v>
      </c>
      <c r="R233" s="17">
        <v>-29269660000</v>
      </c>
      <c r="S233" s="17">
        <v>-23732540000</v>
      </c>
      <c r="T233" s="17">
        <v>-22840700000</v>
      </c>
      <c r="U233" s="17">
        <v>-21041640000</v>
      </c>
      <c r="V233" s="17">
        <v>-19896220000</v>
      </c>
    </row>
    <row r="234" spans="1:22" x14ac:dyDescent="0.2">
      <c r="A234" s="746" t="s">
        <v>165</v>
      </c>
      <c r="B234" s="757" t="s">
        <v>13</v>
      </c>
      <c r="C234" s="45" t="s">
        <v>16</v>
      </c>
      <c r="D234" s="45" t="s">
        <v>182</v>
      </c>
      <c r="E234" s="45" t="s">
        <v>64</v>
      </c>
      <c r="F234" s="45" t="s">
        <v>5</v>
      </c>
      <c r="G234" s="45" t="s">
        <v>8</v>
      </c>
      <c r="H234" s="45" t="s">
        <v>63</v>
      </c>
      <c r="I234" s="45" t="s">
        <v>21</v>
      </c>
      <c r="J234" s="45" t="s">
        <v>103</v>
      </c>
      <c r="K234" s="45" t="s">
        <v>181</v>
      </c>
      <c r="L234" s="675"/>
      <c r="M234" s="45" t="s">
        <v>27</v>
      </c>
      <c r="N234" s="45" t="s">
        <v>26</v>
      </c>
      <c r="O234" s="45" t="s">
        <v>25</v>
      </c>
      <c r="P234" s="45" t="s">
        <v>15</v>
      </c>
      <c r="Q234" s="45" t="s">
        <v>99</v>
      </c>
      <c r="R234" s="45" t="s">
        <v>61</v>
      </c>
      <c r="S234" s="45" t="s">
        <v>73</v>
      </c>
      <c r="T234" s="45" t="s">
        <v>33</v>
      </c>
      <c r="U234" s="45" t="s">
        <v>24</v>
      </c>
      <c r="V234" s="45" t="s">
        <v>338</v>
      </c>
    </row>
    <row r="235" spans="1:22" x14ac:dyDescent="0.2">
      <c r="A235" s="746" t="s">
        <v>165</v>
      </c>
      <c r="B235" s="758">
        <v>62811250000</v>
      </c>
      <c r="C235" s="17">
        <v>39627130000</v>
      </c>
      <c r="D235" s="17">
        <v>21607040000</v>
      </c>
      <c r="E235" s="17">
        <v>13747650000</v>
      </c>
      <c r="F235" s="17">
        <v>11064790000</v>
      </c>
      <c r="G235" s="17">
        <v>9001220000</v>
      </c>
      <c r="H235" s="17">
        <v>6730560000</v>
      </c>
      <c r="I235" s="17">
        <v>5282385868</v>
      </c>
      <c r="J235" s="17">
        <v>3814873556</v>
      </c>
      <c r="K235" s="17">
        <v>2081070000</v>
      </c>
      <c r="L235" s="675"/>
      <c r="M235" s="17">
        <v>-101269700000</v>
      </c>
      <c r="N235" s="17">
        <v>-49791340000</v>
      </c>
      <c r="O235" s="17">
        <v>-39605250000</v>
      </c>
      <c r="P235" s="17">
        <v>-26408610000</v>
      </c>
      <c r="Q235" s="17">
        <v>-19439230000</v>
      </c>
      <c r="R235" s="17">
        <v>-18341920000</v>
      </c>
      <c r="S235" s="17">
        <v>-17176920000</v>
      </c>
      <c r="T235" s="17">
        <v>-16769430000</v>
      </c>
      <c r="U235" s="17">
        <v>-15741490000</v>
      </c>
      <c r="V235" s="64">
        <v>-15681729476</v>
      </c>
    </row>
    <row r="236" spans="1:22" x14ac:dyDescent="0.2">
      <c r="A236" s="746" t="s">
        <v>166</v>
      </c>
      <c r="B236" s="757" t="s">
        <v>13</v>
      </c>
      <c r="C236" s="45" t="s">
        <v>16</v>
      </c>
      <c r="D236" s="45" t="s">
        <v>65</v>
      </c>
      <c r="E236" s="45" t="s">
        <v>5</v>
      </c>
      <c r="F236" s="45" t="s">
        <v>19</v>
      </c>
      <c r="G236" s="45" t="s">
        <v>21</v>
      </c>
      <c r="H236" s="45" t="s">
        <v>8</v>
      </c>
      <c r="I236" s="45" t="s">
        <v>181</v>
      </c>
      <c r="J236" s="45" t="s">
        <v>62</v>
      </c>
      <c r="K236" s="45" t="s">
        <v>384</v>
      </c>
      <c r="L236" s="675"/>
      <c r="M236" s="45" t="s">
        <v>27</v>
      </c>
      <c r="N236" s="45" t="s">
        <v>26</v>
      </c>
      <c r="O236" s="45" t="s">
        <v>14</v>
      </c>
      <c r="P236" s="45" t="s">
        <v>68</v>
      </c>
      <c r="Q236" s="45" t="s">
        <v>33</v>
      </c>
      <c r="R236" s="45" t="s">
        <v>99</v>
      </c>
      <c r="S236" s="45" t="s">
        <v>30</v>
      </c>
      <c r="T236" s="45" t="s">
        <v>24</v>
      </c>
      <c r="U236" s="45" t="s">
        <v>29</v>
      </c>
      <c r="V236" s="45" t="s">
        <v>61</v>
      </c>
    </row>
    <row r="237" spans="1:22" x14ac:dyDescent="0.2">
      <c r="A237" s="746" t="s">
        <v>166</v>
      </c>
      <c r="B237" s="759">
        <v>97892560000</v>
      </c>
      <c r="C237" s="17">
        <v>67179420000</v>
      </c>
      <c r="D237" s="52">
        <v>62050620000</v>
      </c>
      <c r="E237" s="17">
        <v>58592030000</v>
      </c>
      <c r="F237" s="53">
        <v>41907090000</v>
      </c>
      <c r="G237" s="17">
        <v>17958774137</v>
      </c>
      <c r="H237" s="17">
        <v>13207520000</v>
      </c>
      <c r="I237" s="54">
        <v>10668180000</v>
      </c>
      <c r="J237" s="17">
        <v>10659880000</v>
      </c>
      <c r="K237" s="17">
        <v>9913970000</v>
      </c>
      <c r="L237" s="675"/>
      <c r="M237" s="17">
        <v>-92614390000</v>
      </c>
      <c r="N237" s="17">
        <v>-27109610000</v>
      </c>
      <c r="O237" s="17">
        <v>-26950630000</v>
      </c>
      <c r="P237" s="17">
        <v>-26901650000</v>
      </c>
      <c r="Q237" s="17">
        <v>-22204600000</v>
      </c>
      <c r="R237" s="17">
        <v>-21615820000</v>
      </c>
      <c r="S237" s="55">
        <v>-21237330000</v>
      </c>
      <c r="T237" s="17">
        <v>-21223500000</v>
      </c>
      <c r="U237" s="17">
        <v>-19814300000</v>
      </c>
      <c r="V237" s="17">
        <v>-18638360000</v>
      </c>
    </row>
    <row r="238" spans="1:22" x14ac:dyDescent="0.2">
      <c r="A238" s="746" t="s">
        <v>167</v>
      </c>
      <c r="B238" s="757" t="s">
        <v>13</v>
      </c>
      <c r="C238" s="45" t="s">
        <v>182</v>
      </c>
      <c r="D238" s="45" t="s">
        <v>14</v>
      </c>
      <c r="E238" s="45" t="s">
        <v>62</v>
      </c>
      <c r="F238" s="45" t="s">
        <v>21</v>
      </c>
      <c r="G238" s="45" t="s">
        <v>97</v>
      </c>
      <c r="H238" s="45" t="s">
        <v>16</v>
      </c>
      <c r="I238" s="45" t="s">
        <v>45</v>
      </c>
      <c r="J238" s="45" t="s">
        <v>24</v>
      </c>
      <c r="K238" s="45" t="s">
        <v>17</v>
      </c>
      <c r="L238" s="675"/>
      <c r="M238" s="45" t="s">
        <v>5</v>
      </c>
      <c r="N238" s="45" t="s">
        <v>32</v>
      </c>
      <c r="O238" s="45" t="s">
        <v>99</v>
      </c>
      <c r="P238" s="45" t="s">
        <v>28</v>
      </c>
      <c r="Q238" s="45" t="s">
        <v>31</v>
      </c>
      <c r="R238" s="45" t="s">
        <v>18</v>
      </c>
      <c r="S238" s="45" t="s">
        <v>29</v>
      </c>
      <c r="T238" s="45" t="s">
        <v>92</v>
      </c>
      <c r="U238" s="45" t="s">
        <v>30</v>
      </c>
      <c r="V238" s="45" t="s">
        <v>25</v>
      </c>
    </row>
    <row r="239" spans="1:22" x14ac:dyDescent="0.2">
      <c r="A239" s="746" t="s">
        <v>167</v>
      </c>
      <c r="B239" s="758">
        <v>63534030000</v>
      </c>
      <c r="C239" s="17">
        <v>40448100000</v>
      </c>
      <c r="D239" s="17">
        <v>36953060000</v>
      </c>
      <c r="E239" s="17">
        <v>23111890000</v>
      </c>
      <c r="F239" s="17">
        <v>22579329826</v>
      </c>
      <c r="G239" s="17">
        <v>19700780000</v>
      </c>
      <c r="H239" s="17">
        <v>14499910000</v>
      </c>
      <c r="I239" s="17">
        <v>14415800000</v>
      </c>
      <c r="J239" s="17">
        <v>11616170000</v>
      </c>
      <c r="K239" s="17">
        <v>10978930000</v>
      </c>
      <c r="L239" s="675"/>
      <c r="M239" s="17">
        <v>-27615020000</v>
      </c>
      <c r="N239" s="17">
        <v>-26677412998</v>
      </c>
      <c r="O239" s="17">
        <v>-22907950000</v>
      </c>
      <c r="P239" s="17">
        <v>-22435510000</v>
      </c>
      <c r="Q239" s="17">
        <v>-20135630000</v>
      </c>
      <c r="R239" s="17">
        <v>-19357930000</v>
      </c>
      <c r="S239" s="17">
        <v>-18282350000</v>
      </c>
      <c r="T239" s="17">
        <v>-12461500000</v>
      </c>
      <c r="U239" s="17">
        <v>-11806040000</v>
      </c>
      <c r="V239" s="17">
        <v>-11281650000</v>
      </c>
    </row>
    <row r="240" spans="1:22" x14ac:dyDescent="0.2">
      <c r="A240" s="746" t="s">
        <v>168</v>
      </c>
      <c r="B240" s="757" t="s">
        <v>13</v>
      </c>
      <c r="C240" s="45" t="s">
        <v>182</v>
      </c>
      <c r="D240" s="45" t="s">
        <v>9</v>
      </c>
      <c r="E240" s="45" t="s">
        <v>16</v>
      </c>
      <c r="F240" s="45" t="s">
        <v>28</v>
      </c>
      <c r="G240" s="45" t="s">
        <v>18</v>
      </c>
      <c r="H240" s="45" t="s">
        <v>21</v>
      </c>
      <c r="I240" s="45" t="s">
        <v>92</v>
      </c>
      <c r="J240" s="45" t="s">
        <v>278</v>
      </c>
      <c r="K240" s="45" t="s">
        <v>26</v>
      </c>
      <c r="L240" s="675"/>
      <c r="M240" s="45" t="s">
        <v>5</v>
      </c>
      <c r="N240" s="45" t="s">
        <v>25</v>
      </c>
      <c r="O240" s="45" t="s">
        <v>8</v>
      </c>
      <c r="P240" s="45" t="s">
        <v>14</v>
      </c>
      <c r="Q240" s="45" t="s">
        <v>27</v>
      </c>
      <c r="R240" s="45" t="s">
        <v>184</v>
      </c>
      <c r="S240" s="45" t="s">
        <v>111</v>
      </c>
      <c r="T240" s="45" t="s">
        <v>32</v>
      </c>
      <c r="U240" s="45" t="s">
        <v>30</v>
      </c>
      <c r="V240" s="45" t="s">
        <v>62</v>
      </c>
    </row>
    <row r="241" spans="1:22" x14ac:dyDescent="0.2">
      <c r="A241" s="746" t="s">
        <v>168</v>
      </c>
      <c r="B241" s="760">
        <v>91849680000</v>
      </c>
      <c r="C241" s="17">
        <v>24225500000</v>
      </c>
      <c r="D241" s="17">
        <v>22607740000</v>
      </c>
      <c r="E241" s="17">
        <v>16696730000</v>
      </c>
      <c r="F241" s="17">
        <v>15039890000</v>
      </c>
      <c r="G241" s="17">
        <v>14328110000</v>
      </c>
      <c r="H241" s="17">
        <v>6855453724</v>
      </c>
      <c r="I241" s="17">
        <v>5994650000</v>
      </c>
      <c r="J241" s="17">
        <v>5085230000</v>
      </c>
      <c r="K241" s="17">
        <v>4955210000</v>
      </c>
      <c r="L241" s="675"/>
      <c r="M241" s="17">
        <v>-89032000000</v>
      </c>
      <c r="N241" s="17">
        <v>-40132370000</v>
      </c>
      <c r="O241" s="17">
        <v>-37320860000</v>
      </c>
      <c r="P241" s="17">
        <v>-35201660000</v>
      </c>
      <c r="Q241" s="17">
        <v>-24768050000</v>
      </c>
      <c r="R241" s="17">
        <v>-23863250000</v>
      </c>
      <c r="S241" s="17">
        <v>-21365050000</v>
      </c>
      <c r="T241" s="17">
        <v>-17940316127</v>
      </c>
      <c r="U241" s="17">
        <v>-17737770000</v>
      </c>
      <c r="V241" s="17">
        <v>-13243540000</v>
      </c>
    </row>
    <row r="255" spans="1:22" x14ac:dyDescent="0.2">
      <c r="A255" t="s">
        <v>177</v>
      </c>
    </row>
  </sheetData>
  <mergeCells count="122">
    <mergeCell ref="A2:A3"/>
    <mergeCell ref="A4:A5"/>
    <mergeCell ref="A42:A43"/>
    <mergeCell ref="A40:A41"/>
    <mergeCell ref="A38:A39"/>
    <mergeCell ref="A36:A37"/>
    <mergeCell ref="A34:A35"/>
    <mergeCell ref="A32:A33"/>
    <mergeCell ref="A30:A31"/>
    <mergeCell ref="A28:A29"/>
    <mergeCell ref="A26:A27"/>
    <mergeCell ref="A24:A25"/>
    <mergeCell ref="A22:A23"/>
    <mergeCell ref="A20:A21"/>
    <mergeCell ref="A18:A19"/>
    <mergeCell ref="A16:A17"/>
    <mergeCell ref="A14:A15"/>
    <mergeCell ref="A12:A13"/>
    <mergeCell ref="A10:A11"/>
    <mergeCell ref="A72:A73"/>
    <mergeCell ref="A70:A71"/>
    <mergeCell ref="A68:A69"/>
    <mergeCell ref="A66:A67"/>
    <mergeCell ref="A64:A65"/>
    <mergeCell ref="A62:A63"/>
    <mergeCell ref="A60:A61"/>
    <mergeCell ref="A8:A9"/>
    <mergeCell ref="A6:A7"/>
    <mergeCell ref="A54:A55"/>
    <mergeCell ref="A52:A53"/>
    <mergeCell ref="A50:A51"/>
    <mergeCell ref="A48:A49"/>
    <mergeCell ref="A46:A47"/>
    <mergeCell ref="A44:A45"/>
    <mergeCell ref="A206:A207"/>
    <mergeCell ref="A204:A205"/>
    <mergeCell ref="A202:A203"/>
    <mergeCell ref="A200:A201"/>
    <mergeCell ref="A198:A199"/>
    <mergeCell ref="A196:A197"/>
    <mergeCell ref="A194:A195"/>
    <mergeCell ref="A192:A193"/>
    <mergeCell ref="A190:A191"/>
    <mergeCell ref="A188:A189"/>
    <mergeCell ref="A186:A187"/>
    <mergeCell ref="A184:A185"/>
    <mergeCell ref="A182:A183"/>
    <mergeCell ref="A84:A85"/>
    <mergeCell ref="A82:A83"/>
    <mergeCell ref="A80:A81"/>
    <mergeCell ref="A76:A77"/>
    <mergeCell ref="A74:A75"/>
    <mergeCell ref="A150:A151"/>
    <mergeCell ref="A148:A149"/>
    <mergeCell ref="A112:A113"/>
    <mergeCell ref="A110:A111"/>
    <mergeCell ref="A108:A109"/>
    <mergeCell ref="A106:A107"/>
    <mergeCell ref="A104:A105"/>
    <mergeCell ref="A102:A103"/>
    <mergeCell ref="A146:A147"/>
    <mergeCell ref="A144:A145"/>
    <mergeCell ref="A142:A143"/>
    <mergeCell ref="A140:A141"/>
    <mergeCell ref="A138:A139"/>
    <mergeCell ref="A222:A223"/>
    <mergeCell ref="A220:A221"/>
    <mergeCell ref="A218:A219"/>
    <mergeCell ref="A216:A217"/>
    <mergeCell ref="A214:A215"/>
    <mergeCell ref="A212:A213"/>
    <mergeCell ref="A210:A211"/>
    <mergeCell ref="A208:A209"/>
    <mergeCell ref="A114:A115"/>
    <mergeCell ref="A180:A181"/>
    <mergeCell ref="A178:A179"/>
    <mergeCell ref="A176:A177"/>
    <mergeCell ref="A174:A175"/>
    <mergeCell ref="A172:A173"/>
    <mergeCell ref="A170:A171"/>
    <mergeCell ref="A168:A169"/>
    <mergeCell ref="A166:A167"/>
    <mergeCell ref="A164:A165"/>
    <mergeCell ref="A162:A163"/>
    <mergeCell ref="A160:A161"/>
    <mergeCell ref="A158:A159"/>
    <mergeCell ref="A156:A157"/>
    <mergeCell ref="A154:A155"/>
    <mergeCell ref="A152:A153"/>
    <mergeCell ref="A240:A241"/>
    <mergeCell ref="A238:A239"/>
    <mergeCell ref="A236:A237"/>
    <mergeCell ref="A234:A235"/>
    <mergeCell ref="A232:A233"/>
    <mergeCell ref="A230:A231"/>
    <mergeCell ref="A228:A229"/>
    <mergeCell ref="A226:A227"/>
    <mergeCell ref="A224:A225"/>
    <mergeCell ref="B1:K1"/>
    <mergeCell ref="M1:V1"/>
    <mergeCell ref="A118:A119"/>
    <mergeCell ref="A116:A117"/>
    <mergeCell ref="A136:A137"/>
    <mergeCell ref="A134:A135"/>
    <mergeCell ref="A132:A133"/>
    <mergeCell ref="A130:A131"/>
    <mergeCell ref="A128:A129"/>
    <mergeCell ref="A126:A127"/>
    <mergeCell ref="A124:A125"/>
    <mergeCell ref="A122:A123"/>
    <mergeCell ref="A120:A121"/>
    <mergeCell ref="A100:A101"/>
    <mergeCell ref="A98:A99"/>
    <mergeCell ref="A96:A97"/>
    <mergeCell ref="A94:A95"/>
    <mergeCell ref="A92:A93"/>
    <mergeCell ref="A90:A91"/>
    <mergeCell ref="A88:A89"/>
    <mergeCell ref="A86:A87"/>
    <mergeCell ref="A78:A79"/>
    <mergeCell ref="A58:A59"/>
    <mergeCell ref="A56:A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15B2-53BD-F043-8061-3964BD758D35}">
  <sheetPr codeName="Sheet8">
    <tabColor theme="7" tint="0.39997558519241921"/>
  </sheetPr>
  <dimension ref="A1:V257"/>
  <sheetViews>
    <sheetView topLeftCell="A104" workbookViewId="0">
      <pane xSplit="1" topLeftCell="H1" activePane="topRight" state="frozen"/>
      <selection pane="topRight" activeCell="N125" sqref="N125"/>
    </sheetView>
  </sheetViews>
  <sheetFormatPr baseColWidth="10" defaultRowHeight="16" x14ac:dyDescent="0.2"/>
  <cols>
    <col min="2" max="2" width="16.1640625" customWidth="1"/>
    <col min="3" max="3" width="16" customWidth="1"/>
    <col min="4" max="4" width="14.5" customWidth="1"/>
    <col min="5" max="5" width="14.33203125" customWidth="1"/>
    <col min="6" max="6" width="15.5" customWidth="1"/>
    <col min="7" max="7" width="15.6640625" customWidth="1"/>
    <col min="8" max="8" width="14.6640625" customWidth="1"/>
    <col min="9" max="9" width="14.83203125" customWidth="1"/>
    <col min="10" max="10" width="14.5" customWidth="1"/>
    <col min="11" max="11" width="16" customWidth="1"/>
    <col min="12" max="12" width="4.1640625" customWidth="1"/>
    <col min="13" max="13" width="15.1640625" customWidth="1"/>
    <col min="14" max="14" width="15.5" customWidth="1"/>
    <col min="15" max="15" width="15.6640625" customWidth="1"/>
    <col min="16" max="16" width="15" customWidth="1"/>
    <col min="17" max="17" width="16.6640625" customWidth="1"/>
    <col min="18" max="18" width="17.83203125" customWidth="1"/>
    <col min="19" max="19" width="15.33203125" customWidth="1"/>
    <col min="20" max="21" width="18.1640625" customWidth="1"/>
    <col min="22" max="22" width="16" customWidth="1"/>
  </cols>
  <sheetData>
    <row r="1" spans="1:22" x14ac:dyDescent="0.2">
      <c r="A1" s="44" t="s">
        <v>117</v>
      </c>
      <c r="B1" s="744" t="s">
        <v>435</v>
      </c>
      <c r="C1" s="744"/>
      <c r="D1" s="744"/>
      <c r="E1" s="744"/>
      <c r="F1" s="744"/>
      <c r="G1" s="744"/>
      <c r="H1" s="744"/>
      <c r="I1" s="744"/>
      <c r="J1" s="744"/>
      <c r="K1" s="744"/>
      <c r="L1" s="675"/>
      <c r="M1" s="745" t="s">
        <v>436</v>
      </c>
      <c r="N1" s="745"/>
      <c r="O1" s="745"/>
      <c r="P1" s="745"/>
      <c r="Q1" s="745"/>
      <c r="R1" s="745"/>
      <c r="S1" s="745"/>
      <c r="T1" s="745"/>
      <c r="U1" s="745"/>
      <c r="V1" s="745"/>
    </row>
    <row r="2" spans="1:22" x14ac:dyDescent="0.2">
      <c r="A2" s="746" t="s">
        <v>440</v>
      </c>
      <c r="B2" s="45" t="s">
        <v>109</v>
      </c>
      <c r="C2" s="45" t="s">
        <v>20</v>
      </c>
      <c r="D2" s="45" t="s">
        <v>15</v>
      </c>
      <c r="E2" s="45" t="s">
        <v>287</v>
      </c>
      <c r="F2" s="45" t="s">
        <v>16</v>
      </c>
      <c r="G2" s="45" t="s">
        <v>34</v>
      </c>
      <c r="H2" s="45" t="s">
        <v>14</v>
      </c>
      <c r="I2" s="45" t="s">
        <v>28</v>
      </c>
      <c r="J2" s="45" t="s">
        <v>24</v>
      </c>
      <c r="K2" s="45" t="s">
        <v>111</v>
      </c>
      <c r="L2" s="675"/>
      <c r="M2" s="45" t="s">
        <v>43</v>
      </c>
      <c r="N2" s="45" t="s">
        <v>39</v>
      </c>
      <c r="O2" s="45" t="s">
        <v>31</v>
      </c>
      <c r="P2" s="45" t="s">
        <v>83</v>
      </c>
      <c r="Q2" s="45" t="s">
        <v>30</v>
      </c>
      <c r="R2" s="45" t="s">
        <v>60</v>
      </c>
      <c r="S2" s="45" t="s">
        <v>192</v>
      </c>
      <c r="T2" s="45" t="s">
        <v>74</v>
      </c>
      <c r="U2" s="45" t="s">
        <v>61</v>
      </c>
      <c r="V2" s="45" t="s">
        <v>8</v>
      </c>
    </row>
    <row r="3" spans="1:22" x14ac:dyDescent="0.2">
      <c r="A3" s="746" t="s">
        <v>440</v>
      </c>
      <c r="B3" s="671">
        <v>149905550000</v>
      </c>
      <c r="C3" s="17">
        <v>149663980000</v>
      </c>
      <c r="D3" s="17">
        <v>45180743000</v>
      </c>
      <c r="E3" s="672">
        <v>23265640000</v>
      </c>
      <c r="F3" s="17">
        <v>20670331000</v>
      </c>
      <c r="G3" s="673">
        <v>20000000000</v>
      </c>
      <c r="H3" s="17">
        <v>18776325000</v>
      </c>
      <c r="I3" s="17">
        <v>12432600000</v>
      </c>
      <c r="J3" s="17">
        <v>12255040000</v>
      </c>
      <c r="K3" s="17">
        <v>11977540000</v>
      </c>
      <c r="L3" s="675"/>
      <c r="M3" s="17">
        <v>-22437170000</v>
      </c>
      <c r="N3" s="17">
        <v>-21102300000</v>
      </c>
      <c r="O3" s="17">
        <v>-17558120000</v>
      </c>
      <c r="P3" s="17">
        <v>-13125930000</v>
      </c>
      <c r="Q3" s="17">
        <v>-11741050000</v>
      </c>
      <c r="R3" s="17">
        <v>-10595450000</v>
      </c>
      <c r="S3" s="17">
        <v>-8887840000</v>
      </c>
      <c r="T3" s="17">
        <v>-7648850000</v>
      </c>
      <c r="U3" s="17">
        <v>-5999805000</v>
      </c>
      <c r="V3" s="674">
        <v>-5284290000</v>
      </c>
    </row>
    <row r="4" spans="1:22" x14ac:dyDescent="0.2">
      <c r="A4" s="746" t="s">
        <v>432</v>
      </c>
      <c r="B4" s="45" t="s">
        <v>338</v>
      </c>
      <c r="C4" s="45" t="s">
        <v>97</v>
      </c>
      <c r="D4" s="45" t="s">
        <v>339</v>
      </c>
      <c r="E4" s="45" t="s">
        <v>111</v>
      </c>
      <c r="F4" s="45" t="s">
        <v>73</v>
      </c>
      <c r="G4" s="45" t="s">
        <v>215</v>
      </c>
      <c r="H4" s="45" t="s">
        <v>20</v>
      </c>
      <c r="I4" s="45" t="s">
        <v>40</v>
      </c>
      <c r="J4" s="45" t="s">
        <v>32</v>
      </c>
      <c r="K4" s="45" t="s">
        <v>21</v>
      </c>
      <c r="L4" s="675"/>
      <c r="M4" s="751" t="s">
        <v>36</v>
      </c>
      <c r="N4" s="45" t="s">
        <v>83</v>
      </c>
      <c r="O4" s="45" t="s">
        <v>18</v>
      </c>
      <c r="P4" s="45" t="s">
        <v>43</v>
      </c>
      <c r="Q4" s="45" t="s">
        <v>16</v>
      </c>
      <c r="R4" s="45" t="s">
        <v>39</v>
      </c>
      <c r="S4" s="45" t="s">
        <v>35</v>
      </c>
      <c r="T4" s="45" t="s">
        <v>15</v>
      </c>
      <c r="U4" s="45" t="s">
        <v>62</v>
      </c>
      <c r="V4" s="45" t="s">
        <v>38</v>
      </c>
    </row>
    <row r="5" spans="1:22" x14ac:dyDescent="0.2">
      <c r="A5" s="746" t="s">
        <v>432</v>
      </c>
      <c r="B5" s="670">
        <v>34300000000</v>
      </c>
      <c r="C5" s="17">
        <v>6273105000</v>
      </c>
      <c r="D5" s="17">
        <v>4186220000</v>
      </c>
      <c r="E5" s="17">
        <v>3243890000</v>
      </c>
      <c r="F5" s="17">
        <v>3110260000</v>
      </c>
      <c r="G5" s="17">
        <v>2780590000</v>
      </c>
      <c r="H5" s="17">
        <v>2334735000</v>
      </c>
      <c r="I5" s="17">
        <v>2089680000</v>
      </c>
      <c r="J5" s="17">
        <v>2053620400</v>
      </c>
      <c r="K5" s="17">
        <v>1518000000</v>
      </c>
      <c r="L5" s="675"/>
      <c r="M5" s="752">
        <v>-145081610000</v>
      </c>
      <c r="N5" s="17">
        <v>-63704420000</v>
      </c>
      <c r="O5" s="17">
        <v>-63008116000</v>
      </c>
      <c r="P5" s="17">
        <v>-48857550000</v>
      </c>
      <c r="Q5" s="17">
        <v>-41710928000</v>
      </c>
      <c r="R5" s="17">
        <v>-39828810000</v>
      </c>
      <c r="S5" s="17">
        <v>-38009020000</v>
      </c>
      <c r="T5" s="17">
        <v>-37457059000</v>
      </c>
      <c r="U5" s="17">
        <v>-29010565000</v>
      </c>
      <c r="V5" s="17">
        <v>-28058038000</v>
      </c>
    </row>
    <row r="6" spans="1:22" x14ac:dyDescent="0.2">
      <c r="A6" s="746" t="s">
        <v>431</v>
      </c>
      <c r="B6" s="45" t="s">
        <v>73</v>
      </c>
      <c r="C6" s="45" t="s">
        <v>15</v>
      </c>
      <c r="D6" s="45" t="s">
        <v>20</v>
      </c>
      <c r="E6" s="45" t="s">
        <v>97</v>
      </c>
      <c r="F6" s="45" t="s">
        <v>32</v>
      </c>
      <c r="G6" s="45" t="s">
        <v>28</v>
      </c>
      <c r="H6" s="45" t="s">
        <v>184</v>
      </c>
      <c r="I6" s="45" t="s">
        <v>60</v>
      </c>
      <c r="J6" s="45" t="s">
        <v>21</v>
      </c>
      <c r="K6" s="45" t="s">
        <v>111</v>
      </c>
      <c r="L6" s="675"/>
      <c r="M6" s="751" t="s">
        <v>36</v>
      </c>
      <c r="N6" s="45" t="s">
        <v>43</v>
      </c>
      <c r="O6" s="45" t="s">
        <v>39</v>
      </c>
      <c r="P6" s="45" t="s">
        <v>83</v>
      </c>
      <c r="Q6" s="45" t="s">
        <v>14</v>
      </c>
      <c r="R6" s="45" t="s">
        <v>35</v>
      </c>
      <c r="S6" s="45" t="s">
        <v>16</v>
      </c>
      <c r="T6" s="45" t="s">
        <v>62</v>
      </c>
      <c r="U6" s="45" t="s">
        <v>192</v>
      </c>
      <c r="V6" s="45" t="s">
        <v>70</v>
      </c>
    </row>
    <row r="7" spans="1:22" x14ac:dyDescent="0.2">
      <c r="A7" s="746" t="s">
        <v>431</v>
      </c>
      <c r="B7" s="17">
        <v>13144050000</v>
      </c>
      <c r="C7" s="17">
        <v>11978721000</v>
      </c>
      <c r="D7" s="17">
        <v>11048000000</v>
      </c>
      <c r="E7" s="17">
        <v>8725695000</v>
      </c>
      <c r="F7" s="17">
        <v>8456985600</v>
      </c>
      <c r="G7" s="17">
        <v>7325580000</v>
      </c>
      <c r="H7" s="17">
        <v>6216810000</v>
      </c>
      <c r="I7" s="17">
        <v>3305500000</v>
      </c>
      <c r="J7" s="17">
        <v>3023000000</v>
      </c>
      <c r="K7" s="17">
        <v>2937500000</v>
      </c>
      <c r="L7" s="675"/>
      <c r="M7" s="752">
        <v>-145542480000</v>
      </c>
      <c r="N7" s="17">
        <v>-57341150000</v>
      </c>
      <c r="O7" s="669">
        <v>-51509660000</v>
      </c>
      <c r="P7" s="17">
        <v>-41445145000</v>
      </c>
      <c r="Q7" s="17">
        <v>-33037085000</v>
      </c>
      <c r="R7" s="17">
        <v>-28382420000</v>
      </c>
      <c r="S7" s="17">
        <v>-23995920000</v>
      </c>
      <c r="T7" s="17">
        <v>-21970840000</v>
      </c>
      <c r="U7" s="17">
        <v>-21758070000</v>
      </c>
      <c r="V7" s="17">
        <v>-15591628000</v>
      </c>
    </row>
    <row r="8" spans="1:22" x14ac:dyDescent="0.2">
      <c r="A8" s="746" t="s">
        <v>430</v>
      </c>
      <c r="B8" s="45" t="s">
        <v>24</v>
      </c>
      <c r="C8" s="45" t="s">
        <v>36</v>
      </c>
      <c r="D8" s="45" t="s">
        <v>41</v>
      </c>
      <c r="E8" s="45" t="s">
        <v>37</v>
      </c>
      <c r="F8" s="45" t="s">
        <v>38</v>
      </c>
      <c r="G8" s="45" t="s">
        <v>15</v>
      </c>
      <c r="H8" s="45" t="s">
        <v>19</v>
      </c>
      <c r="I8" s="45" t="s">
        <v>289</v>
      </c>
      <c r="J8" s="45" t="s">
        <v>83</v>
      </c>
      <c r="K8" s="45" t="s">
        <v>14</v>
      </c>
      <c r="L8" s="675"/>
      <c r="M8" s="45" t="s">
        <v>207</v>
      </c>
      <c r="N8" s="45" t="s">
        <v>202</v>
      </c>
      <c r="O8" s="45" t="s">
        <v>20</v>
      </c>
      <c r="P8" s="45" t="s">
        <v>199</v>
      </c>
      <c r="Q8" s="45" t="s">
        <v>66</v>
      </c>
      <c r="R8" s="45" t="s">
        <v>21</v>
      </c>
      <c r="S8" s="45" t="s">
        <v>68</v>
      </c>
      <c r="T8" s="45" t="s">
        <v>339</v>
      </c>
      <c r="U8" s="45" t="s">
        <v>61</v>
      </c>
      <c r="V8" s="45" t="s">
        <v>192</v>
      </c>
    </row>
    <row r="9" spans="1:22" x14ac:dyDescent="0.2">
      <c r="A9" s="746" t="s">
        <v>430</v>
      </c>
      <c r="B9" s="665">
        <v>101032540000</v>
      </c>
      <c r="C9" s="17">
        <v>27193910000</v>
      </c>
      <c r="D9" s="17">
        <v>17968500000</v>
      </c>
      <c r="E9" s="17">
        <v>14550215000</v>
      </c>
      <c r="F9" s="17">
        <v>12018969000</v>
      </c>
      <c r="G9" s="17">
        <v>11414563000</v>
      </c>
      <c r="H9" s="17">
        <v>10761150000</v>
      </c>
      <c r="I9" s="666">
        <v>10219000000</v>
      </c>
      <c r="J9" s="17">
        <v>10182260000</v>
      </c>
      <c r="K9" s="17">
        <v>7690460000</v>
      </c>
      <c r="L9" s="675"/>
      <c r="M9" s="667">
        <v>-99000000000</v>
      </c>
      <c r="N9" s="17">
        <v>-9128595000</v>
      </c>
      <c r="O9" s="17">
        <v>-7300110000</v>
      </c>
      <c r="P9" s="17">
        <v>-7246720000</v>
      </c>
      <c r="Q9" s="17">
        <v>-4647700000</v>
      </c>
      <c r="R9" s="17">
        <v>-2684940000</v>
      </c>
      <c r="S9" s="17">
        <v>-2142951000</v>
      </c>
      <c r="T9" s="17">
        <v>-1736800000</v>
      </c>
      <c r="U9" s="17">
        <v>-822750000</v>
      </c>
      <c r="V9" s="17">
        <v>-97770000</v>
      </c>
    </row>
    <row r="10" spans="1:22" x14ac:dyDescent="0.2">
      <c r="A10" s="746" t="s">
        <v>423</v>
      </c>
      <c r="B10" s="45" t="s">
        <v>26</v>
      </c>
      <c r="C10" s="45" t="s">
        <v>14</v>
      </c>
      <c r="D10" s="45" t="s">
        <v>36</v>
      </c>
      <c r="E10" s="45" t="s">
        <v>38</v>
      </c>
      <c r="F10" s="45" t="s">
        <v>83</v>
      </c>
      <c r="G10" s="45" t="s">
        <v>15</v>
      </c>
      <c r="H10" s="45" t="s">
        <v>61</v>
      </c>
      <c r="I10" s="45" t="s">
        <v>16</v>
      </c>
      <c r="J10" s="45" t="s">
        <v>24</v>
      </c>
      <c r="K10" s="45" t="s">
        <v>62</v>
      </c>
      <c r="L10" s="675"/>
      <c r="M10" s="45" t="s">
        <v>18</v>
      </c>
      <c r="N10" s="45" t="s">
        <v>207</v>
      </c>
      <c r="O10" s="45" t="s">
        <v>35</v>
      </c>
      <c r="P10" s="45" t="s">
        <v>339</v>
      </c>
      <c r="Q10" s="45" t="s">
        <v>21</v>
      </c>
      <c r="R10" s="45" t="s">
        <v>170</v>
      </c>
      <c r="S10" s="45" t="s">
        <v>65</v>
      </c>
      <c r="T10" s="45" t="s">
        <v>317</v>
      </c>
      <c r="U10" s="45" t="s">
        <v>60</v>
      </c>
      <c r="V10" s="45" t="s">
        <v>202</v>
      </c>
    </row>
    <row r="11" spans="1:22" x14ac:dyDescent="0.2">
      <c r="A11" s="746" t="s">
        <v>423</v>
      </c>
      <c r="B11" s="17">
        <v>114745294000</v>
      </c>
      <c r="C11" s="663">
        <v>71394020000</v>
      </c>
      <c r="D11" s="17">
        <v>64870870000</v>
      </c>
      <c r="E11" s="17">
        <v>51289133000</v>
      </c>
      <c r="F11" s="17">
        <v>38315055000</v>
      </c>
      <c r="G11" s="17">
        <v>28313337000</v>
      </c>
      <c r="H11" s="17">
        <v>26144530000</v>
      </c>
      <c r="I11" s="17">
        <v>24563703000</v>
      </c>
      <c r="J11" s="17">
        <v>21505330000</v>
      </c>
      <c r="K11" s="17">
        <v>20179110000</v>
      </c>
      <c r="L11" s="675"/>
      <c r="M11" s="17">
        <v>-109163239000</v>
      </c>
      <c r="N11" s="17">
        <v>-99000000000</v>
      </c>
      <c r="O11" s="17">
        <v>-67696715000</v>
      </c>
      <c r="P11" s="17">
        <v>-30858345000</v>
      </c>
      <c r="Q11" s="17">
        <v>-10828470000</v>
      </c>
      <c r="R11" s="664">
        <v>-3616000000</v>
      </c>
      <c r="S11" s="17">
        <v>-2251050000</v>
      </c>
      <c r="T11" s="17">
        <v>794500000</v>
      </c>
      <c r="U11" s="17">
        <v>1150000000</v>
      </c>
      <c r="V11" s="17">
        <v>1474755000</v>
      </c>
    </row>
    <row r="12" spans="1:22" x14ac:dyDescent="0.2">
      <c r="A12" s="746" t="s">
        <v>421</v>
      </c>
      <c r="B12" s="45" t="s">
        <v>28</v>
      </c>
      <c r="C12" s="45" t="s">
        <v>60</v>
      </c>
      <c r="D12" s="45" t="s">
        <v>32</v>
      </c>
      <c r="E12" s="45" t="s">
        <v>64</v>
      </c>
      <c r="F12" s="45" t="s">
        <v>219</v>
      </c>
      <c r="G12" s="45" t="s">
        <v>111</v>
      </c>
      <c r="H12" s="45" t="s">
        <v>340</v>
      </c>
      <c r="I12" s="45" t="s">
        <v>100</v>
      </c>
      <c r="J12" s="45" t="s">
        <v>45</v>
      </c>
      <c r="K12" s="45" t="s">
        <v>182</v>
      </c>
      <c r="L12" s="675"/>
      <c r="M12" s="751" t="s">
        <v>36</v>
      </c>
      <c r="N12" s="45" t="s">
        <v>35</v>
      </c>
      <c r="O12" s="45" t="s">
        <v>15</v>
      </c>
      <c r="P12" s="45" t="s">
        <v>18</v>
      </c>
      <c r="Q12" s="45" t="s">
        <v>16</v>
      </c>
      <c r="R12" s="45" t="s">
        <v>83</v>
      </c>
      <c r="S12" s="45" t="s">
        <v>26</v>
      </c>
      <c r="T12" s="45" t="s">
        <v>62</v>
      </c>
      <c r="U12" s="45" t="s">
        <v>74</v>
      </c>
      <c r="V12" s="45" t="s">
        <v>43</v>
      </c>
    </row>
    <row r="13" spans="1:22" x14ac:dyDescent="0.2">
      <c r="A13" s="746" t="s">
        <v>421</v>
      </c>
      <c r="B13" s="17">
        <v>10425790000</v>
      </c>
      <c r="C13" s="17">
        <v>7255000000</v>
      </c>
      <c r="D13" s="17">
        <v>6043579300</v>
      </c>
      <c r="E13" s="17">
        <v>4761860000</v>
      </c>
      <c r="F13" s="17">
        <v>3933000000</v>
      </c>
      <c r="G13" s="17">
        <v>3059390000</v>
      </c>
      <c r="H13" s="17">
        <v>504565000</v>
      </c>
      <c r="I13" s="17">
        <v>248690000</v>
      </c>
      <c r="J13" s="17">
        <v>159200000</v>
      </c>
      <c r="K13" s="17">
        <v>126250000</v>
      </c>
      <c r="L13" s="675"/>
      <c r="M13" s="752">
        <v>-105916230000</v>
      </c>
      <c r="N13" s="17">
        <v>-47205115000</v>
      </c>
      <c r="O13" s="17">
        <v>-45235416000</v>
      </c>
      <c r="P13" s="17">
        <v>-42332825000</v>
      </c>
      <c r="Q13" s="17">
        <v>-38956805000</v>
      </c>
      <c r="R13" s="17">
        <v>-32973925000</v>
      </c>
      <c r="S13" s="17">
        <v>-29807987000</v>
      </c>
      <c r="T13" s="17">
        <v>-29111335000</v>
      </c>
      <c r="U13" s="17">
        <v>-23866080000</v>
      </c>
      <c r="V13" s="17">
        <v>-22984630000</v>
      </c>
    </row>
    <row r="14" spans="1:22" x14ac:dyDescent="0.2">
      <c r="A14" s="746" t="s">
        <v>417</v>
      </c>
      <c r="B14" s="45" t="s">
        <v>83</v>
      </c>
      <c r="C14" s="45" t="s">
        <v>16</v>
      </c>
      <c r="D14" s="45" t="s">
        <v>15</v>
      </c>
      <c r="E14" s="45" t="s">
        <v>35</v>
      </c>
      <c r="F14" s="45" t="s">
        <v>24</v>
      </c>
      <c r="G14" s="45" t="s">
        <v>18</v>
      </c>
      <c r="H14" s="45" t="s">
        <v>5</v>
      </c>
      <c r="I14" s="45" t="s">
        <v>27</v>
      </c>
      <c r="J14" s="45" t="s">
        <v>26</v>
      </c>
      <c r="K14" s="45" t="s">
        <v>13</v>
      </c>
      <c r="L14" s="675"/>
      <c r="M14" s="751" t="s">
        <v>36</v>
      </c>
      <c r="N14" s="45" t="s">
        <v>45</v>
      </c>
      <c r="O14" s="45" t="s">
        <v>68</v>
      </c>
      <c r="P14" s="45" t="s">
        <v>339</v>
      </c>
      <c r="Q14" s="45" t="s">
        <v>39</v>
      </c>
      <c r="R14" s="45" t="s">
        <v>21</v>
      </c>
      <c r="S14" s="45" t="s">
        <v>43</v>
      </c>
      <c r="T14" s="45" t="s">
        <v>280</v>
      </c>
      <c r="U14" s="45" t="s">
        <v>202</v>
      </c>
      <c r="V14" s="45" t="s">
        <v>32</v>
      </c>
    </row>
    <row r="15" spans="1:22" x14ac:dyDescent="0.2">
      <c r="A15" s="746" t="s">
        <v>417</v>
      </c>
      <c r="B15" s="656">
        <v>125635635000</v>
      </c>
      <c r="C15" s="17">
        <v>70074105000</v>
      </c>
      <c r="D15" s="17">
        <v>51186566000</v>
      </c>
      <c r="E15" s="17">
        <v>41427410000</v>
      </c>
      <c r="F15" s="17">
        <v>33414870000</v>
      </c>
      <c r="G15" s="17">
        <v>26554041000</v>
      </c>
      <c r="H15" s="17">
        <v>25834988000</v>
      </c>
      <c r="I15" s="17">
        <v>22582585000</v>
      </c>
      <c r="J15" s="17">
        <v>20526753000</v>
      </c>
      <c r="K15" s="17">
        <v>19976080000</v>
      </c>
      <c r="L15" s="675"/>
      <c r="M15" s="752">
        <v>-44749780000</v>
      </c>
      <c r="N15" s="657">
        <v>-16519290000</v>
      </c>
      <c r="O15" s="17">
        <v>-7731639000</v>
      </c>
      <c r="P15" s="17">
        <v>-6641220000</v>
      </c>
      <c r="Q15" s="17">
        <v>-3304300000</v>
      </c>
      <c r="R15" s="17">
        <v>-3124250000</v>
      </c>
      <c r="S15" s="17">
        <v>-2928420000</v>
      </c>
      <c r="T15" s="17">
        <v>-2006460000</v>
      </c>
      <c r="U15" s="17">
        <v>-1856665000</v>
      </c>
      <c r="V15" s="17">
        <v>-827102800</v>
      </c>
    </row>
    <row r="16" spans="1:22" x14ac:dyDescent="0.2">
      <c r="A16" s="746" t="s">
        <v>416</v>
      </c>
      <c r="B16" s="45" t="s">
        <v>16</v>
      </c>
      <c r="C16" s="45" t="s">
        <v>24</v>
      </c>
      <c r="D16" s="45" t="s">
        <v>111</v>
      </c>
      <c r="E16" s="45" t="s">
        <v>219</v>
      </c>
      <c r="F16" s="45" t="s">
        <v>73</v>
      </c>
      <c r="G16" s="45" t="s">
        <v>202</v>
      </c>
      <c r="H16" s="45" t="s">
        <v>68</v>
      </c>
      <c r="I16" s="45" t="s">
        <v>60</v>
      </c>
      <c r="J16" s="45" t="s">
        <v>184</v>
      </c>
      <c r="K16" s="45" t="s">
        <v>28</v>
      </c>
      <c r="L16" s="675"/>
      <c r="M16" s="45" t="s">
        <v>83</v>
      </c>
      <c r="N16" s="45" t="s">
        <v>280</v>
      </c>
      <c r="O16" s="45" t="s">
        <v>36</v>
      </c>
      <c r="P16" s="45" t="s">
        <v>38</v>
      </c>
      <c r="Q16" s="45" t="s">
        <v>35</v>
      </c>
      <c r="R16" s="45" t="s">
        <v>18</v>
      </c>
      <c r="S16" s="45" t="s">
        <v>26</v>
      </c>
      <c r="T16" s="45" t="s">
        <v>62</v>
      </c>
      <c r="U16" s="45" t="s">
        <v>67</v>
      </c>
      <c r="V16" s="45" t="s">
        <v>25</v>
      </c>
    </row>
    <row r="17" spans="1:22" x14ac:dyDescent="0.2">
      <c r="A17" s="746" t="s">
        <v>416</v>
      </c>
      <c r="B17" s="17">
        <v>107669110000</v>
      </c>
      <c r="C17" s="17">
        <v>27706190000</v>
      </c>
      <c r="D17" s="17">
        <v>26221250000</v>
      </c>
      <c r="E17" s="653">
        <v>9033000000</v>
      </c>
      <c r="F17" s="17">
        <v>7541635000</v>
      </c>
      <c r="G17" s="17">
        <v>6780200000</v>
      </c>
      <c r="H17" s="17">
        <v>6352880000</v>
      </c>
      <c r="I17" s="17">
        <v>6210000000</v>
      </c>
      <c r="J17" s="17">
        <v>5696290000</v>
      </c>
      <c r="K17" s="17">
        <v>3947700000</v>
      </c>
      <c r="L17" s="675"/>
      <c r="M17" s="17">
        <v>-75319090000</v>
      </c>
      <c r="N17" s="17">
        <v>-38563896400</v>
      </c>
      <c r="O17" s="17">
        <v>-36375300000</v>
      </c>
      <c r="P17" s="17">
        <v>-33662935000</v>
      </c>
      <c r="Q17" s="17">
        <v>-29995015000</v>
      </c>
      <c r="R17" s="17">
        <v>-29823610000</v>
      </c>
      <c r="S17" s="17">
        <v>-13837171000</v>
      </c>
      <c r="T17" s="17">
        <v>-10894835000</v>
      </c>
      <c r="U17" s="17">
        <v>-9792850000</v>
      </c>
      <c r="V17" s="17">
        <v>-9127680000</v>
      </c>
    </row>
    <row r="18" spans="1:22" x14ac:dyDescent="0.2">
      <c r="A18" s="746" t="s">
        <v>414</v>
      </c>
      <c r="B18" s="45" t="s">
        <v>15</v>
      </c>
      <c r="C18" s="45" t="s">
        <v>97</v>
      </c>
      <c r="D18" s="45" t="s">
        <v>36</v>
      </c>
      <c r="E18" s="45" t="s">
        <v>16</v>
      </c>
      <c r="F18" s="45" t="s">
        <v>111</v>
      </c>
      <c r="G18" s="45" t="s">
        <v>24</v>
      </c>
      <c r="H18" s="45" t="s">
        <v>73</v>
      </c>
      <c r="I18" s="45" t="s">
        <v>83</v>
      </c>
      <c r="J18" s="45" t="s">
        <v>37</v>
      </c>
      <c r="K18" s="45" t="s">
        <v>43</v>
      </c>
      <c r="L18" s="675"/>
      <c r="M18" s="45" t="s">
        <v>280</v>
      </c>
      <c r="N18" s="45" t="s">
        <v>14</v>
      </c>
      <c r="O18" s="45" t="s">
        <v>18</v>
      </c>
      <c r="P18" s="45" t="s">
        <v>26</v>
      </c>
      <c r="Q18" s="45" t="s">
        <v>60</v>
      </c>
      <c r="R18" s="45" t="s">
        <v>7</v>
      </c>
      <c r="S18" s="45" t="s">
        <v>19</v>
      </c>
      <c r="T18" s="45" t="s">
        <v>192</v>
      </c>
      <c r="U18" s="45" t="s">
        <v>62</v>
      </c>
      <c r="V18" s="45" t="s">
        <v>25</v>
      </c>
    </row>
    <row r="19" spans="1:22" x14ac:dyDescent="0.2">
      <c r="A19" s="746" t="s">
        <v>414</v>
      </c>
      <c r="B19" s="17">
        <v>85819085000</v>
      </c>
      <c r="C19" s="17">
        <v>24484515000</v>
      </c>
      <c r="D19" s="17">
        <v>20433040000</v>
      </c>
      <c r="E19" s="17">
        <v>11419090000</v>
      </c>
      <c r="F19" s="17">
        <v>10970460000</v>
      </c>
      <c r="G19" s="17">
        <v>9814860000</v>
      </c>
      <c r="H19" s="17">
        <v>9554595000</v>
      </c>
      <c r="I19" s="17">
        <v>7970040000</v>
      </c>
      <c r="J19" s="17">
        <v>7942945000</v>
      </c>
      <c r="K19" s="17">
        <v>7682420000</v>
      </c>
      <c r="L19" s="675"/>
      <c r="M19" s="650">
        <v>-95661280000</v>
      </c>
      <c r="N19" s="17">
        <v>-27498495000</v>
      </c>
      <c r="O19" s="17">
        <v>-3766810000</v>
      </c>
      <c r="P19" s="17">
        <v>-3151990000</v>
      </c>
      <c r="Q19" s="17">
        <v>-2370000000</v>
      </c>
      <c r="R19" s="17">
        <v>-1913868000</v>
      </c>
      <c r="S19" s="17">
        <v>-746625000</v>
      </c>
      <c r="T19" s="17">
        <v>-497770000</v>
      </c>
      <c r="U19" s="17">
        <v>458875000</v>
      </c>
      <c r="V19" s="17">
        <v>543250000</v>
      </c>
    </row>
    <row r="20" spans="1:22" x14ac:dyDescent="0.2">
      <c r="A20" s="746" t="s">
        <v>412</v>
      </c>
      <c r="B20" s="45" t="s">
        <v>83</v>
      </c>
      <c r="C20" s="45" t="s">
        <v>280</v>
      </c>
      <c r="D20" s="45" t="s">
        <v>5</v>
      </c>
      <c r="E20" s="45" t="s">
        <v>73</v>
      </c>
      <c r="F20" s="45" t="s">
        <v>111</v>
      </c>
      <c r="G20" s="45" t="s">
        <v>28</v>
      </c>
      <c r="H20" s="45" t="s">
        <v>35</v>
      </c>
      <c r="I20" s="45" t="s">
        <v>24</v>
      </c>
      <c r="J20" s="45" t="s">
        <v>68</v>
      </c>
      <c r="K20" s="45" t="s">
        <v>36</v>
      </c>
      <c r="L20" s="675"/>
      <c r="M20" s="45" t="s">
        <v>339</v>
      </c>
      <c r="N20" s="45" t="s">
        <v>37</v>
      </c>
      <c r="O20" s="45" t="s">
        <v>26</v>
      </c>
      <c r="P20" s="45" t="s">
        <v>38</v>
      </c>
      <c r="Q20" s="45" t="s">
        <v>15</v>
      </c>
      <c r="R20" s="45" t="s">
        <v>202</v>
      </c>
      <c r="S20" s="45" t="s">
        <v>14</v>
      </c>
      <c r="T20" s="45" t="s">
        <v>16</v>
      </c>
      <c r="U20" s="45" t="s">
        <v>199</v>
      </c>
      <c r="V20" s="45" t="s">
        <v>60</v>
      </c>
    </row>
    <row r="21" spans="1:22" x14ac:dyDescent="0.2">
      <c r="A21" s="746" t="s">
        <v>412</v>
      </c>
      <c r="B21" s="17">
        <v>78457610000</v>
      </c>
      <c r="C21" s="17">
        <v>32268750000</v>
      </c>
      <c r="D21" s="17">
        <v>24804895000</v>
      </c>
      <c r="E21" s="17">
        <v>18935495000</v>
      </c>
      <c r="F21" s="17">
        <v>14045920000</v>
      </c>
      <c r="G21" s="17">
        <v>12781950000</v>
      </c>
      <c r="H21" s="17">
        <v>9680475000</v>
      </c>
      <c r="I21" s="17">
        <v>9377490000</v>
      </c>
      <c r="J21" s="17">
        <v>9118825000</v>
      </c>
      <c r="K21" s="17">
        <v>7931940000</v>
      </c>
      <c r="L21" s="675"/>
      <c r="M21" s="646">
        <v>-87823040000</v>
      </c>
      <c r="N21" s="17">
        <v>-45930756000</v>
      </c>
      <c r="O21" s="17">
        <v>-38488665000</v>
      </c>
      <c r="P21" s="17">
        <v>-37558352000</v>
      </c>
      <c r="Q21" s="17">
        <v>-21918885000</v>
      </c>
      <c r="R21" s="17">
        <v>-16547100000</v>
      </c>
      <c r="S21" s="17">
        <v>-13895950000</v>
      </c>
      <c r="T21" s="17">
        <v>-13680760000</v>
      </c>
      <c r="U21" s="17">
        <v>-8031645000</v>
      </c>
      <c r="V21" s="17">
        <v>-3480000000</v>
      </c>
    </row>
    <row r="22" spans="1:22" x14ac:dyDescent="0.2">
      <c r="A22" s="746" t="s">
        <v>410</v>
      </c>
      <c r="B22" s="45" t="s">
        <v>280</v>
      </c>
      <c r="C22" s="45" t="s">
        <v>103</v>
      </c>
      <c r="D22" s="45" t="s">
        <v>32</v>
      </c>
      <c r="E22" s="45" t="s">
        <v>7</v>
      </c>
      <c r="F22" s="45" t="s">
        <v>219</v>
      </c>
      <c r="G22" s="45" t="s">
        <v>60</v>
      </c>
      <c r="H22" s="45" t="s">
        <v>66</v>
      </c>
      <c r="L22" s="675"/>
      <c r="M22" s="45" t="s">
        <v>66</v>
      </c>
      <c r="N22" s="45" t="s">
        <v>60</v>
      </c>
      <c r="O22" s="45" t="s">
        <v>219</v>
      </c>
      <c r="P22" s="45" t="s">
        <v>7</v>
      </c>
      <c r="Q22" s="45" t="s">
        <v>32</v>
      </c>
      <c r="R22" s="45" t="s">
        <v>103</v>
      </c>
      <c r="S22" s="45" t="s">
        <v>280</v>
      </c>
    </row>
    <row r="23" spans="1:22" x14ac:dyDescent="0.2">
      <c r="A23" s="746" t="s">
        <v>410</v>
      </c>
      <c r="B23" s="640">
        <v>44883510000</v>
      </c>
      <c r="C23" s="17">
        <v>10410000000</v>
      </c>
      <c r="D23" s="17">
        <v>4419930000</v>
      </c>
      <c r="E23" s="17">
        <v>1911100000</v>
      </c>
      <c r="F23" s="17">
        <v>1295000000</v>
      </c>
      <c r="G23" s="17">
        <v>164910000</v>
      </c>
      <c r="H23" s="17">
        <v>-3982830000</v>
      </c>
      <c r="L23" s="675"/>
      <c r="M23" s="17">
        <v>-3982830000</v>
      </c>
      <c r="N23" s="17">
        <v>164910000</v>
      </c>
      <c r="O23" s="17">
        <v>1295000000</v>
      </c>
      <c r="P23" s="17">
        <v>1911100000</v>
      </c>
      <c r="Q23" s="17">
        <v>4419930000</v>
      </c>
      <c r="R23" s="17">
        <v>10410000000</v>
      </c>
      <c r="S23" s="17">
        <v>44883510000</v>
      </c>
    </row>
    <row r="24" spans="1:22" x14ac:dyDescent="0.2">
      <c r="A24" s="746" t="s">
        <v>405</v>
      </c>
      <c r="B24" s="45" t="s">
        <v>36</v>
      </c>
      <c r="C24" s="45" t="s">
        <v>15</v>
      </c>
      <c r="D24" s="45" t="s">
        <v>14</v>
      </c>
      <c r="E24" s="45" t="s">
        <v>83</v>
      </c>
      <c r="F24" s="45" t="s">
        <v>24</v>
      </c>
      <c r="G24" s="45" t="s">
        <v>18</v>
      </c>
      <c r="H24" s="45" t="s">
        <v>26</v>
      </c>
      <c r="I24" s="45" t="s">
        <v>280</v>
      </c>
      <c r="J24" s="45" t="s">
        <v>13</v>
      </c>
      <c r="K24" s="45" t="s">
        <v>339</v>
      </c>
      <c r="L24" s="675"/>
      <c r="M24" s="45" t="s">
        <v>202</v>
      </c>
      <c r="N24" s="45" t="s">
        <v>33</v>
      </c>
      <c r="O24" s="45" t="s">
        <v>64</v>
      </c>
      <c r="P24" s="45" t="s">
        <v>199</v>
      </c>
      <c r="Q24" s="45" t="s">
        <v>320</v>
      </c>
      <c r="R24" s="45" t="s">
        <v>40</v>
      </c>
      <c r="S24" s="45" t="s">
        <v>65</v>
      </c>
      <c r="T24" s="45" t="s">
        <v>32</v>
      </c>
      <c r="U24" s="45" t="s">
        <v>21</v>
      </c>
      <c r="V24" s="45" t="s">
        <v>60</v>
      </c>
    </row>
    <row r="25" spans="1:22" x14ac:dyDescent="0.2">
      <c r="A25" s="746" t="s">
        <v>405</v>
      </c>
      <c r="B25" s="17">
        <v>112590600000</v>
      </c>
      <c r="C25" s="17">
        <v>60880505000</v>
      </c>
      <c r="D25" s="17">
        <v>44107485000</v>
      </c>
      <c r="E25" s="17">
        <v>42316545000</v>
      </c>
      <c r="F25" s="17">
        <v>30474640000</v>
      </c>
      <c r="G25" s="17">
        <v>28592390000</v>
      </c>
      <c r="H25" s="17">
        <v>19071190000</v>
      </c>
      <c r="I25" s="17">
        <v>19006850000</v>
      </c>
      <c r="J25" s="17">
        <v>15967950000</v>
      </c>
      <c r="K25" s="17">
        <v>15877120000</v>
      </c>
      <c r="L25" s="675"/>
      <c r="M25" s="17">
        <v>-27992295000</v>
      </c>
      <c r="N25" s="17">
        <v>-21064597000</v>
      </c>
      <c r="O25" s="17">
        <v>-15893730000</v>
      </c>
      <c r="P25" s="17">
        <v>-10617625000</v>
      </c>
      <c r="Q25" s="17">
        <v>-4676292000</v>
      </c>
      <c r="R25" s="17">
        <v>-3667400000</v>
      </c>
      <c r="S25" s="17">
        <v>-1830300000</v>
      </c>
      <c r="T25" s="17">
        <v>-4060000</v>
      </c>
      <c r="U25" s="17">
        <v>7500000</v>
      </c>
      <c r="V25" s="17">
        <v>690170000</v>
      </c>
    </row>
    <row r="26" spans="1:22" x14ac:dyDescent="0.2">
      <c r="A26" s="746" t="s">
        <v>396</v>
      </c>
      <c r="B26" s="45" t="s">
        <v>45</v>
      </c>
      <c r="C26" s="45" t="s">
        <v>339</v>
      </c>
      <c r="D26" s="45" t="s">
        <v>31</v>
      </c>
      <c r="E26" s="45" t="s">
        <v>280</v>
      </c>
      <c r="F26" s="45" t="s">
        <v>16</v>
      </c>
      <c r="G26" s="45" t="s">
        <v>83</v>
      </c>
      <c r="H26" s="45" t="s">
        <v>44</v>
      </c>
      <c r="I26" s="45" t="s">
        <v>66</v>
      </c>
      <c r="J26" s="45" t="s">
        <v>71</v>
      </c>
      <c r="K26" s="45" t="s">
        <v>195</v>
      </c>
      <c r="L26" s="675"/>
      <c r="M26" s="45" t="s">
        <v>15</v>
      </c>
      <c r="N26" s="45" t="s">
        <v>5</v>
      </c>
      <c r="O26" s="45" t="s">
        <v>38</v>
      </c>
      <c r="P26" s="45" t="s">
        <v>36</v>
      </c>
      <c r="Q26" s="45" t="s">
        <v>30</v>
      </c>
      <c r="R26" s="45" t="s">
        <v>33</v>
      </c>
      <c r="S26" s="45" t="s">
        <v>43</v>
      </c>
      <c r="T26" s="45" t="s">
        <v>39</v>
      </c>
      <c r="U26" s="45" t="s">
        <v>26</v>
      </c>
      <c r="V26" s="45" t="s">
        <v>14</v>
      </c>
    </row>
    <row r="27" spans="1:22" x14ac:dyDescent="0.2">
      <c r="A27" s="746" t="s">
        <v>396</v>
      </c>
      <c r="B27" s="628">
        <v>57936870000</v>
      </c>
      <c r="C27" s="629">
        <v>26395940000</v>
      </c>
      <c r="D27" s="630">
        <v>25297190000</v>
      </c>
      <c r="E27" s="631">
        <v>22152620000</v>
      </c>
      <c r="F27" s="17">
        <v>12289715000</v>
      </c>
      <c r="G27" s="17">
        <v>11255465000</v>
      </c>
      <c r="H27" s="632">
        <v>7974470000</v>
      </c>
      <c r="I27" s="633">
        <v>7896010000</v>
      </c>
      <c r="J27" s="17">
        <v>7890850000</v>
      </c>
      <c r="K27" s="634">
        <v>7379165000</v>
      </c>
      <c r="L27" s="675"/>
      <c r="M27" s="635">
        <v>-179460700000</v>
      </c>
      <c r="N27" s="17">
        <v>-91099405000</v>
      </c>
      <c r="O27" s="17">
        <v>-66500340000</v>
      </c>
      <c r="P27" s="17">
        <v>-49556270000</v>
      </c>
      <c r="Q27" s="636">
        <v>-38977863000</v>
      </c>
      <c r="R27" s="17">
        <v>-22974395000</v>
      </c>
      <c r="S27" s="17">
        <v>-15838827000</v>
      </c>
      <c r="T27" s="17">
        <v>-12139920000</v>
      </c>
      <c r="U27" s="17">
        <v>-7996300000</v>
      </c>
      <c r="V27" s="17">
        <v>-5501270000</v>
      </c>
    </row>
    <row r="28" spans="1:22" x14ac:dyDescent="0.2">
      <c r="A28" s="746" t="s">
        <v>393</v>
      </c>
      <c r="B28" s="45" t="s">
        <v>15</v>
      </c>
      <c r="C28" s="45" t="s">
        <v>26</v>
      </c>
      <c r="D28" s="45" t="s">
        <v>18</v>
      </c>
      <c r="E28" s="45" t="s">
        <v>38</v>
      </c>
      <c r="F28" s="45" t="s">
        <v>339</v>
      </c>
      <c r="G28" s="45" t="s">
        <v>16</v>
      </c>
      <c r="H28" s="45" t="s">
        <v>35</v>
      </c>
      <c r="I28" s="45" t="s">
        <v>97</v>
      </c>
      <c r="J28" s="45" t="s">
        <v>280</v>
      </c>
      <c r="K28" s="45" t="s">
        <v>24</v>
      </c>
      <c r="L28" s="675"/>
      <c r="M28" s="45" t="s">
        <v>33</v>
      </c>
      <c r="N28" s="45" t="s">
        <v>202</v>
      </c>
      <c r="O28" s="45" t="s">
        <v>36</v>
      </c>
      <c r="P28" s="45" t="s">
        <v>5</v>
      </c>
      <c r="Q28" s="45" t="s">
        <v>25</v>
      </c>
      <c r="R28" s="45" t="s">
        <v>199</v>
      </c>
      <c r="S28" s="45" t="s">
        <v>14</v>
      </c>
      <c r="T28" s="45" t="s">
        <v>83</v>
      </c>
      <c r="U28" s="45" t="s">
        <v>37</v>
      </c>
      <c r="V28" s="45" t="s">
        <v>64</v>
      </c>
    </row>
    <row r="29" spans="1:22" x14ac:dyDescent="0.2">
      <c r="A29" s="746" t="s">
        <v>393</v>
      </c>
      <c r="B29" s="17">
        <v>43060827000</v>
      </c>
      <c r="C29" s="17">
        <v>34537692000</v>
      </c>
      <c r="D29" s="17">
        <v>25293403000</v>
      </c>
      <c r="E29" s="17">
        <v>24496380000</v>
      </c>
      <c r="F29" s="17">
        <v>19777720000</v>
      </c>
      <c r="G29" s="17">
        <v>12512640000</v>
      </c>
      <c r="H29" s="17">
        <v>11093435000</v>
      </c>
      <c r="I29" s="17">
        <v>8142620000</v>
      </c>
      <c r="J29" s="17">
        <v>6890900000</v>
      </c>
      <c r="K29" s="17">
        <v>6019010000</v>
      </c>
      <c r="L29" s="675"/>
      <c r="M29" s="626">
        <v>-72049784000</v>
      </c>
      <c r="N29" s="627">
        <v>-29560770000</v>
      </c>
      <c r="O29" s="17">
        <v>-23874740000</v>
      </c>
      <c r="P29" s="17">
        <v>-18657616000</v>
      </c>
      <c r="Q29" s="17">
        <v>-13698635000</v>
      </c>
      <c r="R29" s="17">
        <v>-11685105000</v>
      </c>
      <c r="S29" s="17">
        <v>-7630270000</v>
      </c>
      <c r="T29" s="17">
        <v>-3621715000</v>
      </c>
      <c r="U29" s="17">
        <v>-698260000</v>
      </c>
      <c r="V29" s="17">
        <v>-118820000</v>
      </c>
    </row>
    <row r="30" spans="1:22" x14ac:dyDescent="0.2">
      <c r="A30" s="746" t="s">
        <v>392</v>
      </c>
      <c r="B30" s="45" t="s">
        <v>16</v>
      </c>
      <c r="C30" s="45" t="s">
        <v>339</v>
      </c>
      <c r="D30" s="45" t="s">
        <v>83</v>
      </c>
      <c r="E30" s="45" t="s">
        <v>69</v>
      </c>
      <c r="F30" s="45" t="s">
        <v>5</v>
      </c>
      <c r="G30" s="45" t="s">
        <v>60</v>
      </c>
      <c r="H30" s="45" t="s">
        <v>40</v>
      </c>
      <c r="I30" s="45" t="s">
        <v>280</v>
      </c>
      <c r="J30" s="45" t="s">
        <v>322</v>
      </c>
      <c r="K30" s="45" t="s">
        <v>37</v>
      </c>
      <c r="L30" s="675"/>
      <c r="M30" s="45" t="s">
        <v>14</v>
      </c>
      <c r="N30" s="45" t="s">
        <v>61</v>
      </c>
      <c r="O30" s="45" t="s">
        <v>15</v>
      </c>
      <c r="P30" s="45" t="s">
        <v>36</v>
      </c>
      <c r="Q30" s="45" t="s">
        <v>38</v>
      </c>
      <c r="R30" s="45" t="s">
        <v>35</v>
      </c>
      <c r="S30" s="45" t="s">
        <v>219</v>
      </c>
      <c r="T30" s="45" t="s">
        <v>18</v>
      </c>
      <c r="U30" s="45" t="s">
        <v>25</v>
      </c>
      <c r="V30" s="45" t="s">
        <v>43</v>
      </c>
    </row>
    <row r="31" spans="1:22" x14ac:dyDescent="0.2">
      <c r="A31" s="746" t="s">
        <v>392</v>
      </c>
      <c r="B31" s="17">
        <v>43938960000</v>
      </c>
      <c r="C31" s="622">
        <v>24896360000</v>
      </c>
      <c r="D31" s="17">
        <v>17625482000</v>
      </c>
      <c r="E31" s="17">
        <v>7806010000</v>
      </c>
      <c r="F31" s="17">
        <v>5791075000</v>
      </c>
      <c r="G31" s="17">
        <v>4730000000</v>
      </c>
      <c r="H31" s="17">
        <v>4543840000</v>
      </c>
      <c r="I31" s="17">
        <v>4434440000</v>
      </c>
      <c r="J31" s="623">
        <v>3982370000</v>
      </c>
      <c r="K31" s="17">
        <v>3930820000</v>
      </c>
      <c r="L31" s="675"/>
      <c r="M31" s="17">
        <v>-30516450000</v>
      </c>
      <c r="N31" s="17">
        <v>-23855465000</v>
      </c>
      <c r="O31" s="17">
        <v>-14722449000</v>
      </c>
      <c r="P31" s="17">
        <v>-12620110000</v>
      </c>
      <c r="Q31" s="17">
        <v>-10701956000</v>
      </c>
      <c r="R31" s="17">
        <v>-6033155000</v>
      </c>
      <c r="S31" s="624">
        <v>-5369500000</v>
      </c>
      <c r="T31" s="17">
        <v>-4961004000</v>
      </c>
      <c r="U31" s="17">
        <v>-4790085000</v>
      </c>
      <c r="V31" s="17">
        <v>-4733440000</v>
      </c>
    </row>
    <row r="32" spans="1:22" x14ac:dyDescent="0.2">
      <c r="A32" s="746" t="s">
        <v>387</v>
      </c>
      <c r="B32" s="45" t="s">
        <v>15</v>
      </c>
      <c r="C32" s="45" t="s">
        <v>16</v>
      </c>
      <c r="D32" s="45" t="s">
        <v>83</v>
      </c>
      <c r="E32" s="45" t="s">
        <v>38</v>
      </c>
      <c r="F32" s="45" t="s">
        <v>60</v>
      </c>
      <c r="G32" s="45" t="s">
        <v>71</v>
      </c>
      <c r="H32" s="45" t="s">
        <v>19</v>
      </c>
      <c r="I32" s="45" t="s">
        <v>33</v>
      </c>
      <c r="J32" s="45" t="s">
        <v>339</v>
      </c>
      <c r="K32" s="45" t="s">
        <v>280</v>
      </c>
      <c r="L32" s="675"/>
      <c r="M32" s="45" t="s">
        <v>24</v>
      </c>
      <c r="N32" s="45" t="s">
        <v>36</v>
      </c>
      <c r="O32" s="45" t="s">
        <v>14</v>
      </c>
      <c r="P32" s="45" t="s">
        <v>70</v>
      </c>
      <c r="Q32" s="45" t="s">
        <v>105</v>
      </c>
      <c r="R32" s="45" t="s">
        <v>67</v>
      </c>
      <c r="S32" s="45" t="s">
        <v>37</v>
      </c>
      <c r="T32" s="45" t="s">
        <v>66</v>
      </c>
      <c r="U32" s="45" t="s">
        <v>61</v>
      </c>
      <c r="V32" s="45" t="s">
        <v>199</v>
      </c>
    </row>
    <row r="33" spans="1:22" x14ac:dyDescent="0.2">
      <c r="A33" s="746" t="s">
        <v>387</v>
      </c>
      <c r="B33" s="17">
        <v>53441245000</v>
      </c>
      <c r="C33" s="17">
        <v>27980405000</v>
      </c>
      <c r="D33" s="17">
        <v>18927175000</v>
      </c>
      <c r="E33" s="17">
        <v>14860545000</v>
      </c>
      <c r="F33" s="619">
        <v>13006830000</v>
      </c>
      <c r="G33" s="17">
        <v>10683500000</v>
      </c>
      <c r="H33" s="17">
        <v>9977450000</v>
      </c>
      <c r="I33" s="17">
        <v>8082906000</v>
      </c>
      <c r="J33" s="17">
        <v>6802180000</v>
      </c>
      <c r="K33" s="17">
        <v>5974640000</v>
      </c>
      <c r="L33" s="675"/>
      <c r="M33" s="17">
        <v>-26480420000</v>
      </c>
      <c r="N33" s="17">
        <v>-13835780000</v>
      </c>
      <c r="O33" s="17">
        <v>-7870400000</v>
      </c>
      <c r="P33" s="17">
        <v>-6296041000</v>
      </c>
      <c r="Q33" s="17">
        <v>-3889750000</v>
      </c>
      <c r="R33" s="17">
        <v>-3251655000</v>
      </c>
      <c r="S33" s="17">
        <v>-2823471000</v>
      </c>
      <c r="T33" s="17">
        <v>-2775600000</v>
      </c>
      <c r="U33" s="17">
        <v>-2598335000</v>
      </c>
      <c r="V33" s="17">
        <v>-2338475000</v>
      </c>
    </row>
    <row r="34" spans="1:22" x14ac:dyDescent="0.2">
      <c r="A34" s="746" t="s">
        <v>383</v>
      </c>
      <c r="B34" s="45" t="s">
        <v>15</v>
      </c>
      <c r="C34" s="45" t="s">
        <v>202</v>
      </c>
      <c r="D34" s="45" t="s">
        <v>69</v>
      </c>
      <c r="E34" s="45" t="s">
        <v>64</v>
      </c>
      <c r="F34" s="45" t="s">
        <v>206</v>
      </c>
      <c r="G34" s="45" t="s">
        <v>73</v>
      </c>
      <c r="H34" s="45" t="s">
        <v>39</v>
      </c>
      <c r="I34" s="45" t="s">
        <v>195</v>
      </c>
      <c r="J34" s="45" t="s">
        <v>60</v>
      </c>
      <c r="K34" s="45" t="s">
        <v>103</v>
      </c>
      <c r="L34" s="675"/>
      <c r="M34" s="45" t="s">
        <v>16</v>
      </c>
      <c r="N34" s="45" t="s">
        <v>36</v>
      </c>
      <c r="O34" s="45" t="s">
        <v>83</v>
      </c>
      <c r="P34" s="45" t="s">
        <v>14</v>
      </c>
      <c r="Q34" s="45" t="s">
        <v>26</v>
      </c>
      <c r="R34" s="45" t="s">
        <v>13</v>
      </c>
      <c r="S34" s="45" t="s">
        <v>38</v>
      </c>
      <c r="T34" s="45" t="s">
        <v>35</v>
      </c>
      <c r="U34" s="45" t="s">
        <v>67</v>
      </c>
      <c r="V34" s="45" t="s">
        <v>5</v>
      </c>
    </row>
    <row r="35" spans="1:22" x14ac:dyDescent="0.2">
      <c r="A35" s="746" t="s">
        <v>383</v>
      </c>
      <c r="B35" s="17">
        <v>33199757000</v>
      </c>
      <c r="C35" s="17">
        <v>25216430000</v>
      </c>
      <c r="D35" s="614">
        <v>23491045000</v>
      </c>
      <c r="E35" s="17">
        <v>18844505000</v>
      </c>
      <c r="F35" s="615">
        <v>12467335000</v>
      </c>
      <c r="G35" s="17">
        <v>6556233000</v>
      </c>
      <c r="H35" s="17">
        <v>5944550000</v>
      </c>
      <c r="I35" s="17">
        <v>5831380000</v>
      </c>
      <c r="J35" s="17">
        <v>4760000000</v>
      </c>
      <c r="K35" s="17">
        <v>4467710000</v>
      </c>
      <c r="L35" s="675"/>
      <c r="M35" s="17">
        <v>-51648630000</v>
      </c>
      <c r="N35" s="17">
        <v>-44460630000</v>
      </c>
      <c r="O35" s="17">
        <v>-38833895000</v>
      </c>
      <c r="P35" s="17">
        <v>-27315630000</v>
      </c>
      <c r="Q35" s="17">
        <v>-18371823000</v>
      </c>
      <c r="R35" s="17">
        <v>-17300623000</v>
      </c>
      <c r="S35" s="17">
        <v>-16845674000</v>
      </c>
      <c r="T35" s="17">
        <v>-16322296000</v>
      </c>
      <c r="U35" s="17">
        <v>-15646090000</v>
      </c>
      <c r="V35" s="17">
        <v>-15167950000</v>
      </c>
    </row>
    <row r="36" spans="1:22" x14ac:dyDescent="0.2">
      <c r="A36" s="746" t="s">
        <v>381</v>
      </c>
      <c r="B36" s="45" t="s">
        <v>18</v>
      </c>
      <c r="C36" s="45" t="s">
        <v>16</v>
      </c>
      <c r="D36" s="45" t="s">
        <v>36</v>
      </c>
      <c r="E36" s="45" t="s">
        <v>111</v>
      </c>
      <c r="F36" s="45" t="s">
        <v>24</v>
      </c>
      <c r="G36" s="45" t="s">
        <v>19</v>
      </c>
      <c r="H36" s="45" t="s">
        <v>69</v>
      </c>
      <c r="I36" s="45" t="s">
        <v>35</v>
      </c>
      <c r="J36" s="45" t="s">
        <v>78</v>
      </c>
      <c r="K36" s="45" t="s">
        <v>64</v>
      </c>
      <c r="L36" s="675"/>
      <c r="M36" s="45" t="s">
        <v>83</v>
      </c>
      <c r="N36" s="45" t="s">
        <v>15</v>
      </c>
      <c r="O36" s="45" t="s">
        <v>33</v>
      </c>
      <c r="P36" s="45" t="s">
        <v>13</v>
      </c>
      <c r="Q36" s="45" t="s">
        <v>37</v>
      </c>
      <c r="R36" s="45" t="s">
        <v>74</v>
      </c>
      <c r="S36" s="45" t="s">
        <v>21</v>
      </c>
      <c r="T36" s="45" t="s">
        <v>202</v>
      </c>
      <c r="U36" s="45" t="s">
        <v>72</v>
      </c>
      <c r="V36" s="45" t="s">
        <v>206</v>
      </c>
    </row>
    <row r="37" spans="1:22" x14ac:dyDescent="0.2">
      <c r="A37" s="746" t="s">
        <v>381</v>
      </c>
      <c r="B37" s="609">
        <v>130084530000</v>
      </c>
      <c r="C37" s="17">
        <v>109683290000</v>
      </c>
      <c r="D37" s="17">
        <v>33191911000</v>
      </c>
      <c r="E37" s="17">
        <v>32866915000</v>
      </c>
      <c r="F37" s="17">
        <v>22750570000</v>
      </c>
      <c r="G37" s="17">
        <v>21224070000</v>
      </c>
      <c r="H37" s="610">
        <v>20615170000</v>
      </c>
      <c r="I37" s="17">
        <v>19292425000</v>
      </c>
      <c r="J37" s="611">
        <v>17903605000</v>
      </c>
      <c r="K37" s="17">
        <v>16714585000</v>
      </c>
      <c r="L37" s="675"/>
      <c r="M37" s="17">
        <v>-52272025000</v>
      </c>
      <c r="N37" s="17">
        <v>-38168876000</v>
      </c>
      <c r="O37" s="612">
        <v>-29842132000</v>
      </c>
      <c r="P37" s="17">
        <v>-12987318000</v>
      </c>
      <c r="Q37" s="17">
        <v>-6351915000</v>
      </c>
      <c r="R37" s="17">
        <v>-5613380000</v>
      </c>
      <c r="S37" s="17">
        <v>-4401500000</v>
      </c>
      <c r="T37" s="613">
        <v>-3209648000</v>
      </c>
      <c r="U37" s="17">
        <v>-3183260000</v>
      </c>
      <c r="V37" s="17">
        <v>-2897295000</v>
      </c>
    </row>
    <row r="38" spans="1:22" x14ac:dyDescent="0.2">
      <c r="A38" s="746" t="s">
        <v>378</v>
      </c>
      <c r="B38" s="45" t="s">
        <v>14</v>
      </c>
      <c r="C38" s="45" t="s">
        <v>19</v>
      </c>
      <c r="D38" s="45" t="s">
        <v>78</v>
      </c>
      <c r="E38" s="45" t="s">
        <v>339</v>
      </c>
      <c r="F38" s="45" t="s">
        <v>280</v>
      </c>
      <c r="G38" s="45" t="s">
        <v>5</v>
      </c>
      <c r="H38" s="45" t="s">
        <v>33</v>
      </c>
      <c r="I38" s="45" t="s">
        <v>32</v>
      </c>
      <c r="J38" s="45" t="s">
        <v>30</v>
      </c>
      <c r="K38" s="45" t="s">
        <v>219</v>
      </c>
      <c r="L38" s="675"/>
      <c r="M38" s="45" t="s">
        <v>15</v>
      </c>
      <c r="N38" s="45" t="s">
        <v>24</v>
      </c>
      <c r="O38" s="45" t="s">
        <v>83</v>
      </c>
      <c r="P38" s="45" t="s">
        <v>13</v>
      </c>
      <c r="Q38" s="45" t="s">
        <v>16</v>
      </c>
      <c r="R38" s="45" t="s">
        <v>35</v>
      </c>
      <c r="S38" s="45" t="s">
        <v>26</v>
      </c>
      <c r="T38" s="45" t="s">
        <v>67</v>
      </c>
      <c r="U38" s="45" t="s">
        <v>37</v>
      </c>
      <c r="V38" s="45" t="s">
        <v>9</v>
      </c>
    </row>
    <row r="39" spans="1:22" x14ac:dyDescent="0.2">
      <c r="A39" s="746" t="s">
        <v>378</v>
      </c>
      <c r="B39" s="17">
        <v>16829270000</v>
      </c>
      <c r="C39" s="17">
        <v>13209435000</v>
      </c>
      <c r="D39" s="602">
        <v>12967650000</v>
      </c>
      <c r="E39" s="17">
        <v>11401350000</v>
      </c>
      <c r="F39" s="603">
        <v>10955560000</v>
      </c>
      <c r="G39" s="17">
        <v>7662358000</v>
      </c>
      <c r="H39" s="17">
        <v>7442148000</v>
      </c>
      <c r="I39" s="17">
        <v>5555870400</v>
      </c>
      <c r="J39" s="17">
        <v>5497425000</v>
      </c>
      <c r="K39" s="17">
        <v>2637800000</v>
      </c>
      <c r="L39" s="675"/>
      <c r="M39" s="17">
        <v>-94052279000</v>
      </c>
      <c r="N39" s="604">
        <v>-79270400000</v>
      </c>
      <c r="O39" s="17">
        <v>-41506025000</v>
      </c>
      <c r="P39" s="17">
        <v>-37233077000</v>
      </c>
      <c r="Q39" s="17">
        <v>-13129633000</v>
      </c>
      <c r="R39" s="17">
        <v>-10449105000</v>
      </c>
      <c r="S39" s="17">
        <v>-9022006000</v>
      </c>
      <c r="T39" s="17">
        <v>-4987245000</v>
      </c>
      <c r="U39" s="17">
        <v>-4936055000</v>
      </c>
      <c r="V39" s="17">
        <v>-3456370000</v>
      </c>
    </row>
    <row r="40" spans="1:22" x14ac:dyDescent="0.2">
      <c r="A40" s="746" t="s">
        <v>373</v>
      </c>
      <c r="B40" s="45" t="s">
        <v>36</v>
      </c>
      <c r="C40" s="45" t="s">
        <v>18</v>
      </c>
      <c r="D40" s="45" t="s">
        <v>19</v>
      </c>
      <c r="E40" s="45" t="s">
        <v>83</v>
      </c>
      <c r="F40" s="45" t="s">
        <v>24</v>
      </c>
      <c r="G40" s="45" t="s">
        <v>67</v>
      </c>
      <c r="H40" s="45" t="s">
        <v>16</v>
      </c>
      <c r="I40" s="45" t="s">
        <v>26</v>
      </c>
      <c r="J40" s="45" t="s">
        <v>62</v>
      </c>
      <c r="K40" s="45" t="s">
        <v>27</v>
      </c>
      <c r="L40" s="675"/>
      <c r="M40" s="45" t="s">
        <v>70</v>
      </c>
      <c r="N40" s="45" t="s">
        <v>33</v>
      </c>
      <c r="O40" s="45" t="s">
        <v>15</v>
      </c>
      <c r="P40" s="45" t="s">
        <v>13</v>
      </c>
      <c r="Q40" s="45" t="s">
        <v>37</v>
      </c>
      <c r="R40" s="45" t="s">
        <v>32</v>
      </c>
      <c r="S40" s="45" t="s">
        <v>105</v>
      </c>
      <c r="T40" s="45" t="s">
        <v>61</v>
      </c>
      <c r="U40" s="45" t="s">
        <v>111</v>
      </c>
      <c r="V40" s="45" t="s">
        <v>66</v>
      </c>
    </row>
    <row r="41" spans="1:22" x14ac:dyDescent="0.2">
      <c r="A41" s="746" t="s">
        <v>373</v>
      </c>
      <c r="B41" s="17">
        <v>41633714000</v>
      </c>
      <c r="C41" s="17">
        <v>40004756000</v>
      </c>
      <c r="D41" s="17">
        <v>30950235000</v>
      </c>
      <c r="E41" s="17">
        <v>29728729000</v>
      </c>
      <c r="F41" s="17">
        <v>20547780000</v>
      </c>
      <c r="G41" s="17">
        <v>19432185000</v>
      </c>
      <c r="H41" s="17">
        <v>18738190000</v>
      </c>
      <c r="I41" s="17">
        <v>18522715000</v>
      </c>
      <c r="J41" s="17">
        <v>15951065000</v>
      </c>
      <c r="K41" s="17">
        <v>15866265000</v>
      </c>
      <c r="L41" s="675"/>
      <c r="M41" s="599">
        <v>-58511420000</v>
      </c>
      <c r="N41" s="600">
        <v>-25603027000</v>
      </c>
      <c r="O41" s="17">
        <v>-17838988000</v>
      </c>
      <c r="P41" s="17">
        <v>-15285077000</v>
      </c>
      <c r="Q41" s="17">
        <v>-8407265000</v>
      </c>
      <c r="R41" s="17">
        <v>-7014072400</v>
      </c>
      <c r="S41" s="17">
        <v>-4067520000</v>
      </c>
      <c r="T41" s="17">
        <v>-2389450000</v>
      </c>
      <c r="U41" s="17">
        <v>-2167385000</v>
      </c>
      <c r="V41" s="17">
        <v>-1980690000</v>
      </c>
    </row>
    <row r="42" spans="1:22" x14ac:dyDescent="0.2">
      <c r="A42" s="746" t="s">
        <v>362</v>
      </c>
      <c r="B42" s="45" t="s">
        <v>15</v>
      </c>
      <c r="C42" s="45" t="s">
        <v>19</v>
      </c>
      <c r="D42" s="45" t="s">
        <v>13</v>
      </c>
      <c r="E42" s="45" t="s">
        <v>339</v>
      </c>
      <c r="F42" s="45" t="s">
        <v>38</v>
      </c>
      <c r="G42" s="45" t="s">
        <v>36</v>
      </c>
      <c r="H42" s="45" t="s">
        <v>175</v>
      </c>
      <c r="I42" s="45" t="s">
        <v>14</v>
      </c>
      <c r="J42" s="45" t="s">
        <v>24</v>
      </c>
      <c r="K42" s="45" t="s">
        <v>83</v>
      </c>
      <c r="L42" s="675"/>
      <c r="M42" s="45" t="s">
        <v>31</v>
      </c>
      <c r="N42" s="45" t="s">
        <v>37</v>
      </c>
      <c r="O42" s="45" t="s">
        <v>35</v>
      </c>
      <c r="P42" s="45" t="s">
        <v>70</v>
      </c>
      <c r="Q42" s="45" t="s">
        <v>20</v>
      </c>
      <c r="R42" s="45" t="s">
        <v>18</v>
      </c>
      <c r="S42" s="45" t="s">
        <v>111</v>
      </c>
      <c r="T42" s="45" t="s">
        <v>6</v>
      </c>
      <c r="U42" s="45" t="s">
        <v>10</v>
      </c>
      <c r="V42" s="45" t="s">
        <v>170</v>
      </c>
    </row>
    <row r="43" spans="1:22" x14ac:dyDescent="0.2">
      <c r="A43" s="746" t="s">
        <v>362</v>
      </c>
      <c r="B43" s="17">
        <v>63484248000</v>
      </c>
      <c r="C43" s="17">
        <v>34027340000</v>
      </c>
      <c r="D43" s="17">
        <v>23023223000</v>
      </c>
      <c r="E43" s="594">
        <v>20993770000</v>
      </c>
      <c r="F43" s="17">
        <v>17802970000</v>
      </c>
      <c r="G43" s="17">
        <v>17373680000</v>
      </c>
      <c r="H43" s="17">
        <v>14972434000</v>
      </c>
      <c r="I43" s="17">
        <v>10270080000</v>
      </c>
      <c r="J43" s="17">
        <v>10104180000</v>
      </c>
      <c r="K43" s="17">
        <v>10095020000</v>
      </c>
      <c r="L43" s="675"/>
      <c r="M43" s="595">
        <v>-31764910000</v>
      </c>
      <c r="N43" s="17">
        <v>-16449411000</v>
      </c>
      <c r="O43" s="17">
        <v>-14037228000</v>
      </c>
      <c r="P43" s="17">
        <v>-10931255000</v>
      </c>
      <c r="Q43" s="17">
        <v>-9663730000</v>
      </c>
      <c r="R43" s="17">
        <v>-8440037000</v>
      </c>
      <c r="S43" s="17">
        <v>-1796800000</v>
      </c>
      <c r="T43" s="17">
        <v>-1237155000</v>
      </c>
      <c r="U43" s="17">
        <v>-569640000</v>
      </c>
      <c r="V43" s="596">
        <v>-517000000</v>
      </c>
    </row>
    <row r="44" spans="1:22" x14ac:dyDescent="0.2">
      <c r="A44" s="746" t="s">
        <v>357</v>
      </c>
      <c r="B44" s="45" t="s">
        <v>209</v>
      </c>
      <c r="C44" s="45" t="s">
        <v>73</v>
      </c>
      <c r="D44" s="45" t="s">
        <v>111</v>
      </c>
      <c r="E44" s="45" t="s">
        <v>32</v>
      </c>
      <c r="F44" s="45" t="s">
        <v>103</v>
      </c>
      <c r="G44" s="45" t="s">
        <v>37</v>
      </c>
      <c r="H44" s="45" t="s">
        <v>78</v>
      </c>
      <c r="I44" s="45" t="s">
        <v>219</v>
      </c>
      <c r="J44" s="45" t="s">
        <v>26</v>
      </c>
      <c r="K44" s="45" t="s">
        <v>97</v>
      </c>
      <c r="L44" s="675"/>
      <c r="M44" s="45" t="s">
        <v>15</v>
      </c>
      <c r="N44" s="45" t="s">
        <v>72</v>
      </c>
      <c r="O44" s="45" t="s">
        <v>38</v>
      </c>
      <c r="P44" s="45" t="s">
        <v>70</v>
      </c>
      <c r="Q44" s="45" t="s">
        <v>83</v>
      </c>
      <c r="R44" s="45" t="s">
        <v>211</v>
      </c>
      <c r="S44" s="45" t="s">
        <v>5</v>
      </c>
      <c r="T44" s="45" t="s">
        <v>43</v>
      </c>
      <c r="U44" s="45" t="s">
        <v>14</v>
      </c>
      <c r="V44" s="45" t="s">
        <v>192</v>
      </c>
    </row>
    <row r="45" spans="1:22" x14ac:dyDescent="0.2">
      <c r="A45" s="746" t="s">
        <v>357</v>
      </c>
      <c r="B45" s="588">
        <v>196611260000</v>
      </c>
      <c r="C45" s="17">
        <v>17789730000</v>
      </c>
      <c r="D45" s="17">
        <v>11902960000</v>
      </c>
      <c r="E45" s="17">
        <v>7364471800</v>
      </c>
      <c r="F45" s="17">
        <v>6529590000</v>
      </c>
      <c r="G45" s="17">
        <v>5802690000</v>
      </c>
      <c r="H45" s="17">
        <v>5641840000</v>
      </c>
      <c r="I45" s="17">
        <v>3650000000</v>
      </c>
      <c r="J45" s="17">
        <v>3499715000</v>
      </c>
      <c r="K45" s="17">
        <v>2472000000</v>
      </c>
      <c r="L45" s="675"/>
      <c r="M45" s="589">
        <v>-142468233000</v>
      </c>
      <c r="N45" s="590">
        <v>-45025520000</v>
      </c>
      <c r="O45" s="17">
        <v>-36097067000</v>
      </c>
      <c r="P45" s="17">
        <v>-19410611000</v>
      </c>
      <c r="Q45" s="17">
        <v>-17403123000</v>
      </c>
      <c r="R45" s="591">
        <v>-14171480000</v>
      </c>
      <c r="S45" s="17">
        <v>-12902723000</v>
      </c>
      <c r="T45" s="17">
        <v>-12401350000</v>
      </c>
      <c r="U45" s="17">
        <v>-10975005000</v>
      </c>
      <c r="V45" s="17">
        <v>-10495360000</v>
      </c>
    </row>
    <row r="46" spans="1:22" x14ac:dyDescent="0.2">
      <c r="A46" s="746" t="s">
        <v>277</v>
      </c>
      <c r="B46" s="45" t="s">
        <v>30</v>
      </c>
      <c r="C46" s="45" t="s">
        <v>15</v>
      </c>
      <c r="D46" s="45" t="s">
        <v>290</v>
      </c>
      <c r="E46" s="45" t="s">
        <v>16</v>
      </c>
      <c r="F46" s="45" t="s">
        <v>97</v>
      </c>
      <c r="G46" s="45" t="s">
        <v>109</v>
      </c>
      <c r="H46" s="45" t="s">
        <v>103</v>
      </c>
      <c r="I46" s="45" t="s">
        <v>37</v>
      </c>
      <c r="J46" s="45" t="s">
        <v>32</v>
      </c>
      <c r="K46" s="45" t="s">
        <v>78</v>
      </c>
      <c r="L46" s="675"/>
      <c r="M46" s="45" t="s">
        <v>70</v>
      </c>
      <c r="N46" s="45" t="s">
        <v>18</v>
      </c>
      <c r="O46" s="45" t="s">
        <v>14</v>
      </c>
      <c r="P46" s="45" t="s">
        <v>83</v>
      </c>
      <c r="Q46" s="45" t="s">
        <v>61</v>
      </c>
      <c r="R46" s="45" t="s">
        <v>5</v>
      </c>
      <c r="S46" s="45" t="s">
        <v>67</v>
      </c>
      <c r="T46" s="45" t="s">
        <v>28</v>
      </c>
      <c r="U46" s="45" t="s">
        <v>7</v>
      </c>
      <c r="V46" s="45" t="s">
        <v>13</v>
      </c>
    </row>
    <row r="47" spans="1:22" x14ac:dyDescent="0.2">
      <c r="A47" s="746" t="s">
        <v>277</v>
      </c>
      <c r="B47" s="581">
        <v>38085320000</v>
      </c>
      <c r="C47" s="17">
        <v>37300959000</v>
      </c>
      <c r="D47" s="17">
        <v>23868205000</v>
      </c>
      <c r="E47" s="17">
        <v>20127630000</v>
      </c>
      <c r="F47" s="17">
        <v>18443700000</v>
      </c>
      <c r="G47" s="582">
        <v>14893110000</v>
      </c>
      <c r="H47" s="583">
        <v>13744700000</v>
      </c>
      <c r="I47" s="17">
        <v>9489814000</v>
      </c>
      <c r="J47" s="17">
        <v>8068525500</v>
      </c>
      <c r="K47" s="584">
        <v>7128805000</v>
      </c>
      <c r="L47" s="675"/>
      <c r="M47" s="17">
        <v>-22947940000</v>
      </c>
      <c r="N47" s="17">
        <v>-18981271000</v>
      </c>
      <c r="O47" s="17">
        <v>-18729570000</v>
      </c>
      <c r="P47" s="17">
        <v>-17594015000</v>
      </c>
      <c r="Q47" s="17">
        <v>-14754850000</v>
      </c>
      <c r="R47" s="17">
        <v>-12411536000</v>
      </c>
      <c r="S47" s="17">
        <v>-10677030000</v>
      </c>
      <c r="T47" s="17">
        <v>-10280160000</v>
      </c>
      <c r="U47" s="585">
        <v>-10147090000</v>
      </c>
      <c r="V47" s="17">
        <v>-10132047000</v>
      </c>
    </row>
    <row r="48" spans="1:22" x14ac:dyDescent="0.2">
      <c r="A48" s="746" t="s">
        <v>276</v>
      </c>
      <c r="B48" s="45" t="s">
        <v>19</v>
      </c>
      <c r="C48" s="45" t="s">
        <v>74</v>
      </c>
      <c r="D48" s="45" t="s">
        <v>290</v>
      </c>
      <c r="E48" s="45" t="s">
        <v>211</v>
      </c>
      <c r="F48" s="45" t="s">
        <v>37</v>
      </c>
      <c r="G48" s="45" t="s">
        <v>38</v>
      </c>
      <c r="H48" s="45" t="s">
        <v>21</v>
      </c>
      <c r="I48" s="45" t="s">
        <v>15</v>
      </c>
      <c r="J48" s="45" t="s">
        <v>29</v>
      </c>
      <c r="K48" s="45" t="s">
        <v>24</v>
      </c>
      <c r="L48" s="675"/>
      <c r="M48" s="45" t="s">
        <v>13</v>
      </c>
      <c r="N48" s="45" t="s">
        <v>36</v>
      </c>
      <c r="O48" s="45" t="s">
        <v>16</v>
      </c>
      <c r="P48" s="45" t="s">
        <v>14</v>
      </c>
      <c r="Q48" s="45" t="s">
        <v>18</v>
      </c>
      <c r="R48" s="45" t="s">
        <v>70</v>
      </c>
      <c r="S48" s="45" t="s">
        <v>62</v>
      </c>
      <c r="T48" s="45" t="s">
        <v>27</v>
      </c>
      <c r="U48" s="45" t="s">
        <v>67</v>
      </c>
      <c r="V48" s="45" t="s">
        <v>111</v>
      </c>
    </row>
    <row r="49" spans="1:22" x14ac:dyDescent="0.2">
      <c r="A49" s="746" t="s">
        <v>276</v>
      </c>
      <c r="B49" s="17">
        <v>40732570000</v>
      </c>
      <c r="C49" s="17">
        <v>29779555000</v>
      </c>
      <c r="D49" s="17">
        <v>24685451000</v>
      </c>
      <c r="E49" s="17">
        <v>15689930000</v>
      </c>
      <c r="F49" s="17">
        <v>13623154000</v>
      </c>
      <c r="G49" s="17">
        <v>12411900000</v>
      </c>
      <c r="H49" s="17">
        <v>8431660000</v>
      </c>
      <c r="I49" s="17">
        <v>7280474000</v>
      </c>
      <c r="J49" s="17">
        <v>6907270000</v>
      </c>
      <c r="K49" s="17">
        <v>4908670000</v>
      </c>
      <c r="L49" s="675"/>
      <c r="M49" s="17">
        <v>-36118960000</v>
      </c>
      <c r="N49" s="17">
        <v>-33487990000</v>
      </c>
      <c r="O49" s="17">
        <v>-20207440000</v>
      </c>
      <c r="P49" s="17">
        <v>-17870340000</v>
      </c>
      <c r="Q49" s="17">
        <v>-16759995000</v>
      </c>
      <c r="R49" s="17">
        <v>-13562903000</v>
      </c>
      <c r="S49" s="17">
        <v>-10381940000</v>
      </c>
      <c r="T49" s="17">
        <v>-9730395000</v>
      </c>
      <c r="U49" s="17">
        <v>-8864625000</v>
      </c>
      <c r="V49" s="17">
        <v>-8786860000</v>
      </c>
    </row>
    <row r="50" spans="1:22" x14ac:dyDescent="0.2">
      <c r="A50" s="746" t="s">
        <v>275</v>
      </c>
      <c r="B50" s="45" t="s">
        <v>15</v>
      </c>
      <c r="C50" s="45" t="s">
        <v>16</v>
      </c>
      <c r="D50" s="45" t="s">
        <v>26</v>
      </c>
      <c r="E50" s="45" t="s">
        <v>38</v>
      </c>
      <c r="F50" s="45" t="s">
        <v>348</v>
      </c>
      <c r="G50" s="45" t="s">
        <v>70</v>
      </c>
      <c r="H50" s="45" t="s">
        <v>14</v>
      </c>
      <c r="I50" s="45" t="s">
        <v>83</v>
      </c>
      <c r="J50" s="45" t="s">
        <v>111</v>
      </c>
      <c r="K50" s="45" t="s">
        <v>18</v>
      </c>
      <c r="L50" s="675"/>
      <c r="M50" s="45" t="s">
        <v>36</v>
      </c>
      <c r="N50" s="45" t="s">
        <v>13</v>
      </c>
      <c r="O50" s="45" t="s">
        <v>41</v>
      </c>
      <c r="P50" s="45" t="s">
        <v>35</v>
      </c>
      <c r="Q50" s="45" t="s">
        <v>66</v>
      </c>
      <c r="R50" s="45" t="s">
        <v>27</v>
      </c>
      <c r="S50" s="45" t="s">
        <v>74</v>
      </c>
      <c r="T50" s="45" t="s">
        <v>25</v>
      </c>
      <c r="U50" s="45" t="s">
        <v>33</v>
      </c>
      <c r="V50" s="45" t="s">
        <v>62</v>
      </c>
    </row>
    <row r="51" spans="1:22" x14ac:dyDescent="0.2">
      <c r="A51" s="746" t="s">
        <v>275</v>
      </c>
      <c r="B51" s="17">
        <v>44577210000</v>
      </c>
      <c r="C51" s="17">
        <v>36082830000</v>
      </c>
      <c r="D51" s="17">
        <v>35608278000</v>
      </c>
      <c r="E51" s="17">
        <v>16728410000</v>
      </c>
      <c r="F51" s="17">
        <v>12527075000</v>
      </c>
      <c r="G51" s="17">
        <v>6810963000</v>
      </c>
      <c r="H51" s="17">
        <v>5651215000</v>
      </c>
      <c r="I51" s="17">
        <v>4768255000</v>
      </c>
      <c r="J51" s="17">
        <v>4085695000</v>
      </c>
      <c r="K51" s="17">
        <v>3215619000</v>
      </c>
      <c r="L51" s="675"/>
      <c r="M51" s="17">
        <v>-25594870000</v>
      </c>
      <c r="N51" s="17">
        <v>-19223244000</v>
      </c>
      <c r="O51" s="17">
        <v>-13173635000</v>
      </c>
      <c r="P51" s="17">
        <v>-3222330000</v>
      </c>
      <c r="Q51" s="575">
        <v>-3175600000</v>
      </c>
      <c r="R51" s="17">
        <v>-2875335000</v>
      </c>
      <c r="S51" s="17">
        <v>-2790000000</v>
      </c>
      <c r="T51" s="17">
        <v>-1861270000</v>
      </c>
      <c r="U51" s="17">
        <v>-1838932000</v>
      </c>
      <c r="V51" s="17">
        <v>-1760810000</v>
      </c>
    </row>
    <row r="52" spans="1:22" x14ac:dyDescent="0.2">
      <c r="A52" s="746" t="s">
        <v>274</v>
      </c>
      <c r="B52" s="45" t="s">
        <v>97</v>
      </c>
      <c r="C52" s="45" t="s">
        <v>70</v>
      </c>
      <c r="D52" s="45" t="s">
        <v>348</v>
      </c>
      <c r="E52" s="45" t="s">
        <v>43</v>
      </c>
      <c r="F52" s="45" t="s">
        <v>8</v>
      </c>
      <c r="G52" s="45" t="s">
        <v>33</v>
      </c>
      <c r="H52" s="45" t="s">
        <v>39</v>
      </c>
      <c r="I52" s="45" t="s">
        <v>192</v>
      </c>
      <c r="J52" s="45" t="s">
        <v>61</v>
      </c>
      <c r="K52" s="45" t="s">
        <v>211</v>
      </c>
      <c r="L52" s="675"/>
      <c r="M52" s="45" t="s">
        <v>83</v>
      </c>
      <c r="N52" s="45" t="s">
        <v>74</v>
      </c>
      <c r="O52" s="45" t="s">
        <v>35</v>
      </c>
      <c r="P52" s="45" t="s">
        <v>16</v>
      </c>
      <c r="Q52" s="45" t="s">
        <v>27</v>
      </c>
      <c r="R52" s="45" t="s">
        <v>26</v>
      </c>
      <c r="S52" s="45" t="s">
        <v>14</v>
      </c>
      <c r="T52" s="45" t="s">
        <v>38</v>
      </c>
      <c r="U52" s="45" t="s">
        <v>18</v>
      </c>
      <c r="V52" s="45" t="s">
        <v>24</v>
      </c>
    </row>
    <row r="53" spans="1:22" x14ac:dyDescent="0.2">
      <c r="A53" s="746" t="s">
        <v>274</v>
      </c>
      <c r="B53" s="570">
        <v>53991560000</v>
      </c>
      <c r="C53" s="571">
        <v>46380335000</v>
      </c>
      <c r="D53" s="572">
        <v>27612235000</v>
      </c>
      <c r="E53" s="17">
        <v>16598480000</v>
      </c>
      <c r="F53" s="17">
        <v>16236200000</v>
      </c>
      <c r="G53" s="17">
        <v>11510294000</v>
      </c>
      <c r="H53" s="17">
        <v>7465970000</v>
      </c>
      <c r="I53" s="17">
        <v>6889820000</v>
      </c>
      <c r="J53" s="17">
        <v>6633360000</v>
      </c>
      <c r="K53" s="17">
        <v>5465000000</v>
      </c>
      <c r="L53" s="675"/>
      <c r="M53" s="17">
        <v>-91134343000</v>
      </c>
      <c r="N53" s="573">
        <v>-75416965000</v>
      </c>
      <c r="O53" s="17">
        <v>-73454492000</v>
      </c>
      <c r="P53" s="17">
        <v>-61532900000</v>
      </c>
      <c r="Q53" s="574">
        <v>-52843285000</v>
      </c>
      <c r="R53" s="17">
        <v>-49797321000</v>
      </c>
      <c r="S53" s="17">
        <v>-44763920000</v>
      </c>
      <c r="T53" s="17">
        <v>-41221780000</v>
      </c>
      <c r="U53" s="17">
        <v>-34459928000</v>
      </c>
      <c r="V53" s="17">
        <v>-31204170000</v>
      </c>
    </row>
    <row r="54" spans="1:22" x14ac:dyDescent="0.2">
      <c r="A54" s="746" t="s">
        <v>273</v>
      </c>
      <c r="B54" s="757" t="s">
        <v>36</v>
      </c>
      <c r="C54" s="45" t="s">
        <v>29</v>
      </c>
      <c r="D54" s="45" t="s">
        <v>16</v>
      </c>
      <c r="E54" s="45" t="s">
        <v>202</v>
      </c>
      <c r="F54" s="45" t="s">
        <v>43</v>
      </c>
      <c r="G54" s="45" t="s">
        <v>39</v>
      </c>
      <c r="H54" s="45" t="s">
        <v>26</v>
      </c>
      <c r="I54" s="45" t="s">
        <v>62</v>
      </c>
      <c r="J54" s="45" t="s">
        <v>72</v>
      </c>
      <c r="K54" s="45" t="s">
        <v>24</v>
      </c>
      <c r="L54" s="675"/>
      <c r="M54" s="45" t="s">
        <v>18</v>
      </c>
      <c r="N54" s="45" t="s">
        <v>74</v>
      </c>
      <c r="O54" s="45" t="s">
        <v>338</v>
      </c>
      <c r="P54" s="45" t="s">
        <v>15</v>
      </c>
      <c r="Q54" s="45" t="s">
        <v>60</v>
      </c>
      <c r="R54" s="45" t="s">
        <v>32</v>
      </c>
      <c r="S54" s="45" t="s">
        <v>33</v>
      </c>
      <c r="T54" s="45" t="s">
        <v>5</v>
      </c>
      <c r="U54" s="45" t="s">
        <v>192</v>
      </c>
      <c r="V54" s="45" t="s">
        <v>37</v>
      </c>
    </row>
    <row r="55" spans="1:22" x14ac:dyDescent="0.2">
      <c r="A55" s="746" t="s">
        <v>273</v>
      </c>
      <c r="B55" s="758">
        <v>62485861000</v>
      </c>
      <c r="C55" s="564">
        <v>60666265000</v>
      </c>
      <c r="D55" s="17">
        <v>30921165000</v>
      </c>
      <c r="E55" s="565">
        <v>28541500000</v>
      </c>
      <c r="F55" s="17">
        <v>26981560000</v>
      </c>
      <c r="G55" s="17">
        <v>25192090000</v>
      </c>
      <c r="H55" s="17">
        <v>22397149000</v>
      </c>
      <c r="I55" s="17">
        <v>17921605000</v>
      </c>
      <c r="J55" s="17">
        <v>17751790000</v>
      </c>
      <c r="K55" s="17">
        <v>13477390000</v>
      </c>
      <c r="L55" s="675"/>
      <c r="M55" s="17">
        <v>-59176095000</v>
      </c>
      <c r="N55" s="566">
        <v>-56021339000</v>
      </c>
      <c r="O55" s="17">
        <v>-8244320000</v>
      </c>
      <c r="P55" s="17">
        <v>-7755383000</v>
      </c>
      <c r="Q55" s="17">
        <v>-6594640000</v>
      </c>
      <c r="R55" s="17">
        <v>-5076565000</v>
      </c>
      <c r="S55" s="17">
        <v>-4973500000</v>
      </c>
      <c r="T55" s="17">
        <v>-4240799000</v>
      </c>
      <c r="U55" s="17">
        <v>-2589950000</v>
      </c>
      <c r="V55" s="17">
        <v>-1383590000</v>
      </c>
    </row>
    <row r="56" spans="1:22" x14ac:dyDescent="0.2">
      <c r="A56" s="746" t="s">
        <v>272</v>
      </c>
      <c r="B56" s="757" t="s">
        <v>36</v>
      </c>
      <c r="C56" s="45" t="s">
        <v>83</v>
      </c>
      <c r="D56" s="45" t="s">
        <v>38</v>
      </c>
      <c r="E56" s="45" t="s">
        <v>13</v>
      </c>
      <c r="F56" s="45" t="s">
        <v>29</v>
      </c>
      <c r="G56" s="45" t="s">
        <v>15</v>
      </c>
      <c r="H56" s="45" t="s">
        <v>35</v>
      </c>
      <c r="I56" s="45" t="s">
        <v>26</v>
      </c>
      <c r="J56" s="45" t="s">
        <v>202</v>
      </c>
      <c r="K56" s="45" t="s">
        <v>24</v>
      </c>
      <c r="L56" s="675"/>
      <c r="M56" s="45" t="s">
        <v>16</v>
      </c>
      <c r="N56" s="45" t="s">
        <v>60</v>
      </c>
      <c r="O56" s="45" t="s">
        <v>70</v>
      </c>
      <c r="P56" s="45" t="s">
        <v>199</v>
      </c>
      <c r="Q56" s="45" t="s">
        <v>14</v>
      </c>
      <c r="R56" s="45" t="s">
        <v>61</v>
      </c>
      <c r="S56" s="45" t="s">
        <v>27</v>
      </c>
      <c r="T56" s="45" t="s">
        <v>7</v>
      </c>
      <c r="U56" s="45" t="s">
        <v>66</v>
      </c>
      <c r="V56" s="45" t="s">
        <v>5</v>
      </c>
    </row>
    <row r="57" spans="1:22" x14ac:dyDescent="0.2">
      <c r="A57" s="746" t="s">
        <v>272</v>
      </c>
      <c r="B57" s="758">
        <v>60108110000</v>
      </c>
      <c r="C57" s="17">
        <v>40445885000</v>
      </c>
      <c r="D57" s="17">
        <v>37760950000</v>
      </c>
      <c r="E57" s="17">
        <v>36705744000</v>
      </c>
      <c r="F57" s="558">
        <v>31065670000</v>
      </c>
      <c r="G57" s="17">
        <v>19249217000</v>
      </c>
      <c r="H57" s="17">
        <v>18694515000</v>
      </c>
      <c r="I57" s="17">
        <v>15188428000</v>
      </c>
      <c r="J57" s="17">
        <v>14119075000</v>
      </c>
      <c r="K57" s="17">
        <v>9379940000</v>
      </c>
      <c r="L57" s="675"/>
      <c r="M57" s="559">
        <v>-428924611000</v>
      </c>
      <c r="N57" s="560">
        <v>-27568880000</v>
      </c>
      <c r="O57" s="17">
        <v>-19033738000</v>
      </c>
      <c r="P57" s="17">
        <v>-12642280000</v>
      </c>
      <c r="Q57" s="17">
        <v>-6549930000</v>
      </c>
      <c r="R57" s="17">
        <v>-6115500000</v>
      </c>
      <c r="S57" s="17">
        <v>-5587095000</v>
      </c>
      <c r="T57" s="17">
        <v>-3300000000</v>
      </c>
      <c r="U57" s="561">
        <v>-2626175200</v>
      </c>
      <c r="V57" s="17">
        <v>-2599500000</v>
      </c>
    </row>
    <row r="58" spans="1:22" x14ac:dyDescent="0.2">
      <c r="A58" s="746" t="s">
        <v>271</v>
      </c>
      <c r="L58" s="675"/>
    </row>
    <row r="59" spans="1:22" x14ac:dyDescent="0.2">
      <c r="A59" s="746" t="s">
        <v>271</v>
      </c>
      <c r="L59" s="675"/>
    </row>
    <row r="60" spans="1:22" x14ac:dyDescent="0.2">
      <c r="A60" s="746" t="s">
        <v>270</v>
      </c>
      <c r="L60" s="675"/>
    </row>
    <row r="61" spans="1:22" x14ac:dyDescent="0.2">
      <c r="A61" s="746" t="s">
        <v>270</v>
      </c>
      <c r="L61" s="675"/>
    </row>
    <row r="62" spans="1:22" x14ac:dyDescent="0.2">
      <c r="A62" s="746" t="s">
        <v>269</v>
      </c>
      <c r="B62" s="45" t="s">
        <v>74</v>
      </c>
      <c r="C62" s="45" t="s">
        <v>69</v>
      </c>
      <c r="D62" s="45" t="s">
        <v>99</v>
      </c>
      <c r="E62" s="45" t="s">
        <v>13</v>
      </c>
      <c r="F62" s="45" t="s">
        <v>72</v>
      </c>
      <c r="G62" s="45" t="s">
        <v>64</v>
      </c>
      <c r="H62" s="45" t="s">
        <v>43</v>
      </c>
      <c r="I62" s="45" t="s">
        <v>71</v>
      </c>
      <c r="J62" s="45" t="s">
        <v>18</v>
      </c>
      <c r="K62" s="45" t="s">
        <v>39</v>
      </c>
      <c r="L62" s="675"/>
      <c r="M62" s="45" t="s">
        <v>36</v>
      </c>
      <c r="N62" s="45" t="s">
        <v>16</v>
      </c>
      <c r="O62" s="45" t="s">
        <v>14</v>
      </c>
      <c r="P62" s="45" t="s">
        <v>38</v>
      </c>
      <c r="Q62" s="45" t="s">
        <v>5</v>
      </c>
      <c r="R62" s="45" t="s">
        <v>35</v>
      </c>
      <c r="S62" s="45" t="s">
        <v>199</v>
      </c>
      <c r="T62" s="45" t="s">
        <v>24</v>
      </c>
      <c r="U62" s="45" t="s">
        <v>73</v>
      </c>
      <c r="V62" s="45" t="s">
        <v>26</v>
      </c>
    </row>
    <row r="63" spans="1:22" x14ac:dyDescent="0.2">
      <c r="A63" s="746" t="s">
        <v>269</v>
      </c>
      <c r="B63" s="550">
        <v>232315895000</v>
      </c>
      <c r="C63" s="17">
        <v>14502855000</v>
      </c>
      <c r="D63" s="17">
        <v>13172205000</v>
      </c>
      <c r="E63" s="17">
        <v>12608041000</v>
      </c>
      <c r="F63" s="17">
        <v>9309000000</v>
      </c>
      <c r="G63" s="17">
        <v>7549975000</v>
      </c>
      <c r="H63" s="17">
        <v>7181387000</v>
      </c>
      <c r="I63" s="17">
        <v>6888000000</v>
      </c>
      <c r="J63" s="17">
        <v>5614025000</v>
      </c>
      <c r="K63" s="17">
        <v>5230890000</v>
      </c>
      <c r="L63" s="675"/>
      <c r="M63" s="17">
        <v>-42265516000</v>
      </c>
      <c r="N63" s="17">
        <v>-37792735000</v>
      </c>
      <c r="O63" s="17">
        <v>-25885815000</v>
      </c>
      <c r="P63" s="17">
        <v>-25221115000</v>
      </c>
      <c r="Q63" s="17">
        <v>-24521558000</v>
      </c>
      <c r="R63" s="17">
        <v>-23103500000</v>
      </c>
      <c r="S63" s="551">
        <v>-19436145000</v>
      </c>
      <c r="T63" s="17">
        <v>-17610690000</v>
      </c>
      <c r="U63" s="552">
        <v>-17260640000</v>
      </c>
      <c r="V63" s="17">
        <v>-12526075000</v>
      </c>
    </row>
    <row r="64" spans="1:22" x14ac:dyDescent="0.2">
      <c r="A64" s="746" t="s">
        <v>268</v>
      </c>
      <c r="B64" s="45" t="s">
        <v>83</v>
      </c>
      <c r="C64" s="45" t="s">
        <v>35</v>
      </c>
      <c r="D64" s="45" t="s">
        <v>16</v>
      </c>
      <c r="E64" s="45" t="s">
        <v>13</v>
      </c>
      <c r="F64" s="45" t="s">
        <v>24</v>
      </c>
      <c r="G64" s="45" t="s">
        <v>14</v>
      </c>
      <c r="H64" s="45" t="s">
        <v>40</v>
      </c>
      <c r="I64" s="45" t="s">
        <v>15</v>
      </c>
      <c r="J64" s="45" t="s">
        <v>67</v>
      </c>
      <c r="K64" s="45" t="s">
        <v>5</v>
      </c>
      <c r="L64" s="675"/>
      <c r="M64" s="45" t="s">
        <v>18</v>
      </c>
      <c r="N64" s="45" t="s">
        <v>175</v>
      </c>
      <c r="O64" s="45" t="s">
        <v>43</v>
      </c>
      <c r="P64" s="45" t="s">
        <v>61</v>
      </c>
      <c r="Q64" s="45" t="s">
        <v>21</v>
      </c>
      <c r="R64" s="45" t="s">
        <v>70</v>
      </c>
      <c r="S64" s="45" t="s">
        <v>280</v>
      </c>
      <c r="T64" s="45" t="s">
        <v>39</v>
      </c>
      <c r="U64" s="45" t="s">
        <v>28</v>
      </c>
      <c r="V64" s="45" t="s">
        <v>32</v>
      </c>
    </row>
    <row r="65" spans="1:22" x14ac:dyDescent="0.2">
      <c r="A65" s="746" t="s">
        <v>268</v>
      </c>
      <c r="B65" s="543">
        <v>112662494000</v>
      </c>
      <c r="C65" s="17">
        <v>98950131000</v>
      </c>
      <c r="D65" s="17">
        <v>69846485000</v>
      </c>
      <c r="E65" s="544">
        <v>68175432000</v>
      </c>
      <c r="F65" s="545">
        <v>56252460000</v>
      </c>
      <c r="G65" s="546">
        <v>48957070000</v>
      </c>
      <c r="H65" s="547">
        <v>43770705000</v>
      </c>
      <c r="I65" s="17">
        <v>40799348000</v>
      </c>
      <c r="J65" s="548">
        <v>40791940000</v>
      </c>
      <c r="K65" s="17">
        <v>39688660000</v>
      </c>
      <c r="L65" s="675"/>
      <c r="M65" s="17">
        <v>-49757754000</v>
      </c>
      <c r="N65" s="17">
        <v>-48034510000</v>
      </c>
      <c r="O65" s="17">
        <v>-18819414000</v>
      </c>
      <c r="P65" s="17">
        <v>-12401545000</v>
      </c>
      <c r="Q65" s="17">
        <v>-9578880000</v>
      </c>
      <c r="R65" s="17">
        <v>-7959751000</v>
      </c>
      <c r="S65" s="17">
        <v>-7186750000</v>
      </c>
      <c r="T65" s="17">
        <v>-6739520000</v>
      </c>
      <c r="U65" s="17">
        <v>-6720640000</v>
      </c>
      <c r="V65" s="17">
        <v>-4322758200</v>
      </c>
    </row>
    <row r="66" spans="1:22" x14ac:dyDescent="0.2">
      <c r="A66" s="746" t="s">
        <v>267</v>
      </c>
      <c r="B66" s="45" t="s">
        <v>35</v>
      </c>
      <c r="C66" s="45" t="s">
        <v>38</v>
      </c>
      <c r="D66" s="45" t="s">
        <v>24</v>
      </c>
      <c r="E66" s="45" t="s">
        <v>16</v>
      </c>
      <c r="F66" s="45" t="s">
        <v>211</v>
      </c>
      <c r="G66" s="45" t="s">
        <v>111</v>
      </c>
      <c r="H66" s="45" t="s">
        <v>61</v>
      </c>
      <c r="I66" s="45" t="s">
        <v>83</v>
      </c>
      <c r="J66" s="45" t="s">
        <v>13</v>
      </c>
      <c r="K66" s="45" t="s">
        <v>27</v>
      </c>
      <c r="L66" s="675"/>
      <c r="M66" s="45" t="s">
        <v>290</v>
      </c>
      <c r="N66" s="45" t="s">
        <v>219</v>
      </c>
      <c r="O66" s="45" t="s">
        <v>338</v>
      </c>
      <c r="P66" s="45" t="s">
        <v>21</v>
      </c>
      <c r="Q66" s="45" t="s">
        <v>7</v>
      </c>
      <c r="R66" s="45" t="s">
        <v>18</v>
      </c>
      <c r="S66" s="45" t="s">
        <v>170</v>
      </c>
      <c r="T66" s="45" t="s">
        <v>20</v>
      </c>
      <c r="U66" s="45" t="s">
        <v>15</v>
      </c>
      <c r="V66" s="45" t="s">
        <v>37</v>
      </c>
    </row>
    <row r="67" spans="1:22" x14ac:dyDescent="0.2">
      <c r="A67" s="746" t="s">
        <v>267</v>
      </c>
      <c r="B67" s="17">
        <v>34527002000</v>
      </c>
      <c r="C67" s="17">
        <v>22571397000</v>
      </c>
      <c r="D67" s="17">
        <v>22237110000</v>
      </c>
      <c r="E67" s="17">
        <v>19870740000</v>
      </c>
      <c r="F67" s="537">
        <v>18223620000</v>
      </c>
      <c r="G67" s="17">
        <v>18094975000</v>
      </c>
      <c r="H67" s="17">
        <v>17856665000</v>
      </c>
      <c r="I67" s="17">
        <v>16817979000</v>
      </c>
      <c r="J67" s="17">
        <v>16070144000</v>
      </c>
      <c r="K67" s="17">
        <v>15369800000</v>
      </c>
      <c r="L67" s="675"/>
      <c r="M67" s="538">
        <v>-16610060000</v>
      </c>
      <c r="N67" s="539">
        <v>-4870000000</v>
      </c>
      <c r="O67" s="17">
        <v>-3180000000</v>
      </c>
      <c r="P67" s="17">
        <v>-2371220000</v>
      </c>
      <c r="Q67" s="17">
        <v>-2363000000</v>
      </c>
      <c r="R67" s="17">
        <v>-39994000</v>
      </c>
      <c r="S67" s="17">
        <v>78640000</v>
      </c>
      <c r="T67" s="17">
        <v>282660000</v>
      </c>
      <c r="U67" s="17">
        <v>348133000</v>
      </c>
      <c r="V67" s="17">
        <v>439520000</v>
      </c>
    </row>
    <row r="68" spans="1:22" x14ac:dyDescent="0.2">
      <c r="A68" s="746" t="s">
        <v>266</v>
      </c>
      <c r="B68" s="45" t="s">
        <v>16</v>
      </c>
      <c r="C68" s="45" t="s">
        <v>175</v>
      </c>
      <c r="D68" s="45" t="s">
        <v>15</v>
      </c>
      <c r="E68" s="45" t="s">
        <v>211</v>
      </c>
      <c r="F68" s="45" t="s">
        <v>37</v>
      </c>
      <c r="G68" s="45" t="s">
        <v>60</v>
      </c>
      <c r="H68" s="45" t="s">
        <v>30</v>
      </c>
      <c r="I68" s="45" t="s">
        <v>97</v>
      </c>
      <c r="J68" s="45" t="s">
        <v>19</v>
      </c>
      <c r="K68" s="45" t="s">
        <v>5</v>
      </c>
      <c r="L68" s="675"/>
      <c r="M68" s="45" t="s">
        <v>14</v>
      </c>
      <c r="N68" s="45" t="s">
        <v>18</v>
      </c>
      <c r="O68" s="45" t="s">
        <v>26</v>
      </c>
      <c r="P68" s="45" t="s">
        <v>35</v>
      </c>
      <c r="Q68" s="45" t="s">
        <v>27</v>
      </c>
      <c r="R68" s="45" t="s">
        <v>38</v>
      </c>
      <c r="S68" s="45" t="s">
        <v>62</v>
      </c>
      <c r="T68" s="45" t="s">
        <v>13</v>
      </c>
      <c r="U68" s="45" t="s">
        <v>25</v>
      </c>
      <c r="V68" s="45" t="s">
        <v>28</v>
      </c>
    </row>
    <row r="69" spans="1:22" x14ac:dyDescent="0.2">
      <c r="A69" s="746" t="s">
        <v>266</v>
      </c>
      <c r="B69" s="17">
        <v>37492420000</v>
      </c>
      <c r="C69" s="17">
        <v>28835239000</v>
      </c>
      <c r="D69" s="17">
        <v>13482407000</v>
      </c>
      <c r="E69" s="17">
        <v>10258230000</v>
      </c>
      <c r="F69" s="17">
        <v>9388485000</v>
      </c>
      <c r="G69" s="17">
        <v>8559540000</v>
      </c>
      <c r="H69" s="534">
        <v>8526215000</v>
      </c>
      <c r="I69" s="17">
        <v>8520370000</v>
      </c>
      <c r="J69" s="17">
        <v>8434135000</v>
      </c>
      <c r="K69" s="17">
        <v>7531090000</v>
      </c>
      <c r="L69" s="675"/>
      <c r="M69" s="17">
        <v>-52635295000</v>
      </c>
      <c r="N69" s="17">
        <v>-44079988000</v>
      </c>
      <c r="O69" s="17">
        <v>-32204360000</v>
      </c>
      <c r="P69" s="17">
        <v>-17805635000</v>
      </c>
      <c r="Q69" s="17">
        <v>-12140855000</v>
      </c>
      <c r="R69" s="17">
        <v>-11729065000</v>
      </c>
      <c r="S69" s="17">
        <v>-2577815000</v>
      </c>
      <c r="T69" s="17">
        <v>-2294180000</v>
      </c>
      <c r="U69" s="17">
        <v>-1249325000</v>
      </c>
      <c r="V69" s="17">
        <v>-988560000</v>
      </c>
    </row>
    <row r="70" spans="1:22" x14ac:dyDescent="0.2">
      <c r="A70" s="746" t="s">
        <v>265</v>
      </c>
      <c r="B70" s="45" t="s">
        <v>279</v>
      </c>
      <c r="C70" s="45" t="s">
        <v>38</v>
      </c>
      <c r="D70" s="45" t="s">
        <v>175</v>
      </c>
      <c r="E70" s="45" t="s">
        <v>35</v>
      </c>
      <c r="F70" s="45" t="s">
        <v>8</v>
      </c>
      <c r="G70" s="45" t="s">
        <v>41</v>
      </c>
      <c r="H70" s="45" t="s">
        <v>83</v>
      </c>
      <c r="I70" s="45" t="s">
        <v>211</v>
      </c>
      <c r="J70" s="45" t="s">
        <v>36</v>
      </c>
      <c r="K70" s="45" t="s">
        <v>27</v>
      </c>
      <c r="L70" s="675"/>
      <c r="M70" s="45" t="s">
        <v>14</v>
      </c>
      <c r="N70" s="45" t="s">
        <v>18</v>
      </c>
      <c r="O70" s="45" t="s">
        <v>21</v>
      </c>
      <c r="P70" s="45" t="s">
        <v>25</v>
      </c>
      <c r="Q70" s="45" t="s">
        <v>16</v>
      </c>
      <c r="R70" s="45" t="s">
        <v>219</v>
      </c>
      <c r="S70" s="45" t="s">
        <v>66</v>
      </c>
      <c r="T70" s="45" t="s">
        <v>285</v>
      </c>
      <c r="U70" s="45" t="s">
        <v>33</v>
      </c>
      <c r="V70" s="45" t="s">
        <v>170</v>
      </c>
    </row>
    <row r="71" spans="1:22" x14ac:dyDescent="0.2">
      <c r="A71" s="746" t="s">
        <v>265</v>
      </c>
      <c r="B71" s="17">
        <v>33904800000</v>
      </c>
      <c r="C71" s="17">
        <v>31000570000</v>
      </c>
      <c r="D71" s="17">
        <v>23773718000</v>
      </c>
      <c r="E71" s="17">
        <v>19285334000</v>
      </c>
      <c r="F71" s="17">
        <v>17194295000</v>
      </c>
      <c r="G71" s="17">
        <v>16756550000</v>
      </c>
      <c r="H71" s="17">
        <v>13952975000</v>
      </c>
      <c r="I71" s="533">
        <v>13145840000</v>
      </c>
      <c r="J71" s="17">
        <v>12500090000</v>
      </c>
      <c r="K71" s="17">
        <v>12293430000</v>
      </c>
      <c r="L71" s="675"/>
      <c r="M71" s="17">
        <v>-16913358000</v>
      </c>
      <c r="N71" s="17">
        <v>-5563611000</v>
      </c>
      <c r="O71" s="17">
        <v>-5191240000</v>
      </c>
      <c r="P71" s="17">
        <v>-1739428000</v>
      </c>
      <c r="Q71" s="17">
        <v>-757194000</v>
      </c>
      <c r="R71" s="17">
        <v>-609522700</v>
      </c>
      <c r="S71" s="17">
        <v>-446400000</v>
      </c>
      <c r="T71" s="17">
        <v>-142870000</v>
      </c>
      <c r="U71" s="17">
        <v>228691000</v>
      </c>
      <c r="V71" s="17">
        <v>337000000</v>
      </c>
    </row>
    <row r="72" spans="1:22" x14ac:dyDescent="0.2">
      <c r="A72" s="746" t="s">
        <v>264</v>
      </c>
      <c r="B72" s="45" t="s">
        <v>35</v>
      </c>
      <c r="C72" s="45" t="s">
        <v>19</v>
      </c>
      <c r="D72" s="45" t="s">
        <v>97</v>
      </c>
      <c r="E72" s="45" t="s">
        <v>8</v>
      </c>
      <c r="F72" s="45" t="s">
        <v>83</v>
      </c>
      <c r="G72" s="45" t="s">
        <v>38</v>
      </c>
      <c r="H72" s="45" t="s">
        <v>5</v>
      </c>
      <c r="I72" s="45" t="s">
        <v>73</v>
      </c>
      <c r="J72" s="45" t="s">
        <v>215</v>
      </c>
      <c r="K72" s="45" t="s">
        <v>40</v>
      </c>
      <c r="L72" s="675"/>
      <c r="M72" s="45" t="s">
        <v>199</v>
      </c>
      <c r="N72" s="45" t="s">
        <v>39</v>
      </c>
      <c r="O72" s="45" t="s">
        <v>36</v>
      </c>
      <c r="P72" s="45" t="s">
        <v>32</v>
      </c>
      <c r="Q72" s="45" t="s">
        <v>15</v>
      </c>
      <c r="R72" s="45" t="s">
        <v>285</v>
      </c>
      <c r="S72" s="45" t="s">
        <v>61</v>
      </c>
      <c r="T72" s="45" t="s">
        <v>24</v>
      </c>
      <c r="U72" s="45" t="s">
        <v>14</v>
      </c>
      <c r="V72" s="45" t="s">
        <v>37</v>
      </c>
    </row>
    <row r="73" spans="1:22" x14ac:dyDescent="0.2">
      <c r="A73" s="746" t="s">
        <v>264</v>
      </c>
      <c r="B73" s="17">
        <v>47545369000</v>
      </c>
      <c r="C73" s="17">
        <v>33267092000</v>
      </c>
      <c r="D73" s="17">
        <v>11518320000</v>
      </c>
      <c r="E73" s="17">
        <v>10458310000</v>
      </c>
      <c r="F73" s="17">
        <v>6875130000</v>
      </c>
      <c r="G73" s="17">
        <v>6860915000</v>
      </c>
      <c r="H73" s="17">
        <v>6008030000</v>
      </c>
      <c r="I73" s="17">
        <v>3701405000</v>
      </c>
      <c r="J73" s="17">
        <v>3629750000</v>
      </c>
      <c r="K73" s="17">
        <v>3185360000</v>
      </c>
      <c r="L73" s="675"/>
      <c r="M73" s="530">
        <v>-16006650000</v>
      </c>
      <c r="N73" s="17">
        <v>-14374960000</v>
      </c>
      <c r="O73" s="17">
        <v>-14124240000</v>
      </c>
      <c r="P73" s="17">
        <v>-14124213500</v>
      </c>
      <c r="Q73" s="17">
        <v>-12691766000</v>
      </c>
      <c r="R73" s="17">
        <v>-9375710000</v>
      </c>
      <c r="S73" s="17">
        <v>-8728180000</v>
      </c>
      <c r="T73" s="17">
        <v>-8486350000</v>
      </c>
      <c r="U73" s="17">
        <v>-7432020000</v>
      </c>
      <c r="V73" s="17">
        <v>-6630315000</v>
      </c>
    </row>
    <row r="74" spans="1:22" x14ac:dyDescent="0.2">
      <c r="A74" s="746" t="s">
        <v>260</v>
      </c>
      <c r="B74" s="45" t="s">
        <v>18</v>
      </c>
      <c r="C74" s="45" t="s">
        <v>36</v>
      </c>
      <c r="D74" s="45" t="s">
        <v>15</v>
      </c>
      <c r="E74" s="45" t="s">
        <v>16</v>
      </c>
      <c r="F74" s="45" t="s">
        <v>38</v>
      </c>
      <c r="G74" s="45" t="s">
        <v>40</v>
      </c>
      <c r="H74" s="45" t="s">
        <v>31</v>
      </c>
      <c r="I74" s="45" t="s">
        <v>14</v>
      </c>
      <c r="J74" s="45" t="s">
        <v>9</v>
      </c>
      <c r="K74" s="45" t="s">
        <v>28</v>
      </c>
      <c r="L74" s="675"/>
      <c r="M74" s="45" t="s">
        <v>26</v>
      </c>
      <c r="N74" s="45" t="s">
        <v>35</v>
      </c>
      <c r="O74" s="45" t="s">
        <v>5</v>
      </c>
      <c r="P74" s="45" t="s">
        <v>285</v>
      </c>
      <c r="Q74" s="45" t="s">
        <v>83</v>
      </c>
      <c r="R74" s="45" t="s">
        <v>37</v>
      </c>
      <c r="S74" s="45" t="s">
        <v>338</v>
      </c>
      <c r="T74" s="45" t="s">
        <v>25</v>
      </c>
      <c r="U74" s="45" t="s">
        <v>199</v>
      </c>
      <c r="V74" s="45" t="s">
        <v>100</v>
      </c>
    </row>
    <row r="75" spans="1:22" x14ac:dyDescent="0.2">
      <c r="A75" s="746" t="s">
        <v>260</v>
      </c>
      <c r="B75" s="17">
        <v>74101500000</v>
      </c>
      <c r="C75" s="17">
        <v>35997704000</v>
      </c>
      <c r="D75" s="17">
        <v>19317294000</v>
      </c>
      <c r="E75" s="17">
        <v>8381795000</v>
      </c>
      <c r="F75" s="17">
        <v>7972065000</v>
      </c>
      <c r="G75" s="528">
        <v>7282445000</v>
      </c>
      <c r="H75" s="17">
        <v>6460230000</v>
      </c>
      <c r="I75" s="17">
        <v>5880235000</v>
      </c>
      <c r="J75" s="17">
        <v>4014215000</v>
      </c>
      <c r="K75" s="17">
        <v>3155730000</v>
      </c>
      <c r="L75" s="675"/>
      <c r="M75" s="17">
        <v>-32041778000</v>
      </c>
      <c r="N75" s="17">
        <v>-7673565000</v>
      </c>
      <c r="O75" s="17">
        <v>-5922163000</v>
      </c>
      <c r="P75" s="17">
        <v>-4802900000</v>
      </c>
      <c r="Q75" s="17">
        <v>-4533224000</v>
      </c>
      <c r="R75" s="17">
        <v>-3697070000</v>
      </c>
      <c r="S75" s="17">
        <v>-3414560000</v>
      </c>
      <c r="T75" s="17">
        <v>-2286580000</v>
      </c>
      <c r="U75" s="17">
        <v>-2247390000</v>
      </c>
      <c r="V75" s="17">
        <v>-1979455000</v>
      </c>
    </row>
    <row r="76" spans="1:22" x14ac:dyDescent="0.2">
      <c r="A76" s="746" t="s">
        <v>259</v>
      </c>
      <c r="B76" s="45" t="s">
        <v>290</v>
      </c>
      <c r="C76" s="45" t="s">
        <v>33</v>
      </c>
      <c r="D76" s="45" t="s">
        <v>38</v>
      </c>
      <c r="E76" s="757" t="s">
        <v>97</v>
      </c>
      <c r="F76" s="45" t="s">
        <v>75</v>
      </c>
      <c r="G76" s="45" t="s">
        <v>175</v>
      </c>
      <c r="H76" s="45" t="s">
        <v>170</v>
      </c>
      <c r="I76" s="45" t="s">
        <v>41</v>
      </c>
      <c r="J76" s="45" t="s">
        <v>102</v>
      </c>
      <c r="K76" s="45" t="s">
        <v>196</v>
      </c>
      <c r="L76" s="675"/>
      <c r="M76" s="45" t="s">
        <v>21</v>
      </c>
      <c r="N76" s="45" t="s">
        <v>14</v>
      </c>
      <c r="O76" s="45" t="s">
        <v>16</v>
      </c>
      <c r="P76" s="45" t="s">
        <v>32</v>
      </c>
      <c r="Q76" s="45" t="s">
        <v>36</v>
      </c>
      <c r="R76" s="45" t="s">
        <v>35</v>
      </c>
      <c r="S76" s="45" t="s">
        <v>61</v>
      </c>
      <c r="T76" s="45" t="s">
        <v>285</v>
      </c>
      <c r="U76" s="45" t="s">
        <v>83</v>
      </c>
      <c r="V76" s="45" t="s">
        <v>13</v>
      </c>
    </row>
    <row r="77" spans="1:22" x14ac:dyDescent="0.2">
      <c r="A77" s="746" t="s">
        <v>259</v>
      </c>
      <c r="B77" s="520">
        <v>82000000000</v>
      </c>
      <c r="C77" s="17">
        <v>40687681000</v>
      </c>
      <c r="D77" s="17">
        <v>26410430000</v>
      </c>
      <c r="E77" s="758">
        <v>20872620000</v>
      </c>
      <c r="F77" s="17">
        <v>8160000000</v>
      </c>
      <c r="G77" s="17">
        <v>4895780000</v>
      </c>
      <c r="H77" s="521">
        <v>3188090000</v>
      </c>
      <c r="I77" s="17">
        <v>1990425000</v>
      </c>
      <c r="J77" s="17">
        <v>1600000000</v>
      </c>
      <c r="K77" s="17">
        <v>970630000</v>
      </c>
      <c r="L77" s="675"/>
      <c r="M77" s="522">
        <v>-64211830500</v>
      </c>
      <c r="N77" s="17">
        <v>-50440680000</v>
      </c>
      <c r="O77" s="17">
        <v>-41424010000</v>
      </c>
      <c r="P77" s="523">
        <v>-34730990000</v>
      </c>
      <c r="Q77" s="17">
        <v>-31914860000</v>
      </c>
      <c r="R77" s="17">
        <v>-26300531000</v>
      </c>
      <c r="S77" s="17">
        <v>-25937840000</v>
      </c>
      <c r="T77" s="524">
        <v>-14873500000</v>
      </c>
      <c r="U77" s="17">
        <v>-14618655000</v>
      </c>
      <c r="V77" s="17">
        <v>-11328230000</v>
      </c>
    </row>
    <row r="78" spans="1:22" x14ac:dyDescent="0.2">
      <c r="A78" s="746" t="s">
        <v>258</v>
      </c>
      <c r="B78" s="45" t="s">
        <v>33</v>
      </c>
      <c r="C78" s="757" t="s">
        <v>97</v>
      </c>
      <c r="D78" s="45" t="s">
        <v>285</v>
      </c>
      <c r="E78" s="45" t="s">
        <v>40</v>
      </c>
      <c r="F78" s="45" t="s">
        <v>286</v>
      </c>
      <c r="G78" s="45" t="s">
        <v>196</v>
      </c>
      <c r="H78" s="45" t="s">
        <v>102</v>
      </c>
      <c r="I78" s="45" t="s">
        <v>91</v>
      </c>
      <c r="J78" s="45" t="s">
        <v>211</v>
      </c>
      <c r="K78" s="45" t="s">
        <v>111</v>
      </c>
      <c r="L78" s="675"/>
      <c r="M78" s="45" t="s">
        <v>61</v>
      </c>
      <c r="N78" s="45" t="s">
        <v>35</v>
      </c>
      <c r="O78" s="45" t="s">
        <v>83</v>
      </c>
      <c r="P78" s="45" t="s">
        <v>38</v>
      </c>
      <c r="Q78" s="45" t="s">
        <v>25</v>
      </c>
      <c r="R78" s="45" t="s">
        <v>18</v>
      </c>
      <c r="S78" s="45" t="s">
        <v>36</v>
      </c>
      <c r="T78" s="45" t="s">
        <v>14</v>
      </c>
      <c r="U78" s="45" t="s">
        <v>16</v>
      </c>
      <c r="V78" s="45" t="s">
        <v>28</v>
      </c>
    </row>
    <row r="79" spans="1:22" x14ac:dyDescent="0.2">
      <c r="A79" s="746" t="s">
        <v>258</v>
      </c>
      <c r="B79" s="17">
        <v>23571580000</v>
      </c>
      <c r="C79" s="758">
        <v>20846645000</v>
      </c>
      <c r="D79" s="514">
        <v>12849770000</v>
      </c>
      <c r="E79" s="515">
        <v>6371420000</v>
      </c>
      <c r="F79" s="516">
        <v>5564545000</v>
      </c>
      <c r="G79" s="17">
        <v>4261050000</v>
      </c>
      <c r="H79" s="17">
        <v>3697635000</v>
      </c>
      <c r="I79" s="17">
        <v>3647500000</v>
      </c>
      <c r="J79" s="17">
        <v>3640940000</v>
      </c>
      <c r="K79" s="17">
        <v>3615420000</v>
      </c>
      <c r="L79" s="675"/>
      <c r="M79" s="517">
        <v>-120049574000</v>
      </c>
      <c r="N79" s="17">
        <v>-82379740000</v>
      </c>
      <c r="O79" s="17">
        <v>-64339289000</v>
      </c>
      <c r="P79" s="17">
        <v>-46656611000</v>
      </c>
      <c r="Q79" s="518">
        <v>-38909175000</v>
      </c>
      <c r="R79" s="17">
        <v>-28163620000</v>
      </c>
      <c r="S79" s="17">
        <v>-18311140000</v>
      </c>
      <c r="T79" s="17">
        <v>-12875040000</v>
      </c>
      <c r="U79" s="17">
        <v>-12513220000</v>
      </c>
      <c r="V79" s="17">
        <v>-11527240000</v>
      </c>
    </row>
    <row r="80" spans="1:22" x14ac:dyDescent="0.2">
      <c r="A80" s="746" t="s">
        <v>257</v>
      </c>
      <c r="B80" s="45" t="s">
        <v>14</v>
      </c>
      <c r="C80" s="45" t="s">
        <v>15</v>
      </c>
      <c r="D80" s="757" t="s">
        <v>97</v>
      </c>
      <c r="E80" s="45" t="s">
        <v>26</v>
      </c>
      <c r="F80" s="45" t="s">
        <v>16</v>
      </c>
      <c r="G80" s="45" t="s">
        <v>36</v>
      </c>
      <c r="H80" s="45" t="s">
        <v>24</v>
      </c>
      <c r="I80" s="45" t="s">
        <v>75</v>
      </c>
      <c r="J80" s="45" t="s">
        <v>13</v>
      </c>
      <c r="K80" s="45" t="s">
        <v>199</v>
      </c>
      <c r="L80" s="675"/>
      <c r="M80" s="751" t="s">
        <v>18</v>
      </c>
      <c r="N80" s="45" t="s">
        <v>21</v>
      </c>
      <c r="O80" s="45" t="s">
        <v>25</v>
      </c>
      <c r="P80" s="45" t="s">
        <v>39</v>
      </c>
      <c r="Q80" s="45" t="s">
        <v>62</v>
      </c>
      <c r="R80" s="45" t="s">
        <v>35</v>
      </c>
      <c r="S80" s="45" t="s">
        <v>27</v>
      </c>
      <c r="T80" s="45" t="s">
        <v>60</v>
      </c>
      <c r="U80" s="45" t="s">
        <v>5</v>
      </c>
      <c r="V80" s="45" t="s">
        <v>33</v>
      </c>
    </row>
    <row r="81" spans="1:22" x14ac:dyDescent="0.2">
      <c r="A81" s="746" t="s">
        <v>257</v>
      </c>
      <c r="B81" s="17">
        <v>45533045000</v>
      </c>
      <c r="C81" s="17">
        <v>36852050000</v>
      </c>
      <c r="D81" s="758">
        <v>23937100000</v>
      </c>
      <c r="E81" s="17">
        <v>19141280000</v>
      </c>
      <c r="F81" s="17">
        <v>16359480000</v>
      </c>
      <c r="G81" s="17">
        <v>13108609000</v>
      </c>
      <c r="H81" s="17">
        <v>9147940000</v>
      </c>
      <c r="I81" s="17">
        <v>8140000000</v>
      </c>
      <c r="J81" s="17">
        <v>6959424000</v>
      </c>
      <c r="K81" s="17">
        <v>4957900000</v>
      </c>
      <c r="L81" s="675"/>
      <c r="M81" s="752">
        <v>-63803300000</v>
      </c>
      <c r="N81" s="511">
        <v>-46264360000</v>
      </c>
      <c r="O81" s="512">
        <v>-38200715000</v>
      </c>
      <c r="P81" s="17">
        <v>-31451030000</v>
      </c>
      <c r="Q81" s="17">
        <v>-20514538000</v>
      </c>
      <c r="R81" s="17">
        <v>-14446311000</v>
      </c>
      <c r="S81" s="17">
        <v>-11768985000</v>
      </c>
      <c r="T81" s="17">
        <v>-8569800000</v>
      </c>
      <c r="U81" s="17">
        <v>-5999619000</v>
      </c>
      <c r="V81" s="17">
        <v>-3717800000</v>
      </c>
    </row>
    <row r="82" spans="1:22" x14ac:dyDescent="0.2">
      <c r="A82" s="746" t="s">
        <v>256</v>
      </c>
      <c r="B82" s="45" t="s">
        <v>39</v>
      </c>
      <c r="C82" s="45" t="s">
        <v>62</v>
      </c>
      <c r="D82" s="45" t="s">
        <v>43</v>
      </c>
      <c r="E82" s="45" t="s">
        <v>61</v>
      </c>
      <c r="F82" s="45" t="s">
        <v>83</v>
      </c>
      <c r="G82" s="45" t="s">
        <v>192</v>
      </c>
      <c r="H82" s="45" t="s">
        <v>35</v>
      </c>
      <c r="I82" s="757" t="s">
        <v>97</v>
      </c>
      <c r="J82" s="45" t="s">
        <v>70</v>
      </c>
      <c r="K82" s="45" t="s">
        <v>21</v>
      </c>
      <c r="L82" s="675"/>
      <c r="M82" s="751" t="s">
        <v>36</v>
      </c>
      <c r="N82" s="45" t="s">
        <v>15</v>
      </c>
      <c r="O82" s="45" t="s">
        <v>16</v>
      </c>
      <c r="P82" s="45" t="s">
        <v>14</v>
      </c>
      <c r="Q82" s="45" t="s">
        <v>28</v>
      </c>
      <c r="R82" s="45" t="s">
        <v>13</v>
      </c>
      <c r="S82" s="45" t="s">
        <v>31</v>
      </c>
      <c r="T82" s="45" t="s">
        <v>24</v>
      </c>
      <c r="U82" s="45" t="s">
        <v>18</v>
      </c>
      <c r="V82" s="45" t="s">
        <v>9</v>
      </c>
    </row>
    <row r="83" spans="1:22" x14ac:dyDescent="0.2">
      <c r="A83" s="746" t="s">
        <v>256</v>
      </c>
      <c r="B83" s="505">
        <v>170678160000</v>
      </c>
      <c r="C83" s="17">
        <v>134194415000</v>
      </c>
      <c r="D83" s="17">
        <v>130049660000</v>
      </c>
      <c r="E83" s="506">
        <v>103669225000</v>
      </c>
      <c r="F83" s="17">
        <v>76852395000</v>
      </c>
      <c r="G83" s="507">
        <v>76166320000</v>
      </c>
      <c r="H83" s="17">
        <v>57789325000</v>
      </c>
      <c r="I83" s="758">
        <v>43325850000</v>
      </c>
      <c r="J83" s="508">
        <v>25236370000</v>
      </c>
      <c r="K83" s="17">
        <v>20098700000</v>
      </c>
      <c r="L83" s="675"/>
      <c r="M83" s="752">
        <v>-35294190000</v>
      </c>
      <c r="N83" s="17">
        <v>-18703345000</v>
      </c>
      <c r="O83" s="17">
        <v>-12863965000</v>
      </c>
      <c r="P83" s="17">
        <v>-11983240000</v>
      </c>
      <c r="Q83" s="17">
        <v>-8834050000</v>
      </c>
      <c r="R83" s="17">
        <v>-8367070000</v>
      </c>
      <c r="S83" s="509">
        <v>-7307010000</v>
      </c>
      <c r="T83" s="17">
        <v>-6536300000</v>
      </c>
      <c r="U83" s="17">
        <v>-6375010000</v>
      </c>
      <c r="V83" s="17">
        <v>-5827365000</v>
      </c>
    </row>
    <row r="84" spans="1:22" x14ac:dyDescent="0.2">
      <c r="A84" s="746" t="s">
        <v>255</v>
      </c>
      <c r="B84" s="45" t="s">
        <v>25</v>
      </c>
      <c r="C84" s="757" t="s">
        <v>97</v>
      </c>
      <c r="D84" s="45" t="s">
        <v>61</v>
      </c>
      <c r="E84" s="45" t="s">
        <v>62</v>
      </c>
      <c r="F84" s="45" t="s">
        <v>35</v>
      </c>
      <c r="G84" s="45" t="s">
        <v>39</v>
      </c>
      <c r="H84" s="45" t="s">
        <v>70</v>
      </c>
      <c r="I84" s="45" t="s">
        <v>100</v>
      </c>
      <c r="J84" s="45" t="s">
        <v>199</v>
      </c>
      <c r="K84" s="45" t="s">
        <v>14</v>
      </c>
      <c r="L84" s="675"/>
      <c r="M84" s="751" t="s">
        <v>18</v>
      </c>
      <c r="N84" s="45" t="s">
        <v>175</v>
      </c>
      <c r="O84" s="45" t="s">
        <v>16</v>
      </c>
      <c r="P84" s="45" t="s">
        <v>36</v>
      </c>
      <c r="Q84" s="45" t="s">
        <v>83</v>
      </c>
      <c r="R84" s="45" t="s">
        <v>192</v>
      </c>
      <c r="S84" s="45" t="s">
        <v>15</v>
      </c>
      <c r="T84" s="45" t="s">
        <v>27</v>
      </c>
      <c r="U84" s="45" t="s">
        <v>38</v>
      </c>
      <c r="V84" s="45" t="s">
        <v>21</v>
      </c>
    </row>
    <row r="85" spans="1:22" x14ac:dyDescent="0.2">
      <c r="A85" s="746" t="s">
        <v>255</v>
      </c>
      <c r="B85" s="500">
        <v>35961815000</v>
      </c>
      <c r="C85" s="758">
        <v>27151615000</v>
      </c>
      <c r="D85" s="17">
        <v>18470610000</v>
      </c>
      <c r="E85" s="17">
        <v>15981560000</v>
      </c>
      <c r="F85" s="17">
        <v>15657400000</v>
      </c>
      <c r="G85" s="501">
        <v>12972210000</v>
      </c>
      <c r="H85" s="17">
        <v>11713955000</v>
      </c>
      <c r="I85" s="17">
        <v>10126350000</v>
      </c>
      <c r="J85" s="17">
        <v>9273070000</v>
      </c>
      <c r="K85" s="17">
        <v>7459845000</v>
      </c>
      <c r="L85" s="675"/>
      <c r="M85" s="752">
        <v>-134966230000</v>
      </c>
      <c r="N85" s="502">
        <v>-53878338000</v>
      </c>
      <c r="O85" s="17">
        <v>-16490945000</v>
      </c>
      <c r="P85" s="17">
        <v>-11577070000</v>
      </c>
      <c r="Q85" s="17">
        <v>-11308950000</v>
      </c>
      <c r="R85" s="17">
        <v>-10450560000</v>
      </c>
      <c r="S85" s="17">
        <v>-7910755000</v>
      </c>
      <c r="T85" s="17">
        <v>-7151500000</v>
      </c>
      <c r="U85" s="17">
        <v>-3184660000</v>
      </c>
      <c r="V85" s="17">
        <v>-2896000000</v>
      </c>
    </row>
    <row r="86" spans="1:22" x14ac:dyDescent="0.2">
      <c r="A86" s="746" t="s">
        <v>254</v>
      </c>
      <c r="B86" s="757" t="s">
        <v>97</v>
      </c>
      <c r="C86" s="45" t="s">
        <v>32</v>
      </c>
      <c r="D86" s="757" t="s">
        <v>21</v>
      </c>
      <c r="E86" s="757" t="s">
        <v>41</v>
      </c>
      <c r="F86" s="45" t="s">
        <v>61</v>
      </c>
      <c r="G86" s="45" t="s">
        <v>20</v>
      </c>
      <c r="H86" s="45" t="s">
        <v>100</v>
      </c>
      <c r="I86" s="45" t="s">
        <v>42</v>
      </c>
      <c r="J86" s="45" t="s">
        <v>202</v>
      </c>
      <c r="K86" s="45" t="s">
        <v>64</v>
      </c>
      <c r="L86" s="675"/>
      <c r="M86" s="751" t="s">
        <v>18</v>
      </c>
      <c r="N86" s="45" t="s">
        <v>43</v>
      </c>
      <c r="O86" s="45" t="s">
        <v>36</v>
      </c>
      <c r="P86" s="45" t="s">
        <v>14</v>
      </c>
      <c r="Q86" s="45" t="s">
        <v>16</v>
      </c>
      <c r="R86" s="45" t="s">
        <v>62</v>
      </c>
      <c r="S86" s="45" t="s">
        <v>83</v>
      </c>
      <c r="T86" s="45" t="s">
        <v>35</v>
      </c>
      <c r="U86" s="45" t="s">
        <v>26</v>
      </c>
      <c r="V86" s="45" t="s">
        <v>24</v>
      </c>
    </row>
    <row r="87" spans="1:22" x14ac:dyDescent="0.2">
      <c r="A87" s="746" t="s">
        <v>254</v>
      </c>
      <c r="B87" s="767">
        <v>44295690000</v>
      </c>
      <c r="C87" s="17">
        <v>14572020000</v>
      </c>
      <c r="D87" s="758">
        <v>13522610000</v>
      </c>
      <c r="E87" s="758">
        <v>12571420000</v>
      </c>
      <c r="F87" s="17">
        <v>11520710000</v>
      </c>
      <c r="G87" s="17">
        <v>9587525000</v>
      </c>
      <c r="H87" s="17">
        <v>5712475000</v>
      </c>
      <c r="I87" s="17">
        <v>4870167000</v>
      </c>
      <c r="J87" s="17">
        <v>2597935000</v>
      </c>
      <c r="K87" s="17">
        <v>2114775000</v>
      </c>
      <c r="L87" s="675"/>
      <c r="M87" s="752">
        <v>-53781040000</v>
      </c>
      <c r="N87" s="17">
        <v>-42419790000</v>
      </c>
      <c r="O87" s="17">
        <v>-41795310000</v>
      </c>
      <c r="P87" s="17">
        <v>-29359135000</v>
      </c>
      <c r="Q87" s="17">
        <v>-23415305000</v>
      </c>
      <c r="R87" s="17">
        <v>-19657135000</v>
      </c>
      <c r="S87" s="17">
        <v>-19270890000</v>
      </c>
      <c r="T87" s="17">
        <v>-13930250000</v>
      </c>
      <c r="U87" s="17">
        <v>-11127920000</v>
      </c>
      <c r="V87" s="17">
        <v>-9838120000</v>
      </c>
    </row>
    <row r="88" spans="1:22" x14ac:dyDescent="0.2">
      <c r="A88" s="746" t="s">
        <v>253</v>
      </c>
      <c r="B88" s="757" t="s">
        <v>97</v>
      </c>
      <c r="C88" s="757" t="s">
        <v>21</v>
      </c>
      <c r="D88" s="45" t="s">
        <v>175</v>
      </c>
      <c r="E88" s="757" t="s">
        <v>41</v>
      </c>
      <c r="F88" s="45" t="s">
        <v>20</v>
      </c>
      <c r="G88" s="45" t="s">
        <v>102</v>
      </c>
      <c r="H88" s="45" t="s">
        <v>32</v>
      </c>
      <c r="I88" s="45" t="s">
        <v>320</v>
      </c>
      <c r="J88" s="45" t="s">
        <v>299</v>
      </c>
      <c r="K88" s="45" t="s">
        <v>315</v>
      </c>
      <c r="L88" s="675"/>
      <c r="M88" s="751" t="s">
        <v>18</v>
      </c>
      <c r="N88" s="45" t="s">
        <v>36</v>
      </c>
      <c r="O88" s="45" t="s">
        <v>83</v>
      </c>
      <c r="P88" s="45" t="s">
        <v>35</v>
      </c>
      <c r="Q88" s="45" t="s">
        <v>38</v>
      </c>
      <c r="R88" s="45" t="s">
        <v>26</v>
      </c>
      <c r="S88" s="45" t="s">
        <v>68</v>
      </c>
      <c r="T88" s="45" t="s">
        <v>37</v>
      </c>
      <c r="U88" s="45" t="s">
        <v>19</v>
      </c>
      <c r="V88" s="45" t="s">
        <v>14</v>
      </c>
    </row>
    <row r="89" spans="1:22" x14ac:dyDescent="0.2">
      <c r="A89" s="746" t="s">
        <v>253</v>
      </c>
      <c r="B89" s="768">
        <v>39353415000</v>
      </c>
      <c r="C89" s="773">
        <v>27959180000</v>
      </c>
      <c r="D89" s="17">
        <v>25832355000</v>
      </c>
      <c r="E89" s="758">
        <v>24220970000</v>
      </c>
      <c r="F89" s="17">
        <v>6934260000</v>
      </c>
      <c r="G89" s="17">
        <v>4867815000</v>
      </c>
      <c r="H89" s="17">
        <v>4326400000</v>
      </c>
      <c r="I89" s="17">
        <v>2415000000</v>
      </c>
      <c r="J89" s="17">
        <v>1719378000</v>
      </c>
      <c r="K89" s="17">
        <v>1397970000</v>
      </c>
      <c r="L89" s="675"/>
      <c r="M89" s="775">
        <v>-239788520000</v>
      </c>
      <c r="N89" s="17">
        <v>-169115750000</v>
      </c>
      <c r="O89" s="17">
        <v>-92177335000</v>
      </c>
      <c r="P89" s="17">
        <v>-78073915000</v>
      </c>
      <c r="Q89" s="17">
        <v>-77397840000</v>
      </c>
      <c r="R89" s="17">
        <v>-40489320000</v>
      </c>
      <c r="S89" s="17">
        <v>-27296342000</v>
      </c>
      <c r="T89" s="17">
        <v>-23755535000</v>
      </c>
      <c r="U89" s="17">
        <v>-23203435000</v>
      </c>
      <c r="V89" s="17">
        <v>-20893805000</v>
      </c>
    </row>
    <row r="90" spans="1:22" x14ac:dyDescent="0.2">
      <c r="A90" s="746" t="s">
        <v>252</v>
      </c>
      <c r="B90" s="757" t="s">
        <v>16</v>
      </c>
      <c r="C90" s="757" t="s">
        <v>21</v>
      </c>
      <c r="D90" s="757" t="s">
        <v>97</v>
      </c>
      <c r="E90" s="757" t="s">
        <v>41</v>
      </c>
      <c r="F90" s="45" t="s">
        <v>20</v>
      </c>
      <c r="G90" s="45" t="s">
        <v>13</v>
      </c>
      <c r="H90" s="45" t="s">
        <v>5</v>
      </c>
      <c r="I90" s="45" t="s">
        <v>67</v>
      </c>
      <c r="J90" s="45" t="s">
        <v>83</v>
      </c>
      <c r="K90" s="45" t="s">
        <v>79</v>
      </c>
      <c r="L90" s="675"/>
      <c r="M90" s="751" t="s">
        <v>36</v>
      </c>
      <c r="N90" s="45" t="s">
        <v>15</v>
      </c>
      <c r="O90" s="45" t="s">
        <v>175</v>
      </c>
      <c r="P90" s="45" t="s">
        <v>7</v>
      </c>
      <c r="Q90" s="45" t="s">
        <v>60</v>
      </c>
      <c r="R90" s="45" t="s">
        <v>18</v>
      </c>
      <c r="S90" s="45" t="s">
        <v>38</v>
      </c>
      <c r="T90" s="45" t="s">
        <v>32</v>
      </c>
      <c r="U90" s="45" t="s">
        <v>68</v>
      </c>
      <c r="V90" s="45" t="s">
        <v>89</v>
      </c>
    </row>
    <row r="91" spans="1:22" x14ac:dyDescent="0.2">
      <c r="A91" s="746" t="s">
        <v>252</v>
      </c>
      <c r="B91" s="758">
        <v>164145465000</v>
      </c>
      <c r="C91" s="774">
        <v>22085200000</v>
      </c>
      <c r="D91" s="758">
        <v>18298425000</v>
      </c>
      <c r="E91" s="758">
        <v>17891695000</v>
      </c>
      <c r="F91" s="17">
        <v>17824125000</v>
      </c>
      <c r="G91" s="17">
        <v>14900710000</v>
      </c>
      <c r="H91" s="17">
        <v>14151878000</v>
      </c>
      <c r="I91" s="17">
        <v>8101930000</v>
      </c>
      <c r="J91" s="17">
        <v>7714882000</v>
      </c>
      <c r="K91" s="17">
        <v>6549320000</v>
      </c>
      <c r="L91" s="675"/>
      <c r="M91" s="752">
        <v>-240618610000</v>
      </c>
      <c r="N91" s="17">
        <v>-15543631000</v>
      </c>
      <c r="O91" s="17">
        <v>-10141951000</v>
      </c>
      <c r="P91" s="495">
        <v>-9899490000</v>
      </c>
      <c r="Q91" s="17">
        <v>-8876100000</v>
      </c>
      <c r="R91" s="17">
        <v>-6153920000</v>
      </c>
      <c r="S91" s="17">
        <v>-1212931000</v>
      </c>
      <c r="T91" s="17">
        <v>-1147000000</v>
      </c>
      <c r="U91" s="17">
        <v>-229570000</v>
      </c>
      <c r="V91" s="17">
        <v>-1800000</v>
      </c>
    </row>
    <row r="92" spans="1:22" x14ac:dyDescent="0.2">
      <c r="A92" s="746" t="s">
        <v>251</v>
      </c>
      <c r="B92" s="757" t="s">
        <v>16</v>
      </c>
      <c r="C92" s="757" t="s">
        <v>21</v>
      </c>
      <c r="D92" s="45" t="s">
        <v>79</v>
      </c>
      <c r="E92" s="45" t="s">
        <v>32</v>
      </c>
      <c r="F92" s="45" t="s">
        <v>199</v>
      </c>
      <c r="G92" s="45" t="s">
        <v>75</v>
      </c>
      <c r="H92" s="45" t="s">
        <v>111</v>
      </c>
      <c r="I92" s="45" t="s">
        <v>60</v>
      </c>
      <c r="J92" s="45" t="s">
        <v>82</v>
      </c>
      <c r="K92" s="45" t="s">
        <v>71</v>
      </c>
      <c r="L92" s="675"/>
      <c r="M92" s="751" t="s">
        <v>36</v>
      </c>
      <c r="N92" s="45" t="s">
        <v>18</v>
      </c>
      <c r="O92" s="45" t="s">
        <v>83</v>
      </c>
      <c r="P92" s="45" t="s">
        <v>35</v>
      </c>
      <c r="Q92" s="45" t="s">
        <v>15</v>
      </c>
      <c r="R92" s="45" t="s">
        <v>14</v>
      </c>
      <c r="S92" s="45" t="s">
        <v>43</v>
      </c>
      <c r="T92" s="45" t="s">
        <v>62</v>
      </c>
      <c r="U92" s="45" t="s">
        <v>38</v>
      </c>
      <c r="V92" s="45" t="s">
        <v>27</v>
      </c>
    </row>
    <row r="93" spans="1:22" x14ac:dyDescent="0.2">
      <c r="A93" s="746" t="s">
        <v>251</v>
      </c>
      <c r="B93" s="758">
        <v>66804980000</v>
      </c>
      <c r="C93" s="758">
        <v>10913640000</v>
      </c>
      <c r="D93" s="17">
        <v>10857770000</v>
      </c>
      <c r="E93" s="17">
        <v>6103000000</v>
      </c>
      <c r="F93" s="17">
        <v>4405140000</v>
      </c>
      <c r="G93" s="17">
        <v>3780000000</v>
      </c>
      <c r="H93" s="17">
        <v>2998520000</v>
      </c>
      <c r="I93" s="17">
        <v>2730000000</v>
      </c>
      <c r="J93" s="17">
        <v>2524965000</v>
      </c>
      <c r="K93" s="17">
        <v>2408600000</v>
      </c>
      <c r="L93" s="675"/>
      <c r="M93" s="752">
        <v>-129715560000</v>
      </c>
      <c r="N93" s="17">
        <v>-105550470000</v>
      </c>
      <c r="O93" s="17">
        <v>-95308670000</v>
      </c>
      <c r="P93" s="17">
        <v>-79561315000</v>
      </c>
      <c r="Q93" s="17">
        <v>-67849970000</v>
      </c>
      <c r="R93" s="17">
        <v>-60085160000</v>
      </c>
      <c r="S93" s="17">
        <v>-45421354000</v>
      </c>
      <c r="T93" s="17">
        <v>-45291145000</v>
      </c>
      <c r="U93" s="17">
        <v>-43785845000</v>
      </c>
      <c r="V93" s="17">
        <v>-39867120000</v>
      </c>
    </row>
    <row r="94" spans="1:22" x14ac:dyDescent="0.2">
      <c r="A94" s="746" t="s">
        <v>250</v>
      </c>
      <c r="B94" s="757" t="s">
        <v>16</v>
      </c>
      <c r="C94" s="45" t="s">
        <v>20</v>
      </c>
      <c r="D94" s="45" t="s">
        <v>61</v>
      </c>
      <c r="E94" s="45" t="s">
        <v>100</v>
      </c>
      <c r="F94" s="45" t="s">
        <v>31</v>
      </c>
      <c r="G94" s="45" t="s">
        <v>28</v>
      </c>
      <c r="H94" s="45" t="s">
        <v>315</v>
      </c>
      <c r="I94" s="45" t="s">
        <v>21</v>
      </c>
      <c r="J94" s="45" t="s">
        <v>79</v>
      </c>
      <c r="K94" s="45" t="s">
        <v>7</v>
      </c>
      <c r="L94" s="675"/>
      <c r="M94" s="45" t="s">
        <v>67</v>
      </c>
      <c r="N94" s="45" t="s">
        <v>107</v>
      </c>
      <c r="O94" s="45" t="s">
        <v>83</v>
      </c>
      <c r="P94" s="45" t="s">
        <v>35</v>
      </c>
      <c r="Q94" s="45" t="s">
        <v>62</v>
      </c>
      <c r="R94" s="45" t="s">
        <v>24</v>
      </c>
      <c r="S94" s="45" t="s">
        <v>13</v>
      </c>
      <c r="T94" s="45" t="s">
        <v>27</v>
      </c>
      <c r="U94" s="45" t="s">
        <v>5</v>
      </c>
      <c r="V94" s="45" t="s">
        <v>26</v>
      </c>
    </row>
    <row r="95" spans="1:22" x14ac:dyDescent="0.2">
      <c r="A95" s="746" t="s">
        <v>250</v>
      </c>
      <c r="B95" s="758">
        <v>276423965000</v>
      </c>
      <c r="C95" s="17">
        <v>15936981000</v>
      </c>
      <c r="D95" s="17">
        <v>15459615000</v>
      </c>
      <c r="E95" s="17">
        <v>12258565000</v>
      </c>
      <c r="F95" s="490">
        <v>12125710000</v>
      </c>
      <c r="G95" s="17">
        <v>10478860000</v>
      </c>
      <c r="H95" s="491">
        <v>10201160000</v>
      </c>
      <c r="I95" s="17">
        <v>9947190000</v>
      </c>
      <c r="J95" s="17">
        <v>9855880000</v>
      </c>
      <c r="K95" s="17">
        <v>9560000000</v>
      </c>
      <c r="L95" s="675"/>
      <c r="M95" s="17">
        <v>-20298040000</v>
      </c>
      <c r="N95" s="492">
        <v>-15248560000</v>
      </c>
      <c r="O95" s="17">
        <v>-14732010000</v>
      </c>
      <c r="P95" s="17">
        <v>-13215150000</v>
      </c>
      <c r="Q95" s="17">
        <v>-11268575000</v>
      </c>
      <c r="R95" s="17">
        <v>-10117370000</v>
      </c>
      <c r="S95" s="17">
        <v>-10048270000</v>
      </c>
      <c r="T95" s="17">
        <v>-8936245000</v>
      </c>
      <c r="U95" s="17">
        <v>-8595791000</v>
      </c>
      <c r="V95" s="17">
        <v>-7128010000</v>
      </c>
    </row>
    <row r="96" spans="1:22" x14ac:dyDescent="0.2">
      <c r="A96" s="746" t="s">
        <v>249</v>
      </c>
      <c r="B96" s="45" t="s">
        <v>36</v>
      </c>
      <c r="C96" s="45" t="s">
        <v>38</v>
      </c>
      <c r="D96" s="45" t="s">
        <v>175</v>
      </c>
      <c r="E96" s="45" t="s">
        <v>18</v>
      </c>
      <c r="F96" s="45" t="s">
        <v>15</v>
      </c>
      <c r="G96" s="45" t="s">
        <v>19</v>
      </c>
      <c r="H96" s="45" t="s">
        <v>35</v>
      </c>
      <c r="I96" s="45" t="s">
        <v>83</v>
      </c>
      <c r="J96" s="45" t="s">
        <v>61</v>
      </c>
      <c r="K96" s="45" t="s">
        <v>43</v>
      </c>
      <c r="L96" s="675"/>
      <c r="M96" s="45" t="s">
        <v>14</v>
      </c>
      <c r="N96" s="45" t="s">
        <v>25</v>
      </c>
      <c r="O96" s="45" t="s">
        <v>10</v>
      </c>
      <c r="P96" s="45" t="s">
        <v>199</v>
      </c>
      <c r="Q96" s="45" t="s">
        <v>45</v>
      </c>
      <c r="R96" s="45" t="s">
        <v>280</v>
      </c>
      <c r="S96" s="45" t="s">
        <v>39</v>
      </c>
      <c r="T96" s="45" t="s">
        <v>82</v>
      </c>
      <c r="U96" s="45" t="s">
        <v>60</v>
      </c>
      <c r="V96" s="45" t="s">
        <v>27</v>
      </c>
    </row>
    <row r="97" spans="1:22" x14ac:dyDescent="0.2">
      <c r="A97" s="746" t="s">
        <v>249</v>
      </c>
      <c r="B97" s="17">
        <v>54687700000</v>
      </c>
      <c r="C97" s="17">
        <v>53203088000</v>
      </c>
      <c r="D97" s="17">
        <v>38452090000</v>
      </c>
      <c r="E97" s="17">
        <v>36789950000</v>
      </c>
      <c r="F97" s="17">
        <v>36311845000</v>
      </c>
      <c r="G97" s="17">
        <v>31414635000</v>
      </c>
      <c r="H97" s="17">
        <v>27226185000</v>
      </c>
      <c r="I97" s="17">
        <v>20248580000</v>
      </c>
      <c r="J97" s="17">
        <v>18229970000</v>
      </c>
      <c r="K97" s="17">
        <v>17906810000</v>
      </c>
      <c r="L97" s="675"/>
      <c r="M97" s="17">
        <v>-44774315000</v>
      </c>
      <c r="N97" s="17">
        <v>-2279050000</v>
      </c>
      <c r="O97" s="17">
        <v>14560000</v>
      </c>
      <c r="P97" s="17">
        <v>1228420000</v>
      </c>
      <c r="Q97" s="17">
        <v>1365695000</v>
      </c>
      <c r="R97" s="17">
        <v>1391000000</v>
      </c>
      <c r="S97" s="17">
        <v>1740770000</v>
      </c>
      <c r="T97" s="17">
        <v>2681740000</v>
      </c>
      <c r="U97" s="17">
        <v>2745000000</v>
      </c>
      <c r="V97" s="17">
        <v>2913865000</v>
      </c>
    </row>
    <row r="98" spans="1:22" x14ac:dyDescent="0.2">
      <c r="A98" s="746" t="s">
        <v>248</v>
      </c>
      <c r="B98" s="45" t="s">
        <v>38</v>
      </c>
      <c r="C98" s="45" t="s">
        <v>14</v>
      </c>
      <c r="D98" s="45" t="s">
        <v>71</v>
      </c>
      <c r="E98" s="45" t="s">
        <v>28</v>
      </c>
      <c r="F98" s="45" t="s">
        <v>21</v>
      </c>
      <c r="G98" s="45" t="s">
        <v>315</v>
      </c>
      <c r="H98" s="45" t="s">
        <v>97</v>
      </c>
      <c r="I98" s="45" t="s">
        <v>41</v>
      </c>
      <c r="J98" s="45" t="s">
        <v>8</v>
      </c>
      <c r="K98" s="45" t="s">
        <v>31</v>
      </c>
      <c r="L98" s="675"/>
      <c r="M98" s="45" t="s">
        <v>36</v>
      </c>
      <c r="N98" s="45" t="s">
        <v>83</v>
      </c>
      <c r="O98" s="45" t="s">
        <v>16</v>
      </c>
      <c r="P98" s="45" t="s">
        <v>35</v>
      </c>
      <c r="Q98" s="45" t="s">
        <v>18</v>
      </c>
      <c r="R98" s="45" t="s">
        <v>338</v>
      </c>
      <c r="S98" s="45" t="s">
        <v>27</v>
      </c>
      <c r="T98" s="45" t="s">
        <v>15</v>
      </c>
      <c r="U98" s="45" t="s">
        <v>13</v>
      </c>
      <c r="V98" s="45" t="s">
        <v>67</v>
      </c>
    </row>
    <row r="99" spans="1:22" x14ac:dyDescent="0.2">
      <c r="A99" s="746" t="s">
        <v>248</v>
      </c>
      <c r="B99" s="17">
        <v>61632170000</v>
      </c>
      <c r="C99" s="17">
        <v>36053845000</v>
      </c>
      <c r="D99" s="17">
        <v>8942250000</v>
      </c>
      <c r="E99" s="17">
        <v>8523740000</v>
      </c>
      <c r="F99" s="17">
        <v>7101370000</v>
      </c>
      <c r="G99" s="17">
        <v>7029100000</v>
      </c>
      <c r="H99" s="17">
        <v>6738365000</v>
      </c>
      <c r="I99" s="17">
        <v>6617650000</v>
      </c>
      <c r="J99" s="17">
        <v>6481345000</v>
      </c>
      <c r="K99" s="17">
        <v>6258260000</v>
      </c>
      <c r="L99" s="675"/>
      <c r="M99" s="17">
        <v>-51395160000</v>
      </c>
      <c r="N99" s="17">
        <v>-48087870000</v>
      </c>
      <c r="O99" s="17">
        <v>-46521862000</v>
      </c>
      <c r="P99" s="17">
        <v>-41549265000</v>
      </c>
      <c r="Q99" s="17">
        <v>-28203065000</v>
      </c>
      <c r="R99" s="486">
        <v>-27223950000</v>
      </c>
      <c r="S99" s="17">
        <v>-22598990000</v>
      </c>
      <c r="T99" s="17">
        <v>-21663535000</v>
      </c>
      <c r="U99" s="17">
        <v>-18281340000</v>
      </c>
      <c r="V99" s="17">
        <v>-15908640000</v>
      </c>
    </row>
    <row r="100" spans="1:22" x14ac:dyDescent="0.2">
      <c r="A100" s="746" t="s">
        <v>247</v>
      </c>
      <c r="B100" s="45" t="s">
        <v>16</v>
      </c>
      <c r="C100" s="45" t="s">
        <v>15</v>
      </c>
      <c r="D100" s="45" t="s">
        <v>36</v>
      </c>
      <c r="E100" s="45" t="s">
        <v>38</v>
      </c>
      <c r="F100" s="45" t="s">
        <v>83</v>
      </c>
      <c r="G100" s="45" t="s">
        <v>35</v>
      </c>
      <c r="H100" s="45" t="s">
        <v>5</v>
      </c>
      <c r="I100" s="45" t="s">
        <v>18</v>
      </c>
      <c r="J100" s="45" t="s">
        <v>13</v>
      </c>
      <c r="K100" s="45" t="s">
        <v>24</v>
      </c>
      <c r="L100" s="675"/>
      <c r="M100" s="45" t="s">
        <v>14</v>
      </c>
      <c r="N100" s="45" t="s">
        <v>60</v>
      </c>
      <c r="O100" s="45" t="s">
        <v>39</v>
      </c>
      <c r="P100" s="45" t="s">
        <v>25</v>
      </c>
      <c r="Q100" s="45" t="s">
        <v>26</v>
      </c>
      <c r="R100" s="45" t="s">
        <v>280</v>
      </c>
      <c r="S100" s="45" t="s">
        <v>61</v>
      </c>
      <c r="T100" s="45" t="s">
        <v>351</v>
      </c>
      <c r="U100" s="45" t="s">
        <v>20</v>
      </c>
      <c r="V100" s="45" t="s">
        <v>175</v>
      </c>
    </row>
    <row r="101" spans="1:22" x14ac:dyDescent="0.2">
      <c r="A101" s="746" t="s">
        <v>247</v>
      </c>
      <c r="B101" s="481">
        <v>514517373000</v>
      </c>
      <c r="C101" s="17">
        <v>94669976000</v>
      </c>
      <c r="D101" s="17">
        <v>76186619000</v>
      </c>
      <c r="E101" s="17">
        <v>66428110000</v>
      </c>
      <c r="F101" s="17">
        <v>62006885000</v>
      </c>
      <c r="G101" s="17">
        <v>60107970000</v>
      </c>
      <c r="H101" s="17">
        <v>59430728000</v>
      </c>
      <c r="I101" s="17">
        <v>54211390000</v>
      </c>
      <c r="J101" s="482">
        <v>42813310000</v>
      </c>
      <c r="K101" s="17">
        <v>39962240000</v>
      </c>
      <c r="L101" s="675"/>
      <c r="M101" s="17">
        <v>-25055410000</v>
      </c>
      <c r="N101" s="17">
        <v>1700000000</v>
      </c>
      <c r="O101" s="17">
        <v>2029160000</v>
      </c>
      <c r="P101" s="17">
        <v>2250820000</v>
      </c>
      <c r="Q101" s="17">
        <v>2380490000</v>
      </c>
      <c r="R101" s="17">
        <v>2650800000</v>
      </c>
      <c r="S101" s="17">
        <v>2866130000</v>
      </c>
      <c r="T101" s="17">
        <v>4440535000</v>
      </c>
      <c r="U101" s="17">
        <v>4463395000</v>
      </c>
      <c r="V101" s="17">
        <v>4665570000</v>
      </c>
    </row>
    <row r="102" spans="1:22" x14ac:dyDescent="0.2">
      <c r="A102" s="746" t="s">
        <v>246</v>
      </c>
      <c r="B102" s="45" t="s">
        <v>18</v>
      </c>
      <c r="C102" s="45" t="s">
        <v>36</v>
      </c>
      <c r="D102" s="45" t="s">
        <v>35</v>
      </c>
      <c r="E102" s="45" t="s">
        <v>16</v>
      </c>
      <c r="F102" s="45" t="s">
        <v>15</v>
      </c>
      <c r="G102" s="45" t="s">
        <v>38</v>
      </c>
      <c r="H102" s="45" t="s">
        <v>41</v>
      </c>
      <c r="I102" s="45" t="s">
        <v>32</v>
      </c>
      <c r="J102" s="45" t="s">
        <v>338</v>
      </c>
      <c r="K102" s="45" t="s">
        <v>26</v>
      </c>
      <c r="L102" s="675"/>
      <c r="M102" s="45" t="s">
        <v>14</v>
      </c>
      <c r="N102" s="45" t="s">
        <v>25</v>
      </c>
      <c r="O102" s="45" t="s">
        <v>60</v>
      </c>
      <c r="P102" s="45" t="s">
        <v>10</v>
      </c>
      <c r="Q102" s="45" t="s">
        <v>21</v>
      </c>
      <c r="R102" s="45" t="s">
        <v>66</v>
      </c>
      <c r="S102" s="45" t="s">
        <v>65</v>
      </c>
      <c r="T102" s="45" t="s">
        <v>199</v>
      </c>
      <c r="U102" s="45" t="s">
        <v>30</v>
      </c>
      <c r="V102" s="45" t="s">
        <v>39</v>
      </c>
    </row>
    <row r="103" spans="1:22" x14ac:dyDescent="0.2">
      <c r="A103" s="746" t="s">
        <v>246</v>
      </c>
      <c r="B103" s="17">
        <v>66226775000</v>
      </c>
      <c r="C103" s="17">
        <v>65480970000</v>
      </c>
      <c r="D103" s="17">
        <v>50855045000</v>
      </c>
      <c r="E103" s="17">
        <v>43673640000</v>
      </c>
      <c r="F103" s="17">
        <v>37307055000</v>
      </c>
      <c r="G103" s="17">
        <v>36950170000</v>
      </c>
      <c r="H103" s="17">
        <v>32314750000</v>
      </c>
      <c r="I103" s="476">
        <v>30838530000</v>
      </c>
      <c r="J103" s="477">
        <v>28462500000</v>
      </c>
      <c r="K103" s="17">
        <v>28161280000</v>
      </c>
      <c r="L103" s="675"/>
      <c r="M103" s="17">
        <v>-68554435000</v>
      </c>
      <c r="N103" s="17">
        <v>-6058195000</v>
      </c>
      <c r="O103" s="17">
        <v>-2768000000</v>
      </c>
      <c r="P103" s="17">
        <v>-132330000</v>
      </c>
      <c r="Q103" s="17">
        <v>-92290000</v>
      </c>
      <c r="R103" s="17">
        <v>727410000</v>
      </c>
      <c r="S103" s="17">
        <v>1473920000</v>
      </c>
      <c r="T103" s="17">
        <v>1903825000</v>
      </c>
      <c r="U103" s="17">
        <v>2038655000</v>
      </c>
      <c r="V103" s="17">
        <v>2161400000</v>
      </c>
    </row>
    <row r="104" spans="1:22" x14ac:dyDescent="0.2">
      <c r="A104" s="746" t="s">
        <v>245</v>
      </c>
      <c r="B104" s="45" t="s">
        <v>18</v>
      </c>
      <c r="C104" s="45" t="s">
        <v>27</v>
      </c>
      <c r="D104" s="45" t="s">
        <v>14</v>
      </c>
      <c r="E104" s="45" t="s">
        <v>24</v>
      </c>
      <c r="F104" s="45" t="s">
        <v>15</v>
      </c>
      <c r="G104" s="45" t="s">
        <v>41</v>
      </c>
      <c r="H104" s="45" t="s">
        <v>67</v>
      </c>
      <c r="I104" s="45" t="s">
        <v>5</v>
      </c>
      <c r="J104" s="45" t="s">
        <v>13</v>
      </c>
      <c r="K104" s="45" t="s">
        <v>107</v>
      </c>
      <c r="L104" s="675"/>
      <c r="M104" s="45" t="s">
        <v>43</v>
      </c>
      <c r="N104" s="45" t="s">
        <v>83</v>
      </c>
      <c r="O104" s="45" t="s">
        <v>36</v>
      </c>
      <c r="P104" s="45" t="s">
        <v>38</v>
      </c>
      <c r="Q104" s="45" t="s">
        <v>351</v>
      </c>
      <c r="R104" s="45" t="s">
        <v>39</v>
      </c>
      <c r="S104" s="45" t="s">
        <v>6</v>
      </c>
      <c r="T104" s="45" t="s">
        <v>37</v>
      </c>
      <c r="U104" s="45" t="s">
        <v>65</v>
      </c>
      <c r="V104" s="45" t="s">
        <v>40</v>
      </c>
    </row>
    <row r="105" spans="1:22" x14ac:dyDescent="0.2">
      <c r="A105" s="746" t="s">
        <v>245</v>
      </c>
      <c r="B105" s="17">
        <v>37869090000</v>
      </c>
      <c r="C105" s="17">
        <v>28295595000</v>
      </c>
      <c r="D105" s="17">
        <v>16766655000</v>
      </c>
      <c r="E105" s="17">
        <v>16597110000</v>
      </c>
      <c r="F105" s="17">
        <v>15816480000</v>
      </c>
      <c r="G105" s="17">
        <v>11332180000</v>
      </c>
      <c r="H105" s="17">
        <v>8195770000</v>
      </c>
      <c r="I105" s="17">
        <v>7600120000</v>
      </c>
      <c r="J105" s="17">
        <v>7544860000</v>
      </c>
      <c r="K105" s="17">
        <v>6607730000</v>
      </c>
      <c r="L105" s="675"/>
      <c r="M105" s="17">
        <v>-20490830000</v>
      </c>
      <c r="N105" s="17">
        <v>-16060505000</v>
      </c>
      <c r="O105" s="17">
        <v>-14408100000</v>
      </c>
      <c r="P105" s="17">
        <v>-11770310000</v>
      </c>
      <c r="Q105" s="474">
        <v>-8077083000</v>
      </c>
      <c r="R105" s="17">
        <v>-7015420000</v>
      </c>
      <c r="S105" s="17">
        <v>-6440960000</v>
      </c>
      <c r="T105" s="17">
        <v>-5065945000</v>
      </c>
      <c r="U105" s="17">
        <v>-5016915000</v>
      </c>
      <c r="V105" s="17">
        <v>-3688091000</v>
      </c>
    </row>
    <row r="106" spans="1:22" x14ac:dyDescent="0.2">
      <c r="A106" s="746" t="s">
        <v>244</v>
      </c>
      <c r="B106" s="45" t="s">
        <v>439</v>
      </c>
      <c r="C106" s="45" t="s">
        <v>24</v>
      </c>
      <c r="D106" s="45" t="s">
        <v>61</v>
      </c>
      <c r="E106" s="45" t="s">
        <v>62</v>
      </c>
      <c r="F106" s="45" t="s">
        <v>39</v>
      </c>
      <c r="G106" s="45" t="s">
        <v>107</v>
      </c>
      <c r="H106" s="45" t="s">
        <v>73</v>
      </c>
      <c r="I106" s="45" t="s">
        <v>37</v>
      </c>
      <c r="J106" s="45" t="s">
        <v>351</v>
      </c>
      <c r="K106" s="45" t="s">
        <v>43</v>
      </c>
      <c r="L106" s="675"/>
      <c r="M106" s="45" t="s">
        <v>14</v>
      </c>
      <c r="N106" s="45" t="s">
        <v>16</v>
      </c>
      <c r="O106" s="45" t="s">
        <v>15</v>
      </c>
      <c r="P106" s="45" t="s">
        <v>192</v>
      </c>
      <c r="Q106" s="45" t="s">
        <v>25</v>
      </c>
      <c r="R106" s="45" t="s">
        <v>10</v>
      </c>
      <c r="S106" s="45" t="s">
        <v>83</v>
      </c>
      <c r="T106" s="45" t="s">
        <v>6</v>
      </c>
      <c r="U106" s="45" t="s">
        <v>20</v>
      </c>
      <c r="V106" s="45" t="s">
        <v>30</v>
      </c>
    </row>
    <row r="107" spans="1:22" x14ac:dyDescent="0.2">
      <c r="A107" s="746" t="s">
        <v>244</v>
      </c>
      <c r="B107" s="17">
        <v>442380945000</v>
      </c>
      <c r="C107" s="17">
        <v>17525210000</v>
      </c>
      <c r="D107" s="17">
        <v>15243810000</v>
      </c>
      <c r="E107" s="17">
        <v>11469800000</v>
      </c>
      <c r="F107" s="17">
        <v>10626030000</v>
      </c>
      <c r="G107" s="17">
        <v>9557110000</v>
      </c>
      <c r="H107" s="17">
        <v>8608805000</v>
      </c>
      <c r="I107" s="17">
        <v>5724745000</v>
      </c>
      <c r="J107" s="471">
        <v>5663798000</v>
      </c>
      <c r="K107" s="17">
        <v>5416080000</v>
      </c>
      <c r="L107" s="675"/>
      <c r="M107" s="17">
        <v>-26945990000</v>
      </c>
      <c r="N107" s="17">
        <v>-15524755000</v>
      </c>
      <c r="O107" s="17">
        <v>-10636085000</v>
      </c>
      <c r="P107" s="17">
        <v>-8148210000</v>
      </c>
      <c r="Q107" s="17">
        <v>-7757990000</v>
      </c>
      <c r="R107" s="17">
        <v>-3941200000</v>
      </c>
      <c r="S107" s="17">
        <v>-3883970000</v>
      </c>
      <c r="T107" s="17">
        <v>-2449520000</v>
      </c>
      <c r="U107" s="17">
        <v>-2316325000</v>
      </c>
      <c r="V107" s="17">
        <v>-2271905000</v>
      </c>
    </row>
    <row r="108" spans="1:22" x14ac:dyDescent="0.2">
      <c r="A108" s="746" t="s">
        <v>243</v>
      </c>
      <c r="B108" s="757" t="s">
        <v>41</v>
      </c>
      <c r="C108" s="45" t="s">
        <v>32</v>
      </c>
      <c r="D108" s="45" t="s">
        <v>79</v>
      </c>
      <c r="E108" s="45" t="s">
        <v>73</v>
      </c>
      <c r="F108" s="45" t="s">
        <v>107</v>
      </c>
      <c r="G108" s="45" t="s">
        <v>351</v>
      </c>
      <c r="H108" s="45" t="s">
        <v>97</v>
      </c>
      <c r="I108" s="45" t="s">
        <v>185</v>
      </c>
      <c r="J108" s="45" t="s">
        <v>348</v>
      </c>
      <c r="K108" s="45" t="s">
        <v>64</v>
      </c>
      <c r="L108" s="675"/>
      <c r="M108" s="45" t="s">
        <v>38</v>
      </c>
      <c r="N108" s="45" t="s">
        <v>14</v>
      </c>
      <c r="O108" s="45" t="s">
        <v>18</v>
      </c>
      <c r="P108" s="45" t="s">
        <v>36</v>
      </c>
      <c r="Q108" s="45" t="s">
        <v>15</v>
      </c>
      <c r="R108" s="45" t="s">
        <v>43</v>
      </c>
      <c r="S108" s="45" t="s">
        <v>35</v>
      </c>
      <c r="T108" s="45" t="s">
        <v>16</v>
      </c>
      <c r="U108" s="45" t="s">
        <v>83</v>
      </c>
      <c r="V108" s="45" t="s">
        <v>62</v>
      </c>
    </row>
    <row r="109" spans="1:22" x14ac:dyDescent="0.2">
      <c r="A109" s="746" t="s">
        <v>243</v>
      </c>
      <c r="B109" s="769">
        <v>57129410000</v>
      </c>
      <c r="C109" s="17">
        <v>23060000000</v>
      </c>
      <c r="D109" s="17">
        <v>19933480000</v>
      </c>
      <c r="E109" s="17">
        <v>18941550000</v>
      </c>
      <c r="F109" s="17">
        <v>9535960000</v>
      </c>
      <c r="G109" s="17">
        <v>5259475000</v>
      </c>
      <c r="H109" s="17">
        <v>3391160000</v>
      </c>
      <c r="I109" s="17">
        <v>2760190000</v>
      </c>
      <c r="J109" s="17">
        <v>1804270000</v>
      </c>
      <c r="K109" s="17">
        <v>1472645000</v>
      </c>
      <c r="L109" s="675"/>
      <c r="M109" s="467">
        <v>-257077975000</v>
      </c>
      <c r="N109" s="17">
        <v>-46354985000</v>
      </c>
      <c r="O109" s="17">
        <v>-45560880000</v>
      </c>
      <c r="P109" s="17">
        <v>-45404430000</v>
      </c>
      <c r="Q109" s="17">
        <v>-29365520000</v>
      </c>
      <c r="R109" s="17">
        <v>-28727510000</v>
      </c>
      <c r="S109" s="17">
        <v>-26342985000</v>
      </c>
      <c r="T109" s="17">
        <v>-22938045000</v>
      </c>
      <c r="U109" s="17">
        <v>-18355235000</v>
      </c>
      <c r="V109" s="17">
        <v>-17788225000</v>
      </c>
    </row>
    <row r="110" spans="1:22" x14ac:dyDescent="0.2">
      <c r="A110" s="746" t="s">
        <v>242</v>
      </c>
      <c r="B110" s="757" t="s">
        <v>41</v>
      </c>
      <c r="C110" s="45" t="s">
        <v>79</v>
      </c>
      <c r="D110" s="45" t="s">
        <v>27</v>
      </c>
      <c r="E110" s="45" t="s">
        <v>107</v>
      </c>
      <c r="F110" s="45" t="s">
        <v>351</v>
      </c>
      <c r="G110" s="45" t="s">
        <v>32</v>
      </c>
      <c r="H110" s="45" t="s">
        <v>29</v>
      </c>
      <c r="I110" s="45" t="s">
        <v>185</v>
      </c>
      <c r="J110" s="45" t="s">
        <v>5</v>
      </c>
      <c r="K110" s="45" t="s">
        <v>24</v>
      </c>
      <c r="L110" s="675"/>
      <c r="M110" s="45" t="s">
        <v>18</v>
      </c>
      <c r="N110" s="45" t="s">
        <v>14</v>
      </c>
      <c r="O110" s="45" t="s">
        <v>26</v>
      </c>
      <c r="P110" s="45" t="s">
        <v>175</v>
      </c>
      <c r="Q110" s="45" t="s">
        <v>15</v>
      </c>
      <c r="R110" s="45" t="s">
        <v>43</v>
      </c>
      <c r="S110" s="45" t="s">
        <v>16</v>
      </c>
      <c r="T110" s="45" t="s">
        <v>21</v>
      </c>
      <c r="U110" s="45" t="s">
        <v>36</v>
      </c>
      <c r="V110" s="45" t="s">
        <v>19</v>
      </c>
    </row>
    <row r="111" spans="1:22" x14ac:dyDescent="0.2">
      <c r="A111" s="746" t="s">
        <v>242</v>
      </c>
      <c r="B111" s="758">
        <v>28115405000</v>
      </c>
      <c r="C111" s="17">
        <v>18816870000</v>
      </c>
      <c r="D111" s="17">
        <v>17197315000</v>
      </c>
      <c r="E111" s="17">
        <v>8103020000</v>
      </c>
      <c r="F111" s="462">
        <v>5595092000</v>
      </c>
      <c r="G111" s="17">
        <v>5498000000</v>
      </c>
      <c r="H111" s="17">
        <v>2683160000</v>
      </c>
      <c r="I111" s="17">
        <v>2545150000</v>
      </c>
      <c r="J111" s="17">
        <v>2535125000</v>
      </c>
      <c r="K111" s="17">
        <v>1437400000</v>
      </c>
      <c r="L111" s="675"/>
      <c r="M111" s="17">
        <v>-83525420000</v>
      </c>
      <c r="N111" s="17">
        <v>-32395215000</v>
      </c>
      <c r="O111" s="17">
        <v>-27731590000</v>
      </c>
      <c r="P111" s="463">
        <v>-25778470000</v>
      </c>
      <c r="Q111" s="17">
        <v>-25298720000</v>
      </c>
      <c r="R111" s="17">
        <v>-23253950000</v>
      </c>
      <c r="S111" s="17">
        <v>-15717815000</v>
      </c>
      <c r="T111" s="464">
        <v>-12738510000</v>
      </c>
      <c r="U111" s="17">
        <v>-12123590000</v>
      </c>
      <c r="V111" s="17">
        <v>-11297290000</v>
      </c>
    </row>
    <row r="112" spans="1:22" x14ac:dyDescent="0.2">
      <c r="A112" s="746" t="s">
        <v>241</v>
      </c>
      <c r="B112" s="757" t="s">
        <v>41</v>
      </c>
      <c r="C112" s="45" t="s">
        <v>18</v>
      </c>
      <c r="D112" s="45" t="s">
        <v>32</v>
      </c>
      <c r="E112" s="45" t="s">
        <v>109</v>
      </c>
      <c r="F112" s="45" t="s">
        <v>38</v>
      </c>
      <c r="G112" s="45" t="s">
        <v>43</v>
      </c>
      <c r="H112" s="45" t="s">
        <v>39</v>
      </c>
      <c r="I112" s="45" t="s">
        <v>28</v>
      </c>
      <c r="J112" s="45" t="s">
        <v>74</v>
      </c>
      <c r="K112" s="45" t="s">
        <v>185</v>
      </c>
      <c r="L112" s="675"/>
      <c r="M112" s="45" t="s">
        <v>14</v>
      </c>
      <c r="N112" s="45" t="s">
        <v>16</v>
      </c>
      <c r="O112" s="45" t="s">
        <v>27</v>
      </c>
      <c r="P112" s="45" t="s">
        <v>83</v>
      </c>
      <c r="Q112" s="45" t="s">
        <v>111</v>
      </c>
      <c r="R112" s="45" t="s">
        <v>35</v>
      </c>
      <c r="S112" s="45" t="s">
        <v>13</v>
      </c>
      <c r="T112" s="45" t="s">
        <v>15</v>
      </c>
      <c r="U112" s="45" t="s">
        <v>62</v>
      </c>
      <c r="V112" s="45" t="s">
        <v>24</v>
      </c>
    </row>
    <row r="113" spans="1:22" x14ac:dyDescent="0.2">
      <c r="A113" s="746" t="s">
        <v>241</v>
      </c>
      <c r="B113" s="758">
        <v>32343480000</v>
      </c>
      <c r="C113" s="17">
        <v>17568610000</v>
      </c>
      <c r="D113" s="17">
        <v>14805000000</v>
      </c>
      <c r="E113" s="455">
        <v>12444150000</v>
      </c>
      <c r="F113" s="17">
        <v>8977960000</v>
      </c>
      <c r="G113" s="17">
        <v>6026590000</v>
      </c>
      <c r="H113" s="17">
        <v>5703720000</v>
      </c>
      <c r="I113" s="17">
        <v>4787490000</v>
      </c>
      <c r="J113" s="17">
        <v>3968950000</v>
      </c>
      <c r="K113" s="17">
        <v>3788890000</v>
      </c>
      <c r="L113" s="675"/>
      <c r="M113" s="456">
        <v>-122038480000</v>
      </c>
      <c r="N113" s="17">
        <v>-52297070000</v>
      </c>
      <c r="O113" s="457">
        <v>-52097890000</v>
      </c>
      <c r="P113" s="17">
        <v>-44702440000</v>
      </c>
      <c r="Q113" s="458">
        <v>-32521950000</v>
      </c>
      <c r="R113" s="17">
        <v>-31184735000</v>
      </c>
      <c r="S113" s="459">
        <v>-27530250000</v>
      </c>
      <c r="T113" s="17">
        <v>-26362360000</v>
      </c>
      <c r="U113" s="17">
        <v>-23583470000</v>
      </c>
      <c r="V113" s="17">
        <v>-23071970000</v>
      </c>
    </row>
    <row r="114" spans="1:22" x14ac:dyDescent="0.2">
      <c r="A114" s="746" t="s">
        <v>240</v>
      </c>
      <c r="B114" s="45" t="s">
        <v>38</v>
      </c>
      <c r="C114" s="45" t="s">
        <v>83</v>
      </c>
      <c r="D114" s="45" t="s">
        <v>5</v>
      </c>
      <c r="E114" s="45" t="s">
        <v>15</v>
      </c>
      <c r="F114" s="45" t="s">
        <v>45</v>
      </c>
      <c r="G114" s="45" t="s">
        <v>41</v>
      </c>
      <c r="H114" s="45" t="s">
        <v>18</v>
      </c>
      <c r="I114" s="45" t="s">
        <v>175</v>
      </c>
      <c r="J114" s="45" t="s">
        <v>32</v>
      </c>
      <c r="K114" s="45" t="s">
        <v>26</v>
      </c>
      <c r="L114" s="675"/>
      <c r="M114" s="45" t="s">
        <v>16</v>
      </c>
      <c r="N114" s="45" t="s">
        <v>14</v>
      </c>
      <c r="O114" s="45" t="s">
        <v>35</v>
      </c>
      <c r="P114" s="45" t="s">
        <v>25</v>
      </c>
      <c r="Q114" s="45" t="s">
        <v>13</v>
      </c>
      <c r="R114" s="45" t="s">
        <v>62</v>
      </c>
      <c r="S114" s="45" t="s">
        <v>67</v>
      </c>
      <c r="T114" s="45" t="s">
        <v>20</v>
      </c>
      <c r="U114" s="45" t="s">
        <v>30</v>
      </c>
      <c r="V114" s="45" t="s">
        <v>68</v>
      </c>
    </row>
    <row r="115" spans="1:22" x14ac:dyDescent="0.2">
      <c r="A115" s="746" t="s">
        <v>240</v>
      </c>
      <c r="B115" s="17">
        <v>109641009000</v>
      </c>
      <c r="C115" s="449">
        <v>82102625000</v>
      </c>
      <c r="D115" s="17">
        <v>65988100000</v>
      </c>
      <c r="E115" s="17">
        <v>51696240000</v>
      </c>
      <c r="F115" s="450">
        <v>40505375000</v>
      </c>
      <c r="G115" s="451">
        <v>39750400000</v>
      </c>
      <c r="H115" s="17">
        <v>25885920000</v>
      </c>
      <c r="I115" s="17">
        <v>15858150000</v>
      </c>
      <c r="J115" s="17">
        <v>13748000000</v>
      </c>
      <c r="K115" s="17">
        <v>12173940000</v>
      </c>
      <c r="L115" s="675"/>
      <c r="M115" s="17">
        <v>-59691915000</v>
      </c>
      <c r="N115" s="17">
        <v>-19866780000</v>
      </c>
      <c r="O115" s="17">
        <v>-11688888000</v>
      </c>
      <c r="P115" s="17">
        <v>-9761285000</v>
      </c>
      <c r="Q115" s="17">
        <v>-9128980000</v>
      </c>
      <c r="R115" s="17">
        <v>-7410070000</v>
      </c>
      <c r="S115" s="17">
        <v>-3969670000</v>
      </c>
      <c r="T115" s="17">
        <v>-3857455000</v>
      </c>
      <c r="U115" s="17">
        <v>-3486630000</v>
      </c>
      <c r="V115" s="17">
        <v>-3457490000</v>
      </c>
    </row>
    <row r="116" spans="1:22" x14ac:dyDescent="0.2">
      <c r="A116" s="746" t="s">
        <v>239</v>
      </c>
      <c r="B116" s="45" t="s">
        <v>15</v>
      </c>
      <c r="C116" s="45" t="s">
        <v>36</v>
      </c>
      <c r="D116" s="45" t="s">
        <v>83</v>
      </c>
      <c r="E116" s="45" t="s">
        <v>16</v>
      </c>
      <c r="F116" s="45" t="s">
        <v>26</v>
      </c>
      <c r="G116" s="45" t="s">
        <v>67</v>
      </c>
      <c r="H116" s="45" t="s">
        <v>38</v>
      </c>
      <c r="I116" s="45" t="s">
        <v>62</v>
      </c>
      <c r="J116" s="45" t="s">
        <v>13</v>
      </c>
      <c r="K116" s="45" t="s">
        <v>182</v>
      </c>
      <c r="L116" s="675"/>
      <c r="M116" s="45" t="s">
        <v>14</v>
      </c>
      <c r="N116" s="45" t="s">
        <v>40</v>
      </c>
      <c r="O116" s="45" t="s">
        <v>192</v>
      </c>
      <c r="P116" s="45" t="s">
        <v>74</v>
      </c>
      <c r="Q116" s="45" t="s">
        <v>219</v>
      </c>
      <c r="R116" s="45" t="s">
        <v>45</v>
      </c>
      <c r="S116" s="45" t="s">
        <v>32</v>
      </c>
      <c r="T116" s="45" t="s">
        <v>21</v>
      </c>
      <c r="U116" s="45" t="s">
        <v>336</v>
      </c>
      <c r="V116" s="45" t="s">
        <v>111</v>
      </c>
    </row>
    <row r="117" spans="1:22" x14ac:dyDescent="0.2">
      <c r="A117" s="746" t="s">
        <v>239</v>
      </c>
      <c r="B117" s="17">
        <v>94597400000</v>
      </c>
      <c r="C117" s="17">
        <v>55534600000</v>
      </c>
      <c r="D117" s="442">
        <v>48265530000</v>
      </c>
      <c r="E117" s="17">
        <v>43752575000</v>
      </c>
      <c r="F117" s="17">
        <v>39706990000</v>
      </c>
      <c r="G117" s="443">
        <v>29913455000</v>
      </c>
      <c r="H117" s="17">
        <v>28463768000</v>
      </c>
      <c r="I117" s="17">
        <v>27186515000</v>
      </c>
      <c r="J117" s="444">
        <v>26877070000</v>
      </c>
      <c r="K117" s="17">
        <v>25514600000</v>
      </c>
      <c r="L117" s="675"/>
      <c r="M117" s="17">
        <v>-30118435000</v>
      </c>
      <c r="N117" s="445">
        <v>-19847005000</v>
      </c>
      <c r="O117" s="17">
        <v>-9515820000</v>
      </c>
      <c r="P117" s="17">
        <v>-6956255000</v>
      </c>
      <c r="Q117" s="446">
        <v>-1687500000</v>
      </c>
      <c r="R117" s="17">
        <v>28610000</v>
      </c>
      <c r="S117" s="17">
        <v>43400000</v>
      </c>
      <c r="T117" s="17">
        <v>58400000</v>
      </c>
      <c r="U117" s="17">
        <v>790000000</v>
      </c>
      <c r="V117" s="17">
        <v>934965000</v>
      </c>
    </row>
    <row r="118" spans="1:22" x14ac:dyDescent="0.2">
      <c r="A118" s="746" t="s">
        <v>238</v>
      </c>
      <c r="B118" s="45" t="s">
        <v>33</v>
      </c>
      <c r="C118" s="45" t="s">
        <v>7</v>
      </c>
      <c r="D118" s="45" t="s">
        <v>99</v>
      </c>
      <c r="E118" s="45" t="s">
        <v>290</v>
      </c>
      <c r="F118" s="45" t="s">
        <v>8</v>
      </c>
      <c r="G118" s="45" t="s">
        <v>401</v>
      </c>
      <c r="H118" s="45" t="s">
        <v>66</v>
      </c>
      <c r="I118" s="45" t="s">
        <v>170</v>
      </c>
      <c r="J118" s="45" t="s">
        <v>211</v>
      </c>
      <c r="K118" s="45" t="s">
        <v>65</v>
      </c>
      <c r="L118" s="675"/>
      <c r="M118" s="45" t="s">
        <v>38</v>
      </c>
      <c r="N118" s="45" t="s">
        <v>36</v>
      </c>
      <c r="O118" s="45" t="s">
        <v>26</v>
      </c>
      <c r="P118" s="45" t="s">
        <v>14</v>
      </c>
      <c r="Q118" s="45" t="s">
        <v>15</v>
      </c>
      <c r="R118" s="45" t="s">
        <v>83</v>
      </c>
      <c r="S118" s="45" t="s">
        <v>5</v>
      </c>
      <c r="T118" s="45" t="s">
        <v>67</v>
      </c>
      <c r="U118" s="45" t="s">
        <v>37</v>
      </c>
      <c r="V118" s="45" t="s">
        <v>43</v>
      </c>
    </row>
    <row r="119" spans="1:22" x14ac:dyDescent="0.2">
      <c r="A119" s="746" t="s">
        <v>238</v>
      </c>
      <c r="B119" s="17">
        <v>36638926000</v>
      </c>
      <c r="C119" s="438">
        <v>15467000000</v>
      </c>
      <c r="D119" s="17">
        <v>6419190000</v>
      </c>
      <c r="E119" s="17">
        <v>4397565000</v>
      </c>
      <c r="F119" s="17">
        <v>4228365000</v>
      </c>
      <c r="G119" s="17">
        <v>1386100000</v>
      </c>
      <c r="H119" s="17">
        <v>1297900000</v>
      </c>
      <c r="I119" s="439">
        <v>887960000</v>
      </c>
      <c r="J119" s="17">
        <v>816370000</v>
      </c>
      <c r="K119" s="17">
        <v>740525000</v>
      </c>
      <c r="L119" s="675"/>
      <c r="M119" s="17">
        <v>-120006973000</v>
      </c>
      <c r="N119" s="17">
        <v>-103102390000</v>
      </c>
      <c r="O119" s="17">
        <v>-86078190000</v>
      </c>
      <c r="P119" s="17">
        <v>-79904495000</v>
      </c>
      <c r="Q119" s="17">
        <v>-53081090000</v>
      </c>
      <c r="R119" s="17">
        <v>-36679980000</v>
      </c>
      <c r="S119" s="17">
        <v>-33754921000</v>
      </c>
      <c r="T119" s="17">
        <v>-30892435000</v>
      </c>
      <c r="U119" s="17">
        <v>-30642830000</v>
      </c>
      <c r="V119" s="17">
        <v>-28534060000</v>
      </c>
    </row>
    <row r="120" spans="1:22" x14ac:dyDescent="0.2">
      <c r="A120" s="746" t="s">
        <v>237</v>
      </c>
      <c r="B120" s="45" t="s">
        <v>175</v>
      </c>
      <c r="C120" s="45" t="s">
        <v>38</v>
      </c>
      <c r="D120" s="45" t="s">
        <v>15</v>
      </c>
      <c r="E120" s="45" t="s">
        <v>24</v>
      </c>
      <c r="F120" s="45" t="s">
        <v>16</v>
      </c>
      <c r="G120" s="45" t="s">
        <v>97</v>
      </c>
      <c r="H120" s="45" t="s">
        <v>36</v>
      </c>
      <c r="I120" s="45" t="s">
        <v>37</v>
      </c>
      <c r="J120" s="45" t="s">
        <v>13</v>
      </c>
      <c r="K120" s="45" t="s">
        <v>62</v>
      </c>
      <c r="L120" s="675"/>
      <c r="M120" s="45" t="s">
        <v>14</v>
      </c>
      <c r="N120" s="45" t="s">
        <v>83</v>
      </c>
      <c r="O120" s="45" t="s">
        <v>32</v>
      </c>
      <c r="P120" s="45" t="s">
        <v>41</v>
      </c>
      <c r="Q120" s="45" t="s">
        <v>26</v>
      </c>
      <c r="R120" s="45" t="s">
        <v>67</v>
      </c>
      <c r="S120" s="45" t="s">
        <v>33</v>
      </c>
      <c r="T120" s="45" t="s">
        <v>60</v>
      </c>
      <c r="U120" s="45" t="s">
        <v>182</v>
      </c>
      <c r="V120" s="45" t="s">
        <v>192</v>
      </c>
    </row>
    <row r="121" spans="1:22" x14ac:dyDescent="0.2">
      <c r="A121" s="746" t="s">
        <v>237</v>
      </c>
      <c r="B121" s="17">
        <v>24769641000</v>
      </c>
      <c r="C121" s="17">
        <v>19568225000</v>
      </c>
      <c r="D121" s="17">
        <v>17582100000</v>
      </c>
      <c r="E121" s="17">
        <v>16892590000</v>
      </c>
      <c r="F121" s="17">
        <v>15493150000</v>
      </c>
      <c r="G121" s="17">
        <v>12306390000</v>
      </c>
      <c r="H121" s="17">
        <v>11126880000</v>
      </c>
      <c r="I121" s="17">
        <v>8637005000</v>
      </c>
      <c r="J121" s="17">
        <v>7531006000</v>
      </c>
      <c r="K121" s="17">
        <v>6544340000</v>
      </c>
      <c r="L121" s="675"/>
      <c r="M121" s="17">
        <v>-76272170000</v>
      </c>
      <c r="N121" s="17">
        <v>-50982572000</v>
      </c>
      <c r="O121" s="433">
        <v>-22282170000</v>
      </c>
      <c r="P121" s="434">
        <v>-18598360000</v>
      </c>
      <c r="Q121" s="17">
        <v>-14055340000</v>
      </c>
      <c r="R121" s="17">
        <v>-5586810000</v>
      </c>
      <c r="S121" s="17">
        <v>-4068038000</v>
      </c>
      <c r="T121" s="17">
        <v>-2925000000</v>
      </c>
      <c r="U121" s="435">
        <v>-2728340000</v>
      </c>
      <c r="V121" s="17">
        <v>-2178070000</v>
      </c>
    </row>
    <row r="122" spans="1:22" x14ac:dyDescent="0.2">
      <c r="A122" s="746" t="s">
        <v>236</v>
      </c>
      <c r="B122" s="45" t="s">
        <v>15</v>
      </c>
      <c r="C122" s="45" t="s">
        <v>97</v>
      </c>
      <c r="D122" s="45" t="s">
        <v>5</v>
      </c>
      <c r="E122" s="45" t="s">
        <v>36</v>
      </c>
      <c r="F122" s="45" t="s">
        <v>38</v>
      </c>
      <c r="G122" s="45" t="s">
        <v>24</v>
      </c>
      <c r="H122" s="45" t="s">
        <v>14</v>
      </c>
      <c r="I122" s="45" t="s">
        <v>83</v>
      </c>
      <c r="J122" s="45" t="s">
        <v>16</v>
      </c>
      <c r="K122" s="45" t="s">
        <v>35</v>
      </c>
      <c r="L122" s="675"/>
      <c r="M122" s="45" t="s">
        <v>74</v>
      </c>
      <c r="N122" s="45" t="s">
        <v>100</v>
      </c>
      <c r="O122" s="45" t="s">
        <v>10</v>
      </c>
      <c r="P122" s="45" t="s">
        <v>27</v>
      </c>
      <c r="Q122" s="45" t="s">
        <v>40</v>
      </c>
      <c r="R122" s="45" t="s">
        <v>285</v>
      </c>
      <c r="S122" s="45" t="s">
        <v>26</v>
      </c>
      <c r="T122" s="45" t="s">
        <v>335</v>
      </c>
      <c r="U122" s="45" t="s">
        <v>32</v>
      </c>
      <c r="V122" s="45" t="s">
        <v>105</v>
      </c>
    </row>
    <row r="123" spans="1:22" x14ac:dyDescent="0.2">
      <c r="A123" s="746" t="s">
        <v>236</v>
      </c>
      <c r="B123" s="17">
        <v>42257635000</v>
      </c>
      <c r="C123" s="425">
        <v>30149490000</v>
      </c>
      <c r="D123" s="17">
        <v>24572377000</v>
      </c>
      <c r="E123" s="17">
        <v>23359800000</v>
      </c>
      <c r="F123" s="17">
        <v>22864117000</v>
      </c>
      <c r="G123" s="17">
        <v>20731840000</v>
      </c>
      <c r="H123" s="17">
        <v>20042450000</v>
      </c>
      <c r="I123" s="17">
        <v>19632845000</v>
      </c>
      <c r="J123" s="17">
        <v>16425532000</v>
      </c>
      <c r="K123" s="17">
        <v>16377765000</v>
      </c>
      <c r="L123" s="675"/>
      <c r="M123" s="17">
        <v>-3214245000</v>
      </c>
      <c r="N123" s="426">
        <v>-2508755000</v>
      </c>
      <c r="O123" s="17">
        <v>-1879000000</v>
      </c>
      <c r="P123" s="17">
        <v>-1822965000</v>
      </c>
      <c r="Q123" s="427">
        <v>-912480000</v>
      </c>
      <c r="R123" s="17">
        <v>-609840000</v>
      </c>
      <c r="S123" s="17">
        <v>-414350000</v>
      </c>
      <c r="T123" s="17">
        <v>-191280000</v>
      </c>
      <c r="U123" s="17">
        <v>-37000000</v>
      </c>
      <c r="V123" s="17">
        <v>-16200000</v>
      </c>
    </row>
    <row r="124" spans="1:22" x14ac:dyDescent="0.2">
      <c r="A124" s="746" t="s">
        <v>235</v>
      </c>
      <c r="B124" s="45" t="s">
        <v>16</v>
      </c>
      <c r="C124" s="45" t="s">
        <v>36</v>
      </c>
      <c r="D124" s="45" t="s">
        <v>14</v>
      </c>
      <c r="E124" s="45" t="s">
        <v>175</v>
      </c>
      <c r="F124" s="45" t="s">
        <v>27</v>
      </c>
      <c r="G124" s="45" t="s">
        <v>79</v>
      </c>
      <c r="H124" s="45" t="s">
        <v>45</v>
      </c>
      <c r="I124" s="45" t="s">
        <v>42</v>
      </c>
      <c r="J124" s="45" t="s">
        <v>196</v>
      </c>
      <c r="K124" s="45" t="s">
        <v>6</v>
      </c>
      <c r="L124" s="675"/>
      <c r="M124" s="45" t="s">
        <v>18</v>
      </c>
      <c r="N124" s="45" t="s">
        <v>111</v>
      </c>
      <c r="O124" s="45" t="s">
        <v>43</v>
      </c>
      <c r="P124" s="45" t="s">
        <v>35</v>
      </c>
      <c r="Q124" s="45" t="s">
        <v>83</v>
      </c>
      <c r="R124" s="45" t="s">
        <v>38</v>
      </c>
      <c r="S124" s="45" t="s">
        <v>105</v>
      </c>
      <c r="T124" s="45" t="s">
        <v>15</v>
      </c>
      <c r="U124" s="45" t="s">
        <v>10</v>
      </c>
      <c r="V124" s="45" t="s">
        <v>21</v>
      </c>
    </row>
    <row r="125" spans="1:22" x14ac:dyDescent="0.2">
      <c r="A125" s="746" t="s">
        <v>235</v>
      </c>
      <c r="B125" s="17">
        <v>220688565000</v>
      </c>
      <c r="C125" s="17">
        <v>18464610000</v>
      </c>
      <c r="D125" s="17">
        <v>10110870000</v>
      </c>
      <c r="E125" s="17">
        <v>8345650000</v>
      </c>
      <c r="F125" s="17">
        <v>5210530000</v>
      </c>
      <c r="G125" s="17">
        <v>4833525000</v>
      </c>
      <c r="H125" s="17">
        <v>4629375000</v>
      </c>
      <c r="I125" s="17">
        <v>4497500000</v>
      </c>
      <c r="J125" s="17">
        <v>3710225000</v>
      </c>
      <c r="K125" s="17">
        <v>2272770000</v>
      </c>
      <c r="L125" s="675"/>
      <c r="M125" s="17">
        <v>-25901560000</v>
      </c>
      <c r="N125" s="420">
        <v>-25665360000</v>
      </c>
      <c r="O125" s="17">
        <v>-13120202000</v>
      </c>
      <c r="P125" s="17">
        <v>-12172061000</v>
      </c>
      <c r="Q125" s="17">
        <v>-11115645000</v>
      </c>
      <c r="R125" s="17">
        <v>-10853249000</v>
      </c>
      <c r="S125" s="421">
        <v>-10614680000</v>
      </c>
      <c r="T125" s="17">
        <v>-6714505000</v>
      </c>
      <c r="U125" s="17">
        <v>-3756800000</v>
      </c>
      <c r="V125" s="17">
        <v>-3554000000</v>
      </c>
    </row>
    <row r="126" spans="1:22" x14ac:dyDescent="0.2">
      <c r="A126" s="746" t="s">
        <v>234</v>
      </c>
      <c r="B126" s="45" t="s">
        <v>32</v>
      </c>
      <c r="C126" s="45" t="s">
        <v>60</v>
      </c>
      <c r="D126" s="45" t="s">
        <v>105</v>
      </c>
      <c r="E126" s="45" t="s">
        <v>7</v>
      </c>
      <c r="L126" s="675"/>
      <c r="M126" s="45" t="s">
        <v>7</v>
      </c>
      <c r="N126" s="45" t="s">
        <v>105</v>
      </c>
      <c r="O126" s="45" t="s">
        <v>60</v>
      </c>
      <c r="P126" s="45" t="s">
        <v>32</v>
      </c>
    </row>
    <row r="127" spans="1:22" x14ac:dyDescent="0.2">
      <c r="A127" s="746" t="s">
        <v>234</v>
      </c>
      <c r="B127" s="17">
        <v>8761390000</v>
      </c>
      <c r="C127" s="17">
        <v>965000000</v>
      </c>
      <c r="D127" s="17">
        <v>-958000000</v>
      </c>
      <c r="E127" s="17">
        <v>-5056000000</v>
      </c>
      <c r="L127" s="675"/>
      <c r="M127" s="17">
        <v>-5056000000</v>
      </c>
      <c r="N127" s="17">
        <v>-958000000</v>
      </c>
      <c r="O127" s="17">
        <v>965000000</v>
      </c>
      <c r="P127" s="17">
        <v>8761390000</v>
      </c>
    </row>
    <row r="128" spans="1:22" x14ac:dyDescent="0.2">
      <c r="A128" s="746" t="s">
        <v>233</v>
      </c>
      <c r="B128" s="45" t="s">
        <v>26</v>
      </c>
      <c r="C128" s="45" t="s">
        <v>348</v>
      </c>
      <c r="D128" s="45" t="s">
        <v>74</v>
      </c>
      <c r="E128" s="45" t="s">
        <v>40</v>
      </c>
      <c r="F128" s="45" t="s">
        <v>100</v>
      </c>
      <c r="G128" s="45" t="s">
        <v>215</v>
      </c>
      <c r="H128" s="45" t="s">
        <v>211</v>
      </c>
      <c r="I128" s="45" t="s">
        <v>37</v>
      </c>
      <c r="J128" s="45" t="s">
        <v>99</v>
      </c>
      <c r="K128" s="45" t="s">
        <v>206</v>
      </c>
      <c r="L128" s="675"/>
      <c r="M128" s="45" t="s">
        <v>36</v>
      </c>
      <c r="N128" s="45" t="s">
        <v>15</v>
      </c>
      <c r="O128" s="45" t="s">
        <v>16</v>
      </c>
      <c r="P128" s="45" t="s">
        <v>83</v>
      </c>
      <c r="Q128" s="45" t="s">
        <v>38</v>
      </c>
      <c r="R128" s="45" t="s">
        <v>5</v>
      </c>
      <c r="S128" s="45" t="s">
        <v>13</v>
      </c>
      <c r="T128" s="45" t="s">
        <v>62</v>
      </c>
      <c r="U128" s="45" t="s">
        <v>67</v>
      </c>
      <c r="V128" s="45" t="s">
        <v>27</v>
      </c>
    </row>
    <row r="129" spans="1:22" x14ac:dyDescent="0.2">
      <c r="A129" s="746" t="s">
        <v>233</v>
      </c>
      <c r="B129" s="412">
        <v>202055550000</v>
      </c>
      <c r="C129" s="17">
        <v>2747325000</v>
      </c>
      <c r="D129" s="17">
        <v>2725910000</v>
      </c>
      <c r="E129" s="413">
        <v>2546735000</v>
      </c>
      <c r="F129" s="17">
        <v>2034610000</v>
      </c>
      <c r="G129" s="17">
        <v>1637580000</v>
      </c>
      <c r="H129" s="17">
        <v>1202450000</v>
      </c>
      <c r="I129" s="17">
        <v>985672000</v>
      </c>
      <c r="J129" s="17">
        <v>852155000</v>
      </c>
      <c r="K129" s="17">
        <v>584070000</v>
      </c>
      <c r="L129" s="675"/>
      <c r="M129" s="17">
        <v>-37221550000</v>
      </c>
      <c r="N129" s="17">
        <v>-31033875000</v>
      </c>
      <c r="O129" s="17">
        <v>-27378075000</v>
      </c>
      <c r="P129" s="17">
        <v>-25397200000</v>
      </c>
      <c r="Q129" s="17">
        <v>-21063065000</v>
      </c>
      <c r="R129" s="17">
        <v>-19135606000</v>
      </c>
      <c r="S129" s="17">
        <v>-18525356000</v>
      </c>
      <c r="T129" s="17">
        <v>-18045575000</v>
      </c>
      <c r="U129" s="17">
        <v>-17926405000</v>
      </c>
      <c r="V129" s="17">
        <v>-16869780000</v>
      </c>
    </row>
    <row r="130" spans="1:22" x14ac:dyDescent="0.2">
      <c r="A130" s="746" t="s">
        <v>232</v>
      </c>
      <c r="B130" s="45" t="s">
        <v>16</v>
      </c>
      <c r="C130" s="45" t="s">
        <v>14</v>
      </c>
      <c r="D130" s="45" t="s">
        <v>18</v>
      </c>
      <c r="E130" s="45" t="s">
        <v>5</v>
      </c>
      <c r="F130" s="45" t="s">
        <v>79</v>
      </c>
      <c r="G130" s="45" t="s">
        <v>348</v>
      </c>
      <c r="H130" s="45" t="s">
        <v>67</v>
      </c>
      <c r="I130" s="45" t="s">
        <v>83</v>
      </c>
      <c r="J130" s="45" t="s">
        <v>35</v>
      </c>
      <c r="K130" s="45" t="s">
        <v>38</v>
      </c>
      <c r="L130" s="675"/>
      <c r="M130" s="45" t="s">
        <v>26</v>
      </c>
      <c r="N130" s="45" t="s">
        <v>36</v>
      </c>
      <c r="O130" s="45" t="s">
        <v>61</v>
      </c>
      <c r="P130" s="45" t="s">
        <v>70</v>
      </c>
      <c r="Q130" s="45" t="s">
        <v>39</v>
      </c>
      <c r="R130" s="45" t="s">
        <v>43</v>
      </c>
      <c r="S130" s="45" t="s">
        <v>105</v>
      </c>
      <c r="T130" s="45" t="s">
        <v>192</v>
      </c>
      <c r="U130" s="45" t="s">
        <v>24</v>
      </c>
      <c r="V130" s="45" t="s">
        <v>33</v>
      </c>
    </row>
    <row r="131" spans="1:22" x14ac:dyDescent="0.2">
      <c r="A131" s="746" t="s">
        <v>232</v>
      </c>
      <c r="B131" s="17">
        <v>31516990000</v>
      </c>
      <c r="C131" s="17">
        <v>25949155000</v>
      </c>
      <c r="D131" s="17">
        <v>21256840000</v>
      </c>
      <c r="E131" s="17">
        <v>20421565000</v>
      </c>
      <c r="F131" s="17">
        <v>15586560000</v>
      </c>
      <c r="G131" s="403">
        <v>13411165000</v>
      </c>
      <c r="H131" s="17">
        <v>12664440000</v>
      </c>
      <c r="I131" s="17">
        <v>11287780000</v>
      </c>
      <c r="J131" s="17">
        <v>10665274000</v>
      </c>
      <c r="K131" s="17">
        <v>10598190000</v>
      </c>
      <c r="L131" s="675"/>
      <c r="M131" s="404">
        <v>-251061450000</v>
      </c>
      <c r="N131" s="17">
        <v>-26445600000</v>
      </c>
      <c r="O131" s="405">
        <v>-24082225000</v>
      </c>
      <c r="P131" s="17">
        <v>-15344675000</v>
      </c>
      <c r="Q131" s="17">
        <v>-8382800000</v>
      </c>
      <c r="R131" s="17">
        <v>-4735040000</v>
      </c>
      <c r="S131" s="406">
        <v>-4206530000</v>
      </c>
      <c r="T131" s="17">
        <v>-3358240000</v>
      </c>
      <c r="U131" s="17">
        <v>-1624190000</v>
      </c>
      <c r="V131" s="17">
        <v>-751890000</v>
      </c>
    </row>
    <row r="132" spans="1:22" x14ac:dyDescent="0.2">
      <c r="A132" s="746" t="s">
        <v>231</v>
      </c>
      <c r="B132" s="45" t="s">
        <v>20</v>
      </c>
      <c r="C132" s="45" t="s">
        <v>5</v>
      </c>
      <c r="D132" s="45" t="s">
        <v>75</v>
      </c>
      <c r="E132" s="45" t="s">
        <v>37</v>
      </c>
      <c r="F132" s="45" t="s">
        <v>8</v>
      </c>
      <c r="G132" s="45" t="s">
        <v>348</v>
      </c>
      <c r="H132" s="45" t="s">
        <v>100</v>
      </c>
      <c r="I132" s="45" t="s">
        <v>38</v>
      </c>
      <c r="J132" s="45" t="s">
        <v>211</v>
      </c>
      <c r="K132" s="45" t="s">
        <v>74</v>
      </c>
      <c r="L132" s="675"/>
      <c r="M132" s="45" t="s">
        <v>36</v>
      </c>
      <c r="N132" s="45" t="s">
        <v>26</v>
      </c>
      <c r="O132" s="45" t="s">
        <v>83</v>
      </c>
      <c r="P132" s="45" t="s">
        <v>16</v>
      </c>
      <c r="Q132" s="45" t="s">
        <v>35</v>
      </c>
      <c r="R132" s="45" t="s">
        <v>14</v>
      </c>
      <c r="S132" s="45" t="s">
        <v>18</v>
      </c>
      <c r="T132" s="45" t="s">
        <v>24</v>
      </c>
      <c r="U132" s="45" t="s">
        <v>13</v>
      </c>
      <c r="V132" s="45" t="s">
        <v>62</v>
      </c>
    </row>
    <row r="133" spans="1:22" x14ac:dyDescent="0.2">
      <c r="A133" s="746" t="s">
        <v>231</v>
      </c>
      <c r="B133" s="17">
        <v>64990035000</v>
      </c>
      <c r="C133" s="17">
        <v>42479500000</v>
      </c>
      <c r="D133" s="17">
        <v>17433500000</v>
      </c>
      <c r="E133" s="17">
        <v>13119805000</v>
      </c>
      <c r="F133" s="17">
        <v>12413470000</v>
      </c>
      <c r="G133" s="399">
        <v>11460010000</v>
      </c>
      <c r="H133" s="17">
        <v>11248480000</v>
      </c>
      <c r="I133" s="17">
        <v>5077935000</v>
      </c>
      <c r="J133" s="17">
        <v>4120645000</v>
      </c>
      <c r="K133" s="17">
        <v>3073010000</v>
      </c>
      <c r="L133" s="675"/>
      <c r="M133" s="17">
        <v>-60223207000</v>
      </c>
      <c r="N133" s="17">
        <v>-55851900000</v>
      </c>
      <c r="O133" s="17">
        <v>-50237230000</v>
      </c>
      <c r="P133" s="17">
        <v>-47418355000</v>
      </c>
      <c r="Q133" s="17">
        <v>-45407150000</v>
      </c>
      <c r="R133" s="17">
        <v>-36032895000</v>
      </c>
      <c r="S133" s="17">
        <v>-26044700000</v>
      </c>
      <c r="T133" s="17">
        <v>-23736370000</v>
      </c>
      <c r="U133" s="400">
        <v>-21018390000</v>
      </c>
      <c r="V133" s="17">
        <v>-20178405000</v>
      </c>
    </row>
    <row r="134" spans="1:22" x14ac:dyDescent="0.2">
      <c r="A134" s="746" t="s">
        <v>230</v>
      </c>
      <c r="B134" s="45" t="s">
        <v>111</v>
      </c>
      <c r="C134" s="45" t="s">
        <v>5</v>
      </c>
      <c r="D134" s="45" t="s">
        <v>43</v>
      </c>
      <c r="E134" s="45" t="s">
        <v>39</v>
      </c>
      <c r="F134" s="45" t="s">
        <v>32</v>
      </c>
      <c r="G134" s="45" t="s">
        <v>72</v>
      </c>
      <c r="H134" s="45" t="s">
        <v>98</v>
      </c>
      <c r="I134" s="45" t="s">
        <v>33</v>
      </c>
      <c r="J134" s="45" t="s">
        <v>7</v>
      </c>
      <c r="K134" s="45" t="s">
        <v>28</v>
      </c>
      <c r="L134" s="675"/>
      <c r="M134" s="45" t="s">
        <v>14</v>
      </c>
      <c r="N134" s="45" t="s">
        <v>20</v>
      </c>
      <c r="O134" s="45" t="s">
        <v>38</v>
      </c>
      <c r="P134" s="45" t="s">
        <v>36</v>
      </c>
      <c r="Q134" s="45" t="s">
        <v>35</v>
      </c>
      <c r="R134" s="45" t="s">
        <v>18</v>
      </c>
      <c r="S134" s="45" t="s">
        <v>97</v>
      </c>
      <c r="T134" s="45" t="s">
        <v>83</v>
      </c>
      <c r="U134" s="45" t="s">
        <v>16</v>
      </c>
      <c r="V134" s="45" t="s">
        <v>19</v>
      </c>
    </row>
    <row r="135" spans="1:22" x14ac:dyDescent="0.2">
      <c r="A135" s="746" t="s">
        <v>230</v>
      </c>
      <c r="B135" s="395">
        <v>57956545000</v>
      </c>
      <c r="C135" s="17">
        <v>39092665000</v>
      </c>
      <c r="D135" s="17">
        <v>20476960000</v>
      </c>
      <c r="E135" s="396">
        <v>12349900000</v>
      </c>
      <c r="F135" s="17">
        <v>7636000000</v>
      </c>
      <c r="G135" s="397">
        <v>7221020000</v>
      </c>
      <c r="H135" s="17">
        <v>6539940000</v>
      </c>
      <c r="I135" s="17">
        <v>5093970000</v>
      </c>
      <c r="J135" s="17">
        <v>5046000000</v>
      </c>
      <c r="K135" s="17">
        <v>4817350000</v>
      </c>
      <c r="L135" s="675"/>
      <c r="M135" s="17">
        <v>-63156570000</v>
      </c>
      <c r="N135" s="17">
        <v>-55868955000</v>
      </c>
      <c r="O135" s="17">
        <v>-37600972000</v>
      </c>
      <c r="P135" s="17">
        <v>-36757645000</v>
      </c>
      <c r="Q135" s="17">
        <v>-36246420000</v>
      </c>
      <c r="R135" s="17">
        <v>-27089125000</v>
      </c>
      <c r="S135" s="17">
        <v>-25400795000</v>
      </c>
      <c r="T135" s="17">
        <v>-22110202000</v>
      </c>
      <c r="U135" s="17">
        <v>-20654905000</v>
      </c>
      <c r="V135" s="17">
        <v>-19774095000</v>
      </c>
    </row>
    <row r="136" spans="1:22" x14ac:dyDescent="0.2">
      <c r="A136" s="746" t="s">
        <v>228</v>
      </c>
      <c r="B136" s="45" t="s">
        <v>26</v>
      </c>
      <c r="C136" s="45" t="s">
        <v>27</v>
      </c>
      <c r="D136" s="45" t="s">
        <v>100</v>
      </c>
      <c r="E136" s="45" t="s">
        <v>14</v>
      </c>
      <c r="F136" s="45" t="s">
        <v>16</v>
      </c>
      <c r="G136" s="45" t="s">
        <v>15</v>
      </c>
      <c r="H136" s="45" t="s">
        <v>36</v>
      </c>
      <c r="I136" s="45" t="s">
        <v>35</v>
      </c>
      <c r="J136" s="45" t="s">
        <v>24</v>
      </c>
      <c r="K136" s="45" t="s">
        <v>368</v>
      </c>
      <c r="L136" s="675"/>
      <c r="M136" s="45" t="s">
        <v>18</v>
      </c>
      <c r="N136" s="45" t="s">
        <v>32</v>
      </c>
      <c r="O136" s="45" t="s">
        <v>192</v>
      </c>
      <c r="P136" s="45" t="s">
        <v>21</v>
      </c>
      <c r="Q136" s="45" t="s">
        <v>60</v>
      </c>
      <c r="R136" s="45" t="s">
        <v>28</v>
      </c>
      <c r="S136" s="45" t="s">
        <v>37</v>
      </c>
      <c r="T136" s="45" t="s">
        <v>61</v>
      </c>
      <c r="U136" s="45" t="s">
        <v>39</v>
      </c>
      <c r="V136" s="45" t="s">
        <v>40</v>
      </c>
    </row>
    <row r="137" spans="1:22" x14ac:dyDescent="0.2">
      <c r="A137" s="746" t="s">
        <v>228</v>
      </c>
      <c r="B137" s="388">
        <v>141018730000</v>
      </c>
      <c r="C137" s="389">
        <v>67907385000</v>
      </c>
      <c r="D137" s="390">
        <v>52235510000</v>
      </c>
      <c r="E137" s="17">
        <v>42898945000</v>
      </c>
      <c r="F137" s="17">
        <v>41092530000</v>
      </c>
      <c r="G137" s="17">
        <v>34687530000</v>
      </c>
      <c r="H137" s="17">
        <v>33390040000</v>
      </c>
      <c r="I137" s="17">
        <v>32240935000</v>
      </c>
      <c r="J137" s="17">
        <v>30060740000</v>
      </c>
      <c r="K137" s="391">
        <v>26351460000</v>
      </c>
      <c r="L137" s="675"/>
      <c r="M137" s="17">
        <v>-25242685000</v>
      </c>
      <c r="N137" s="392">
        <v>-19230360000</v>
      </c>
      <c r="O137" s="17">
        <v>-2640140000</v>
      </c>
      <c r="P137" s="17">
        <v>-585000000</v>
      </c>
      <c r="Q137" s="17">
        <v>-107410000</v>
      </c>
      <c r="R137" s="17">
        <v>189300000</v>
      </c>
      <c r="S137" s="17">
        <v>770628000</v>
      </c>
      <c r="T137" s="17">
        <v>1523525000</v>
      </c>
      <c r="U137" s="17">
        <v>1546240000</v>
      </c>
      <c r="V137" s="17">
        <v>1784660000</v>
      </c>
    </row>
    <row r="138" spans="1:22" x14ac:dyDescent="0.2">
      <c r="A138" s="746" t="s">
        <v>227</v>
      </c>
      <c r="B138" s="45" t="s">
        <v>33</v>
      </c>
      <c r="C138" s="45" t="s">
        <v>15</v>
      </c>
      <c r="D138" s="45" t="s">
        <v>5</v>
      </c>
      <c r="E138" s="45" t="s">
        <v>30</v>
      </c>
      <c r="F138" s="45" t="s">
        <v>13</v>
      </c>
      <c r="G138" s="45" t="s">
        <v>6</v>
      </c>
      <c r="H138" s="45" t="s">
        <v>348</v>
      </c>
      <c r="I138" s="45" t="s">
        <v>206</v>
      </c>
      <c r="J138" s="45" t="s">
        <v>45</v>
      </c>
      <c r="K138" s="45" t="s">
        <v>182</v>
      </c>
      <c r="L138" s="675"/>
      <c r="M138" s="45" t="s">
        <v>18</v>
      </c>
      <c r="N138" s="45" t="s">
        <v>37</v>
      </c>
      <c r="O138" s="45" t="s">
        <v>36</v>
      </c>
      <c r="P138" s="45" t="s">
        <v>43</v>
      </c>
      <c r="Q138" s="45" t="s">
        <v>38</v>
      </c>
      <c r="R138" s="45" t="s">
        <v>39</v>
      </c>
      <c r="S138" s="45" t="s">
        <v>83</v>
      </c>
      <c r="T138" s="45" t="s">
        <v>35</v>
      </c>
      <c r="U138" s="45" t="s">
        <v>65</v>
      </c>
      <c r="V138" s="45" t="s">
        <v>68</v>
      </c>
    </row>
    <row r="139" spans="1:22" x14ac:dyDescent="0.2">
      <c r="A139" s="746" t="s">
        <v>227</v>
      </c>
      <c r="B139" s="376">
        <v>48322170000</v>
      </c>
      <c r="C139" s="17">
        <v>6135075000</v>
      </c>
      <c r="D139" s="17">
        <v>4392630000</v>
      </c>
      <c r="E139" s="377">
        <v>4349710000</v>
      </c>
      <c r="F139" s="17">
        <v>4142960000</v>
      </c>
      <c r="G139" s="17">
        <v>3549140000</v>
      </c>
      <c r="H139" s="378">
        <v>3448875000</v>
      </c>
      <c r="I139" s="17">
        <v>2987515000</v>
      </c>
      <c r="J139" s="17">
        <v>2336330000</v>
      </c>
      <c r="K139" s="17">
        <v>2006830000</v>
      </c>
      <c r="L139" s="675"/>
      <c r="M139" s="17">
        <v>-89354885000</v>
      </c>
      <c r="N139" s="379">
        <v>-78312910000</v>
      </c>
      <c r="O139" s="17">
        <v>-66000920000</v>
      </c>
      <c r="P139" s="17">
        <v>-51931550000</v>
      </c>
      <c r="Q139" s="17">
        <v>-48965090000</v>
      </c>
      <c r="R139" s="380">
        <v>-46018890000</v>
      </c>
      <c r="S139" s="17">
        <v>-43235400000</v>
      </c>
      <c r="T139" s="17">
        <v>-24626775000</v>
      </c>
      <c r="U139" s="381">
        <v>-16306320000</v>
      </c>
      <c r="V139" s="17">
        <v>-14898732000</v>
      </c>
    </row>
    <row r="140" spans="1:22" x14ac:dyDescent="0.2">
      <c r="A140" s="746" t="s">
        <v>226</v>
      </c>
      <c r="B140" s="45" t="s">
        <v>105</v>
      </c>
      <c r="C140" s="45" t="s">
        <v>28</v>
      </c>
      <c r="D140" s="45" t="s">
        <v>29</v>
      </c>
      <c r="E140" s="45" t="s">
        <v>182</v>
      </c>
      <c r="F140" s="45" t="s">
        <v>199</v>
      </c>
      <c r="G140" s="45" t="s">
        <v>111</v>
      </c>
      <c r="H140" s="45" t="s">
        <v>33</v>
      </c>
      <c r="I140" s="45" t="s">
        <v>206</v>
      </c>
      <c r="J140" s="45" t="s">
        <v>367</v>
      </c>
      <c r="K140" s="45" t="s">
        <v>69</v>
      </c>
      <c r="L140" s="675"/>
      <c r="M140" s="45" t="s">
        <v>36</v>
      </c>
      <c r="N140" s="45" t="s">
        <v>18</v>
      </c>
      <c r="O140" s="45" t="s">
        <v>43</v>
      </c>
      <c r="P140" s="45" t="s">
        <v>16</v>
      </c>
      <c r="Q140" s="45" t="s">
        <v>64</v>
      </c>
      <c r="R140" s="45" t="s">
        <v>35</v>
      </c>
      <c r="S140" s="45" t="s">
        <v>83</v>
      </c>
      <c r="T140" s="45" t="s">
        <v>192</v>
      </c>
      <c r="U140" s="45" t="s">
        <v>26</v>
      </c>
      <c r="V140" s="45" t="s">
        <v>62</v>
      </c>
    </row>
    <row r="141" spans="1:22" x14ac:dyDescent="0.2">
      <c r="A141" s="746" t="s">
        <v>226</v>
      </c>
      <c r="B141" s="371">
        <v>6734300000</v>
      </c>
      <c r="C141" s="17">
        <v>3251440000</v>
      </c>
      <c r="D141" s="17">
        <v>2933505000</v>
      </c>
      <c r="E141" s="17">
        <v>2431750000</v>
      </c>
      <c r="F141" s="17">
        <v>2199995000</v>
      </c>
      <c r="G141" s="17">
        <v>1817320000</v>
      </c>
      <c r="H141" s="17">
        <v>1189570000</v>
      </c>
      <c r="I141" s="17">
        <v>967785000</v>
      </c>
      <c r="J141" s="17">
        <v>775000000</v>
      </c>
      <c r="K141" s="17">
        <v>602570000</v>
      </c>
      <c r="L141" s="675"/>
      <c r="M141" s="17">
        <v>-150223190000</v>
      </c>
      <c r="N141" s="17">
        <v>-139792805000</v>
      </c>
      <c r="O141" s="17">
        <v>-97635210000</v>
      </c>
      <c r="P141" s="17">
        <v>-76037605000</v>
      </c>
      <c r="Q141" s="372">
        <v>-74008310000</v>
      </c>
      <c r="R141" s="17">
        <v>-71324250000</v>
      </c>
      <c r="S141" s="17">
        <v>-69574140000</v>
      </c>
      <c r="T141" s="373">
        <v>-36313470000</v>
      </c>
      <c r="U141" s="17">
        <v>-36142530000</v>
      </c>
      <c r="V141" s="17">
        <v>-34610990000</v>
      </c>
    </row>
    <row r="142" spans="1:22" x14ac:dyDescent="0.2">
      <c r="A142" s="746" t="s">
        <v>225</v>
      </c>
      <c r="B142" s="45" t="s">
        <v>15</v>
      </c>
      <c r="C142" s="45" t="s">
        <v>38</v>
      </c>
      <c r="D142" s="45" t="s">
        <v>33</v>
      </c>
      <c r="E142" s="45" t="s">
        <v>36</v>
      </c>
      <c r="F142" s="45" t="s">
        <v>83</v>
      </c>
      <c r="G142" s="45" t="s">
        <v>32</v>
      </c>
      <c r="H142" s="45" t="s">
        <v>35</v>
      </c>
      <c r="I142" s="45" t="s">
        <v>29</v>
      </c>
      <c r="J142" s="45" t="s">
        <v>25</v>
      </c>
      <c r="K142" s="45" t="s">
        <v>18</v>
      </c>
      <c r="L142" s="675"/>
      <c r="M142" s="45" t="s">
        <v>16</v>
      </c>
      <c r="N142" s="45" t="s">
        <v>27</v>
      </c>
      <c r="O142" s="45" t="s">
        <v>30</v>
      </c>
      <c r="P142" s="45" t="s">
        <v>290</v>
      </c>
      <c r="Q142" s="45" t="s">
        <v>70</v>
      </c>
      <c r="R142" s="45" t="s">
        <v>6</v>
      </c>
      <c r="S142" s="45" t="s">
        <v>20</v>
      </c>
      <c r="T142" s="45" t="s">
        <v>5</v>
      </c>
      <c r="U142" s="45" t="s">
        <v>39</v>
      </c>
      <c r="V142" s="45" t="s">
        <v>65</v>
      </c>
    </row>
    <row r="143" spans="1:22" x14ac:dyDescent="0.2">
      <c r="A143" s="746" t="s">
        <v>225</v>
      </c>
      <c r="B143" s="359">
        <v>115951325000</v>
      </c>
      <c r="C143" s="17">
        <v>76633090000</v>
      </c>
      <c r="D143" s="360">
        <v>37358030000</v>
      </c>
      <c r="E143" s="17">
        <v>31366470000</v>
      </c>
      <c r="F143" s="17">
        <v>31141080000</v>
      </c>
      <c r="G143" s="361">
        <v>27720080000</v>
      </c>
      <c r="H143" s="17">
        <v>25932355000</v>
      </c>
      <c r="I143" s="362">
        <v>23899220000</v>
      </c>
      <c r="J143" s="363">
        <v>21726886000</v>
      </c>
      <c r="K143" s="17">
        <v>21613905000</v>
      </c>
      <c r="L143" s="675"/>
      <c r="M143" s="17">
        <v>-8318366000</v>
      </c>
      <c r="N143" s="17">
        <v>-7108865000</v>
      </c>
      <c r="O143" s="364">
        <v>-5498529000</v>
      </c>
      <c r="P143" s="17">
        <v>-5305110000</v>
      </c>
      <c r="Q143" s="17">
        <v>-3735705000</v>
      </c>
      <c r="R143" s="17">
        <v>-3489515000</v>
      </c>
      <c r="S143" s="17">
        <v>-3409405000</v>
      </c>
      <c r="T143" s="17">
        <v>-2516545000</v>
      </c>
      <c r="U143" s="17">
        <v>-1670710000</v>
      </c>
      <c r="V143" s="17">
        <v>-1344165000</v>
      </c>
    </row>
    <row r="144" spans="1:22" x14ac:dyDescent="0.2">
      <c r="A144" s="746" t="s">
        <v>223</v>
      </c>
      <c r="B144" s="757" t="s">
        <v>64</v>
      </c>
      <c r="C144" s="45" t="s">
        <v>24</v>
      </c>
      <c r="D144" s="45" t="s">
        <v>33</v>
      </c>
      <c r="E144" s="45" t="s">
        <v>26</v>
      </c>
      <c r="F144" s="45" t="s">
        <v>67</v>
      </c>
      <c r="G144" s="45" t="s">
        <v>18</v>
      </c>
      <c r="H144" s="45" t="s">
        <v>13</v>
      </c>
      <c r="I144" s="45" t="s">
        <v>83</v>
      </c>
      <c r="J144" s="45" t="s">
        <v>413</v>
      </c>
      <c r="K144" s="45" t="s">
        <v>15</v>
      </c>
      <c r="L144" s="675"/>
      <c r="M144" s="45" t="s">
        <v>36</v>
      </c>
      <c r="N144" s="45" t="s">
        <v>5</v>
      </c>
      <c r="O144" s="45" t="s">
        <v>14</v>
      </c>
      <c r="P144" s="45" t="s">
        <v>25</v>
      </c>
      <c r="Q144" s="45" t="s">
        <v>37</v>
      </c>
      <c r="R144" s="45" t="s">
        <v>206</v>
      </c>
      <c r="S144" s="45" t="s">
        <v>105</v>
      </c>
      <c r="T144" s="45" t="s">
        <v>111</v>
      </c>
      <c r="U144" s="45" t="s">
        <v>6</v>
      </c>
      <c r="V144" s="45" t="s">
        <v>38</v>
      </c>
    </row>
    <row r="145" spans="1:22" x14ac:dyDescent="0.2">
      <c r="A145" s="746" t="s">
        <v>223</v>
      </c>
      <c r="B145" s="758">
        <v>27891685000</v>
      </c>
      <c r="C145" s="17">
        <v>20604890000</v>
      </c>
      <c r="D145" s="17">
        <v>20147980000</v>
      </c>
      <c r="E145" s="17">
        <v>16191200000</v>
      </c>
      <c r="F145" s="17">
        <v>14922755000</v>
      </c>
      <c r="G145" s="17">
        <v>13413675000</v>
      </c>
      <c r="H145" s="17">
        <v>13283010000</v>
      </c>
      <c r="I145" s="17">
        <v>10562810000</v>
      </c>
      <c r="J145" s="351">
        <v>9916490000</v>
      </c>
      <c r="K145" s="17">
        <v>9891820000</v>
      </c>
      <c r="L145" s="675"/>
      <c r="M145" s="17">
        <v>-29768690000</v>
      </c>
      <c r="N145" s="17">
        <v>-6846250000</v>
      </c>
      <c r="O145" s="17">
        <v>-6387135000</v>
      </c>
      <c r="P145" s="17">
        <v>-5263255000</v>
      </c>
      <c r="Q145" s="17">
        <v>-4376185000</v>
      </c>
      <c r="R145" s="352">
        <v>-3827200000</v>
      </c>
      <c r="S145" s="353">
        <v>-2808090000</v>
      </c>
      <c r="T145" s="17">
        <v>-2529875000</v>
      </c>
      <c r="U145" s="17">
        <v>-2093555000</v>
      </c>
      <c r="V145" s="17">
        <v>-1458660000</v>
      </c>
    </row>
    <row r="146" spans="1:22" x14ac:dyDescent="0.2">
      <c r="A146" s="746" t="s">
        <v>222</v>
      </c>
      <c r="B146" s="757" t="s">
        <v>64</v>
      </c>
      <c r="C146" s="45" t="s">
        <v>27</v>
      </c>
      <c r="D146" s="45" t="s">
        <v>33</v>
      </c>
      <c r="E146" s="45" t="s">
        <v>79</v>
      </c>
      <c r="F146" s="45" t="s">
        <v>21</v>
      </c>
      <c r="G146" s="45" t="s">
        <v>111</v>
      </c>
      <c r="H146" s="45" t="s">
        <v>35</v>
      </c>
      <c r="I146" s="45" t="s">
        <v>15</v>
      </c>
      <c r="J146" s="45" t="s">
        <v>215</v>
      </c>
      <c r="K146" s="45" t="s">
        <v>37</v>
      </c>
      <c r="L146" s="675"/>
      <c r="M146" s="45" t="s">
        <v>26</v>
      </c>
      <c r="N146" s="45" t="s">
        <v>36</v>
      </c>
      <c r="O146" s="45" t="s">
        <v>24</v>
      </c>
      <c r="P146" s="45" t="s">
        <v>5</v>
      </c>
      <c r="Q146" s="45" t="s">
        <v>38</v>
      </c>
      <c r="R146" s="45" t="s">
        <v>14</v>
      </c>
      <c r="S146" s="45" t="s">
        <v>32</v>
      </c>
      <c r="T146" s="45" t="s">
        <v>18</v>
      </c>
      <c r="U146" s="45" t="s">
        <v>16</v>
      </c>
      <c r="V146" s="45" t="s">
        <v>62</v>
      </c>
    </row>
    <row r="147" spans="1:22" x14ac:dyDescent="0.2">
      <c r="A147" s="746" t="s">
        <v>222</v>
      </c>
      <c r="B147" s="770">
        <v>46072900000</v>
      </c>
      <c r="C147" s="344">
        <v>42543905000</v>
      </c>
      <c r="D147" s="345">
        <v>34120630000</v>
      </c>
      <c r="E147" s="17">
        <v>23271765000</v>
      </c>
      <c r="F147" s="346">
        <v>14158970000</v>
      </c>
      <c r="G147" s="347">
        <v>12117740000</v>
      </c>
      <c r="H147" s="17">
        <v>9673194000</v>
      </c>
      <c r="I147" s="17">
        <v>8964600000</v>
      </c>
      <c r="J147" s="348">
        <v>8244690000</v>
      </c>
      <c r="K147" s="17">
        <v>6849200000</v>
      </c>
      <c r="L147" s="675"/>
      <c r="M147" s="17">
        <v>-81722583000</v>
      </c>
      <c r="N147" s="17">
        <v>-26585609000</v>
      </c>
      <c r="O147" s="17">
        <v>-12280480000</v>
      </c>
      <c r="P147" s="17">
        <v>-11089665000</v>
      </c>
      <c r="Q147" s="17">
        <v>-11079670000</v>
      </c>
      <c r="R147" s="17">
        <v>-8736685000</v>
      </c>
      <c r="S147" s="17">
        <v>-7976000000</v>
      </c>
      <c r="T147" s="17">
        <v>-7764945000</v>
      </c>
      <c r="U147" s="17">
        <v>-6487985000</v>
      </c>
      <c r="V147" s="17">
        <v>-5892265000</v>
      </c>
    </row>
    <row r="148" spans="1:22" x14ac:dyDescent="0.2">
      <c r="A148" s="746" t="s">
        <v>221</v>
      </c>
      <c r="B148" s="45" t="s">
        <v>11</v>
      </c>
      <c r="C148" s="45" t="s">
        <v>24</v>
      </c>
      <c r="D148" s="45" t="s">
        <v>185</v>
      </c>
      <c r="E148" s="45" t="s">
        <v>16</v>
      </c>
      <c r="F148" s="45" t="s">
        <v>18</v>
      </c>
      <c r="G148" s="45" t="s">
        <v>35</v>
      </c>
      <c r="H148" s="45" t="s">
        <v>29</v>
      </c>
      <c r="I148" s="45" t="s">
        <v>67</v>
      </c>
      <c r="J148" s="45" t="s">
        <v>25</v>
      </c>
      <c r="K148" s="45" t="s">
        <v>13</v>
      </c>
      <c r="L148" s="675"/>
      <c r="M148" s="45" t="s">
        <v>70</v>
      </c>
      <c r="N148" s="45" t="s">
        <v>36</v>
      </c>
      <c r="O148" s="45" t="s">
        <v>175</v>
      </c>
      <c r="P148" s="45" t="s">
        <v>21</v>
      </c>
      <c r="Q148" s="45" t="s">
        <v>14</v>
      </c>
      <c r="R148" s="45" t="s">
        <v>285</v>
      </c>
      <c r="S148" s="45" t="s">
        <v>384</v>
      </c>
      <c r="T148" s="45" t="s">
        <v>111</v>
      </c>
      <c r="U148" s="45" t="s">
        <v>28</v>
      </c>
      <c r="V148" s="45" t="s">
        <v>27</v>
      </c>
    </row>
    <row r="149" spans="1:22" x14ac:dyDescent="0.2">
      <c r="A149" s="746" t="s">
        <v>221</v>
      </c>
      <c r="B149" s="333">
        <v>191722265000</v>
      </c>
      <c r="C149" s="17">
        <v>38396540000</v>
      </c>
      <c r="D149" s="17">
        <v>24076850000</v>
      </c>
      <c r="E149" s="17">
        <v>20598345000</v>
      </c>
      <c r="F149" s="17">
        <v>18721740000</v>
      </c>
      <c r="G149" s="17">
        <v>18566700000</v>
      </c>
      <c r="H149" s="334">
        <v>17387015000</v>
      </c>
      <c r="I149" s="17">
        <v>17277315000</v>
      </c>
      <c r="J149" s="17">
        <v>16069920000</v>
      </c>
      <c r="K149" s="17">
        <v>12701450000</v>
      </c>
      <c r="L149" s="675"/>
      <c r="M149" s="335">
        <v>-34071850000</v>
      </c>
      <c r="N149" s="17">
        <v>-10032940000</v>
      </c>
      <c r="O149" s="17">
        <v>-8842033000</v>
      </c>
      <c r="P149" s="17">
        <v>-7488090000</v>
      </c>
      <c r="Q149" s="17">
        <v>-5057445000</v>
      </c>
      <c r="R149" s="336">
        <v>-3870620000</v>
      </c>
      <c r="S149" s="337">
        <v>-3441210000</v>
      </c>
      <c r="T149" s="17">
        <v>-3136990000</v>
      </c>
      <c r="U149" s="17">
        <v>-1772200000</v>
      </c>
      <c r="V149" s="17">
        <v>-1500420000</v>
      </c>
    </row>
    <row r="150" spans="1:22" x14ac:dyDescent="0.2">
      <c r="A150" s="746" t="s">
        <v>220</v>
      </c>
      <c r="B150" s="45" t="s">
        <v>185</v>
      </c>
      <c r="C150" s="45" t="s">
        <v>14</v>
      </c>
      <c r="D150" s="45" t="s">
        <v>38</v>
      </c>
      <c r="E150" s="45" t="s">
        <v>74</v>
      </c>
      <c r="F150" s="45" t="s">
        <v>15</v>
      </c>
      <c r="G150" s="45" t="s">
        <v>29</v>
      </c>
      <c r="H150" s="45" t="s">
        <v>199</v>
      </c>
      <c r="I150" s="45" t="s">
        <v>111</v>
      </c>
      <c r="J150" s="45" t="s">
        <v>206</v>
      </c>
      <c r="K150" s="45" t="s">
        <v>5</v>
      </c>
      <c r="L150" s="675"/>
      <c r="M150" s="45" t="s">
        <v>36</v>
      </c>
      <c r="N150" s="45" t="s">
        <v>16</v>
      </c>
      <c r="O150" s="45" t="s">
        <v>83</v>
      </c>
      <c r="P150" s="45" t="s">
        <v>26</v>
      </c>
      <c r="Q150" s="45" t="s">
        <v>67</v>
      </c>
      <c r="R150" s="45" t="s">
        <v>175</v>
      </c>
      <c r="S150" s="45" t="s">
        <v>35</v>
      </c>
      <c r="T150" s="45" t="s">
        <v>62</v>
      </c>
      <c r="U150" s="45" t="s">
        <v>24</v>
      </c>
      <c r="V150" s="45" t="s">
        <v>19</v>
      </c>
    </row>
    <row r="151" spans="1:22" x14ac:dyDescent="0.2">
      <c r="A151" s="746" t="s">
        <v>220</v>
      </c>
      <c r="B151" s="17">
        <v>31156100000</v>
      </c>
      <c r="C151" s="17">
        <v>21058546000</v>
      </c>
      <c r="D151" s="17">
        <v>16763320000</v>
      </c>
      <c r="E151" s="17">
        <v>12269170000</v>
      </c>
      <c r="F151" s="17">
        <v>11202310000</v>
      </c>
      <c r="G151" s="331">
        <v>8629205000</v>
      </c>
      <c r="H151" s="17">
        <v>4826620000</v>
      </c>
      <c r="I151" s="17">
        <v>3106545000</v>
      </c>
      <c r="J151" s="17">
        <v>2543857000</v>
      </c>
      <c r="K151" s="17">
        <v>1364940000</v>
      </c>
      <c r="L151" s="675"/>
      <c r="M151" s="17">
        <v>-36500420000</v>
      </c>
      <c r="N151" s="17">
        <v>-30975110000</v>
      </c>
      <c r="O151" s="17">
        <v>-24832380000</v>
      </c>
      <c r="P151" s="17">
        <v>-24583770000</v>
      </c>
      <c r="Q151" s="17">
        <v>-20912115000</v>
      </c>
      <c r="R151" s="17">
        <v>-19406986000</v>
      </c>
      <c r="S151" s="17">
        <v>-16785510000</v>
      </c>
      <c r="T151" s="17">
        <v>-16258830000</v>
      </c>
      <c r="U151" s="17">
        <v>-14744800000</v>
      </c>
      <c r="V151" s="17">
        <v>-14277715000</v>
      </c>
    </row>
    <row r="152" spans="1:22" x14ac:dyDescent="0.2">
      <c r="A152" s="746" t="s">
        <v>218</v>
      </c>
      <c r="B152" s="45" t="s">
        <v>14</v>
      </c>
      <c r="C152" s="45" t="s">
        <v>15</v>
      </c>
      <c r="D152" s="45" t="s">
        <v>36</v>
      </c>
      <c r="E152" s="45" t="s">
        <v>83</v>
      </c>
      <c r="F152" s="45" t="s">
        <v>32</v>
      </c>
      <c r="G152" s="45" t="s">
        <v>338</v>
      </c>
      <c r="H152" s="45" t="s">
        <v>35</v>
      </c>
      <c r="I152" s="45" t="s">
        <v>13</v>
      </c>
      <c r="J152" s="45" t="s">
        <v>18</v>
      </c>
      <c r="K152" s="45" t="s">
        <v>41</v>
      </c>
      <c r="L152" s="675"/>
      <c r="M152" s="45" t="s">
        <v>9</v>
      </c>
      <c r="N152" s="45" t="s">
        <v>27</v>
      </c>
      <c r="O152" s="45" t="s">
        <v>39</v>
      </c>
      <c r="P152" s="45" t="s">
        <v>30</v>
      </c>
      <c r="Q152" s="45" t="s">
        <v>60</v>
      </c>
      <c r="R152" s="45" t="s">
        <v>206</v>
      </c>
      <c r="S152" s="45" t="s">
        <v>97</v>
      </c>
      <c r="T152" s="45" t="s">
        <v>20</v>
      </c>
      <c r="U152" s="45" t="s">
        <v>348</v>
      </c>
      <c r="V152" s="45" t="s">
        <v>29</v>
      </c>
    </row>
    <row r="153" spans="1:22" x14ac:dyDescent="0.2">
      <c r="A153" s="746" t="s">
        <v>218</v>
      </c>
      <c r="B153" s="17">
        <v>38229685000</v>
      </c>
      <c r="C153" s="17">
        <v>26909880000</v>
      </c>
      <c r="D153" s="17">
        <v>23664670000</v>
      </c>
      <c r="E153" s="17">
        <v>18088055000</v>
      </c>
      <c r="F153" s="323">
        <v>17971000000</v>
      </c>
      <c r="G153" s="324">
        <v>14215000000</v>
      </c>
      <c r="H153" s="17">
        <v>12939635000</v>
      </c>
      <c r="I153" s="17">
        <v>11217140000</v>
      </c>
      <c r="J153" s="17">
        <v>11169062000</v>
      </c>
      <c r="K153" s="17">
        <v>10075200000</v>
      </c>
      <c r="L153" s="675"/>
      <c r="M153" s="325">
        <v>-11951885000</v>
      </c>
      <c r="N153" s="17">
        <v>-2895740000</v>
      </c>
      <c r="O153" s="17">
        <v>-942780000</v>
      </c>
      <c r="P153" s="17">
        <v>977245000</v>
      </c>
      <c r="Q153" s="17">
        <v>998440000</v>
      </c>
      <c r="R153" s="17">
        <v>1352255000</v>
      </c>
      <c r="S153" s="17">
        <v>1388865000</v>
      </c>
      <c r="T153" s="17">
        <v>1556105000</v>
      </c>
      <c r="U153" s="17">
        <v>1941370000</v>
      </c>
      <c r="V153" s="17">
        <v>1978950000</v>
      </c>
    </row>
    <row r="154" spans="1:22" x14ac:dyDescent="0.2">
      <c r="A154" s="746" t="s">
        <v>217</v>
      </c>
      <c r="B154" s="45" t="s">
        <v>15</v>
      </c>
      <c r="C154" s="45" t="s">
        <v>185</v>
      </c>
      <c r="D154" s="45" t="s">
        <v>41</v>
      </c>
      <c r="E154" s="45" t="s">
        <v>14</v>
      </c>
      <c r="F154" s="45" t="s">
        <v>26</v>
      </c>
      <c r="G154" s="45" t="s">
        <v>16</v>
      </c>
      <c r="H154" s="45" t="s">
        <v>175</v>
      </c>
      <c r="I154" s="45" t="s">
        <v>19</v>
      </c>
      <c r="J154" s="45" t="s">
        <v>38</v>
      </c>
      <c r="K154" s="45" t="s">
        <v>199</v>
      </c>
      <c r="L154" s="675"/>
      <c r="M154" s="45" t="s">
        <v>27</v>
      </c>
      <c r="N154" s="45" t="s">
        <v>192</v>
      </c>
      <c r="O154" s="45" t="s">
        <v>10</v>
      </c>
      <c r="P154" s="45" t="s">
        <v>35</v>
      </c>
      <c r="Q154" s="45" t="s">
        <v>7</v>
      </c>
      <c r="R154" s="45" t="s">
        <v>37</v>
      </c>
      <c r="S154" s="45" t="s">
        <v>83</v>
      </c>
      <c r="T154" s="45" t="s">
        <v>61</v>
      </c>
      <c r="U154" s="45" t="s">
        <v>65</v>
      </c>
      <c r="V154" s="45" t="s">
        <v>111</v>
      </c>
    </row>
    <row r="155" spans="1:22" x14ac:dyDescent="0.2">
      <c r="A155" s="746" t="s">
        <v>217</v>
      </c>
      <c r="B155" s="17">
        <v>39205410000</v>
      </c>
      <c r="C155" s="17">
        <v>38208885000</v>
      </c>
      <c r="D155" s="314">
        <v>34988660000</v>
      </c>
      <c r="E155" s="17">
        <v>33379355000</v>
      </c>
      <c r="F155" s="17">
        <v>31722570000</v>
      </c>
      <c r="G155" s="17">
        <v>26169920000</v>
      </c>
      <c r="H155" s="17">
        <v>25641720000</v>
      </c>
      <c r="I155" s="17">
        <v>21420090000</v>
      </c>
      <c r="J155" s="17">
        <v>18099960000</v>
      </c>
      <c r="K155" s="17">
        <v>15955050000</v>
      </c>
      <c r="L155" s="675"/>
      <c r="M155" s="315">
        <v>-21288680000</v>
      </c>
      <c r="N155" s="316">
        <v>-12892299000</v>
      </c>
      <c r="O155" s="17">
        <v>-9161500000</v>
      </c>
      <c r="P155" s="17">
        <v>-6655000000</v>
      </c>
      <c r="Q155" s="317">
        <v>-6077040000</v>
      </c>
      <c r="R155" s="17">
        <v>-4379845000</v>
      </c>
      <c r="S155" s="17">
        <v>-3884905000</v>
      </c>
      <c r="T155" s="17">
        <v>-3416780000</v>
      </c>
      <c r="U155" s="17">
        <v>-3210600000</v>
      </c>
      <c r="V155" s="17">
        <v>-3180155000</v>
      </c>
    </row>
    <row r="156" spans="1:22" x14ac:dyDescent="0.2">
      <c r="A156" s="746" t="s">
        <v>216</v>
      </c>
      <c r="B156" s="45" t="s">
        <v>26</v>
      </c>
      <c r="C156" s="45" t="s">
        <v>14</v>
      </c>
      <c r="D156" s="45" t="s">
        <v>24</v>
      </c>
      <c r="E156" s="45" t="s">
        <v>73</v>
      </c>
      <c r="F156" s="45" t="s">
        <v>41</v>
      </c>
      <c r="G156" s="45" t="s">
        <v>15</v>
      </c>
      <c r="H156" s="45" t="s">
        <v>38</v>
      </c>
      <c r="I156" s="45" t="s">
        <v>27</v>
      </c>
      <c r="J156" s="45" t="s">
        <v>31</v>
      </c>
      <c r="K156" s="45" t="s">
        <v>35</v>
      </c>
      <c r="L156" s="675"/>
      <c r="M156" s="45" t="s">
        <v>83</v>
      </c>
      <c r="N156" s="45" t="s">
        <v>18</v>
      </c>
      <c r="O156" s="45" t="s">
        <v>60</v>
      </c>
      <c r="P156" s="45" t="s">
        <v>5</v>
      </c>
      <c r="Q156" s="45" t="s">
        <v>43</v>
      </c>
      <c r="R156" s="45" t="s">
        <v>32</v>
      </c>
      <c r="S156" s="45" t="s">
        <v>25</v>
      </c>
      <c r="T156" s="45" t="s">
        <v>214</v>
      </c>
      <c r="U156" s="45" t="s">
        <v>7</v>
      </c>
      <c r="V156" s="45" t="s">
        <v>68</v>
      </c>
    </row>
    <row r="157" spans="1:22" x14ac:dyDescent="0.2">
      <c r="A157" s="746" t="s">
        <v>216</v>
      </c>
      <c r="B157" s="305">
        <v>66748740000</v>
      </c>
      <c r="C157" s="17">
        <v>35472585000</v>
      </c>
      <c r="D157" s="17">
        <v>26710460000</v>
      </c>
      <c r="E157" s="306">
        <v>24617275000</v>
      </c>
      <c r="F157" s="307">
        <v>19884865000</v>
      </c>
      <c r="G157" s="17">
        <v>14292685000</v>
      </c>
      <c r="H157" s="17">
        <v>12428645000</v>
      </c>
      <c r="I157" s="17">
        <v>11197025000</v>
      </c>
      <c r="J157" s="308">
        <v>11143720000</v>
      </c>
      <c r="K157" s="17">
        <v>10384134000</v>
      </c>
      <c r="L157" s="675"/>
      <c r="M157" s="17">
        <v>-69315090000</v>
      </c>
      <c r="N157" s="17">
        <v>-19576365000</v>
      </c>
      <c r="O157" s="309">
        <v>-16690410000</v>
      </c>
      <c r="P157" s="17">
        <v>-14358869000</v>
      </c>
      <c r="Q157" s="17">
        <v>-9518630000</v>
      </c>
      <c r="R157" s="17">
        <v>-7854400000</v>
      </c>
      <c r="S157" s="17">
        <v>-7405650000</v>
      </c>
      <c r="T157" s="310">
        <v>-5642850000</v>
      </c>
      <c r="U157" s="17">
        <v>-4746160000</v>
      </c>
      <c r="V157" s="17">
        <v>-2222900000</v>
      </c>
    </row>
    <row r="158" spans="1:22" x14ac:dyDescent="0.2">
      <c r="A158" s="746" t="s">
        <v>213</v>
      </c>
      <c r="B158" s="45" t="s">
        <v>73</v>
      </c>
      <c r="C158" s="45" t="s">
        <v>37</v>
      </c>
      <c r="D158" s="45" t="s">
        <v>15</v>
      </c>
      <c r="E158" s="45" t="s">
        <v>401</v>
      </c>
      <c r="F158" s="45" t="s">
        <v>192</v>
      </c>
      <c r="G158" s="45" t="s">
        <v>97</v>
      </c>
      <c r="H158" s="45" t="s">
        <v>45</v>
      </c>
      <c r="I158" s="45" t="s">
        <v>111</v>
      </c>
      <c r="J158" s="45" t="s">
        <v>215</v>
      </c>
      <c r="K158" s="45" t="s">
        <v>10</v>
      </c>
      <c r="L158" s="675"/>
      <c r="M158" s="45" t="s">
        <v>38</v>
      </c>
      <c r="N158" s="45" t="s">
        <v>83</v>
      </c>
      <c r="O158" s="45" t="s">
        <v>18</v>
      </c>
      <c r="P158" s="45" t="s">
        <v>16</v>
      </c>
      <c r="Q158" s="45" t="s">
        <v>19</v>
      </c>
      <c r="R158" s="45" t="s">
        <v>14</v>
      </c>
      <c r="S158" s="45" t="s">
        <v>43</v>
      </c>
      <c r="T158" s="45" t="s">
        <v>28</v>
      </c>
      <c r="U158" s="45" t="s">
        <v>25</v>
      </c>
      <c r="V158" s="45" t="s">
        <v>13</v>
      </c>
    </row>
    <row r="159" spans="1:22" x14ac:dyDescent="0.2">
      <c r="A159" s="746" t="s">
        <v>213</v>
      </c>
      <c r="B159" s="17">
        <v>16069860000</v>
      </c>
      <c r="C159" s="17">
        <v>10902664000</v>
      </c>
      <c r="D159" s="17">
        <v>8291285000</v>
      </c>
      <c r="E159" s="298">
        <v>5472500000</v>
      </c>
      <c r="F159" s="17">
        <v>5354330000</v>
      </c>
      <c r="G159" s="299">
        <v>5086055000</v>
      </c>
      <c r="H159" s="17">
        <v>4431350000</v>
      </c>
      <c r="I159" s="17">
        <v>4256055000</v>
      </c>
      <c r="J159" s="300">
        <v>4015950000</v>
      </c>
      <c r="K159" s="17">
        <v>3600400000</v>
      </c>
      <c r="L159" s="675"/>
      <c r="M159" s="17">
        <v>-49351320000</v>
      </c>
      <c r="N159" s="17">
        <v>-41430270000</v>
      </c>
      <c r="O159" s="17">
        <v>-25038165000</v>
      </c>
      <c r="P159" s="17">
        <v>-25030575000</v>
      </c>
      <c r="Q159" s="17">
        <v>-23684225000</v>
      </c>
      <c r="R159" s="17">
        <v>-22417375000</v>
      </c>
      <c r="S159" s="17">
        <v>-21828970000</v>
      </c>
      <c r="T159" s="301">
        <v>-14762470000</v>
      </c>
      <c r="U159" s="17">
        <v>-14236555000</v>
      </c>
      <c r="V159" s="17">
        <v>-14158650000</v>
      </c>
    </row>
    <row r="160" spans="1:22" x14ac:dyDescent="0.2">
      <c r="A160" s="746" t="s">
        <v>212</v>
      </c>
      <c r="B160" s="45" t="s">
        <v>24</v>
      </c>
      <c r="C160" s="45" t="s">
        <v>45</v>
      </c>
      <c r="D160" s="45" t="s">
        <v>206</v>
      </c>
      <c r="E160" s="45" t="s">
        <v>6</v>
      </c>
      <c r="F160" s="45" t="s">
        <v>20</v>
      </c>
      <c r="G160" s="45" t="s">
        <v>215</v>
      </c>
      <c r="H160" s="45" t="s">
        <v>37</v>
      </c>
      <c r="I160" s="45" t="s">
        <v>290</v>
      </c>
      <c r="J160" s="45" t="s">
        <v>8</v>
      </c>
      <c r="K160" s="45" t="s">
        <v>103</v>
      </c>
      <c r="L160" s="675"/>
      <c r="M160" s="45" t="s">
        <v>18</v>
      </c>
      <c r="N160" s="45" t="s">
        <v>36</v>
      </c>
      <c r="O160" s="45" t="s">
        <v>15</v>
      </c>
      <c r="P160" s="45" t="s">
        <v>26</v>
      </c>
      <c r="Q160" s="45" t="s">
        <v>35</v>
      </c>
      <c r="R160" s="45" t="s">
        <v>38</v>
      </c>
      <c r="S160" s="45" t="s">
        <v>25</v>
      </c>
      <c r="T160" s="45" t="s">
        <v>5</v>
      </c>
      <c r="U160" s="45" t="s">
        <v>19</v>
      </c>
      <c r="V160" s="45" t="s">
        <v>33</v>
      </c>
    </row>
    <row r="161" spans="1:22" x14ac:dyDescent="0.2">
      <c r="A161" s="746" t="s">
        <v>212</v>
      </c>
      <c r="B161" s="17">
        <v>31313350000</v>
      </c>
      <c r="C161" s="17">
        <v>4879550000</v>
      </c>
      <c r="D161" s="293">
        <v>4742650000</v>
      </c>
      <c r="E161" s="17">
        <v>3980430000</v>
      </c>
      <c r="F161" s="17">
        <v>2486585000</v>
      </c>
      <c r="G161" s="17">
        <v>2300710000</v>
      </c>
      <c r="H161" s="17">
        <v>2232044000</v>
      </c>
      <c r="I161" s="17">
        <v>2139700000</v>
      </c>
      <c r="J161" s="17">
        <v>1608790000</v>
      </c>
      <c r="K161" s="17">
        <v>1475750000</v>
      </c>
      <c r="L161" s="675"/>
      <c r="M161" s="17">
        <v>-46415180000</v>
      </c>
      <c r="N161" s="17">
        <v>-41909346000</v>
      </c>
      <c r="O161" s="17">
        <v>-35049574000</v>
      </c>
      <c r="P161" s="17">
        <v>-23907840000</v>
      </c>
      <c r="Q161" s="17">
        <v>-19183995000</v>
      </c>
      <c r="R161" s="17">
        <v>-18519453000</v>
      </c>
      <c r="S161" s="294">
        <v>-14394500000</v>
      </c>
      <c r="T161" s="17">
        <v>-12341500000</v>
      </c>
      <c r="U161" s="17">
        <v>-12275740000</v>
      </c>
      <c r="V161" s="295">
        <v>-11262570000</v>
      </c>
    </row>
    <row r="162" spans="1:22" x14ac:dyDescent="0.2">
      <c r="A162" s="746" t="s">
        <v>210</v>
      </c>
      <c r="B162" s="45" t="s">
        <v>24</v>
      </c>
      <c r="C162" s="45" t="s">
        <v>15</v>
      </c>
      <c r="D162" s="45" t="s">
        <v>192</v>
      </c>
      <c r="E162" s="45" t="s">
        <v>6</v>
      </c>
      <c r="F162" s="45" t="s">
        <v>10</v>
      </c>
      <c r="G162" s="45" t="s">
        <v>60</v>
      </c>
      <c r="H162" s="45" t="s">
        <v>28</v>
      </c>
      <c r="I162" s="45" t="s">
        <v>14</v>
      </c>
      <c r="J162" s="45" t="s">
        <v>33</v>
      </c>
      <c r="K162" s="45" t="s">
        <v>100</v>
      </c>
      <c r="L162" s="675"/>
      <c r="M162" s="45" t="s">
        <v>18</v>
      </c>
      <c r="N162" s="45" t="s">
        <v>38</v>
      </c>
      <c r="O162" s="45" t="s">
        <v>36</v>
      </c>
      <c r="P162" s="45" t="s">
        <v>16</v>
      </c>
      <c r="Q162" s="45" t="s">
        <v>35</v>
      </c>
      <c r="R162" s="45" t="s">
        <v>62</v>
      </c>
      <c r="S162" s="45" t="s">
        <v>27</v>
      </c>
      <c r="T162" s="45" t="s">
        <v>13</v>
      </c>
      <c r="U162" s="45" t="s">
        <v>25</v>
      </c>
      <c r="V162" s="45" t="s">
        <v>68</v>
      </c>
    </row>
    <row r="163" spans="1:22" x14ac:dyDescent="0.2">
      <c r="A163" s="746" t="s">
        <v>210</v>
      </c>
      <c r="B163" s="17">
        <v>39653200000</v>
      </c>
      <c r="C163" s="17">
        <v>29742220000</v>
      </c>
      <c r="D163" s="288">
        <v>6136400000</v>
      </c>
      <c r="E163" s="17">
        <v>3896570000</v>
      </c>
      <c r="F163" s="17">
        <v>3660000000</v>
      </c>
      <c r="G163" s="17">
        <v>2985000000</v>
      </c>
      <c r="H163" s="17">
        <v>2208400000</v>
      </c>
      <c r="I163" s="17">
        <v>2038285000</v>
      </c>
      <c r="J163" s="17">
        <v>1492200000</v>
      </c>
      <c r="K163" s="17">
        <v>1319670000</v>
      </c>
      <c r="L163" s="675"/>
      <c r="M163" s="17">
        <v>-36102135000</v>
      </c>
      <c r="N163" s="17">
        <v>-14604752000</v>
      </c>
      <c r="O163" s="17">
        <v>-12831920000</v>
      </c>
      <c r="P163" s="17">
        <v>-12521985000</v>
      </c>
      <c r="Q163" s="17">
        <v>-12340287000</v>
      </c>
      <c r="R163" s="17">
        <v>-11868105000</v>
      </c>
      <c r="S163" s="17">
        <v>-9630440000</v>
      </c>
      <c r="T163" s="17">
        <v>-7330500000</v>
      </c>
      <c r="U163" s="17">
        <v>-6684975000</v>
      </c>
      <c r="V163" s="17">
        <v>-6662269000</v>
      </c>
    </row>
    <row r="164" spans="1:22" x14ac:dyDescent="0.2">
      <c r="A164" s="746" t="s">
        <v>205</v>
      </c>
      <c r="B164" s="45" t="s">
        <v>15</v>
      </c>
      <c r="C164" s="45" t="s">
        <v>24</v>
      </c>
      <c r="D164" s="45" t="s">
        <v>27</v>
      </c>
      <c r="E164" s="45" t="s">
        <v>26</v>
      </c>
      <c r="F164" s="45" t="s">
        <v>5</v>
      </c>
      <c r="G164" s="45" t="s">
        <v>67</v>
      </c>
      <c r="H164" s="45" t="s">
        <v>13</v>
      </c>
      <c r="I164" s="45" t="s">
        <v>16</v>
      </c>
      <c r="J164" s="45" t="s">
        <v>25</v>
      </c>
      <c r="K164" s="45" t="s">
        <v>62</v>
      </c>
      <c r="L164" s="675"/>
      <c r="M164" s="45" t="s">
        <v>36</v>
      </c>
      <c r="N164" s="45" t="s">
        <v>18</v>
      </c>
      <c r="O164" s="45" t="s">
        <v>14</v>
      </c>
      <c r="P164" s="45" t="s">
        <v>175</v>
      </c>
      <c r="Q164" s="45" t="s">
        <v>83</v>
      </c>
      <c r="R164" s="45" t="s">
        <v>37</v>
      </c>
      <c r="S164" s="45" t="s">
        <v>10</v>
      </c>
      <c r="T164" s="45" t="s">
        <v>8</v>
      </c>
      <c r="U164" s="45" t="s">
        <v>192</v>
      </c>
      <c r="V164" s="45" t="s">
        <v>285</v>
      </c>
    </row>
    <row r="165" spans="1:22" x14ac:dyDescent="0.2">
      <c r="A165" s="746" t="s">
        <v>205</v>
      </c>
      <c r="B165" s="17">
        <v>30065630000</v>
      </c>
      <c r="C165" s="17">
        <v>22058500000</v>
      </c>
      <c r="D165" s="281">
        <v>20194215000</v>
      </c>
      <c r="E165" s="17">
        <v>19799430000</v>
      </c>
      <c r="F165" s="17">
        <v>18231035000</v>
      </c>
      <c r="G165" s="17">
        <v>14510735000</v>
      </c>
      <c r="H165" s="17">
        <v>14143320000</v>
      </c>
      <c r="I165" s="17">
        <v>11311140000</v>
      </c>
      <c r="J165" s="17">
        <v>9976490000</v>
      </c>
      <c r="K165" s="17">
        <v>7874338000</v>
      </c>
      <c r="L165" s="675"/>
      <c r="M165" s="17">
        <v>-73248490000</v>
      </c>
      <c r="N165" s="17">
        <v>-18575325000</v>
      </c>
      <c r="O165" s="17">
        <v>-12289440000</v>
      </c>
      <c r="P165" s="17">
        <v>-10173090000</v>
      </c>
      <c r="Q165" s="17">
        <v>-9382875000</v>
      </c>
      <c r="R165" s="17">
        <v>-8991696000</v>
      </c>
      <c r="S165" s="17">
        <v>-2978023600</v>
      </c>
      <c r="T165" s="17">
        <v>-2366470000</v>
      </c>
      <c r="U165" s="17">
        <v>-1442010000</v>
      </c>
      <c r="V165" s="17">
        <v>-620000000</v>
      </c>
    </row>
    <row r="166" spans="1:22" x14ac:dyDescent="0.2">
      <c r="A166" s="746" t="s">
        <v>201</v>
      </c>
      <c r="B166" s="45" t="s">
        <v>24</v>
      </c>
      <c r="C166" s="45" t="s">
        <v>25</v>
      </c>
      <c r="D166" s="45" t="s">
        <v>83</v>
      </c>
      <c r="E166" s="45" t="s">
        <v>33</v>
      </c>
      <c r="F166" s="45" t="s">
        <v>26</v>
      </c>
      <c r="G166" s="45" t="s">
        <v>16</v>
      </c>
      <c r="H166" s="45" t="s">
        <v>13</v>
      </c>
      <c r="I166" s="45" t="s">
        <v>38</v>
      </c>
      <c r="J166" s="45" t="s">
        <v>62</v>
      </c>
      <c r="K166" s="45" t="s">
        <v>60</v>
      </c>
      <c r="L166" s="675"/>
      <c r="M166" s="45" t="s">
        <v>5</v>
      </c>
      <c r="N166" s="45" t="s">
        <v>79</v>
      </c>
      <c r="O166" s="45" t="s">
        <v>14</v>
      </c>
      <c r="P166" s="45" t="s">
        <v>67</v>
      </c>
      <c r="Q166" s="45" t="s">
        <v>18</v>
      </c>
      <c r="R166" s="45" t="s">
        <v>37</v>
      </c>
      <c r="S166" s="45" t="s">
        <v>19</v>
      </c>
      <c r="T166" s="45" t="s">
        <v>70</v>
      </c>
      <c r="U166" s="45" t="s">
        <v>15</v>
      </c>
      <c r="V166" s="45" t="s">
        <v>21</v>
      </c>
    </row>
    <row r="167" spans="1:22" x14ac:dyDescent="0.2">
      <c r="A167" s="746" t="s">
        <v>201</v>
      </c>
      <c r="B167" s="271">
        <v>45459740000</v>
      </c>
      <c r="C167" s="272">
        <v>18464820000</v>
      </c>
      <c r="D167" s="17">
        <v>18335045000</v>
      </c>
      <c r="E167" s="273">
        <v>16286840000</v>
      </c>
      <c r="F167" s="17">
        <v>15752920000</v>
      </c>
      <c r="G167" s="17">
        <v>11971410000</v>
      </c>
      <c r="H167" s="17">
        <v>10235620000</v>
      </c>
      <c r="I167" s="17">
        <v>9633180000</v>
      </c>
      <c r="J167" s="17">
        <v>8197950000</v>
      </c>
      <c r="K167" s="274">
        <v>6990130000</v>
      </c>
      <c r="L167" s="675"/>
      <c r="M167" s="17">
        <v>-41250125000</v>
      </c>
      <c r="N167" s="275">
        <v>-24653932000</v>
      </c>
      <c r="O167" s="17">
        <v>-12342220000</v>
      </c>
      <c r="P167" s="17">
        <v>-12073745000</v>
      </c>
      <c r="Q167" s="17">
        <v>-9204300000</v>
      </c>
      <c r="R167" s="17">
        <v>-9036447000</v>
      </c>
      <c r="S167" s="17">
        <v>-6447750000</v>
      </c>
      <c r="T167" s="17">
        <v>-3706070000</v>
      </c>
      <c r="U167" s="17">
        <v>-1107165000</v>
      </c>
      <c r="V167" s="17">
        <v>-25000000</v>
      </c>
    </row>
    <row r="168" spans="1:22" x14ac:dyDescent="0.2">
      <c r="A168" s="746" t="s">
        <v>197</v>
      </c>
      <c r="B168" s="45" t="s">
        <v>11</v>
      </c>
      <c r="C168" s="45" t="s">
        <v>36</v>
      </c>
      <c r="D168" s="45" t="s">
        <v>192</v>
      </c>
      <c r="E168" s="45" t="s">
        <v>91</v>
      </c>
      <c r="F168" s="45" t="s">
        <v>41</v>
      </c>
      <c r="G168" s="45" t="s">
        <v>25</v>
      </c>
      <c r="H168" s="45" t="s">
        <v>111</v>
      </c>
      <c r="I168" s="45" t="s">
        <v>30</v>
      </c>
      <c r="J168" s="45" t="s">
        <v>45</v>
      </c>
      <c r="K168" s="45" t="s">
        <v>43</v>
      </c>
      <c r="L168" s="675"/>
      <c r="M168" s="45" t="s">
        <v>14</v>
      </c>
      <c r="N168" s="45" t="s">
        <v>15</v>
      </c>
      <c r="O168" s="45" t="s">
        <v>97</v>
      </c>
      <c r="P168" s="45" t="s">
        <v>175</v>
      </c>
      <c r="Q168" s="45" t="s">
        <v>83</v>
      </c>
      <c r="R168" s="45" t="s">
        <v>199</v>
      </c>
      <c r="S168" s="45" t="s">
        <v>32</v>
      </c>
      <c r="T168" s="45" t="s">
        <v>13</v>
      </c>
      <c r="U168" s="45" t="s">
        <v>24</v>
      </c>
      <c r="V168" s="45" t="s">
        <v>18</v>
      </c>
    </row>
    <row r="169" spans="1:22" x14ac:dyDescent="0.2">
      <c r="A169" s="746" t="s">
        <v>197</v>
      </c>
      <c r="B169" s="17">
        <v>41431930000</v>
      </c>
      <c r="C169" s="17">
        <v>6463920000</v>
      </c>
      <c r="D169" s="259">
        <v>5955030000</v>
      </c>
      <c r="E169" s="260">
        <v>3109450000</v>
      </c>
      <c r="F169" s="17">
        <v>3084880000</v>
      </c>
      <c r="G169" s="261">
        <v>3042555000</v>
      </c>
      <c r="H169" s="17">
        <v>2568980000</v>
      </c>
      <c r="I169" s="262">
        <v>2157965000</v>
      </c>
      <c r="J169" s="17">
        <v>1810480000</v>
      </c>
      <c r="K169" s="17">
        <v>1791340000</v>
      </c>
      <c r="L169" s="675"/>
      <c r="M169" s="17">
        <v>-52890765000</v>
      </c>
      <c r="N169" s="17">
        <v>-44658787000</v>
      </c>
      <c r="O169" s="263">
        <v>-42277880000</v>
      </c>
      <c r="P169" s="264">
        <v>-21584750000</v>
      </c>
      <c r="Q169" s="17">
        <v>-12839935000</v>
      </c>
      <c r="R169" s="265">
        <v>-11681825000</v>
      </c>
      <c r="S169" s="266">
        <v>-11342510000</v>
      </c>
      <c r="T169" s="17">
        <v>-7554990000</v>
      </c>
      <c r="U169" s="17">
        <v>-7234210000</v>
      </c>
      <c r="V169" s="17">
        <v>-5775285000</v>
      </c>
    </row>
    <row r="170" spans="1:22" x14ac:dyDescent="0.2">
      <c r="A170" s="746" t="s">
        <v>194</v>
      </c>
      <c r="B170" s="45" t="s">
        <v>20</v>
      </c>
      <c r="C170" s="45" t="s">
        <v>41</v>
      </c>
      <c r="D170" s="45" t="s">
        <v>42</v>
      </c>
      <c r="E170" s="45" t="s">
        <v>196</v>
      </c>
      <c r="F170" s="45" t="s">
        <v>60</v>
      </c>
      <c r="G170" s="45" t="s">
        <v>45</v>
      </c>
      <c r="H170" s="45" t="s">
        <v>317</v>
      </c>
      <c r="I170" s="45" t="s">
        <v>351</v>
      </c>
      <c r="J170" s="45" t="s">
        <v>8</v>
      </c>
      <c r="K170" s="45" t="s">
        <v>91</v>
      </c>
      <c r="L170" s="675"/>
      <c r="M170" s="45" t="s">
        <v>5</v>
      </c>
      <c r="N170" s="45" t="s">
        <v>15</v>
      </c>
      <c r="O170" s="45" t="s">
        <v>16</v>
      </c>
      <c r="P170" s="45" t="s">
        <v>18</v>
      </c>
      <c r="Q170" s="45" t="s">
        <v>24</v>
      </c>
      <c r="R170" s="45" t="s">
        <v>36</v>
      </c>
      <c r="S170" s="45" t="s">
        <v>19</v>
      </c>
      <c r="T170" s="45" t="s">
        <v>38</v>
      </c>
      <c r="U170" s="45" t="s">
        <v>13</v>
      </c>
      <c r="V170" s="45" t="s">
        <v>67</v>
      </c>
    </row>
    <row r="171" spans="1:22" x14ac:dyDescent="0.2">
      <c r="A171" s="746" t="s">
        <v>194</v>
      </c>
      <c r="B171" s="17">
        <v>42288241000</v>
      </c>
      <c r="C171" s="251">
        <v>18511433000</v>
      </c>
      <c r="D171" s="17">
        <v>18239240000</v>
      </c>
      <c r="E171" s="17">
        <v>5623740000</v>
      </c>
      <c r="F171" s="252">
        <v>4850000000</v>
      </c>
      <c r="G171" s="17">
        <v>2134238000</v>
      </c>
      <c r="H171" s="17">
        <v>1890000000</v>
      </c>
      <c r="I171" s="17">
        <v>1833997000</v>
      </c>
      <c r="J171" s="17">
        <v>1583591000</v>
      </c>
      <c r="K171" s="17">
        <v>932400000</v>
      </c>
      <c r="L171" s="675"/>
      <c r="M171" s="253">
        <v>-101117683000</v>
      </c>
      <c r="N171" s="254">
        <v>-98294545000</v>
      </c>
      <c r="O171" s="17">
        <v>-30522444000</v>
      </c>
      <c r="P171" s="17">
        <v>-27613387000</v>
      </c>
      <c r="Q171" s="17">
        <v>-24496290000</v>
      </c>
      <c r="R171" s="17">
        <v>-23341236000</v>
      </c>
      <c r="S171" s="17">
        <v>-19383565000</v>
      </c>
      <c r="T171" s="17">
        <v>-18879279000</v>
      </c>
      <c r="U171" s="17">
        <v>-17524270000</v>
      </c>
      <c r="V171" s="17">
        <v>-16197130000</v>
      </c>
    </row>
    <row r="172" spans="1:22" x14ac:dyDescent="0.2">
      <c r="A172" s="746" t="s">
        <v>191</v>
      </c>
      <c r="B172" s="45" t="s">
        <v>14</v>
      </c>
      <c r="C172" s="45" t="s">
        <v>79</v>
      </c>
      <c r="D172" s="45" t="s">
        <v>15</v>
      </c>
      <c r="E172" s="45" t="s">
        <v>42</v>
      </c>
      <c r="F172" s="45" t="s">
        <v>26</v>
      </c>
      <c r="G172" s="45" t="s">
        <v>13</v>
      </c>
      <c r="H172" s="45" t="s">
        <v>16</v>
      </c>
      <c r="I172" s="45" t="s">
        <v>11</v>
      </c>
      <c r="J172" s="45" t="s">
        <v>67</v>
      </c>
      <c r="K172" s="45" t="s">
        <v>100</v>
      </c>
      <c r="L172" s="675"/>
      <c r="M172" s="45" t="s">
        <v>35</v>
      </c>
      <c r="N172" s="45" t="s">
        <v>175</v>
      </c>
      <c r="O172" s="45" t="s">
        <v>36</v>
      </c>
      <c r="P172" s="45" t="s">
        <v>37</v>
      </c>
      <c r="Q172" s="45" t="s">
        <v>285</v>
      </c>
      <c r="R172" s="45" t="s">
        <v>83</v>
      </c>
      <c r="S172" s="45" t="s">
        <v>8</v>
      </c>
      <c r="T172" s="45" t="s">
        <v>70</v>
      </c>
      <c r="U172" s="45" t="s">
        <v>20</v>
      </c>
      <c r="V172" s="45" t="s">
        <v>111</v>
      </c>
    </row>
    <row r="173" spans="1:22" x14ac:dyDescent="0.2">
      <c r="A173" s="746" t="s">
        <v>191</v>
      </c>
      <c r="B173" s="17">
        <v>26496345000</v>
      </c>
      <c r="C173" s="246">
        <v>25870670000</v>
      </c>
      <c r="D173" s="17">
        <v>23882075000</v>
      </c>
      <c r="E173" s="17">
        <v>23311825000</v>
      </c>
      <c r="F173" s="17">
        <v>11641860000</v>
      </c>
      <c r="G173" s="17">
        <v>11383560000</v>
      </c>
      <c r="H173" s="17">
        <v>11368427000</v>
      </c>
      <c r="I173" s="17">
        <v>8542585000</v>
      </c>
      <c r="J173" s="17">
        <v>7942095000</v>
      </c>
      <c r="K173" s="17">
        <v>7142150000</v>
      </c>
      <c r="L173" s="675"/>
      <c r="M173" s="17">
        <v>-15328150000</v>
      </c>
      <c r="N173" s="247">
        <v>-13575623000</v>
      </c>
      <c r="O173" s="17">
        <v>-11630710000</v>
      </c>
      <c r="P173" s="17">
        <v>-2579376000</v>
      </c>
      <c r="Q173" s="17">
        <v>-1599000000</v>
      </c>
      <c r="R173" s="17">
        <v>-973085000</v>
      </c>
      <c r="S173" s="17">
        <v>-625935000</v>
      </c>
      <c r="T173" s="17">
        <v>-616780000</v>
      </c>
      <c r="U173" s="17">
        <v>-123365000</v>
      </c>
      <c r="V173" s="17">
        <v>537315000</v>
      </c>
    </row>
    <row r="174" spans="1:22" x14ac:dyDescent="0.2">
      <c r="A174" s="746" t="s">
        <v>123</v>
      </c>
      <c r="B174" s="45" t="s">
        <v>8</v>
      </c>
      <c r="C174" s="45" t="s">
        <v>175</v>
      </c>
      <c r="D174" s="45" t="s">
        <v>5</v>
      </c>
      <c r="E174" s="45" t="s">
        <v>15</v>
      </c>
      <c r="F174" s="45" t="s">
        <v>16</v>
      </c>
      <c r="G174" s="45" t="s">
        <v>100</v>
      </c>
      <c r="H174" s="45" t="s">
        <v>13</v>
      </c>
      <c r="I174" s="45" t="s">
        <v>62</v>
      </c>
      <c r="J174" s="45" t="s">
        <v>38</v>
      </c>
      <c r="K174" s="45" t="s">
        <v>14</v>
      </c>
      <c r="L174" s="675"/>
      <c r="M174" s="45" t="s">
        <v>20</v>
      </c>
      <c r="N174" s="45" t="s">
        <v>36</v>
      </c>
      <c r="O174" s="45" t="s">
        <v>35</v>
      </c>
      <c r="P174" s="45" t="s">
        <v>83</v>
      </c>
      <c r="Q174" s="45" t="s">
        <v>28</v>
      </c>
      <c r="R174" s="45" t="s">
        <v>39</v>
      </c>
      <c r="S174" s="45" t="s">
        <v>33</v>
      </c>
      <c r="T174" s="45" t="s">
        <v>19</v>
      </c>
      <c r="U174" s="45" t="s">
        <v>37</v>
      </c>
      <c r="V174" s="45" t="s">
        <v>103</v>
      </c>
    </row>
    <row r="175" spans="1:22" x14ac:dyDescent="0.2">
      <c r="A175" s="746" t="s">
        <v>123</v>
      </c>
      <c r="B175" s="238">
        <v>41805335000</v>
      </c>
      <c r="C175" s="239">
        <v>41655821000</v>
      </c>
      <c r="D175" s="17">
        <v>40110810000</v>
      </c>
      <c r="E175" s="17">
        <v>31294505000</v>
      </c>
      <c r="F175" s="17">
        <v>20750285000</v>
      </c>
      <c r="G175" s="240">
        <v>15684050000</v>
      </c>
      <c r="H175" s="17">
        <v>15486870000</v>
      </c>
      <c r="I175" s="17">
        <v>13995960000</v>
      </c>
      <c r="J175" s="17">
        <v>12348925000</v>
      </c>
      <c r="K175" s="17">
        <v>12240555000</v>
      </c>
      <c r="L175" s="675"/>
      <c r="M175" s="241">
        <v>-92822560000</v>
      </c>
      <c r="N175" s="17">
        <v>-40854584000</v>
      </c>
      <c r="O175" s="17">
        <v>-29536986000</v>
      </c>
      <c r="P175" s="17">
        <v>-7923550000</v>
      </c>
      <c r="Q175" s="242">
        <v>-6679750000</v>
      </c>
      <c r="R175" s="17">
        <v>-5961280000</v>
      </c>
      <c r="S175" s="17">
        <v>-5045240000</v>
      </c>
      <c r="T175" s="17">
        <v>-191455000</v>
      </c>
      <c r="U175" s="17">
        <v>-31506000</v>
      </c>
      <c r="V175" s="17">
        <v>184000000</v>
      </c>
    </row>
    <row r="176" spans="1:22" x14ac:dyDescent="0.2">
      <c r="A176" s="746" t="s">
        <v>122</v>
      </c>
      <c r="B176" s="45" t="s">
        <v>83</v>
      </c>
      <c r="C176" s="45" t="s">
        <v>175</v>
      </c>
      <c r="D176" s="45" t="s">
        <v>67</v>
      </c>
      <c r="E176" s="45" t="s">
        <v>15</v>
      </c>
      <c r="F176" s="45" t="s">
        <v>65</v>
      </c>
      <c r="G176" s="45" t="s">
        <v>80</v>
      </c>
      <c r="H176" s="45" t="s">
        <v>215</v>
      </c>
      <c r="I176" s="45" t="s">
        <v>401</v>
      </c>
      <c r="J176" s="45" t="s">
        <v>290</v>
      </c>
      <c r="K176" s="45" t="s">
        <v>190</v>
      </c>
      <c r="L176" s="675"/>
      <c r="M176" s="45" t="s">
        <v>36</v>
      </c>
      <c r="N176" s="45" t="s">
        <v>62</v>
      </c>
      <c r="O176" s="45" t="s">
        <v>38</v>
      </c>
      <c r="P176" s="45" t="s">
        <v>18</v>
      </c>
      <c r="Q176" s="45" t="s">
        <v>35</v>
      </c>
      <c r="R176" s="45" t="s">
        <v>24</v>
      </c>
      <c r="S176" s="45" t="s">
        <v>5</v>
      </c>
      <c r="T176" s="45" t="s">
        <v>13</v>
      </c>
      <c r="U176" s="45" t="s">
        <v>26</v>
      </c>
      <c r="V176" s="45" t="s">
        <v>33</v>
      </c>
    </row>
    <row r="177" spans="1:22" x14ac:dyDescent="0.2">
      <c r="A177" s="746" t="s">
        <v>122</v>
      </c>
      <c r="B177" s="17">
        <v>35101487000</v>
      </c>
      <c r="C177" s="230">
        <v>24994740000</v>
      </c>
      <c r="D177" s="17">
        <v>18358455000</v>
      </c>
      <c r="E177" s="17">
        <v>15949343000</v>
      </c>
      <c r="F177" s="231">
        <v>12981215000</v>
      </c>
      <c r="G177" s="17">
        <v>7496595000</v>
      </c>
      <c r="H177" s="232">
        <v>3970850000</v>
      </c>
      <c r="I177" s="233">
        <v>2733450000</v>
      </c>
      <c r="J177" s="17">
        <v>2682750000</v>
      </c>
      <c r="K177" s="17">
        <v>2123870000</v>
      </c>
      <c r="L177" s="675"/>
      <c r="M177" s="17">
        <v>-41838956000</v>
      </c>
      <c r="N177" s="17">
        <v>-29763375000</v>
      </c>
      <c r="O177" s="17">
        <v>-13099680000</v>
      </c>
      <c r="P177" s="17">
        <v>-11879715000</v>
      </c>
      <c r="Q177" s="17">
        <v>-10624590000</v>
      </c>
      <c r="R177" s="17">
        <v>-10059930000</v>
      </c>
      <c r="S177" s="17">
        <v>-9476645000</v>
      </c>
      <c r="T177" s="17">
        <v>-7330870000</v>
      </c>
      <c r="U177" s="17">
        <v>-5339110000</v>
      </c>
      <c r="V177" s="17">
        <v>-4337187000</v>
      </c>
    </row>
    <row r="178" spans="1:22" x14ac:dyDescent="0.2">
      <c r="A178" s="746" t="s">
        <v>121</v>
      </c>
      <c r="B178" s="45" t="s">
        <v>175</v>
      </c>
      <c r="C178" s="45" t="s">
        <v>28</v>
      </c>
      <c r="D178" s="45" t="s">
        <v>111</v>
      </c>
      <c r="E178" s="45" t="s">
        <v>196</v>
      </c>
      <c r="F178" s="45" t="s">
        <v>384</v>
      </c>
      <c r="G178" s="45" t="s">
        <v>190</v>
      </c>
      <c r="H178" s="45" t="s">
        <v>32</v>
      </c>
      <c r="I178" s="45" t="s">
        <v>102</v>
      </c>
      <c r="J178" s="45" t="s">
        <v>33</v>
      </c>
      <c r="K178" s="45" t="s">
        <v>215</v>
      </c>
      <c r="L178" s="675"/>
      <c r="M178" s="45" t="s">
        <v>14</v>
      </c>
      <c r="N178" s="45" t="s">
        <v>38</v>
      </c>
      <c r="O178" s="45" t="s">
        <v>18</v>
      </c>
      <c r="P178" s="45" t="s">
        <v>35</v>
      </c>
      <c r="Q178" s="45" t="s">
        <v>83</v>
      </c>
      <c r="R178" s="45" t="s">
        <v>15</v>
      </c>
      <c r="S178" s="45" t="s">
        <v>68</v>
      </c>
      <c r="T178" s="45" t="s">
        <v>67</v>
      </c>
      <c r="U178" s="45" t="s">
        <v>43</v>
      </c>
      <c r="V178" s="45" t="s">
        <v>24</v>
      </c>
    </row>
    <row r="179" spans="1:22" x14ac:dyDescent="0.2">
      <c r="A179" s="746" t="s">
        <v>121</v>
      </c>
      <c r="B179" s="221">
        <v>7589360000</v>
      </c>
      <c r="C179" s="17">
        <v>4538690000</v>
      </c>
      <c r="D179" s="17">
        <v>4463500000</v>
      </c>
      <c r="E179" s="17">
        <v>3128120000</v>
      </c>
      <c r="F179" s="17">
        <v>2160080000</v>
      </c>
      <c r="G179" s="17">
        <v>1893350000</v>
      </c>
      <c r="H179" s="17">
        <v>1850000000</v>
      </c>
      <c r="I179" s="17">
        <v>1688845000</v>
      </c>
      <c r="J179" s="17">
        <v>1511240000</v>
      </c>
      <c r="K179" s="17">
        <v>1495500000</v>
      </c>
      <c r="L179" s="675"/>
      <c r="M179" s="17">
        <v>-61733360000</v>
      </c>
      <c r="N179" s="17">
        <v>-31574670000</v>
      </c>
      <c r="O179" s="17">
        <v>-27505625000</v>
      </c>
      <c r="P179" s="17">
        <v>-24432600000</v>
      </c>
      <c r="Q179" s="17">
        <v>-22489720000</v>
      </c>
      <c r="R179" s="17">
        <v>-22191860000</v>
      </c>
      <c r="S179" s="17">
        <v>-19814305000</v>
      </c>
      <c r="T179" s="17">
        <v>-18599040000</v>
      </c>
      <c r="U179" s="17">
        <v>-18116660000</v>
      </c>
      <c r="V179" s="17">
        <v>-16977880000</v>
      </c>
    </row>
    <row r="180" spans="1:22" x14ac:dyDescent="0.2">
      <c r="A180" s="746" t="s">
        <v>120</v>
      </c>
      <c r="B180" s="45" t="s">
        <v>79</v>
      </c>
      <c r="C180" s="45" t="s">
        <v>370</v>
      </c>
      <c r="D180" s="45" t="s">
        <v>199</v>
      </c>
      <c r="E180" s="45" t="s">
        <v>45</v>
      </c>
      <c r="F180" s="45" t="s">
        <v>102</v>
      </c>
      <c r="G180" s="45" t="s">
        <v>10</v>
      </c>
      <c r="H180" s="45" t="s">
        <v>111</v>
      </c>
      <c r="I180" s="45" t="s">
        <v>28</v>
      </c>
      <c r="J180" s="45" t="s">
        <v>190</v>
      </c>
      <c r="K180" s="45" t="s">
        <v>65</v>
      </c>
      <c r="L180" s="675"/>
      <c r="M180" s="45" t="s">
        <v>38</v>
      </c>
      <c r="N180" s="45" t="s">
        <v>15</v>
      </c>
      <c r="O180" s="45" t="s">
        <v>35</v>
      </c>
      <c r="P180" s="45" t="s">
        <v>83</v>
      </c>
      <c r="Q180" s="45" t="s">
        <v>18</v>
      </c>
      <c r="R180" s="45" t="s">
        <v>74</v>
      </c>
      <c r="S180" s="45" t="s">
        <v>13</v>
      </c>
      <c r="T180" s="45" t="s">
        <v>62</v>
      </c>
      <c r="U180" s="45" t="s">
        <v>5</v>
      </c>
      <c r="V180" s="45" t="s">
        <v>14</v>
      </c>
    </row>
    <row r="181" spans="1:22" x14ac:dyDescent="0.2">
      <c r="A181" s="746" t="s">
        <v>120</v>
      </c>
      <c r="B181" s="17">
        <v>10425715000</v>
      </c>
      <c r="C181" s="17">
        <v>4950875000</v>
      </c>
      <c r="D181" s="17">
        <v>3839525000</v>
      </c>
      <c r="E181" s="17">
        <v>3477500000</v>
      </c>
      <c r="F181" s="17">
        <v>3158250000</v>
      </c>
      <c r="G181" s="17">
        <v>3019080000</v>
      </c>
      <c r="H181" s="17">
        <v>2243500000</v>
      </c>
      <c r="I181" s="17">
        <v>1929500000</v>
      </c>
      <c r="J181" s="17">
        <v>1889555000</v>
      </c>
      <c r="K181" s="17">
        <v>1705460000</v>
      </c>
      <c r="L181" s="675"/>
      <c r="M181" s="17">
        <v>-58008823000</v>
      </c>
      <c r="N181" s="17">
        <v>-41559165000</v>
      </c>
      <c r="O181" s="17">
        <v>-29017005000</v>
      </c>
      <c r="P181" s="17">
        <v>-26446705000</v>
      </c>
      <c r="Q181" s="17">
        <v>-23942540000</v>
      </c>
      <c r="R181" s="213">
        <v>-21646202000</v>
      </c>
      <c r="S181" s="17">
        <v>-17478040000</v>
      </c>
      <c r="T181" s="17">
        <v>-15847175000</v>
      </c>
      <c r="U181" s="17">
        <v>-15748075000</v>
      </c>
      <c r="V181" s="17">
        <v>-15626915000</v>
      </c>
    </row>
    <row r="182" spans="1:22" x14ac:dyDescent="0.2">
      <c r="A182" s="746" t="s">
        <v>119</v>
      </c>
      <c r="B182" s="45" t="s">
        <v>42</v>
      </c>
      <c r="C182" s="45" t="s">
        <v>79</v>
      </c>
      <c r="D182" s="45" t="s">
        <v>103</v>
      </c>
      <c r="E182" s="45" t="s">
        <v>65</v>
      </c>
      <c r="F182" s="45" t="s">
        <v>190</v>
      </c>
      <c r="G182" s="45" t="s">
        <v>74</v>
      </c>
      <c r="H182" s="45" t="s">
        <v>20</v>
      </c>
      <c r="I182" s="45" t="s">
        <v>70</v>
      </c>
      <c r="J182" s="45" t="s">
        <v>72</v>
      </c>
      <c r="K182" s="45" t="s">
        <v>43</v>
      </c>
      <c r="L182" s="675"/>
      <c r="M182" s="45" t="s">
        <v>15</v>
      </c>
      <c r="N182" s="45" t="s">
        <v>83</v>
      </c>
      <c r="O182" s="45" t="s">
        <v>38</v>
      </c>
      <c r="P182" s="45" t="s">
        <v>24</v>
      </c>
      <c r="Q182" s="45" t="s">
        <v>36</v>
      </c>
      <c r="R182" s="45" t="s">
        <v>16</v>
      </c>
      <c r="S182" s="45" t="s">
        <v>13</v>
      </c>
      <c r="T182" s="45" t="s">
        <v>18</v>
      </c>
      <c r="U182" s="45" t="s">
        <v>5</v>
      </c>
      <c r="V182" s="45" t="s">
        <v>39</v>
      </c>
    </row>
    <row r="183" spans="1:22" x14ac:dyDescent="0.2">
      <c r="A183" s="746" t="s">
        <v>119</v>
      </c>
      <c r="B183" s="17">
        <v>31961735000</v>
      </c>
      <c r="C183" s="17">
        <v>12279200000</v>
      </c>
      <c r="D183" s="206">
        <v>7568600000</v>
      </c>
      <c r="E183" s="207">
        <v>5970505000</v>
      </c>
      <c r="F183" s="208">
        <v>5807985000</v>
      </c>
      <c r="G183" s="17">
        <v>4781700000</v>
      </c>
      <c r="H183" s="17">
        <v>3065175000</v>
      </c>
      <c r="I183" s="17">
        <v>2246935000</v>
      </c>
      <c r="J183" s="17">
        <v>1159350000</v>
      </c>
      <c r="K183" s="17">
        <v>997400000</v>
      </c>
      <c r="L183" s="675"/>
      <c r="M183" s="17">
        <v>-52188650000</v>
      </c>
      <c r="N183" s="17">
        <v>-49330906000</v>
      </c>
      <c r="O183" s="17">
        <v>-29732020000</v>
      </c>
      <c r="P183" s="17">
        <v>-22222280000</v>
      </c>
      <c r="Q183" s="17">
        <v>-22030830000</v>
      </c>
      <c r="R183" s="17">
        <v>-16276250000</v>
      </c>
      <c r="S183" s="17">
        <v>-14288280000</v>
      </c>
      <c r="T183" s="17">
        <v>-14066690000</v>
      </c>
      <c r="U183" s="17">
        <v>-14037500000</v>
      </c>
      <c r="V183" s="17">
        <v>-13246390000</v>
      </c>
    </row>
    <row r="184" spans="1:22" x14ac:dyDescent="0.2">
      <c r="A184" s="746" t="s">
        <v>141</v>
      </c>
      <c r="B184" s="45" t="s">
        <v>36</v>
      </c>
      <c r="C184" s="45" t="s">
        <v>42</v>
      </c>
      <c r="D184" s="45" t="s">
        <v>79</v>
      </c>
      <c r="E184" s="45" t="s">
        <v>16</v>
      </c>
      <c r="F184" s="45" t="s">
        <v>24</v>
      </c>
      <c r="G184" s="45" t="s">
        <v>35</v>
      </c>
      <c r="H184" s="45" t="s">
        <v>67</v>
      </c>
      <c r="I184" s="45" t="s">
        <v>45</v>
      </c>
      <c r="J184" s="45" t="s">
        <v>62</v>
      </c>
      <c r="K184" s="45" t="s">
        <v>39</v>
      </c>
      <c r="L184" s="675"/>
      <c r="M184" s="45" t="s">
        <v>20</v>
      </c>
      <c r="N184" s="45" t="s">
        <v>5</v>
      </c>
      <c r="O184" s="45" t="s">
        <v>38</v>
      </c>
      <c r="P184" s="45" t="s">
        <v>32</v>
      </c>
      <c r="Q184" s="45" t="s">
        <v>15</v>
      </c>
      <c r="R184" s="45" t="s">
        <v>14</v>
      </c>
      <c r="S184" s="45" t="s">
        <v>37</v>
      </c>
      <c r="T184" s="45" t="s">
        <v>18</v>
      </c>
      <c r="U184" s="45" t="s">
        <v>199</v>
      </c>
      <c r="V184" s="45" t="s">
        <v>111</v>
      </c>
    </row>
    <row r="185" spans="1:22" x14ac:dyDescent="0.2">
      <c r="A185" s="746" t="s">
        <v>141</v>
      </c>
      <c r="B185" s="17">
        <v>28482010000</v>
      </c>
      <c r="C185" s="17">
        <v>23372480000</v>
      </c>
      <c r="D185" s="195">
        <v>18525335000</v>
      </c>
      <c r="E185" s="17">
        <v>11582565000</v>
      </c>
      <c r="F185" s="17">
        <v>11472470000</v>
      </c>
      <c r="G185" s="17">
        <v>10269065000</v>
      </c>
      <c r="H185" s="17">
        <v>7694690000</v>
      </c>
      <c r="I185" s="17">
        <v>6140480000</v>
      </c>
      <c r="J185" s="17">
        <v>5454269000</v>
      </c>
      <c r="K185" s="17">
        <v>4776570000</v>
      </c>
      <c r="L185" s="675"/>
      <c r="M185" s="196">
        <v>-80214590000</v>
      </c>
      <c r="N185" s="197">
        <v>-48418320000</v>
      </c>
      <c r="O185" s="17">
        <v>-9971124000</v>
      </c>
      <c r="P185" s="17">
        <v>-2217890000</v>
      </c>
      <c r="Q185" s="17">
        <v>-1936700000</v>
      </c>
      <c r="R185" s="17">
        <v>-1248115000</v>
      </c>
      <c r="S185" s="17">
        <v>-789587000</v>
      </c>
      <c r="T185" s="17">
        <v>-625460000</v>
      </c>
      <c r="U185" s="198">
        <v>-428380000</v>
      </c>
      <c r="V185" s="17">
        <v>129735000</v>
      </c>
    </row>
    <row r="186" spans="1:22" x14ac:dyDescent="0.2">
      <c r="A186" s="746" t="s">
        <v>142</v>
      </c>
      <c r="B186" s="45" t="s">
        <v>42</v>
      </c>
      <c r="C186" s="45" t="s">
        <v>196</v>
      </c>
      <c r="D186" s="45" t="s">
        <v>79</v>
      </c>
      <c r="E186" s="45" t="s">
        <v>74</v>
      </c>
      <c r="F186" s="45" t="s">
        <v>192</v>
      </c>
      <c r="G186" s="45" t="s">
        <v>102</v>
      </c>
      <c r="H186" s="45" t="s">
        <v>111</v>
      </c>
      <c r="I186" s="45" t="s">
        <v>103</v>
      </c>
      <c r="J186" s="45" t="s">
        <v>215</v>
      </c>
      <c r="K186" s="45" t="s">
        <v>32</v>
      </c>
      <c r="L186" s="675"/>
      <c r="M186" s="45" t="s">
        <v>15</v>
      </c>
      <c r="N186" s="45" t="s">
        <v>16</v>
      </c>
      <c r="O186" s="45" t="s">
        <v>14</v>
      </c>
      <c r="P186" s="45" t="s">
        <v>83</v>
      </c>
      <c r="Q186" s="45" t="s">
        <v>38</v>
      </c>
      <c r="R186" s="45" t="s">
        <v>24</v>
      </c>
      <c r="S186" s="45" t="s">
        <v>13</v>
      </c>
      <c r="T186" s="45" t="s">
        <v>67</v>
      </c>
      <c r="U186" s="45" t="s">
        <v>26</v>
      </c>
      <c r="V186" s="45" t="s">
        <v>35</v>
      </c>
    </row>
    <row r="187" spans="1:22" x14ac:dyDescent="0.2">
      <c r="A187" s="746" t="s">
        <v>142</v>
      </c>
      <c r="B187" s="17">
        <v>22109010000</v>
      </c>
      <c r="C187" s="17">
        <v>5404890000</v>
      </c>
      <c r="D187" s="186">
        <v>3783990000</v>
      </c>
      <c r="E187" s="17">
        <v>2918000000</v>
      </c>
      <c r="F187" s="17">
        <v>2362670000</v>
      </c>
      <c r="G187" s="17">
        <v>1964670000</v>
      </c>
      <c r="H187" s="17">
        <v>1891070000</v>
      </c>
      <c r="I187" s="187">
        <v>1744490000</v>
      </c>
      <c r="J187" s="17">
        <v>831470000</v>
      </c>
      <c r="K187" s="17">
        <v>790250000</v>
      </c>
      <c r="L187" s="675"/>
      <c r="M187" s="17">
        <v>-57655815000</v>
      </c>
      <c r="N187" s="17">
        <v>-41223735000</v>
      </c>
      <c r="O187" s="17">
        <v>-36154330000</v>
      </c>
      <c r="P187" s="17">
        <v>-31537985000</v>
      </c>
      <c r="Q187" s="17">
        <v>-26741435000</v>
      </c>
      <c r="R187" s="17">
        <v>-22957080000</v>
      </c>
      <c r="S187" s="17">
        <v>-19916790000</v>
      </c>
      <c r="T187" s="17">
        <v>-17165700000</v>
      </c>
      <c r="U187" s="17">
        <v>-16711310000</v>
      </c>
      <c r="V187" s="17">
        <v>-15689555000</v>
      </c>
    </row>
    <row r="188" spans="1:22" x14ac:dyDescent="0.2">
      <c r="A188" s="746" t="s">
        <v>143</v>
      </c>
      <c r="B188" s="45" t="s">
        <v>36</v>
      </c>
      <c r="C188" s="45" t="s">
        <v>62</v>
      </c>
      <c r="D188" s="45" t="s">
        <v>35</v>
      </c>
      <c r="E188" s="45" t="s">
        <v>26</v>
      </c>
      <c r="F188" s="45" t="s">
        <v>199</v>
      </c>
      <c r="G188" s="45" t="s">
        <v>72</v>
      </c>
      <c r="H188" s="45" t="s">
        <v>45</v>
      </c>
      <c r="I188" s="45" t="s">
        <v>190</v>
      </c>
      <c r="J188" s="45" t="s">
        <v>13</v>
      </c>
      <c r="K188" s="45" t="s">
        <v>14</v>
      </c>
      <c r="L188" s="675"/>
      <c r="M188" s="45" t="s">
        <v>5</v>
      </c>
      <c r="N188" s="45" t="s">
        <v>83</v>
      </c>
      <c r="O188" s="45" t="s">
        <v>24</v>
      </c>
      <c r="P188" s="45" t="s">
        <v>15</v>
      </c>
      <c r="Q188" s="45" t="s">
        <v>19</v>
      </c>
      <c r="R188" s="45" t="s">
        <v>18</v>
      </c>
      <c r="S188" s="45" t="s">
        <v>32</v>
      </c>
      <c r="T188" s="45" t="s">
        <v>196</v>
      </c>
      <c r="U188" s="45" t="s">
        <v>89</v>
      </c>
      <c r="V188" s="45" t="s">
        <v>10</v>
      </c>
    </row>
    <row r="189" spans="1:22" x14ac:dyDescent="0.2">
      <c r="A189" s="746" t="s">
        <v>143</v>
      </c>
      <c r="B189" s="17">
        <v>60693760000</v>
      </c>
      <c r="C189" s="17">
        <v>17790594000</v>
      </c>
      <c r="D189" s="17">
        <v>13537000000</v>
      </c>
      <c r="E189" s="17">
        <v>8926010000</v>
      </c>
      <c r="F189" s="17">
        <v>6589335000</v>
      </c>
      <c r="G189" s="17">
        <v>6226345000</v>
      </c>
      <c r="H189" s="17">
        <v>5945115000</v>
      </c>
      <c r="I189" s="178">
        <v>5131520000</v>
      </c>
      <c r="J189" s="17">
        <v>5018900000</v>
      </c>
      <c r="K189" s="17">
        <v>4556405000</v>
      </c>
      <c r="L189" s="675"/>
      <c r="M189" s="179">
        <v>-32438677000</v>
      </c>
      <c r="N189" s="17">
        <v>-13770770000</v>
      </c>
      <c r="O189" s="17">
        <v>-12098270000</v>
      </c>
      <c r="P189" s="17">
        <v>-7342305000</v>
      </c>
      <c r="Q189" s="17">
        <v>-7041760000</v>
      </c>
      <c r="R189" s="17">
        <v>-3582110000</v>
      </c>
      <c r="S189" s="17">
        <v>-1128000000</v>
      </c>
      <c r="T189" s="180">
        <v>-190640000</v>
      </c>
      <c r="U189" s="17">
        <v>-4260000</v>
      </c>
      <c r="V189" s="17">
        <v>-1750000</v>
      </c>
    </row>
    <row r="190" spans="1:22" x14ac:dyDescent="0.2">
      <c r="A190" s="746" t="s">
        <v>144</v>
      </c>
      <c r="B190" s="45" t="s">
        <v>36</v>
      </c>
      <c r="C190" s="45" t="s">
        <v>102</v>
      </c>
      <c r="D190" s="45" t="s">
        <v>199</v>
      </c>
      <c r="E190" s="45" t="s">
        <v>15</v>
      </c>
      <c r="F190" s="45" t="s">
        <v>37</v>
      </c>
      <c r="G190" s="45" t="s">
        <v>24</v>
      </c>
      <c r="H190" s="45" t="s">
        <v>72</v>
      </c>
      <c r="I190" s="45" t="s">
        <v>28</v>
      </c>
      <c r="J190" s="45" t="s">
        <v>192</v>
      </c>
      <c r="K190" s="45" t="s">
        <v>367</v>
      </c>
      <c r="L190" s="675"/>
      <c r="M190" s="45" t="s">
        <v>18</v>
      </c>
      <c r="N190" s="45" t="s">
        <v>35</v>
      </c>
      <c r="O190" s="45" t="s">
        <v>43</v>
      </c>
      <c r="P190" s="45" t="s">
        <v>26</v>
      </c>
      <c r="Q190" s="45" t="s">
        <v>14</v>
      </c>
      <c r="R190" s="45" t="s">
        <v>62</v>
      </c>
      <c r="S190" s="45" t="s">
        <v>67</v>
      </c>
      <c r="T190" s="45" t="s">
        <v>83</v>
      </c>
      <c r="U190" s="45" t="s">
        <v>16</v>
      </c>
      <c r="V190" s="45" t="s">
        <v>5</v>
      </c>
    </row>
    <row r="191" spans="1:22" x14ac:dyDescent="0.2">
      <c r="A191" s="746" t="s">
        <v>144</v>
      </c>
      <c r="B191" s="17">
        <v>9752360000</v>
      </c>
      <c r="C191" s="169">
        <v>7636100000</v>
      </c>
      <c r="D191" s="17">
        <v>6918165000</v>
      </c>
      <c r="E191" s="17">
        <v>5128665000</v>
      </c>
      <c r="F191" s="17">
        <v>4690280000</v>
      </c>
      <c r="G191" s="17">
        <v>3895102000</v>
      </c>
      <c r="H191" s="17">
        <v>3881890000</v>
      </c>
      <c r="I191" s="17">
        <v>3359970000</v>
      </c>
      <c r="J191" s="17">
        <v>2989240000</v>
      </c>
      <c r="K191" s="17">
        <v>1545000000</v>
      </c>
      <c r="L191" s="675"/>
      <c r="M191" s="170">
        <v>-203890695000</v>
      </c>
      <c r="N191" s="171">
        <v>-157627158000</v>
      </c>
      <c r="O191" s="172">
        <v>-143014830000</v>
      </c>
      <c r="P191" s="17">
        <v>-44311747000</v>
      </c>
      <c r="Q191" s="17">
        <v>-41545930000</v>
      </c>
      <c r="R191" s="17">
        <v>-34360824000</v>
      </c>
      <c r="S191" s="17">
        <v>-5647330000</v>
      </c>
      <c r="T191" s="17">
        <v>-5233135000</v>
      </c>
      <c r="U191" s="17">
        <v>-4313745000</v>
      </c>
      <c r="V191" s="17">
        <v>-3888170000</v>
      </c>
    </row>
    <row r="192" spans="1:22" x14ac:dyDescent="0.2">
      <c r="A192" s="746" t="s">
        <v>145</v>
      </c>
      <c r="B192" s="45" t="s">
        <v>14</v>
      </c>
      <c r="C192" s="45" t="s">
        <v>37</v>
      </c>
      <c r="D192" s="45" t="s">
        <v>15</v>
      </c>
      <c r="E192" s="45" t="s">
        <v>24</v>
      </c>
      <c r="F192" s="45" t="s">
        <v>5</v>
      </c>
      <c r="G192" s="45" t="s">
        <v>199</v>
      </c>
      <c r="H192" s="45" t="s">
        <v>35</v>
      </c>
      <c r="I192" s="45" t="s">
        <v>45</v>
      </c>
      <c r="J192" s="45" t="s">
        <v>80</v>
      </c>
      <c r="K192" s="45" t="s">
        <v>72</v>
      </c>
      <c r="L192" s="675"/>
      <c r="M192" s="45" t="s">
        <v>38</v>
      </c>
      <c r="N192" s="45" t="s">
        <v>18</v>
      </c>
      <c r="O192" s="45" t="s">
        <v>62</v>
      </c>
      <c r="P192" s="45" t="s">
        <v>36</v>
      </c>
      <c r="Q192" s="45" t="s">
        <v>68</v>
      </c>
      <c r="R192" s="45" t="s">
        <v>192</v>
      </c>
      <c r="S192" s="45" t="s">
        <v>83</v>
      </c>
      <c r="T192" s="45" t="s">
        <v>335</v>
      </c>
      <c r="U192" s="45" t="s">
        <v>32</v>
      </c>
      <c r="V192" s="45" t="s">
        <v>20</v>
      </c>
    </row>
    <row r="193" spans="1:22" x14ac:dyDescent="0.2">
      <c r="A193" s="746" t="s">
        <v>145</v>
      </c>
      <c r="B193" s="17">
        <v>22051395000</v>
      </c>
      <c r="C193" s="17">
        <v>20409140000</v>
      </c>
      <c r="D193" s="17">
        <v>19090549000</v>
      </c>
      <c r="E193" s="17">
        <v>14346740000</v>
      </c>
      <c r="F193" s="17">
        <v>9657913000</v>
      </c>
      <c r="G193" s="17">
        <v>9485915000</v>
      </c>
      <c r="H193" s="17">
        <v>7672970000</v>
      </c>
      <c r="I193" s="17">
        <v>7202030000</v>
      </c>
      <c r="J193" s="17">
        <v>7182575000</v>
      </c>
      <c r="K193" s="167">
        <v>6240450000</v>
      </c>
      <c r="L193" s="675"/>
      <c r="M193" s="17">
        <v>-92144705000</v>
      </c>
      <c r="N193" s="17">
        <v>-13634150000</v>
      </c>
      <c r="O193" s="17">
        <v>-7440620000</v>
      </c>
      <c r="P193" s="17">
        <v>-4831460000</v>
      </c>
      <c r="Q193" s="17">
        <v>-3077900000</v>
      </c>
      <c r="R193" s="17">
        <v>-1731240000</v>
      </c>
      <c r="S193" s="17">
        <v>-1606860000</v>
      </c>
      <c r="T193" s="17">
        <v>-22350000</v>
      </c>
      <c r="U193" s="17">
        <v>182000000</v>
      </c>
      <c r="V193" s="17">
        <v>215435000</v>
      </c>
    </row>
    <row r="194" spans="1:22" x14ac:dyDescent="0.2">
      <c r="A194" s="746" t="s">
        <v>146</v>
      </c>
      <c r="B194" s="45" t="s">
        <v>18</v>
      </c>
      <c r="C194" s="45" t="s">
        <v>43</v>
      </c>
      <c r="D194" s="45" t="s">
        <v>35</v>
      </c>
      <c r="E194" s="45" t="s">
        <v>14</v>
      </c>
      <c r="F194" s="45" t="s">
        <v>62</v>
      </c>
      <c r="G194" s="45" t="s">
        <v>26</v>
      </c>
      <c r="H194" s="45" t="s">
        <v>5</v>
      </c>
      <c r="I194" s="45" t="s">
        <v>19</v>
      </c>
      <c r="J194" s="45" t="s">
        <v>8</v>
      </c>
      <c r="K194" s="45" t="s">
        <v>74</v>
      </c>
      <c r="L194" s="675"/>
      <c r="M194" s="45" t="s">
        <v>15</v>
      </c>
      <c r="N194" s="45" t="s">
        <v>16</v>
      </c>
      <c r="O194" s="45" t="s">
        <v>13</v>
      </c>
      <c r="P194" s="45" t="s">
        <v>67</v>
      </c>
      <c r="Q194" s="45" t="s">
        <v>45</v>
      </c>
      <c r="R194" s="45" t="s">
        <v>68</v>
      </c>
      <c r="S194" s="45" t="s">
        <v>219</v>
      </c>
      <c r="T194" s="45" t="s">
        <v>190</v>
      </c>
      <c r="U194" s="45" t="s">
        <v>105</v>
      </c>
      <c r="V194" s="45" t="s">
        <v>20</v>
      </c>
    </row>
    <row r="195" spans="1:22" x14ac:dyDescent="0.2">
      <c r="A195" s="746" t="s">
        <v>146</v>
      </c>
      <c r="B195" s="158">
        <v>125614840000</v>
      </c>
      <c r="C195" s="17">
        <v>111035520000</v>
      </c>
      <c r="D195" s="159">
        <v>102339850000</v>
      </c>
      <c r="E195" s="17">
        <v>37004720000</v>
      </c>
      <c r="F195" s="17">
        <v>29508670000</v>
      </c>
      <c r="G195" s="17">
        <v>24693610000</v>
      </c>
      <c r="H195" s="17">
        <v>23703755000</v>
      </c>
      <c r="I195" s="17">
        <v>16187805000</v>
      </c>
      <c r="J195" s="160">
        <v>9957215000</v>
      </c>
      <c r="K195" s="17">
        <v>5040200000</v>
      </c>
      <c r="L195" s="675"/>
      <c r="M195" s="17">
        <v>-26117699000</v>
      </c>
      <c r="N195" s="17">
        <v>-8537220000</v>
      </c>
      <c r="O195" s="17">
        <v>-8051840000</v>
      </c>
      <c r="P195" s="17">
        <v>-2358825000</v>
      </c>
      <c r="Q195" s="17">
        <v>-1191930000</v>
      </c>
      <c r="R195" s="17">
        <v>-504280000</v>
      </c>
      <c r="S195" s="17">
        <v>820000000</v>
      </c>
      <c r="T195" s="17">
        <v>891470000</v>
      </c>
      <c r="U195" s="17">
        <v>960560000</v>
      </c>
      <c r="V195" s="17">
        <v>1048260000</v>
      </c>
    </row>
    <row r="196" spans="1:22" x14ac:dyDescent="0.2">
      <c r="A196" s="746" t="s">
        <v>147</v>
      </c>
      <c r="B196" s="45" t="s">
        <v>209</v>
      </c>
      <c r="C196" s="45" t="s">
        <v>35</v>
      </c>
      <c r="D196" s="45" t="s">
        <v>19</v>
      </c>
      <c r="E196" s="45" t="s">
        <v>14</v>
      </c>
      <c r="F196" s="45" t="s">
        <v>18</v>
      </c>
      <c r="G196" s="45" t="s">
        <v>36</v>
      </c>
      <c r="H196" s="45" t="s">
        <v>45</v>
      </c>
      <c r="I196" s="45" t="s">
        <v>74</v>
      </c>
      <c r="J196" s="45" t="s">
        <v>28</v>
      </c>
      <c r="K196" s="45" t="s">
        <v>62</v>
      </c>
      <c r="L196" s="675"/>
      <c r="M196" s="45" t="s">
        <v>43</v>
      </c>
      <c r="N196" s="45" t="s">
        <v>38</v>
      </c>
      <c r="O196" s="45" t="s">
        <v>83</v>
      </c>
      <c r="P196" s="45" t="s">
        <v>37</v>
      </c>
      <c r="Q196" s="45" t="s">
        <v>15</v>
      </c>
      <c r="R196" s="45" t="s">
        <v>111</v>
      </c>
      <c r="S196" s="45" t="s">
        <v>68</v>
      </c>
      <c r="T196" s="45" t="s">
        <v>32</v>
      </c>
      <c r="U196" s="45" t="s">
        <v>67</v>
      </c>
      <c r="V196" s="45" t="s">
        <v>24</v>
      </c>
    </row>
    <row r="197" spans="1:22" x14ac:dyDescent="0.2">
      <c r="A197" s="746" t="s">
        <v>147</v>
      </c>
      <c r="B197" s="153">
        <v>50500000000</v>
      </c>
      <c r="C197" s="154">
        <v>41806755000</v>
      </c>
      <c r="D197" s="17">
        <v>34655240000</v>
      </c>
      <c r="E197" s="17">
        <v>26892675000</v>
      </c>
      <c r="F197" s="17">
        <v>24516690000</v>
      </c>
      <c r="G197" s="17">
        <v>21661470000</v>
      </c>
      <c r="H197" s="17">
        <v>8395586000</v>
      </c>
      <c r="I197" s="17">
        <v>8029680000</v>
      </c>
      <c r="J197" s="17">
        <v>7505390000</v>
      </c>
      <c r="K197" s="17">
        <v>6226870000</v>
      </c>
      <c r="L197" s="675"/>
      <c r="M197" s="155">
        <v>-100907779000</v>
      </c>
      <c r="N197" s="17">
        <v>-20672805000</v>
      </c>
      <c r="O197" s="17">
        <v>-3190195000</v>
      </c>
      <c r="P197" s="17">
        <v>-2042945000</v>
      </c>
      <c r="Q197" s="17">
        <v>-1823629000</v>
      </c>
      <c r="R197" s="17">
        <v>-1499880000</v>
      </c>
      <c r="S197" s="17">
        <v>-1379745000</v>
      </c>
      <c r="T197" s="17">
        <v>-1116000000</v>
      </c>
      <c r="U197" s="17">
        <v>-383735000</v>
      </c>
      <c r="V197" s="17">
        <v>-220150000</v>
      </c>
    </row>
    <row r="198" spans="1:22" x14ac:dyDescent="0.2">
      <c r="A198" s="746" t="s">
        <v>148</v>
      </c>
      <c r="B198" s="45" t="s">
        <v>20</v>
      </c>
      <c r="C198" s="45" t="s">
        <v>14</v>
      </c>
      <c r="D198" s="45" t="s">
        <v>18</v>
      </c>
      <c r="E198" s="45" t="s">
        <v>36</v>
      </c>
      <c r="F198" s="45" t="s">
        <v>15</v>
      </c>
      <c r="G198" s="45" t="s">
        <v>45</v>
      </c>
      <c r="H198" s="45" t="s">
        <v>38</v>
      </c>
      <c r="I198" s="45" t="s">
        <v>32</v>
      </c>
      <c r="J198" s="45" t="s">
        <v>83</v>
      </c>
      <c r="K198" s="45" t="s">
        <v>26</v>
      </c>
      <c r="L198" s="675"/>
      <c r="M198" s="45" t="s">
        <v>19</v>
      </c>
      <c r="N198" s="45" t="s">
        <v>35</v>
      </c>
      <c r="O198" s="45" t="s">
        <v>24</v>
      </c>
      <c r="P198" s="45" t="s">
        <v>16</v>
      </c>
      <c r="Q198" s="45" t="s">
        <v>37</v>
      </c>
      <c r="R198" s="45" t="s">
        <v>13</v>
      </c>
      <c r="S198" s="45" t="s">
        <v>67</v>
      </c>
      <c r="T198" s="45" t="s">
        <v>62</v>
      </c>
      <c r="U198" s="45" t="s">
        <v>5</v>
      </c>
      <c r="V198" s="45" t="s">
        <v>43</v>
      </c>
    </row>
    <row r="199" spans="1:22" x14ac:dyDescent="0.2">
      <c r="A199" s="746" t="s">
        <v>148</v>
      </c>
      <c r="B199" s="17">
        <v>74570320000</v>
      </c>
      <c r="C199" s="17">
        <v>38305420000</v>
      </c>
      <c r="D199" s="17">
        <v>28618980000</v>
      </c>
      <c r="E199" s="17">
        <v>20608000000</v>
      </c>
      <c r="F199" s="17">
        <v>16534760000</v>
      </c>
      <c r="G199" s="17">
        <v>6629660000</v>
      </c>
      <c r="H199" s="17">
        <v>6567785000</v>
      </c>
      <c r="I199" s="17">
        <v>6284660000</v>
      </c>
      <c r="J199" s="17">
        <v>6095960000</v>
      </c>
      <c r="K199" s="17">
        <v>4666010000</v>
      </c>
      <c r="L199" s="675"/>
      <c r="M199" s="17">
        <v>-20192355000</v>
      </c>
      <c r="N199" s="17">
        <v>-15608110000</v>
      </c>
      <c r="O199" s="17">
        <v>-13471620000</v>
      </c>
      <c r="P199" s="17">
        <v>-8236160000</v>
      </c>
      <c r="Q199" s="17">
        <v>-8232680000</v>
      </c>
      <c r="R199" s="17">
        <v>-7325340000</v>
      </c>
      <c r="S199" s="17">
        <v>-6000225000</v>
      </c>
      <c r="T199" s="17">
        <v>-4926380000</v>
      </c>
      <c r="U199" s="17">
        <v>-3760190000</v>
      </c>
      <c r="V199" s="17">
        <v>-3030280000</v>
      </c>
    </row>
    <row r="200" spans="1:22" x14ac:dyDescent="0.2">
      <c r="A200" s="746" t="s">
        <v>149</v>
      </c>
      <c r="B200" s="45" t="s">
        <v>38</v>
      </c>
      <c r="C200" s="45" t="s">
        <v>16</v>
      </c>
      <c r="D200" s="45" t="s">
        <v>35</v>
      </c>
      <c r="E200" s="45" t="s">
        <v>83</v>
      </c>
      <c r="F200" s="45" t="s">
        <v>14</v>
      </c>
      <c r="G200" s="45" t="s">
        <v>24</v>
      </c>
      <c r="H200" s="45" t="s">
        <v>13</v>
      </c>
      <c r="I200" s="45" t="s">
        <v>26</v>
      </c>
      <c r="J200" s="45" t="s">
        <v>67</v>
      </c>
      <c r="K200" s="45" t="s">
        <v>5</v>
      </c>
      <c r="L200" s="675"/>
      <c r="M200" s="45" t="s">
        <v>43</v>
      </c>
      <c r="N200" s="45" t="s">
        <v>20</v>
      </c>
      <c r="O200" s="45" t="s">
        <v>39</v>
      </c>
      <c r="P200" s="45" t="s">
        <v>192</v>
      </c>
      <c r="Q200" s="45" t="s">
        <v>15</v>
      </c>
      <c r="R200" s="45" t="s">
        <v>89</v>
      </c>
      <c r="S200" s="45" t="s">
        <v>336</v>
      </c>
      <c r="T200" s="45" t="s">
        <v>219</v>
      </c>
      <c r="U200" s="45" t="s">
        <v>10</v>
      </c>
      <c r="V200" s="45" t="s">
        <v>102</v>
      </c>
    </row>
    <row r="201" spans="1:22" x14ac:dyDescent="0.2">
      <c r="A201" s="746" t="s">
        <v>149</v>
      </c>
      <c r="B201" s="17">
        <v>18669698000</v>
      </c>
      <c r="C201" s="17">
        <v>15933695000</v>
      </c>
      <c r="D201" s="17">
        <v>14308400000</v>
      </c>
      <c r="E201" s="17">
        <v>14179990000</v>
      </c>
      <c r="F201" s="17">
        <v>13231170000</v>
      </c>
      <c r="G201" s="17">
        <v>12660220000</v>
      </c>
      <c r="H201" s="17">
        <v>11528360000</v>
      </c>
      <c r="I201" s="17">
        <v>9293100000</v>
      </c>
      <c r="J201" s="17">
        <v>9167410000</v>
      </c>
      <c r="K201" s="17">
        <v>8043138000</v>
      </c>
      <c r="L201" s="675"/>
      <c r="M201" s="144">
        <v>-20072370000</v>
      </c>
      <c r="N201" s="17">
        <v>-3876897000</v>
      </c>
      <c r="O201" s="17">
        <v>-3360280000</v>
      </c>
      <c r="P201" s="17">
        <v>-1819759000</v>
      </c>
      <c r="Q201" s="17">
        <v>-697545000</v>
      </c>
      <c r="R201" s="17">
        <v>-3612000</v>
      </c>
      <c r="S201" s="17">
        <v>-1740000</v>
      </c>
      <c r="T201" s="17">
        <v>-1642600</v>
      </c>
      <c r="U201" s="17">
        <v>-786900</v>
      </c>
      <c r="V201" s="145">
        <v>913500000</v>
      </c>
    </row>
    <row r="202" spans="1:22" x14ac:dyDescent="0.2">
      <c r="A202" s="746" t="s">
        <v>150</v>
      </c>
      <c r="B202" s="45" t="s">
        <v>42</v>
      </c>
      <c r="C202" s="45" t="s">
        <v>16</v>
      </c>
      <c r="D202" s="45" t="s">
        <v>24</v>
      </c>
      <c r="E202" s="45" t="s">
        <v>26</v>
      </c>
      <c r="F202" s="45" t="s">
        <v>45</v>
      </c>
      <c r="G202" s="45" t="s">
        <v>18</v>
      </c>
      <c r="H202" s="45" t="s">
        <v>36</v>
      </c>
      <c r="I202" s="45" t="s">
        <v>13</v>
      </c>
      <c r="J202" s="45" t="s">
        <v>43</v>
      </c>
      <c r="K202" s="45" t="s">
        <v>5</v>
      </c>
      <c r="L202" s="675"/>
      <c r="M202" s="45" t="s">
        <v>38</v>
      </c>
      <c r="N202" s="45" t="s">
        <v>14</v>
      </c>
      <c r="O202" s="45" t="s">
        <v>35</v>
      </c>
      <c r="P202" s="45" t="s">
        <v>20</v>
      </c>
      <c r="Q202" s="45" t="s">
        <v>28</v>
      </c>
      <c r="R202" s="45" t="s">
        <v>33</v>
      </c>
      <c r="S202" s="45" t="s">
        <v>83</v>
      </c>
      <c r="T202" s="45" t="s">
        <v>368</v>
      </c>
      <c r="U202" s="45" t="s">
        <v>367</v>
      </c>
      <c r="V202" s="45" t="s">
        <v>190</v>
      </c>
    </row>
    <row r="203" spans="1:22" x14ac:dyDescent="0.2">
      <c r="A203" s="746" t="s">
        <v>150</v>
      </c>
      <c r="B203" s="139">
        <v>41576725000</v>
      </c>
      <c r="C203" s="17">
        <v>9793415000</v>
      </c>
      <c r="D203" s="17">
        <v>8436110000</v>
      </c>
      <c r="E203" s="17">
        <v>7661930000</v>
      </c>
      <c r="F203" s="17">
        <v>6208755000</v>
      </c>
      <c r="G203" s="17">
        <v>6193840000</v>
      </c>
      <c r="H203" s="17">
        <v>6022650000</v>
      </c>
      <c r="I203" s="17">
        <v>4559970000</v>
      </c>
      <c r="J203" s="17">
        <v>4523720000</v>
      </c>
      <c r="K203" s="17">
        <v>4436378000</v>
      </c>
      <c r="L203" s="675"/>
      <c r="M203" s="17">
        <v>-22792521000</v>
      </c>
      <c r="N203" s="17">
        <v>-13091560000</v>
      </c>
      <c r="O203" s="17">
        <v>-3107345000</v>
      </c>
      <c r="P203" s="17">
        <v>-1207720000</v>
      </c>
      <c r="Q203" s="17">
        <v>-905940000</v>
      </c>
      <c r="R203" s="17">
        <v>-809130000</v>
      </c>
      <c r="S203" s="17">
        <v>-199450000</v>
      </c>
      <c r="T203" s="17">
        <v>651060000</v>
      </c>
      <c r="U203" s="17">
        <v>1041175000</v>
      </c>
      <c r="V203" s="17">
        <v>1273090000</v>
      </c>
    </row>
    <row r="204" spans="1:22" x14ac:dyDescent="0.2">
      <c r="A204" s="746" t="s">
        <v>151</v>
      </c>
      <c r="B204" s="45" t="s">
        <v>5</v>
      </c>
      <c r="C204" s="45" t="s">
        <v>16</v>
      </c>
      <c r="D204" s="45" t="s">
        <v>83</v>
      </c>
      <c r="E204" s="45" t="s">
        <v>18</v>
      </c>
      <c r="F204" s="45" t="s">
        <v>24</v>
      </c>
      <c r="G204" s="45" t="s">
        <v>26</v>
      </c>
      <c r="H204" s="45" t="s">
        <v>13</v>
      </c>
      <c r="I204" s="45" t="s">
        <v>45</v>
      </c>
      <c r="J204" s="45" t="s">
        <v>67</v>
      </c>
      <c r="K204" s="45" t="s">
        <v>62</v>
      </c>
      <c r="L204" s="675"/>
      <c r="M204" s="45" t="s">
        <v>103</v>
      </c>
      <c r="N204" s="45" t="s">
        <v>32</v>
      </c>
      <c r="O204" s="45" t="s">
        <v>39</v>
      </c>
      <c r="P204" s="45" t="s">
        <v>219</v>
      </c>
      <c r="Q204" s="45" t="s">
        <v>190</v>
      </c>
      <c r="R204" s="45" t="s">
        <v>11</v>
      </c>
      <c r="S204" s="45" t="s">
        <v>43</v>
      </c>
      <c r="T204" s="45" t="s">
        <v>368</v>
      </c>
      <c r="U204" s="45" t="s">
        <v>99</v>
      </c>
      <c r="V204" s="45" t="s">
        <v>80</v>
      </c>
    </row>
    <row r="205" spans="1:22" x14ac:dyDescent="0.2">
      <c r="A205" s="746" t="s">
        <v>151</v>
      </c>
      <c r="B205" s="130">
        <v>70474145000</v>
      </c>
      <c r="C205" s="17">
        <v>40390440000</v>
      </c>
      <c r="D205" s="131">
        <v>35589105000</v>
      </c>
      <c r="E205" s="17">
        <v>31158990000</v>
      </c>
      <c r="F205" s="17">
        <v>26633360000</v>
      </c>
      <c r="G205" s="132">
        <v>25503860000</v>
      </c>
      <c r="H205" s="133">
        <v>25143410000</v>
      </c>
      <c r="I205" s="134">
        <v>23489380000</v>
      </c>
      <c r="J205" s="135">
        <v>21430860000</v>
      </c>
      <c r="K205" s="17">
        <v>18715540000</v>
      </c>
      <c r="L205" s="675"/>
      <c r="M205" s="136">
        <v>-2349000000</v>
      </c>
      <c r="N205" s="17">
        <v>-32540000</v>
      </c>
      <c r="O205" s="17">
        <v>565610000</v>
      </c>
      <c r="P205" s="17">
        <v>585000000</v>
      </c>
      <c r="Q205" s="17">
        <v>865410000</v>
      </c>
      <c r="R205" s="17">
        <v>1067520000</v>
      </c>
      <c r="S205" s="17">
        <v>1153260000</v>
      </c>
      <c r="T205" s="17">
        <v>1180800000</v>
      </c>
      <c r="U205" s="17">
        <v>2061705000</v>
      </c>
      <c r="V205" s="17">
        <v>2358500000</v>
      </c>
    </row>
    <row r="206" spans="1:22" x14ac:dyDescent="0.2">
      <c r="A206" s="746" t="s">
        <v>152</v>
      </c>
      <c r="B206" s="45" t="s">
        <v>42</v>
      </c>
      <c r="C206" s="45" t="s">
        <v>5</v>
      </c>
      <c r="D206" s="45" t="s">
        <v>45</v>
      </c>
      <c r="E206" s="45" t="s">
        <v>18</v>
      </c>
      <c r="F206" s="45" t="s">
        <v>83</v>
      </c>
      <c r="G206" s="45" t="s">
        <v>14</v>
      </c>
      <c r="H206" s="45" t="s">
        <v>28</v>
      </c>
      <c r="I206" s="45" t="s">
        <v>43</v>
      </c>
      <c r="J206" s="45" t="s">
        <v>367</v>
      </c>
      <c r="K206" s="45" t="s">
        <v>192</v>
      </c>
      <c r="L206" s="675"/>
      <c r="M206" s="45" t="s">
        <v>38</v>
      </c>
      <c r="N206" s="45" t="s">
        <v>16</v>
      </c>
      <c r="O206" s="45" t="s">
        <v>19</v>
      </c>
      <c r="P206" s="45" t="s">
        <v>13</v>
      </c>
      <c r="Q206" s="45" t="s">
        <v>37</v>
      </c>
      <c r="R206" s="45" t="s">
        <v>35</v>
      </c>
      <c r="S206" s="45" t="s">
        <v>15</v>
      </c>
      <c r="T206" s="45" t="s">
        <v>62</v>
      </c>
      <c r="U206" s="45" t="s">
        <v>24</v>
      </c>
      <c r="V206" s="45" t="s">
        <v>33</v>
      </c>
    </row>
    <row r="207" spans="1:22" x14ac:dyDescent="0.2">
      <c r="A207" s="746" t="s">
        <v>152</v>
      </c>
      <c r="B207" s="124">
        <v>30633419000</v>
      </c>
      <c r="C207" s="125">
        <v>26713635000</v>
      </c>
      <c r="D207" s="126">
        <v>21761470000</v>
      </c>
      <c r="E207" s="17">
        <v>14023095000</v>
      </c>
      <c r="F207" s="17">
        <v>5076845000</v>
      </c>
      <c r="G207" s="17">
        <v>2274475000</v>
      </c>
      <c r="H207" s="17">
        <v>1991800000</v>
      </c>
      <c r="I207" s="17">
        <v>1921500000</v>
      </c>
      <c r="J207" s="127">
        <v>1644490000</v>
      </c>
      <c r="K207" s="17">
        <v>1360040000</v>
      </c>
      <c r="L207" s="675"/>
      <c r="M207" s="17">
        <v>-23369765000</v>
      </c>
      <c r="N207" s="17">
        <v>-13300385000</v>
      </c>
      <c r="O207" s="17">
        <v>-12356489000</v>
      </c>
      <c r="P207" s="17">
        <v>-11865980000</v>
      </c>
      <c r="Q207" s="17">
        <v>-5307665000</v>
      </c>
      <c r="R207" s="17">
        <v>-2923989000</v>
      </c>
      <c r="S207" s="17">
        <v>-1700050000</v>
      </c>
      <c r="T207" s="17">
        <v>-1048030000</v>
      </c>
      <c r="U207" s="17">
        <v>-481780000</v>
      </c>
      <c r="V207" s="17">
        <v>104510000</v>
      </c>
    </row>
    <row r="208" spans="1:22" x14ac:dyDescent="0.2">
      <c r="A208" s="746" t="s">
        <v>153</v>
      </c>
      <c r="B208" s="45" t="s">
        <v>38</v>
      </c>
      <c r="C208" s="45" t="s">
        <v>18</v>
      </c>
      <c r="D208" s="45" t="s">
        <v>17</v>
      </c>
      <c r="E208" s="45" t="s">
        <v>24</v>
      </c>
      <c r="F208" s="45" t="s">
        <v>80</v>
      </c>
      <c r="G208" s="45" t="s">
        <v>42</v>
      </c>
      <c r="H208" s="45" t="s">
        <v>6</v>
      </c>
      <c r="I208" s="45" t="s">
        <v>28</v>
      </c>
      <c r="J208" s="45" t="s">
        <v>35</v>
      </c>
      <c r="K208" s="45" t="s">
        <v>14</v>
      </c>
      <c r="L208" s="675"/>
      <c r="M208" s="45" t="s">
        <v>36</v>
      </c>
      <c r="N208" s="45" t="s">
        <v>19</v>
      </c>
      <c r="O208" s="45" t="s">
        <v>15</v>
      </c>
      <c r="P208" s="45" t="s">
        <v>16</v>
      </c>
      <c r="Q208" s="45" t="s">
        <v>83</v>
      </c>
      <c r="R208" s="45" t="s">
        <v>192</v>
      </c>
      <c r="S208" s="45" t="s">
        <v>37</v>
      </c>
      <c r="T208" s="45" t="s">
        <v>5</v>
      </c>
      <c r="U208" s="45" t="s">
        <v>62</v>
      </c>
      <c r="V208" s="45" t="s">
        <v>26</v>
      </c>
    </row>
    <row r="209" spans="1:22" x14ac:dyDescent="0.2">
      <c r="A209" s="746" t="s">
        <v>153</v>
      </c>
      <c r="B209" s="17">
        <v>20565324000</v>
      </c>
      <c r="C209" s="17">
        <v>17613500000</v>
      </c>
      <c r="D209" s="17">
        <v>12576660000</v>
      </c>
      <c r="E209" s="17">
        <v>7365330000</v>
      </c>
      <c r="F209" s="17">
        <v>6253405000</v>
      </c>
      <c r="G209" s="122">
        <v>6199200000</v>
      </c>
      <c r="H209" s="17">
        <v>4482275000</v>
      </c>
      <c r="I209" s="17">
        <v>4297400000</v>
      </c>
      <c r="J209" s="17">
        <v>3049426000</v>
      </c>
      <c r="K209" s="17">
        <v>3001840000</v>
      </c>
      <c r="L209" s="675"/>
      <c r="M209" s="17">
        <v>-34781070000</v>
      </c>
      <c r="N209" s="17">
        <v>-25428875000</v>
      </c>
      <c r="O209" s="17">
        <v>-20656290000</v>
      </c>
      <c r="P209" s="17">
        <v>-5775885000</v>
      </c>
      <c r="Q209" s="17">
        <v>-5329395000</v>
      </c>
      <c r="R209" s="17">
        <v>-4395340000</v>
      </c>
      <c r="S209" s="17">
        <v>-2116460000</v>
      </c>
      <c r="T209" s="17">
        <v>-1522100000</v>
      </c>
      <c r="U209" s="17">
        <v>-1438185000</v>
      </c>
      <c r="V209" s="17">
        <v>-1219850000</v>
      </c>
    </row>
    <row r="210" spans="1:22" x14ac:dyDescent="0.2">
      <c r="A210" s="746" t="s">
        <v>154</v>
      </c>
      <c r="B210" s="45" t="s">
        <v>438</v>
      </c>
      <c r="C210" s="45" t="s">
        <v>45</v>
      </c>
      <c r="D210" s="45" t="s">
        <v>192</v>
      </c>
      <c r="E210" s="45" t="s">
        <v>28</v>
      </c>
      <c r="F210" s="45" t="s">
        <v>82</v>
      </c>
      <c r="G210" s="45" t="s">
        <v>401</v>
      </c>
      <c r="H210" s="45" t="s">
        <v>368</v>
      </c>
      <c r="I210" s="45" t="s">
        <v>190</v>
      </c>
      <c r="J210" s="45" t="s">
        <v>111</v>
      </c>
      <c r="K210" s="45" t="s">
        <v>219</v>
      </c>
      <c r="L210" s="675"/>
      <c r="M210" s="45" t="s">
        <v>14</v>
      </c>
      <c r="N210" s="45" t="s">
        <v>15</v>
      </c>
      <c r="O210" s="45" t="s">
        <v>16</v>
      </c>
      <c r="P210" s="45" t="s">
        <v>36</v>
      </c>
      <c r="Q210" s="45" t="s">
        <v>35</v>
      </c>
      <c r="R210" s="45" t="s">
        <v>24</v>
      </c>
      <c r="S210" s="45" t="s">
        <v>38</v>
      </c>
      <c r="T210" s="45" t="s">
        <v>18</v>
      </c>
      <c r="U210" s="45" t="s">
        <v>67</v>
      </c>
      <c r="V210" s="45" t="s">
        <v>83</v>
      </c>
    </row>
    <row r="211" spans="1:22" x14ac:dyDescent="0.2">
      <c r="A211" s="746" t="s">
        <v>154</v>
      </c>
      <c r="B211" s="17">
        <v>6425000000</v>
      </c>
      <c r="C211" s="114">
        <v>4290540000</v>
      </c>
      <c r="D211" s="17">
        <v>4178340000</v>
      </c>
      <c r="E211" s="17">
        <v>2551800000</v>
      </c>
      <c r="F211" s="17">
        <v>2534700000</v>
      </c>
      <c r="G211" s="17">
        <v>1230000000</v>
      </c>
      <c r="H211" s="115">
        <v>623580000</v>
      </c>
      <c r="I211" s="17">
        <v>572635000</v>
      </c>
      <c r="J211" s="17">
        <v>500860000</v>
      </c>
      <c r="K211" s="17">
        <v>295320000</v>
      </c>
      <c r="L211" s="675"/>
      <c r="M211" s="17">
        <v>-76464010000</v>
      </c>
      <c r="N211" s="116">
        <v>-72345865000</v>
      </c>
      <c r="O211" s="17">
        <v>-70660280000</v>
      </c>
      <c r="P211" s="17">
        <v>-67817350000</v>
      </c>
      <c r="Q211" s="17">
        <v>-54936760000</v>
      </c>
      <c r="R211" s="117">
        <v>-41834580000</v>
      </c>
      <c r="S211" s="17">
        <v>-39266440000</v>
      </c>
      <c r="T211" s="17">
        <v>-37295695000</v>
      </c>
      <c r="U211" s="118">
        <v>-36148165000</v>
      </c>
      <c r="V211" s="17">
        <v>-33874985000</v>
      </c>
    </row>
    <row r="212" spans="1:22" x14ac:dyDescent="0.2">
      <c r="A212" s="746" t="s">
        <v>155</v>
      </c>
      <c r="B212" s="45" t="s">
        <v>15</v>
      </c>
      <c r="C212" s="45" t="s">
        <v>16</v>
      </c>
      <c r="D212" s="45" t="s">
        <v>38</v>
      </c>
      <c r="E212" s="45" t="s">
        <v>35</v>
      </c>
      <c r="F212" s="45" t="s">
        <v>83</v>
      </c>
      <c r="G212" s="45" t="s">
        <v>24</v>
      </c>
      <c r="H212" s="45" t="s">
        <v>5</v>
      </c>
      <c r="I212" s="45" t="s">
        <v>13</v>
      </c>
      <c r="J212" s="45" t="s">
        <v>67</v>
      </c>
      <c r="K212" s="45" t="s">
        <v>26</v>
      </c>
      <c r="L212" s="675"/>
      <c r="M212" s="45" t="s">
        <v>20</v>
      </c>
      <c r="N212" s="45" t="s">
        <v>19</v>
      </c>
      <c r="O212" s="45" t="s">
        <v>17</v>
      </c>
      <c r="P212" s="45" t="s">
        <v>14</v>
      </c>
      <c r="Q212" s="45" t="s">
        <v>37</v>
      </c>
      <c r="R212" s="45" t="s">
        <v>219</v>
      </c>
      <c r="S212" s="45" t="s">
        <v>45</v>
      </c>
      <c r="T212" s="45" t="s">
        <v>36</v>
      </c>
      <c r="U212" s="45" t="s">
        <v>33</v>
      </c>
      <c r="V212" s="45" t="s">
        <v>192</v>
      </c>
    </row>
    <row r="213" spans="1:22" x14ac:dyDescent="0.2">
      <c r="A213" s="746" t="s">
        <v>155</v>
      </c>
      <c r="B213" s="17">
        <v>18176685000</v>
      </c>
      <c r="C213" s="17">
        <v>15223340000</v>
      </c>
      <c r="D213" s="17">
        <v>10339995000</v>
      </c>
      <c r="E213" s="17">
        <v>10056476000</v>
      </c>
      <c r="F213" s="17">
        <v>9062300000</v>
      </c>
      <c r="G213" s="17">
        <v>8799800000</v>
      </c>
      <c r="H213" s="17">
        <v>8658625000</v>
      </c>
      <c r="I213" s="17">
        <v>7219330000</v>
      </c>
      <c r="J213" s="17">
        <v>6270385000</v>
      </c>
      <c r="K213" s="17">
        <v>5774440000</v>
      </c>
      <c r="L213" s="675"/>
      <c r="M213" s="17">
        <v>-47390515000</v>
      </c>
      <c r="N213" s="17">
        <v>-25960645000</v>
      </c>
      <c r="O213" s="110">
        <v>-14098070000</v>
      </c>
      <c r="P213" s="17">
        <v>-11787890000</v>
      </c>
      <c r="Q213" s="17">
        <v>-594330000</v>
      </c>
      <c r="R213" s="17">
        <v>194000000</v>
      </c>
      <c r="S213" s="17">
        <v>534700000</v>
      </c>
      <c r="T213" s="17">
        <v>982990000</v>
      </c>
      <c r="U213" s="17">
        <v>1131260000</v>
      </c>
      <c r="V213" s="17">
        <v>1228660000</v>
      </c>
    </row>
    <row r="214" spans="1:22" x14ac:dyDescent="0.2">
      <c r="A214" s="746" t="s">
        <v>156</v>
      </c>
      <c r="B214" s="45" t="s">
        <v>15</v>
      </c>
      <c r="C214" s="45" t="s">
        <v>17</v>
      </c>
      <c r="D214" s="45" t="s">
        <v>14</v>
      </c>
      <c r="E214" s="45" t="s">
        <v>35</v>
      </c>
      <c r="F214" s="45" t="s">
        <v>83</v>
      </c>
      <c r="G214" s="45" t="s">
        <v>26</v>
      </c>
      <c r="H214" s="45" t="s">
        <v>43</v>
      </c>
      <c r="I214" s="45" t="s">
        <v>36</v>
      </c>
      <c r="J214" s="45" t="s">
        <v>24</v>
      </c>
      <c r="K214" s="45" t="s">
        <v>16</v>
      </c>
      <c r="L214" s="675"/>
      <c r="M214" s="45" t="s">
        <v>19</v>
      </c>
      <c r="N214" s="45" t="s">
        <v>38</v>
      </c>
      <c r="O214" s="45" t="s">
        <v>20</v>
      </c>
      <c r="P214" s="45" t="s">
        <v>18</v>
      </c>
      <c r="Q214" s="45" t="s">
        <v>335</v>
      </c>
      <c r="R214" s="45" t="s">
        <v>10</v>
      </c>
      <c r="S214" s="45" t="s">
        <v>32</v>
      </c>
      <c r="T214" s="45" t="s">
        <v>111</v>
      </c>
      <c r="U214" s="45" t="s">
        <v>348</v>
      </c>
      <c r="V214" s="45" t="s">
        <v>33</v>
      </c>
    </row>
    <row r="215" spans="1:22" x14ac:dyDescent="0.2">
      <c r="A215" s="746" t="s">
        <v>156</v>
      </c>
      <c r="B215" s="17">
        <v>41065255000</v>
      </c>
      <c r="C215" s="105">
        <v>39200185000</v>
      </c>
      <c r="D215" s="17">
        <v>34559275000</v>
      </c>
      <c r="E215" s="17">
        <v>18791405000</v>
      </c>
      <c r="F215" s="17">
        <v>15598890000</v>
      </c>
      <c r="G215" s="17">
        <v>14543630000</v>
      </c>
      <c r="H215" s="17">
        <v>13666410000</v>
      </c>
      <c r="I215" s="17">
        <v>12438480000</v>
      </c>
      <c r="J215" s="17">
        <v>11616350000</v>
      </c>
      <c r="K215" s="17">
        <v>10826340000</v>
      </c>
      <c r="L215" s="675"/>
      <c r="M215" s="17">
        <v>-20406660000</v>
      </c>
      <c r="N215" s="17">
        <v>-12958850000</v>
      </c>
      <c r="O215" s="17">
        <v>-10280560000</v>
      </c>
      <c r="P215" s="17">
        <v>-5305260000</v>
      </c>
      <c r="Q215" s="106">
        <v>-64900000</v>
      </c>
      <c r="R215" s="17">
        <v>-14880000</v>
      </c>
      <c r="S215" s="17">
        <v>169890000</v>
      </c>
      <c r="T215" s="17">
        <v>201060000</v>
      </c>
      <c r="U215" s="17">
        <v>417750000</v>
      </c>
      <c r="V215" s="17">
        <v>502460000</v>
      </c>
    </row>
    <row r="216" spans="1:22" x14ac:dyDescent="0.2">
      <c r="A216" s="746" t="s">
        <v>437</v>
      </c>
      <c r="B216" s="45" t="s">
        <v>43</v>
      </c>
      <c r="C216" s="45" t="s">
        <v>11</v>
      </c>
      <c r="D216" s="45" t="s">
        <v>38</v>
      </c>
      <c r="E216" s="45" t="s">
        <v>14</v>
      </c>
      <c r="F216" s="45" t="s">
        <v>15</v>
      </c>
      <c r="G216" s="45" t="s">
        <v>17</v>
      </c>
      <c r="H216" s="45" t="s">
        <v>13</v>
      </c>
      <c r="I216" s="45" t="s">
        <v>35</v>
      </c>
      <c r="J216" s="45" t="s">
        <v>16</v>
      </c>
      <c r="K216" s="45" t="s">
        <v>80</v>
      </c>
      <c r="L216" s="675"/>
      <c r="M216" s="45" t="s">
        <v>6</v>
      </c>
      <c r="N216" s="45" t="s">
        <v>10</v>
      </c>
      <c r="O216" s="45" t="s">
        <v>32</v>
      </c>
      <c r="P216" s="45" t="s">
        <v>335</v>
      </c>
      <c r="Q216" s="45" t="s">
        <v>65</v>
      </c>
      <c r="R216" s="45" t="s">
        <v>192</v>
      </c>
      <c r="S216" s="45" t="s">
        <v>70</v>
      </c>
      <c r="T216" s="45" t="s">
        <v>190</v>
      </c>
      <c r="U216" s="45" t="s">
        <v>73</v>
      </c>
      <c r="V216" s="45" t="s">
        <v>18</v>
      </c>
    </row>
    <row r="217" spans="1:22" x14ac:dyDescent="0.2">
      <c r="A217" s="746" t="s">
        <v>437</v>
      </c>
      <c r="B217" s="17">
        <v>66236510000</v>
      </c>
      <c r="C217" s="17">
        <v>50114460000</v>
      </c>
      <c r="D217" s="17">
        <v>46042940000</v>
      </c>
      <c r="E217" s="17">
        <v>36070495000</v>
      </c>
      <c r="F217" s="17">
        <v>25542220000</v>
      </c>
      <c r="G217" s="102">
        <v>24722590000</v>
      </c>
      <c r="H217" s="103">
        <v>23503630000</v>
      </c>
      <c r="I217" s="17">
        <v>20726335000</v>
      </c>
      <c r="J217" s="17">
        <v>20039905000</v>
      </c>
      <c r="K217" s="104">
        <v>15475410000</v>
      </c>
      <c r="L217" s="675"/>
      <c r="M217" s="17">
        <v>-125010000</v>
      </c>
      <c r="N217" s="17">
        <v>-44880000</v>
      </c>
      <c r="O217" s="17">
        <v>-22260000</v>
      </c>
      <c r="P217" s="17">
        <v>-21690000</v>
      </c>
      <c r="Q217" s="17">
        <v>380454000</v>
      </c>
      <c r="R217" s="17">
        <v>476650000</v>
      </c>
      <c r="S217" s="17">
        <v>1170880000</v>
      </c>
      <c r="T217" s="17">
        <v>1220000000</v>
      </c>
      <c r="U217" s="17">
        <v>1329970000</v>
      </c>
      <c r="V217" s="17">
        <v>1844485000</v>
      </c>
    </row>
    <row r="218" spans="1:22" x14ac:dyDescent="0.2">
      <c r="A218" s="746" t="s">
        <v>157</v>
      </c>
      <c r="B218" s="757" t="s">
        <v>11</v>
      </c>
      <c r="C218" s="45" t="s">
        <v>43</v>
      </c>
      <c r="D218" s="45" t="s">
        <v>73</v>
      </c>
      <c r="E218" s="45" t="s">
        <v>290</v>
      </c>
      <c r="F218" s="45" t="s">
        <v>80</v>
      </c>
      <c r="G218" s="45" t="s">
        <v>28</v>
      </c>
      <c r="H218" s="45" t="s">
        <v>192</v>
      </c>
      <c r="I218" s="45" t="s">
        <v>102</v>
      </c>
      <c r="J218" s="45" t="s">
        <v>190</v>
      </c>
      <c r="K218" s="45" t="s">
        <v>65</v>
      </c>
      <c r="L218" s="675"/>
      <c r="M218" s="45" t="s">
        <v>36</v>
      </c>
      <c r="N218" s="45" t="s">
        <v>16</v>
      </c>
      <c r="O218" s="45" t="s">
        <v>35</v>
      </c>
      <c r="P218" s="45" t="s">
        <v>18</v>
      </c>
      <c r="Q218" s="45" t="s">
        <v>38</v>
      </c>
      <c r="R218" s="45" t="s">
        <v>15</v>
      </c>
      <c r="S218" s="45" t="s">
        <v>37</v>
      </c>
      <c r="T218" s="45" t="s">
        <v>13</v>
      </c>
      <c r="U218" s="45" t="s">
        <v>24</v>
      </c>
      <c r="V218" s="45" t="s">
        <v>67</v>
      </c>
    </row>
    <row r="219" spans="1:22" x14ac:dyDescent="0.2">
      <c r="A219" s="746" t="s">
        <v>157</v>
      </c>
      <c r="B219" s="758">
        <v>49782350000</v>
      </c>
      <c r="C219" s="17">
        <v>27769100000</v>
      </c>
      <c r="D219" s="99">
        <v>24058535000</v>
      </c>
      <c r="E219" s="17">
        <v>4529985000</v>
      </c>
      <c r="F219" s="17">
        <v>4471055000</v>
      </c>
      <c r="G219" s="17">
        <v>4086250000</v>
      </c>
      <c r="H219" s="17">
        <v>2470160000</v>
      </c>
      <c r="I219" s="17">
        <v>2182090000</v>
      </c>
      <c r="J219" s="100">
        <v>1194400000</v>
      </c>
      <c r="K219" s="17">
        <v>568560000</v>
      </c>
      <c r="L219" s="675"/>
      <c r="M219" s="17">
        <v>-37493090000</v>
      </c>
      <c r="N219" s="17">
        <v>-31852535000</v>
      </c>
      <c r="O219" s="17">
        <v>-29998040000</v>
      </c>
      <c r="P219" s="17">
        <v>-28165825000</v>
      </c>
      <c r="Q219" s="17">
        <v>-26080500000</v>
      </c>
      <c r="R219" s="17">
        <v>-23974670000</v>
      </c>
      <c r="S219" s="17">
        <v>-16315595000</v>
      </c>
      <c r="T219" s="17">
        <v>-15702760000</v>
      </c>
      <c r="U219" s="17">
        <v>-13634240000</v>
      </c>
      <c r="V219" s="17">
        <v>-12784175000</v>
      </c>
    </row>
    <row r="220" spans="1:22" x14ac:dyDescent="0.2">
      <c r="A220" s="746" t="s">
        <v>158</v>
      </c>
      <c r="B220" s="757" t="s">
        <v>11</v>
      </c>
      <c r="C220" s="45" t="s">
        <v>15</v>
      </c>
      <c r="D220" s="45" t="s">
        <v>38</v>
      </c>
      <c r="E220" s="45" t="s">
        <v>98</v>
      </c>
      <c r="F220" s="45" t="s">
        <v>61</v>
      </c>
      <c r="G220" s="45" t="s">
        <v>24</v>
      </c>
      <c r="H220" s="45" t="s">
        <v>67</v>
      </c>
      <c r="I220" s="45" t="s">
        <v>45</v>
      </c>
      <c r="J220" s="45" t="s">
        <v>14</v>
      </c>
      <c r="K220" s="45" t="s">
        <v>83</v>
      </c>
      <c r="L220" s="675"/>
      <c r="M220" s="45" t="s">
        <v>16</v>
      </c>
      <c r="N220" s="45" t="s">
        <v>18</v>
      </c>
      <c r="O220" s="45" t="s">
        <v>13</v>
      </c>
      <c r="P220" s="45" t="s">
        <v>37</v>
      </c>
      <c r="Q220" s="45" t="s">
        <v>19</v>
      </c>
      <c r="R220" s="45" t="s">
        <v>10</v>
      </c>
      <c r="S220" s="45" t="s">
        <v>35</v>
      </c>
      <c r="T220" s="45" t="s">
        <v>68</v>
      </c>
      <c r="U220" s="45" t="s">
        <v>62</v>
      </c>
      <c r="V220" s="45" t="s">
        <v>70</v>
      </c>
    </row>
    <row r="221" spans="1:22" x14ac:dyDescent="0.2">
      <c r="A221" s="746" t="s">
        <v>158</v>
      </c>
      <c r="B221" s="758">
        <v>49875470000</v>
      </c>
      <c r="C221" s="17">
        <v>16867510000</v>
      </c>
      <c r="D221" s="17">
        <v>13076555000</v>
      </c>
      <c r="E221" s="97">
        <v>10096445000</v>
      </c>
      <c r="F221" s="17">
        <v>5785040000</v>
      </c>
      <c r="G221" s="17">
        <v>5122290000</v>
      </c>
      <c r="H221" s="17">
        <v>4627070000</v>
      </c>
      <c r="I221" s="17">
        <v>3346500000</v>
      </c>
      <c r="J221" s="17">
        <v>3296305000</v>
      </c>
      <c r="K221" s="17">
        <v>3236055000</v>
      </c>
      <c r="L221" s="675"/>
      <c r="M221" s="17">
        <v>-25029610000</v>
      </c>
      <c r="N221" s="17">
        <v>-13809870000</v>
      </c>
      <c r="O221" s="17">
        <v>-9988430000</v>
      </c>
      <c r="P221" s="17">
        <v>-6972665000</v>
      </c>
      <c r="Q221" s="17">
        <v>-4744417000</v>
      </c>
      <c r="R221" s="17">
        <v>-3630000000</v>
      </c>
      <c r="S221" s="17">
        <v>-2591740000</v>
      </c>
      <c r="T221" s="17">
        <v>-2282950000</v>
      </c>
      <c r="U221" s="17">
        <v>-2241625000</v>
      </c>
      <c r="V221" s="17">
        <v>-1440085000</v>
      </c>
    </row>
    <row r="222" spans="1:22" x14ac:dyDescent="0.2">
      <c r="A222" s="746" t="s">
        <v>159</v>
      </c>
      <c r="B222" s="757" t="s">
        <v>11</v>
      </c>
      <c r="C222" s="45" t="s">
        <v>15</v>
      </c>
      <c r="D222" s="45" t="s">
        <v>36</v>
      </c>
      <c r="E222" s="45" t="s">
        <v>82</v>
      </c>
      <c r="F222" s="45" t="s">
        <v>14</v>
      </c>
      <c r="G222" s="45" t="s">
        <v>83</v>
      </c>
      <c r="H222" s="45" t="s">
        <v>67</v>
      </c>
      <c r="I222" s="45" t="s">
        <v>24</v>
      </c>
      <c r="J222" s="45" t="s">
        <v>13</v>
      </c>
      <c r="K222" s="45" t="s">
        <v>26</v>
      </c>
      <c r="L222" s="675"/>
      <c r="M222" s="45" t="s">
        <v>38</v>
      </c>
      <c r="N222" s="45" t="s">
        <v>32</v>
      </c>
      <c r="O222" s="45" t="s">
        <v>19</v>
      </c>
      <c r="P222" s="45" t="s">
        <v>219</v>
      </c>
      <c r="Q222" s="45" t="s">
        <v>190</v>
      </c>
      <c r="R222" s="45" t="s">
        <v>45</v>
      </c>
      <c r="S222" s="45" t="s">
        <v>37</v>
      </c>
      <c r="T222" s="45" t="s">
        <v>33</v>
      </c>
      <c r="U222" s="45" t="s">
        <v>28</v>
      </c>
      <c r="V222" s="45" t="s">
        <v>192</v>
      </c>
    </row>
    <row r="223" spans="1:22" x14ac:dyDescent="0.2">
      <c r="A223" s="746" t="s">
        <v>159</v>
      </c>
      <c r="B223" s="771">
        <v>50122480000</v>
      </c>
      <c r="C223" s="17">
        <v>28426840000</v>
      </c>
      <c r="D223" s="17">
        <v>19570850000</v>
      </c>
      <c r="E223" s="17">
        <v>13391550000</v>
      </c>
      <c r="F223" s="17">
        <v>12490330000</v>
      </c>
      <c r="G223" s="17">
        <v>12358220000</v>
      </c>
      <c r="H223" s="17">
        <v>11306105000</v>
      </c>
      <c r="I223" s="17">
        <v>9852300000</v>
      </c>
      <c r="J223" s="17">
        <v>8755200000</v>
      </c>
      <c r="K223" s="17">
        <v>7402650000</v>
      </c>
      <c r="L223" s="675"/>
      <c r="M223" s="17">
        <v>-1677755000</v>
      </c>
      <c r="N223" s="17">
        <v>-419100000</v>
      </c>
      <c r="O223" s="17">
        <v>131330000</v>
      </c>
      <c r="P223" s="17">
        <v>788000000</v>
      </c>
      <c r="Q223" s="96">
        <v>871955000</v>
      </c>
      <c r="R223" s="17">
        <v>1090000000</v>
      </c>
      <c r="S223" s="17">
        <v>1394490000</v>
      </c>
      <c r="T223" s="17">
        <v>1499390000</v>
      </c>
      <c r="U223" s="17">
        <v>2025150000</v>
      </c>
      <c r="V223" s="17">
        <v>2307280000</v>
      </c>
    </row>
    <row r="224" spans="1:22" x14ac:dyDescent="0.2">
      <c r="A224" s="746" t="s">
        <v>160</v>
      </c>
      <c r="B224" s="45" t="s">
        <v>20</v>
      </c>
      <c r="C224" s="45" t="s">
        <v>199</v>
      </c>
      <c r="D224" s="45" t="s">
        <v>98</v>
      </c>
      <c r="E224" s="45" t="s">
        <v>28</v>
      </c>
      <c r="F224" s="45" t="s">
        <v>45</v>
      </c>
      <c r="G224" s="45" t="s">
        <v>6</v>
      </c>
      <c r="H224" s="45" t="s">
        <v>32</v>
      </c>
      <c r="I224" s="45" t="s">
        <v>111</v>
      </c>
      <c r="J224" s="45" t="s">
        <v>367</v>
      </c>
      <c r="K224" s="45" t="s">
        <v>219</v>
      </c>
      <c r="L224" s="675"/>
      <c r="M224" s="45" t="s">
        <v>35</v>
      </c>
      <c r="N224" s="45" t="s">
        <v>19</v>
      </c>
      <c r="O224" s="45" t="s">
        <v>16</v>
      </c>
      <c r="P224" s="45" t="s">
        <v>83</v>
      </c>
      <c r="Q224" s="45" t="s">
        <v>38</v>
      </c>
      <c r="R224" s="45" t="s">
        <v>36</v>
      </c>
      <c r="S224" s="45" t="s">
        <v>18</v>
      </c>
      <c r="T224" s="45" t="s">
        <v>37</v>
      </c>
      <c r="U224" s="45" t="s">
        <v>14</v>
      </c>
      <c r="V224" s="45" t="s">
        <v>62</v>
      </c>
    </row>
    <row r="225" spans="1:22" x14ac:dyDescent="0.2">
      <c r="A225" s="746" t="s">
        <v>160</v>
      </c>
      <c r="B225" s="90">
        <v>269047520000</v>
      </c>
      <c r="C225" s="91">
        <v>21306730000</v>
      </c>
      <c r="D225" s="17">
        <v>7227280000</v>
      </c>
      <c r="E225" s="17">
        <v>3775980000</v>
      </c>
      <c r="F225" s="17">
        <v>1824095000</v>
      </c>
      <c r="G225" s="17">
        <v>1418045000</v>
      </c>
      <c r="H225" s="17">
        <v>1154840000</v>
      </c>
      <c r="I225" s="17">
        <v>1068360000</v>
      </c>
      <c r="J225" s="17">
        <v>934730000</v>
      </c>
      <c r="K225" s="92">
        <v>591000000</v>
      </c>
      <c r="L225" s="675"/>
      <c r="M225" s="93">
        <v>-88388215000</v>
      </c>
      <c r="N225" s="17">
        <v>-86715363000</v>
      </c>
      <c r="O225" s="17">
        <v>-59879895000</v>
      </c>
      <c r="P225" s="17">
        <v>-57304030000</v>
      </c>
      <c r="Q225" s="17">
        <v>-55335615000</v>
      </c>
      <c r="R225" s="17">
        <v>-50406470000</v>
      </c>
      <c r="S225" s="94">
        <v>-44924950000</v>
      </c>
      <c r="T225" s="95">
        <v>-35266770000</v>
      </c>
      <c r="U225" s="17">
        <v>-29708605000</v>
      </c>
      <c r="V225" s="17">
        <v>-21387125000</v>
      </c>
    </row>
    <row r="226" spans="1:22" x14ac:dyDescent="0.2">
      <c r="A226" s="746" t="s">
        <v>161</v>
      </c>
      <c r="B226" s="45" t="s">
        <v>38</v>
      </c>
      <c r="C226" s="45" t="s">
        <v>14</v>
      </c>
      <c r="D226" s="45" t="s">
        <v>83</v>
      </c>
      <c r="E226" s="45" t="s">
        <v>15</v>
      </c>
      <c r="F226" s="45" t="s">
        <v>36</v>
      </c>
      <c r="G226" s="45" t="s">
        <v>35</v>
      </c>
      <c r="H226" s="45" t="s">
        <v>37</v>
      </c>
      <c r="I226" s="45" t="s">
        <v>18</v>
      </c>
      <c r="J226" s="45" t="s">
        <v>24</v>
      </c>
      <c r="K226" s="45" t="s">
        <v>65</v>
      </c>
      <c r="L226" s="675"/>
      <c r="M226" s="45" t="s">
        <v>16</v>
      </c>
      <c r="N226" s="45" t="s">
        <v>19</v>
      </c>
      <c r="O226" s="45" t="s">
        <v>10</v>
      </c>
      <c r="P226" s="45" t="s">
        <v>32</v>
      </c>
      <c r="Q226" s="45" t="s">
        <v>5</v>
      </c>
      <c r="R226" s="45" t="s">
        <v>182</v>
      </c>
      <c r="S226" s="45" t="s">
        <v>68</v>
      </c>
      <c r="T226" s="45" t="s">
        <v>33</v>
      </c>
      <c r="U226" s="45" t="s">
        <v>192</v>
      </c>
      <c r="V226" s="45" t="s">
        <v>111</v>
      </c>
    </row>
    <row r="227" spans="1:22" x14ac:dyDescent="0.2">
      <c r="A227" s="746" t="s">
        <v>161</v>
      </c>
      <c r="B227" s="17">
        <v>34607510000</v>
      </c>
      <c r="C227" s="17">
        <v>30257545000</v>
      </c>
      <c r="D227" s="17">
        <v>25558190000</v>
      </c>
      <c r="E227" s="17">
        <v>21346055000</v>
      </c>
      <c r="F227" s="17">
        <v>18276260000</v>
      </c>
      <c r="G227" s="17">
        <v>7940625000</v>
      </c>
      <c r="H227" s="17">
        <v>7117635000</v>
      </c>
      <c r="I227" s="17">
        <v>5883330000</v>
      </c>
      <c r="J227" s="17">
        <v>5453460000</v>
      </c>
      <c r="K227" s="85">
        <v>4130810000</v>
      </c>
      <c r="L227" s="675"/>
      <c r="M227" s="86">
        <v>-282170870000</v>
      </c>
      <c r="N227" s="17">
        <v>-28054140000</v>
      </c>
      <c r="O227" s="17">
        <v>-2815050000</v>
      </c>
      <c r="P227" s="17">
        <v>-1860000000</v>
      </c>
      <c r="Q227" s="17">
        <v>-68110000</v>
      </c>
      <c r="R227" s="17">
        <v>489670000</v>
      </c>
      <c r="S227" s="17">
        <v>537380000</v>
      </c>
      <c r="T227" s="17">
        <v>908910000</v>
      </c>
      <c r="U227" s="17">
        <v>1118500000</v>
      </c>
      <c r="V227" s="17">
        <v>2499760000</v>
      </c>
    </row>
    <row r="228" spans="1:22" x14ac:dyDescent="0.2">
      <c r="A228" s="746" t="s">
        <v>162</v>
      </c>
      <c r="B228" s="45" t="s">
        <v>14</v>
      </c>
      <c r="C228" s="45" t="s">
        <v>111</v>
      </c>
      <c r="D228" s="45" t="s">
        <v>28</v>
      </c>
      <c r="E228" s="45" t="s">
        <v>45</v>
      </c>
      <c r="F228" s="45" t="s">
        <v>367</v>
      </c>
      <c r="G228" s="45" t="s">
        <v>6</v>
      </c>
      <c r="H228" s="45" t="s">
        <v>190</v>
      </c>
      <c r="I228" s="45" t="s">
        <v>20</v>
      </c>
      <c r="J228" s="45" t="s">
        <v>15</v>
      </c>
      <c r="K228" s="45" t="s">
        <v>74</v>
      </c>
      <c r="L228" s="675"/>
      <c r="M228" s="45" t="s">
        <v>19</v>
      </c>
      <c r="N228" s="45" t="s">
        <v>18</v>
      </c>
      <c r="O228" s="45" t="s">
        <v>83</v>
      </c>
      <c r="P228" s="45" t="s">
        <v>16</v>
      </c>
      <c r="Q228" s="45" t="s">
        <v>38</v>
      </c>
      <c r="R228" s="45" t="s">
        <v>62</v>
      </c>
      <c r="S228" s="45" t="s">
        <v>35</v>
      </c>
      <c r="T228" s="45" t="s">
        <v>24</v>
      </c>
      <c r="U228" s="45" t="s">
        <v>13</v>
      </c>
      <c r="V228" s="45" t="s">
        <v>68</v>
      </c>
    </row>
    <row r="229" spans="1:22" x14ac:dyDescent="0.2">
      <c r="A229" s="746" t="s">
        <v>162</v>
      </c>
      <c r="B229" s="17">
        <v>18813690000</v>
      </c>
      <c r="C229" s="17">
        <v>6078880000</v>
      </c>
      <c r="D229" s="17">
        <v>2264950000</v>
      </c>
      <c r="E229" s="17">
        <v>1512905000</v>
      </c>
      <c r="F229" s="82">
        <v>1407500000</v>
      </c>
      <c r="G229" s="17">
        <v>1198250000</v>
      </c>
      <c r="H229" s="17">
        <v>1151250000</v>
      </c>
      <c r="I229" s="17">
        <v>1145715000</v>
      </c>
      <c r="J229" s="17">
        <v>985265000</v>
      </c>
      <c r="K229" s="17">
        <v>853320000</v>
      </c>
      <c r="L229" s="675"/>
      <c r="M229" s="17">
        <v>-53783790000</v>
      </c>
      <c r="N229" s="17">
        <v>-26870265000</v>
      </c>
      <c r="O229" s="17">
        <v>-23449330000</v>
      </c>
      <c r="P229" s="17">
        <v>-22993640000</v>
      </c>
      <c r="Q229" s="17">
        <v>-17163800000</v>
      </c>
      <c r="R229" s="17">
        <v>-12146040000</v>
      </c>
      <c r="S229" s="17">
        <v>-11608175000</v>
      </c>
      <c r="T229" s="83">
        <v>-11491070000</v>
      </c>
      <c r="U229" s="17">
        <v>-11353450000</v>
      </c>
      <c r="V229" s="17">
        <v>-9694640000</v>
      </c>
    </row>
    <row r="230" spans="1:22" x14ac:dyDescent="0.2">
      <c r="A230" s="746" t="s">
        <v>163</v>
      </c>
      <c r="B230" s="45" t="s">
        <v>36</v>
      </c>
      <c r="C230" s="45" t="s">
        <v>15</v>
      </c>
      <c r="D230" s="45" t="s">
        <v>14</v>
      </c>
      <c r="E230" s="45" t="s">
        <v>5</v>
      </c>
      <c r="F230" s="45" t="s">
        <v>35</v>
      </c>
      <c r="G230" s="45" t="s">
        <v>24</v>
      </c>
      <c r="H230" s="45" t="s">
        <v>16</v>
      </c>
      <c r="I230" s="45" t="s">
        <v>67</v>
      </c>
      <c r="J230" s="45" t="s">
        <v>10</v>
      </c>
      <c r="K230" s="45" t="s">
        <v>26</v>
      </c>
      <c r="L230" s="675"/>
      <c r="M230" s="45" t="s">
        <v>38</v>
      </c>
      <c r="N230" s="45" t="s">
        <v>290</v>
      </c>
      <c r="O230" s="45" t="s">
        <v>111</v>
      </c>
      <c r="P230" s="45" t="s">
        <v>28</v>
      </c>
      <c r="Q230" s="45" t="s">
        <v>45</v>
      </c>
      <c r="R230" s="45" t="s">
        <v>19</v>
      </c>
      <c r="S230" s="45" t="s">
        <v>83</v>
      </c>
      <c r="T230" s="45" t="s">
        <v>18</v>
      </c>
      <c r="U230" s="45" t="s">
        <v>37</v>
      </c>
      <c r="V230" s="45" t="s">
        <v>32</v>
      </c>
    </row>
    <row r="231" spans="1:22" x14ac:dyDescent="0.2">
      <c r="A231" s="746" t="s">
        <v>163</v>
      </c>
      <c r="B231" s="17">
        <v>20386300000</v>
      </c>
      <c r="C231" s="17">
        <v>18250195000</v>
      </c>
      <c r="D231" s="17">
        <v>14657190000</v>
      </c>
      <c r="E231" s="17">
        <v>11338165000</v>
      </c>
      <c r="F231" s="17">
        <v>8170531000</v>
      </c>
      <c r="G231" s="17">
        <v>7581010000</v>
      </c>
      <c r="H231" s="17">
        <v>6422635000</v>
      </c>
      <c r="I231" s="17">
        <v>5839460000</v>
      </c>
      <c r="J231" s="17">
        <v>5660000000</v>
      </c>
      <c r="K231" s="17">
        <v>5262930000</v>
      </c>
      <c r="L231" s="675"/>
      <c r="M231" s="17">
        <v>-13638700000</v>
      </c>
      <c r="N231" s="76">
        <v>-5913350000</v>
      </c>
      <c r="O231" s="77">
        <v>-5443020000</v>
      </c>
      <c r="P231" s="78">
        <v>-5432470000</v>
      </c>
      <c r="Q231" s="79">
        <v>-4255225000</v>
      </c>
      <c r="R231" s="17">
        <v>-3788645000</v>
      </c>
      <c r="S231" s="17">
        <v>-2217415000</v>
      </c>
      <c r="T231" s="17">
        <v>-1895820000</v>
      </c>
      <c r="U231" s="17">
        <v>-901510000</v>
      </c>
      <c r="V231" s="17">
        <v>369000000</v>
      </c>
    </row>
    <row r="232" spans="1:22" x14ac:dyDescent="0.2">
      <c r="A232" s="746" t="s">
        <v>164</v>
      </c>
      <c r="B232" s="45" t="s">
        <v>35</v>
      </c>
      <c r="C232" s="45" t="s">
        <v>14</v>
      </c>
      <c r="D232" s="45" t="s">
        <v>24</v>
      </c>
      <c r="E232" s="45" t="s">
        <v>67</v>
      </c>
      <c r="F232" s="45" t="s">
        <v>5</v>
      </c>
      <c r="G232" s="45" t="s">
        <v>33</v>
      </c>
      <c r="H232" s="45" t="s">
        <v>26</v>
      </c>
      <c r="I232" s="45" t="s">
        <v>16</v>
      </c>
      <c r="J232" s="45" t="s">
        <v>13</v>
      </c>
      <c r="K232" s="45" t="s">
        <v>15</v>
      </c>
      <c r="L232" s="675"/>
      <c r="M232" s="45" t="s">
        <v>43</v>
      </c>
      <c r="N232" s="45" t="s">
        <v>19</v>
      </c>
      <c r="O232" s="45" t="s">
        <v>83</v>
      </c>
      <c r="P232" s="45" t="s">
        <v>192</v>
      </c>
      <c r="Q232" s="45" t="s">
        <v>36</v>
      </c>
      <c r="R232" s="45" t="s">
        <v>38</v>
      </c>
      <c r="S232" s="45" t="s">
        <v>37</v>
      </c>
      <c r="T232" s="45" t="s">
        <v>68</v>
      </c>
      <c r="U232" s="45" t="s">
        <v>367</v>
      </c>
      <c r="V232" s="45" t="s">
        <v>111</v>
      </c>
    </row>
    <row r="233" spans="1:22" x14ac:dyDescent="0.2">
      <c r="A233" s="746" t="s">
        <v>164</v>
      </c>
      <c r="B233" s="70">
        <v>35919905000</v>
      </c>
      <c r="C233" s="17">
        <v>25118840000</v>
      </c>
      <c r="D233" s="17">
        <v>7011680000</v>
      </c>
      <c r="E233" s="17">
        <v>5818625000</v>
      </c>
      <c r="F233" s="17">
        <v>5402710000</v>
      </c>
      <c r="G233" s="17">
        <v>5161290000</v>
      </c>
      <c r="H233" s="17">
        <v>4840760000</v>
      </c>
      <c r="I233" s="17">
        <v>4001615000</v>
      </c>
      <c r="J233" s="17">
        <v>3811430000</v>
      </c>
      <c r="K233" s="17">
        <v>3512190000</v>
      </c>
      <c r="L233" s="675"/>
      <c r="M233" s="17">
        <v>-10125380000</v>
      </c>
      <c r="N233" s="17">
        <v>-8924790000</v>
      </c>
      <c r="O233" s="17">
        <v>-4410780000</v>
      </c>
      <c r="P233" s="71">
        <v>-2996990000</v>
      </c>
      <c r="Q233" s="17">
        <v>-2566220000</v>
      </c>
      <c r="R233" s="17">
        <v>-807310000</v>
      </c>
      <c r="S233" s="17">
        <v>-568634000</v>
      </c>
      <c r="T233" s="17">
        <v>-408700000</v>
      </c>
      <c r="U233" s="17">
        <v>725000000</v>
      </c>
      <c r="V233" s="17">
        <v>1409420000</v>
      </c>
    </row>
    <row r="234" spans="1:22" x14ac:dyDescent="0.2">
      <c r="A234" s="746" t="s">
        <v>165</v>
      </c>
      <c r="B234" s="757" t="s">
        <v>18</v>
      </c>
      <c r="C234" s="45" t="s">
        <v>70</v>
      </c>
      <c r="D234" s="45" t="s">
        <v>61</v>
      </c>
      <c r="E234" s="45" t="s">
        <v>35</v>
      </c>
      <c r="F234" s="45" t="s">
        <v>15</v>
      </c>
      <c r="G234" s="45" t="s">
        <v>16</v>
      </c>
      <c r="H234" s="45" t="s">
        <v>37</v>
      </c>
      <c r="I234" s="45" t="s">
        <v>111</v>
      </c>
      <c r="J234" s="45" t="s">
        <v>290</v>
      </c>
      <c r="K234" s="45" t="s">
        <v>24</v>
      </c>
      <c r="L234" s="675"/>
      <c r="M234" s="45" t="s">
        <v>14</v>
      </c>
      <c r="N234" s="45" t="s">
        <v>38</v>
      </c>
      <c r="O234" s="45" t="s">
        <v>19</v>
      </c>
      <c r="P234" s="45" t="s">
        <v>36</v>
      </c>
      <c r="Q234" s="45" t="s">
        <v>43</v>
      </c>
      <c r="R234" s="45" t="s">
        <v>33</v>
      </c>
      <c r="S234" s="45" t="s">
        <v>192</v>
      </c>
      <c r="T234" s="45" t="s">
        <v>5</v>
      </c>
      <c r="U234" s="45" t="s">
        <v>215</v>
      </c>
      <c r="V234" s="45" t="s">
        <v>83</v>
      </c>
    </row>
    <row r="235" spans="1:22" x14ac:dyDescent="0.2">
      <c r="A235" s="746" t="s">
        <v>165</v>
      </c>
      <c r="B235" s="758">
        <v>33243215000</v>
      </c>
      <c r="C235" s="65">
        <v>20514835000</v>
      </c>
      <c r="D235" s="66">
        <v>19232140000</v>
      </c>
      <c r="E235" s="17">
        <v>12693696000</v>
      </c>
      <c r="F235" s="17">
        <v>11121490000</v>
      </c>
      <c r="G235" s="17">
        <v>9484645000</v>
      </c>
      <c r="H235" s="17">
        <v>8389650000</v>
      </c>
      <c r="I235" s="17">
        <v>6384700000</v>
      </c>
      <c r="J235" s="17">
        <v>5772700000</v>
      </c>
      <c r="K235" s="17">
        <v>4912540000</v>
      </c>
      <c r="L235" s="675"/>
      <c r="M235" s="17">
        <v>-28441985000</v>
      </c>
      <c r="N235" s="17">
        <v>-15248330000</v>
      </c>
      <c r="O235" s="17">
        <v>-6442775000</v>
      </c>
      <c r="P235" s="17">
        <v>-5939390000</v>
      </c>
      <c r="Q235" s="17">
        <v>-2421830000</v>
      </c>
      <c r="R235" s="17">
        <v>-2189550000</v>
      </c>
      <c r="S235" s="67">
        <v>-72360000</v>
      </c>
      <c r="T235" s="17">
        <v>894985000</v>
      </c>
      <c r="U235" s="17">
        <v>1007995000</v>
      </c>
      <c r="V235" s="17">
        <v>1136835000</v>
      </c>
    </row>
    <row r="236" spans="1:22" x14ac:dyDescent="0.2">
      <c r="A236" s="746" t="s">
        <v>166</v>
      </c>
      <c r="B236" s="757" t="s">
        <v>18</v>
      </c>
      <c r="C236" s="45" t="s">
        <v>15</v>
      </c>
      <c r="D236" s="45" t="s">
        <v>36</v>
      </c>
      <c r="E236" s="45" t="s">
        <v>14</v>
      </c>
      <c r="F236" s="45" t="s">
        <v>37</v>
      </c>
      <c r="G236" s="45" t="s">
        <v>16</v>
      </c>
      <c r="H236" s="45" t="s">
        <v>24</v>
      </c>
      <c r="I236" s="45" t="s">
        <v>290</v>
      </c>
      <c r="J236" s="45" t="s">
        <v>26</v>
      </c>
      <c r="K236" s="45" t="s">
        <v>70</v>
      </c>
      <c r="L236" s="675"/>
      <c r="M236" s="45" t="s">
        <v>38</v>
      </c>
      <c r="N236" s="45" t="s">
        <v>19</v>
      </c>
      <c r="O236" s="45" t="s">
        <v>6</v>
      </c>
      <c r="P236" s="45" t="s">
        <v>89</v>
      </c>
      <c r="Q236" s="45" t="s">
        <v>5</v>
      </c>
      <c r="R236" s="45" t="s">
        <v>199</v>
      </c>
      <c r="S236" s="45" t="s">
        <v>192</v>
      </c>
      <c r="T236" s="45" t="s">
        <v>215</v>
      </c>
      <c r="U236" s="45" t="s">
        <v>10</v>
      </c>
      <c r="V236" s="45" t="s">
        <v>74</v>
      </c>
    </row>
    <row r="237" spans="1:22" x14ac:dyDescent="0.2">
      <c r="A237" s="746" t="s">
        <v>166</v>
      </c>
      <c r="B237" s="772">
        <v>101995450000</v>
      </c>
      <c r="C237" s="56">
        <v>101131040000</v>
      </c>
      <c r="D237" s="17">
        <v>63123640000</v>
      </c>
      <c r="E237" s="57">
        <v>48406160000</v>
      </c>
      <c r="F237" s="17">
        <v>29846145000</v>
      </c>
      <c r="G237" s="17">
        <v>28743440000</v>
      </c>
      <c r="H237" s="58">
        <v>28381330000</v>
      </c>
      <c r="I237" s="59">
        <v>23537605000</v>
      </c>
      <c r="J237" s="60">
        <v>17752750000</v>
      </c>
      <c r="K237" s="61">
        <v>16479675000</v>
      </c>
      <c r="L237" s="675"/>
      <c r="M237" s="17">
        <v>-31194930000</v>
      </c>
      <c r="N237" s="17">
        <v>-25267885000</v>
      </c>
      <c r="O237" s="62">
        <v>-5616890000</v>
      </c>
      <c r="P237" s="17">
        <v>-4560000</v>
      </c>
      <c r="Q237" s="17">
        <v>1781269000</v>
      </c>
      <c r="R237" s="17">
        <v>2544190000</v>
      </c>
      <c r="S237" s="17">
        <v>2675850000</v>
      </c>
      <c r="T237" s="17">
        <v>2758150000</v>
      </c>
      <c r="U237" s="17">
        <v>3197000000</v>
      </c>
      <c r="V237" s="63">
        <v>3240030000</v>
      </c>
    </row>
    <row r="238" spans="1:22" x14ac:dyDescent="0.2">
      <c r="A238" s="746" t="s">
        <v>167</v>
      </c>
      <c r="B238" s="45" t="s">
        <v>37</v>
      </c>
      <c r="C238" s="45" t="s">
        <v>290</v>
      </c>
      <c r="D238" s="45" t="s">
        <v>33</v>
      </c>
      <c r="E238" s="45" t="s">
        <v>72</v>
      </c>
      <c r="F238" s="45" t="s">
        <v>111</v>
      </c>
      <c r="G238" s="45" t="s">
        <v>199</v>
      </c>
      <c r="H238" s="45" t="s">
        <v>32</v>
      </c>
      <c r="I238" s="45" t="s">
        <v>215</v>
      </c>
      <c r="J238" s="45" t="s">
        <v>70</v>
      </c>
      <c r="K238" s="45" t="s">
        <v>15</v>
      </c>
      <c r="L238" s="675"/>
      <c r="M238" s="45" t="s">
        <v>38</v>
      </c>
      <c r="N238" s="45" t="s">
        <v>16</v>
      </c>
      <c r="O238" s="45" t="s">
        <v>36</v>
      </c>
      <c r="P238" s="45" t="s">
        <v>83</v>
      </c>
      <c r="Q238" s="45" t="s">
        <v>14</v>
      </c>
      <c r="R238" s="45" t="s">
        <v>35</v>
      </c>
      <c r="S238" s="45" t="s">
        <v>5</v>
      </c>
      <c r="T238" s="45" t="s">
        <v>13</v>
      </c>
      <c r="U238" s="45" t="s">
        <v>26</v>
      </c>
      <c r="V238" s="45" t="s">
        <v>62</v>
      </c>
    </row>
    <row r="239" spans="1:22" x14ac:dyDescent="0.2">
      <c r="A239" s="746" t="s">
        <v>167</v>
      </c>
      <c r="B239" s="17">
        <v>23594997000</v>
      </c>
      <c r="C239" s="17">
        <v>18071535000</v>
      </c>
      <c r="D239" s="17">
        <v>2129300000</v>
      </c>
      <c r="E239" s="17">
        <v>1609265000</v>
      </c>
      <c r="F239" s="17">
        <v>1551900000</v>
      </c>
      <c r="G239" s="17">
        <v>1324505000</v>
      </c>
      <c r="H239" s="17">
        <v>842040000</v>
      </c>
      <c r="I239" s="17">
        <v>716265000</v>
      </c>
      <c r="J239" s="17">
        <v>596167000</v>
      </c>
      <c r="K239" s="17">
        <v>-4685075000</v>
      </c>
      <c r="L239" s="675"/>
      <c r="M239" s="17">
        <v>-57108050000</v>
      </c>
      <c r="N239" s="48">
        <v>-53705661000</v>
      </c>
      <c r="O239" s="17">
        <v>-40695900000</v>
      </c>
      <c r="P239" s="17">
        <v>-38096795000</v>
      </c>
      <c r="Q239" s="17">
        <v>-35436470000</v>
      </c>
      <c r="R239" s="49">
        <v>-31402483000</v>
      </c>
      <c r="S239" s="50">
        <v>-27194041000</v>
      </c>
      <c r="T239" s="51">
        <v>-16905435000</v>
      </c>
      <c r="U239" s="17">
        <v>-11201350000</v>
      </c>
      <c r="V239" s="17">
        <v>-11163890000</v>
      </c>
    </row>
    <row r="240" spans="1:22" x14ac:dyDescent="0.2">
      <c r="A240" s="746" t="s">
        <v>168</v>
      </c>
      <c r="B240" s="45" t="s">
        <v>99</v>
      </c>
      <c r="C240" s="45" t="s">
        <v>32</v>
      </c>
      <c r="D240" s="45" t="s">
        <v>74</v>
      </c>
      <c r="E240" s="45" t="s">
        <v>37</v>
      </c>
      <c r="F240" s="45" t="s">
        <v>384</v>
      </c>
      <c r="G240" s="45" t="s">
        <v>33</v>
      </c>
      <c r="H240" s="45" t="s">
        <v>199</v>
      </c>
      <c r="I240" s="45" t="s">
        <v>35</v>
      </c>
      <c r="J240" s="45" t="s">
        <v>290</v>
      </c>
      <c r="K240" s="45" t="s">
        <v>278</v>
      </c>
      <c r="L240" s="675"/>
      <c r="M240" s="45" t="s">
        <v>16</v>
      </c>
      <c r="N240" s="45" t="s">
        <v>38</v>
      </c>
      <c r="O240" s="45" t="s">
        <v>14</v>
      </c>
      <c r="P240" s="45" t="s">
        <v>15</v>
      </c>
      <c r="Q240" s="45" t="s">
        <v>18</v>
      </c>
      <c r="R240" s="45" t="s">
        <v>13</v>
      </c>
      <c r="S240" s="45" t="s">
        <v>83</v>
      </c>
      <c r="T240" s="45" t="s">
        <v>26</v>
      </c>
      <c r="U240" s="45" t="s">
        <v>5</v>
      </c>
      <c r="V240" s="45" t="s">
        <v>36</v>
      </c>
    </row>
    <row r="241" spans="1:22" x14ac:dyDescent="0.2">
      <c r="A241" s="746" t="s">
        <v>168</v>
      </c>
      <c r="B241" s="17">
        <v>19176390000</v>
      </c>
      <c r="C241" s="46">
        <v>14163000000</v>
      </c>
      <c r="D241" s="17">
        <v>13867000000</v>
      </c>
      <c r="E241" s="17">
        <v>12755033000</v>
      </c>
      <c r="F241" s="17">
        <v>7514100000</v>
      </c>
      <c r="G241" s="47">
        <v>4889060000</v>
      </c>
      <c r="H241" s="17">
        <v>4553020000</v>
      </c>
      <c r="I241" s="17">
        <v>4344085000</v>
      </c>
      <c r="J241" s="17">
        <v>3139380000</v>
      </c>
      <c r="K241" s="17">
        <v>2878390000</v>
      </c>
      <c r="L241" s="675"/>
      <c r="M241" s="17">
        <v>-27139100000</v>
      </c>
      <c r="N241" s="17">
        <v>-24350300000</v>
      </c>
      <c r="O241" s="17">
        <v>-20587440000</v>
      </c>
      <c r="P241" s="17">
        <v>-13536455000</v>
      </c>
      <c r="Q241" s="17">
        <v>-12994020000</v>
      </c>
      <c r="R241" s="17">
        <v>-10306595000</v>
      </c>
      <c r="S241" s="17">
        <v>-5665075000</v>
      </c>
      <c r="T241" s="17">
        <v>-4156700000</v>
      </c>
      <c r="U241" s="17">
        <v>-3188096000</v>
      </c>
      <c r="V241" s="17">
        <v>-2718819000</v>
      </c>
    </row>
    <row r="257" spans="1:1" x14ac:dyDescent="0.2">
      <c r="A257" t="s">
        <v>177</v>
      </c>
    </row>
  </sheetData>
  <mergeCells count="122">
    <mergeCell ref="A2:A3"/>
    <mergeCell ref="A4:A5"/>
    <mergeCell ref="A42:A43"/>
    <mergeCell ref="A40:A41"/>
    <mergeCell ref="A38:A39"/>
    <mergeCell ref="A36:A37"/>
    <mergeCell ref="A34:A35"/>
    <mergeCell ref="A32:A33"/>
    <mergeCell ref="A30:A31"/>
    <mergeCell ref="A28:A29"/>
    <mergeCell ref="A26:A27"/>
    <mergeCell ref="A24:A25"/>
    <mergeCell ref="A22:A23"/>
    <mergeCell ref="A20:A21"/>
    <mergeCell ref="A18:A19"/>
    <mergeCell ref="A16:A17"/>
    <mergeCell ref="A14:A15"/>
    <mergeCell ref="A12:A13"/>
    <mergeCell ref="A10:A11"/>
    <mergeCell ref="A72:A73"/>
    <mergeCell ref="A70:A71"/>
    <mergeCell ref="A68:A69"/>
    <mergeCell ref="A66:A67"/>
    <mergeCell ref="A64:A65"/>
    <mergeCell ref="A62:A63"/>
    <mergeCell ref="A60:A61"/>
    <mergeCell ref="A8:A9"/>
    <mergeCell ref="A6:A7"/>
    <mergeCell ref="A54:A55"/>
    <mergeCell ref="A52:A53"/>
    <mergeCell ref="A50:A51"/>
    <mergeCell ref="A48:A49"/>
    <mergeCell ref="A46:A47"/>
    <mergeCell ref="A44:A45"/>
    <mergeCell ref="A206:A207"/>
    <mergeCell ref="A204:A205"/>
    <mergeCell ref="A202:A203"/>
    <mergeCell ref="A200:A201"/>
    <mergeCell ref="A198:A199"/>
    <mergeCell ref="A196:A197"/>
    <mergeCell ref="A194:A195"/>
    <mergeCell ref="A192:A193"/>
    <mergeCell ref="A190:A191"/>
    <mergeCell ref="A188:A189"/>
    <mergeCell ref="A186:A187"/>
    <mergeCell ref="A184:A185"/>
    <mergeCell ref="A182:A183"/>
    <mergeCell ref="A84:A85"/>
    <mergeCell ref="A82:A83"/>
    <mergeCell ref="A80:A81"/>
    <mergeCell ref="A76:A77"/>
    <mergeCell ref="A74:A75"/>
    <mergeCell ref="A150:A151"/>
    <mergeCell ref="A148:A149"/>
    <mergeCell ref="A112:A113"/>
    <mergeCell ref="A110:A111"/>
    <mergeCell ref="A108:A109"/>
    <mergeCell ref="A106:A107"/>
    <mergeCell ref="A104:A105"/>
    <mergeCell ref="A102:A103"/>
    <mergeCell ref="A146:A147"/>
    <mergeCell ref="A144:A145"/>
    <mergeCell ref="A142:A143"/>
    <mergeCell ref="A140:A141"/>
    <mergeCell ref="A138:A139"/>
    <mergeCell ref="A222:A223"/>
    <mergeCell ref="A220:A221"/>
    <mergeCell ref="A218:A219"/>
    <mergeCell ref="A216:A217"/>
    <mergeCell ref="A214:A215"/>
    <mergeCell ref="A212:A213"/>
    <mergeCell ref="A210:A211"/>
    <mergeCell ref="A208:A209"/>
    <mergeCell ref="A114:A115"/>
    <mergeCell ref="A180:A181"/>
    <mergeCell ref="A178:A179"/>
    <mergeCell ref="A176:A177"/>
    <mergeCell ref="A174:A175"/>
    <mergeCell ref="A172:A173"/>
    <mergeCell ref="A170:A171"/>
    <mergeCell ref="A168:A169"/>
    <mergeCell ref="A166:A167"/>
    <mergeCell ref="A164:A165"/>
    <mergeCell ref="A162:A163"/>
    <mergeCell ref="A160:A161"/>
    <mergeCell ref="A158:A159"/>
    <mergeCell ref="A156:A157"/>
    <mergeCell ref="A154:A155"/>
    <mergeCell ref="A152:A153"/>
    <mergeCell ref="A240:A241"/>
    <mergeCell ref="A238:A239"/>
    <mergeCell ref="A236:A237"/>
    <mergeCell ref="A234:A235"/>
    <mergeCell ref="A232:A233"/>
    <mergeCell ref="A230:A231"/>
    <mergeCell ref="A228:A229"/>
    <mergeCell ref="A226:A227"/>
    <mergeCell ref="A224:A225"/>
    <mergeCell ref="B1:K1"/>
    <mergeCell ref="M1:V1"/>
    <mergeCell ref="A118:A119"/>
    <mergeCell ref="A116:A117"/>
    <mergeCell ref="A136:A137"/>
    <mergeCell ref="A134:A135"/>
    <mergeCell ref="A132:A133"/>
    <mergeCell ref="A130:A131"/>
    <mergeCell ref="A128:A129"/>
    <mergeCell ref="A126:A127"/>
    <mergeCell ref="A124:A125"/>
    <mergeCell ref="A122:A123"/>
    <mergeCell ref="A120:A121"/>
    <mergeCell ref="A100:A101"/>
    <mergeCell ref="A98:A99"/>
    <mergeCell ref="A96:A97"/>
    <mergeCell ref="A94:A95"/>
    <mergeCell ref="A92:A93"/>
    <mergeCell ref="A90:A91"/>
    <mergeCell ref="A88:A89"/>
    <mergeCell ref="A86:A87"/>
    <mergeCell ref="A78:A79"/>
    <mergeCell ref="A58:A59"/>
    <mergeCell ref="A56:A5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N5"/>
  <sheetViews>
    <sheetView workbookViewId="0">
      <selection activeCell="G10" sqref="G10"/>
    </sheetView>
  </sheetViews>
  <sheetFormatPr baseColWidth="10" defaultRowHeight="16" x14ac:dyDescent="0.2"/>
  <cols>
    <col min="2" max="2" width="17.6640625" bestFit="1" customWidth="1"/>
    <col min="3" max="3" width="19.6640625" customWidth="1"/>
    <col min="4" max="6" width="18.33203125" bestFit="1" customWidth="1"/>
    <col min="7" max="7" width="18" bestFit="1" customWidth="1"/>
    <col min="14" max="14" width="19.33203125" bestFit="1" customWidth="1"/>
  </cols>
  <sheetData>
    <row r="1" spans="1:14" x14ac:dyDescent="0.2">
      <c r="B1" s="747">
        <v>2024</v>
      </c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</row>
    <row r="2" spans="1:14" x14ac:dyDescent="0.2">
      <c r="B2" t="s">
        <v>47</v>
      </c>
      <c r="C2" t="s">
        <v>48</v>
      </c>
      <c r="D2" t="s">
        <v>49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K2" t="s">
        <v>57</v>
      </c>
      <c r="L2" t="s">
        <v>58</v>
      </c>
      <c r="M2" t="s">
        <v>59</v>
      </c>
      <c r="N2" s="45" t="s">
        <v>443</v>
      </c>
    </row>
    <row r="3" spans="1:14" x14ac:dyDescent="0.2">
      <c r="A3" t="s">
        <v>46</v>
      </c>
      <c r="B3" s="15">
        <v>1132080794721</v>
      </c>
      <c r="C3" s="17">
        <v>-2366312217119</v>
      </c>
      <c r="D3" s="17">
        <v>-7722196199347</v>
      </c>
      <c r="E3" s="17">
        <v>-2260925083236</v>
      </c>
      <c r="F3" s="17">
        <v>-15664034734513</v>
      </c>
      <c r="G3" s="17">
        <v>-13528996535473</v>
      </c>
      <c r="H3" s="17"/>
      <c r="I3" s="17"/>
      <c r="J3" s="17"/>
      <c r="K3" s="17"/>
      <c r="L3" s="17"/>
      <c r="M3" s="17"/>
      <c r="N3" s="17">
        <f>SUM(B3:M3)</f>
        <v>-40410383974967</v>
      </c>
    </row>
    <row r="4" spans="1:14" x14ac:dyDescent="0.2">
      <c r="A4" t="s">
        <v>442</v>
      </c>
      <c r="B4" s="15">
        <v>2480025786630</v>
      </c>
      <c r="C4" s="17">
        <v>-2133619999011</v>
      </c>
      <c r="D4" s="17">
        <v>-5251101879347</v>
      </c>
      <c r="E4" s="17">
        <v>1437671851339</v>
      </c>
      <c r="F4" s="17">
        <v>-9660445963577</v>
      </c>
      <c r="G4" s="17">
        <v>-10462469549044</v>
      </c>
      <c r="H4" s="17"/>
      <c r="I4" s="17"/>
      <c r="J4" s="17"/>
      <c r="K4" s="17"/>
      <c r="L4" s="17"/>
      <c r="M4" s="17"/>
      <c r="N4" s="17">
        <f t="shared" ref="N4:N5" si="0">SUM(B4:M4)</f>
        <v>-23589939753010</v>
      </c>
    </row>
    <row r="5" spans="1:14" x14ac:dyDescent="0.2">
      <c r="A5" t="s">
        <v>50</v>
      </c>
      <c r="B5" s="15">
        <v>535714594655</v>
      </c>
      <c r="C5" s="17">
        <v>-3294901162400</v>
      </c>
      <c r="D5" s="17">
        <v>-995761819500</v>
      </c>
      <c r="E5" s="15">
        <v>382058080300</v>
      </c>
      <c r="F5" s="17">
        <v>-1311334202300</v>
      </c>
      <c r="G5" s="15">
        <v>242922297900</v>
      </c>
      <c r="H5" s="15"/>
      <c r="I5" s="15"/>
      <c r="J5" s="15"/>
      <c r="K5" s="15"/>
      <c r="L5" s="15"/>
      <c r="M5" s="15"/>
      <c r="N5" s="17">
        <f t="shared" si="0"/>
        <v>-4441302211345</v>
      </c>
    </row>
  </sheetData>
  <mergeCells count="1">
    <mergeCell ref="B1:M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A35" sqref="A35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84</v>
      </c>
      <c r="C1" s="21" t="s">
        <v>85</v>
      </c>
    </row>
    <row r="2" spans="1:20" x14ac:dyDescent="0.2">
      <c r="A2" t="s">
        <v>12</v>
      </c>
      <c r="C2" t="s">
        <v>12</v>
      </c>
    </row>
    <row r="3" spans="1:20" x14ac:dyDescent="0.2">
      <c r="A3" s="19"/>
      <c r="C3" s="19"/>
    </row>
    <row r="5" spans="1:20" x14ac:dyDescent="0.2">
      <c r="A5" s="749" t="s">
        <v>22</v>
      </c>
      <c r="B5" s="749"/>
      <c r="C5" s="749"/>
      <c r="D5" s="749"/>
      <c r="E5" s="749"/>
      <c r="F5" s="749"/>
      <c r="G5" s="749"/>
      <c r="H5" s="749"/>
      <c r="I5" s="749"/>
      <c r="J5" s="749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748" t="s">
        <v>86</v>
      </c>
      <c r="B11" s="748"/>
      <c r="C11" s="748"/>
      <c r="D11" s="748"/>
      <c r="E11" s="748"/>
      <c r="F11" s="748"/>
      <c r="G11" s="748"/>
      <c r="H11" s="748"/>
      <c r="I11" s="748"/>
      <c r="J11" s="748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750" t="s">
        <v>87</v>
      </c>
      <c r="B17" s="750"/>
      <c r="C17" s="750"/>
      <c r="D17" s="750"/>
      <c r="E17" s="750"/>
      <c r="F17" s="750"/>
      <c r="G17" s="750"/>
      <c r="H17" s="750"/>
      <c r="I17" s="750"/>
      <c r="J17" s="750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750" t="s">
        <v>90</v>
      </c>
      <c r="B20" s="750"/>
      <c r="C20" s="750"/>
      <c r="D20" s="750"/>
      <c r="E20" s="750"/>
      <c r="F20" s="750"/>
      <c r="G20" s="750"/>
      <c r="H20" s="750"/>
      <c r="I20" s="750"/>
      <c r="J20" s="750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750" t="s">
        <v>93</v>
      </c>
      <c r="B23" s="750"/>
      <c r="C23" s="750"/>
      <c r="D23" s="750"/>
      <c r="E23" s="750"/>
      <c r="F23" s="750"/>
      <c r="G23" s="750"/>
      <c r="H23" s="750"/>
      <c r="I23" s="750"/>
      <c r="J23" s="750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749" t="s">
        <v>23</v>
      </c>
      <c r="B28" s="749"/>
      <c r="C28" s="749"/>
      <c r="D28" s="749"/>
      <c r="E28" s="749"/>
      <c r="F28" s="749"/>
      <c r="G28" s="749"/>
      <c r="H28" s="749"/>
      <c r="I28" s="749"/>
      <c r="J28" s="749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748" t="s">
        <v>208</v>
      </c>
      <c r="B34" s="748"/>
      <c r="C34" s="748"/>
      <c r="D34" s="748"/>
      <c r="E34" s="748"/>
      <c r="F34" s="748"/>
      <c r="G34" s="748"/>
      <c r="H34" s="748"/>
      <c r="I34" s="748"/>
      <c r="J34" s="748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745" t="s">
        <v>94</v>
      </c>
      <c r="B40" s="745"/>
      <c r="C40" s="745"/>
      <c r="D40" s="745"/>
      <c r="E40" s="745"/>
      <c r="F40" s="745"/>
      <c r="G40" s="745"/>
      <c r="H40" s="745"/>
      <c r="I40" s="745"/>
      <c r="J40" s="745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745" t="s">
        <v>95</v>
      </c>
      <c r="B43" s="745"/>
      <c r="C43" s="745"/>
      <c r="D43" s="745"/>
      <c r="E43" s="745"/>
      <c r="F43" s="745"/>
      <c r="G43" s="745"/>
      <c r="H43" s="745"/>
      <c r="I43" s="745"/>
      <c r="J43" s="745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745" t="s">
        <v>96</v>
      </c>
      <c r="B46" s="745"/>
      <c r="C46" s="745"/>
      <c r="D46" s="745"/>
      <c r="E46" s="745"/>
      <c r="F46" s="745"/>
      <c r="G46" s="745"/>
      <c r="H46" s="745"/>
      <c r="I46" s="745"/>
      <c r="J46" s="745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Intraday</vt:lpstr>
      <vt:lpstr>MoneyFlow</vt:lpstr>
      <vt:lpstr>Statistic_F_Buy</vt:lpstr>
      <vt:lpstr>Statistic_F_Sell</vt:lpstr>
      <vt:lpstr>Statistic_P_Buy</vt:lpstr>
      <vt:lpstr>Statistic_P_Sell</vt:lpstr>
      <vt:lpstr>Foreign_Intraday</vt:lpstr>
      <vt:lpstr>Proprietary_Intraday</vt:lpstr>
      <vt:lpstr>2024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2024-06-30T11:34:26Z</dcterms:modified>
</cp:coreProperties>
</file>