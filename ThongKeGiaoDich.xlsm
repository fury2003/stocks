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F6EE04C4-1434-4746-BA04-C2ED63839969}" xr6:coauthVersionLast="47" xr6:coauthVersionMax="47" xr10:uidLastSave="{00000000-0000-0000-0000-000000000000}"/>
  <bookViews>
    <workbookView xWindow="0" yWindow="760" windowWidth="30240" windowHeight="16860" activeTab="11" xr2:uid="{4F6761C8-C7AD-6642-9EED-09E5A9408C33}"/>
  </bookViews>
  <sheets>
    <sheet name="T4-2024" sheetId="20" r:id="rId1"/>
    <sheet name="T3-2024" sheetId="19" r:id="rId2"/>
    <sheet name="T2-2024" sheetId="10" r:id="rId3"/>
    <sheet name="T1-2024" sheetId="7" r:id="rId4"/>
    <sheet name="2024" sheetId="12" r:id="rId5"/>
    <sheet name="Template" sheetId="13" r:id="rId6"/>
    <sheet name="Intraday" sheetId="1" r:id="rId7"/>
    <sheet name="MoneyFlow" sheetId="14" r:id="rId8"/>
    <sheet name="Volatile_Foreign_Buy" sheetId="15" r:id="rId9"/>
    <sheet name="Volatile_Foreign_Sell" sheetId="16" r:id="rId10"/>
    <sheet name="Volatile_Proprietary_Buy" sheetId="18" r:id="rId11"/>
    <sheet name="Volatile_Proprietary_Sell" sheetId="17" r:id="rId12"/>
  </sheets>
  <functionGroups builtInGroupCount="19"/>
  <externalReferences>
    <externalReference r:id="rId1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" i="1" l="1"/>
  <c r="R3" i="1"/>
  <c r="P3" i="1"/>
  <c r="H3" i="1"/>
  <c r="C3" i="1"/>
  <c r="C3" i="7"/>
  <c r="A3" i="7"/>
  <c r="C3" i="10"/>
  <c r="A3" i="10"/>
  <c r="A3" i="19"/>
  <c r="C3" i="20"/>
  <c r="A3" i="20"/>
  <c r="L36" i="20"/>
  <c r="D36" i="20"/>
  <c r="A36" i="20"/>
  <c r="G14" i="20"/>
  <c r="A14" i="20"/>
  <c r="T36" i="20" l="1"/>
  <c r="T37" i="20" s="1"/>
  <c r="S36" i="20"/>
  <c r="S37" i="20" s="1"/>
  <c r="R36" i="20"/>
  <c r="R37" i="20" s="1"/>
  <c r="Q36" i="20"/>
  <c r="Q37" i="20" s="1"/>
  <c r="P36" i="20"/>
  <c r="P37" i="20" s="1"/>
  <c r="O36" i="20"/>
  <c r="O37" i="20" s="1"/>
  <c r="N36" i="20"/>
  <c r="N37" i="20" s="1"/>
  <c r="M36" i="20"/>
  <c r="M37" i="20" s="1"/>
  <c r="L37" i="20"/>
  <c r="K36" i="20"/>
  <c r="K37" i="20" s="1"/>
  <c r="J36" i="20"/>
  <c r="J37" i="20" s="1"/>
  <c r="I36" i="20"/>
  <c r="I37" i="20" s="1"/>
  <c r="H36" i="20"/>
  <c r="H37" i="20" s="1"/>
  <c r="G36" i="20"/>
  <c r="G37" i="20" s="1"/>
  <c r="F36" i="20"/>
  <c r="F37" i="20" s="1"/>
  <c r="E36" i="20"/>
  <c r="E37" i="20" s="1"/>
  <c r="D37" i="20"/>
  <c r="C36" i="20"/>
  <c r="C37" i="20" s="1"/>
  <c r="B36" i="20"/>
  <c r="B37" i="20" s="1"/>
  <c r="A37" i="20"/>
  <c r="T30" i="20"/>
  <c r="T31" i="20" s="1"/>
  <c r="S30" i="20"/>
  <c r="S31" i="20" s="1"/>
  <c r="R30" i="20"/>
  <c r="R31" i="20" s="1"/>
  <c r="Q30" i="20"/>
  <c r="Q31" i="20" s="1"/>
  <c r="P30" i="20"/>
  <c r="P31" i="20" s="1"/>
  <c r="O30" i="20"/>
  <c r="O31" i="20" s="1"/>
  <c r="N30" i="20"/>
  <c r="N31" i="20" s="1"/>
  <c r="M30" i="20"/>
  <c r="M31" i="20" s="1"/>
  <c r="L30" i="20"/>
  <c r="L31" i="20" s="1"/>
  <c r="K30" i="20"/>
  <c r="K31" i="20" s="1"/>
  <c r="J30" i="20"/>
  <c r="J31" i="20" s="1"/>
  <c r="I30" i="20"/>
  <c r="I31" i="20" s="1"/>
  <c r="H30" i="20"/>
  <c r="H31" i="20" s="1"/>
  <c r="G30" i="20"/>
  <c r="G31" i="20" s="1"/>
  <c r="F30" i="20"/>
  <c r="F31" i="20" s="1"/>
  <c r="E30" i="20"/>
  <c r="E31" i="20" s="1"/>
  <c r="D30" i="20"/>
  <c r="D31" i="20" s="1"/>
  <c r="C30" i="20"/>
  <c r="C31" i="20" s="1"/>
  <c r="B30" i="20"/>
  <c r="B31" i="20" s="1"/>
  <c r="A30" i="20"/>
  <c r="A31" i="20" s="1"/>
  <c r="T14" i="20"/>
  <c r="T15" i="20" s="1"/>
  <c r="S14" i="20"/>
  <c r="S15" i="20" s="1"/>
  <c r="R14" i="20"/>
  <c r="R15" i="20" s="1"/>
  <c r="Q14" i="20"/>
  <c r="Q15" i="20" s="1"/>
  <c r="P14" i="20"/>
  <c r="P15" i="20" s="1"/>
  <c r="O14" i="20"/>
  <c r="O15" i="20" s="1"/>
  <c r="N14" i="20"/>
  <c r="N15" i="20" s="1"/>
  <c r="M14" i="20"/>
  <c r="M15" i="20" s="1"/>
  <c r="L14" i="20"/>
  <c r="L15" i="20" s="1"/>
  <c r="K14" i="20"/>
  <c r="K15" i="20" s="1"/>
  <c r="J14" i="20"/>
  <c r="J15" i="20" s="1"/>
  <c r="I14" i="20"/>
  <c r="I15" i="20" s="1"/>
  <c r="H14" i="20"/>
  <c r="H15" i="20" s="1"/>
  <c r="G15" i="20"/>
  <c r="F14" i="20"/>
  <c r="F15" i="20" s="1"/>
  <c r="E14" i="20"/>
  <c r="E15" i="20" s="1"/>
  <c r="D14" i="20"/>
  <c r="D15" i="20" s="1"/>
  <c r="C14" i="20"/>
  <c r="C15" i="20" s="1"/>
  <c r="B14" i="20"/>
  <c r="B15" i="20" s="1"/>
  <c r="A15" i="20"/>
  <c r="T8" i="20"/>
  <c r="T9" i="20" s="1"/>
  <c r="S8" i="20"/>
  <c r="S9" i="20" s="1"/>
  <c r="R8" i="20"/>
  <c r="R9" i="20" s="1"/>
  <c r="Q8" i="20"/>
  <c r="Q9" i="20" s="1"/>
  <c r="P8" i="20"/>
  <c r="P9" i="20" s="1"/>
  <c r="O8" i="20"/>
  <c r="O9" i="20" s="1"/>
  <c r="N8" i="20"/>
  <c r="N9" i="20" s="1"/>
  <c r="M8" i="20"/>
  <c r="M9" i="20" s="1"/>
  <c r="L8" i="20"/>
  <c r="L9" i="20" s="1"/>
  <c r="K8" i="20"/>
  <c r="K9" i="20" s="1"/>
  <c r="J8" i="20"/>
  <c r="J9" i="20" s="1"/>
  <c r="I8" i="20"/>
  <c r="I9" i="20" s="1"/>
  <c r="H8" i="20"/>
  <c r="H9" i="20" s="1"/>
  <c r="G8" i="20"/>
  <c r="G9" i="20" s="1"/>
  <c r="F8" i="20"/>
  <c r="F9" i="20" s="1"/>
  <c r="E8" i="20"/>
  <c r="E9" i="20" s="1"/>
  <c r="D8" i="20"/>
  <c r="D9" i="20" s="1"/>
  <c r="C8" i="20"/>
  <c r="C9" i="20" s="1"/>
  <c r="B8" i="20"/>
  <c r="B9" i="20" s="1"/>
  <c r="A8" i="20"/>
  <c r="A9" i="20" s="1"/>
  <c r="T36" i="19"/>
  <c r="T37" i="19" s="1"/>
  <c r="S36" i="19"/>
  <c r="S37" i="19" s="1"/>
  <c r="R36" i="19"/>
  <c r="R37" i="19" s="1"/>
  <c r="Q36" i="19"/>
  <c r="Q37" i="19" s="1"/>
  <c r="P36" i="19"/>
  <c r="P37" i="19" s="1"/>
  <c r="O36" i="19"/>
  <c r="O37" i="19" s="1"/>
  <c r="N36" i="19"/>
  <c r="N37" i="19" s="1"/>
  <c r="M36" i="19"/>
  <c r="M37" i="19" s="1"/>
  <c r="L36" i="19"/>
  <c r="L37" i="19" s="1"/>
  <c r="K36" i="19"/>
  <c r="K37" i="19" s="1"/>
  <c r="J36" i="19"/>
  <c r="J37" i="19" s="1"/>
  <c r="I36" i="19"/>
  <c r="I37" i="19" s="1"/>
  <c r="H36" i="19"/>
  <c r="H37" i="19" s="1"/>
  <c r="G36" i="19"/>
  <c r="G37" i="19" s="1"/>
  <c r="F36" i="19"/>
  <c r="F37" i="19" s="1"/>
  <c r="E36" i="19"/>
  <c r="E37" i="19" s="1"/>
  <c r="D36" i="19"/>
  <c r="D37" i="19" s="1"/>
  <c r="C36" i="19"/>
  <c r="C37" i="19" s="1"/>
  <c r="B36" i="19"/>
  <c r="B37" i="19" s="1"/>
  <c r="A36" i="19"/>
  <c r="A37" i="19" s="1"/>
  <c r="T30" i="19"/>
  <c r="T31" i="19" s="1"/>
  <c r="S30" i="19"/>
  <c r="S31" i="19" s="1"/>
  <c r="R30" i="19"/>
  <c r="R31" i="19" s="1"/>
  <c r="Q30" i="19"/>
  <c r="Q31" i="19" s="1"/>
  <c r="P30" i="19"/>
  <c r="P31" i="19" s="1"/>
  <c r="O30" i="19"/>
  <c r="O31" i="19" s="1"/>
  <c r="N30" i="19"/>
  <c r="N31" i="19" s="1"/>
  <c r="M30" i="19"/>
  <c r="M31" i="19" s="1"/>
  <c r="L30" i="19"/>
  <c r="L31" i="19" s="1"/>
  <c r="K30" i="19"/>
  <c r="K31" i="19" s="1"/>
  <c r="J30" i="19"/>
  <c r="J31" i="19" s="1"/>
  <c r="I30" i="19"/>
  <c r="I31" i="19" s="1"/>
  <c r="H30" i="19"/>
  <c r="H31" i="19" s="1"/>
  <c r="G30" i="19"/>
  <c r="G31" i="19" s="1"/>
  <c r="F30" i="19"/>
  <c r="F31" i="19" s="1"/>
  <c r="E30" i="19"/>
  <c r="E31" i="19" s="1"/>
  <c r="D30" i="19"/>
  <c r="D31" i="19" s="1"/>
  <c r="C30" i="19"/>
  <c r="C31" i="19" s="1"/>
  <c r="B30" i="19"/>
  <c r="B31" i="19" s="1"/>
  <c r="A30" i="19"/>
  <c r="A31" i="19" s="1"/>
  <c r="T14" i="19"/>
  <c r="T15" i="19" s="1"/>
  <c r="S14" i="19"/>
  <c r="S15" i="19" s="1"/>
  <c r="R14" i="19"/>
  <c r="R15" i="19" s="1"/>
  <c r="Q14" i="19"/>
  <c r="Q15" i="19" s="1"/>
  <c r="P14" i="19"/>
  <c r="P15" i="19" s="1"/>
  <c r="O14" i="19"/>
  <c r="O15" i="19" s="1"/>
  <c r="N14" i="19"/>
  <c r="N15" i="19" s="1"/>
  <c r="M14" i="19"/>
  <c r="M15" i="19" s="1"/>
  <c r="L14" i="19"/>
  <c r="L15" i="19" s="1"/>
  <c r="K14" i="19"/>
  <c r="K15" i="19" s="1"/>
  <c r="J14" i="19"/>
  <c r="J15" i="19" s="1"/>
  <c r="I14" i="19"/>
  <c r="I15" i="19" s="1"/>
  <c r="H14" i="19"/>
  <c r="H15" i="19" s="1"/>
  <c r="G14" i="19"/>
  <c r="G15" i="19" s="1"/>
  <c r="F14" i="19"/>
  <c r="F15" i="19" s="1"/>
  <c r="E14" i="19"/>
  <c r="E15" i="19" s="1"/>
  <c r="D14" i="19"/>
  <c r="D15" i="19" s="1"/>
  <c r="C14" i="19"/>
  <c r="C15" i="19" s="1"/>
  <c r="B14" i="19"/>
  <c r="B15" i="19" s="1"/>
  <c r="A14" i="19"/>
  <c r="A15" i="19" s="1"/>
  <c r="T8" i="19"/>
  <c r="T9" i="19" s="1"/>
  <c r="S8" i="19"/>
  <c r="S9" i="19" s="1"/>
  <c r="R8" i="19"/>
  <c r="R9" i="19" s="1"/>
  <c r="Q8" i="19"/>
  <c r="Q9" i="19" s="1"/>
  <c r="P8" i="19"/>
  <c r="P9" i="19" s="1"/>
  <c r="O8" i="19"/>
  <c r="O9" i="19" s="1"/>
  <c r="N8" i="19"/>
  <c r="N9" i="19" s="1"/>
  <c r="M8" i="19"/>
  <c r="M9" i="19" s="1"/>
  <c r="L8" i="19"/>
  <c r="L9" i="19" s="1"/>
  <c r="K8" i="19"/>
  <c r="K9" i="19" s="1"/>
  <c r="J8" i="19"/>
  <c r="J9" i="19" s="1"/>
  <c r="I8" i="19"/>
  <c r="I9" i="19" s="1"/>
  <c r="H8" i="19"/>
  <c r="H9" i="19" s="1"/>
  <c r="G8" i="19"/>
  <c r="G9" i="19" s="1"/>
  <c r="F8" i="19"/>
  <c r="F9" i="19" s="1"/>
  <c r="E8" i="19"/>
  <c r="E9" i="19" s="1"/>
  <c r="D8" i="19"/>
  <c r="D9" i="19" s="1"/>
  <c r="C8" i="19"/>
  <c r="C9" i="19" s="1"/>
  <c r="B8" i="19"/>
  <c r="B9" i="19" s="1"/>
  <c r="A8" i="19"/>
  <c r="A9" i="19" s="1"/>
  <c r="T37" i="13"/>
  <c r="T38" i="13" s="1"/>
  <c r="S37" i="13"/>
  <c r="S38" i="13" s="1"/>
  <c r="R37" i="13"/>
  <c r="R38" i="13" s="1"/>
  <c r="Q37" i="13"/>
  <c r="Q38" i="13" s="1"/>
  <c r="P37" i="13"/>
  <c r="P38" i="13" s="1"/>
  <c r="O37" i="13"/>
  <c r="O38" i="13" s="1"/>
  <c r="N37" i="13"/>
  <c r="N38" i="13" s="1"/>
  <c r="M37" i="13"/>
  <c r="M38" i="13" s="1"/>
  <c r="L37" i="13"/>
  <c r="L38" i="13" s="1"/>
  <c r="K37" i="13"/>
  <c r="K38" i="13" s="1"/>
  <c r="J37" i="13"/>
  <c r="J38" i="13" s="1"/>
  <c r="I37" i="13"/>
  <c r="I38" i="13" s="1"/>
  <c r="H37" i="13"/>
  <c r="H38" i="13" s="1"/>
  <c r="G37" i="13"/>
  <c r="G38" i="13" s="1"/>
  <c r="F37" i="13"/>
  <c r="F38" i="13" s="1"/>
  <c r="E37" i="13"/>
  <c r="E38" i="13" s="1"/>
  <c r="D37" i="13"/>
  <c r="D38" i="13" s="1"/>
  <c r="C37" i="13"/>
  <c r="C38" i="13" s="1"/>
  <c r="B37" i="13"/>
  <c r="B38" i="13" s="1"/>
  <c r="A37" i="13"/>
  <c r="A38" i="13" s="1"/>
  <c r="T31" i="13"/>
  <c r="T32" i="13" s="1"/>
  <c r="S31" i="13"/>
  <c r="S32" i="13" s="1"/>
  <c r="R31" i="13"/>
  <c r="R32" i="13" s="1"/>
  <c r="Q31" i="13"/>
  <c r="Q32" i="13" s="1"/>
  <c r="P31" i="13"/>
  <c r="P32" i="13" s="1"/>
  <c r="O31" i="13"/>
  <c r="O32" i="13" s="1"/>
  <c r="N31" i="13"/>
  <c r="N32" i="13" s="1"/>
  <c r="M31" i="13"/>
  <c r="M32" i="13" s="1"/>
  <c r="L31" i="13"/>
  <c r="L32" i="13" s="1"/>
  <c r="K31" i="13"/>
  <c r="K32" i="13" s="1"/>
  <c r="J31" i="13"/>
  <c r="J32" i="13" s="1"/>
  <c r="I31" i="13"/>
  <c r="I32" i="13" s="1"/>
  <c r="H31" i="13"/>
  <c r="H32" i="13" s="1"/>
  <c r="G31" i="13"/>
  <c r="G32" i="13" s="1"/>
  <c r="F31" i="13"/>
  <c r="F32" i="13" s="1"/>
  <c r="E31" i="13"/>
  <c r="E32" i="13" s="1"/>
  <c r="D31" i="13"/>
  <c r="D32" i="13" s="1"/>
  <c r="C31" i="13"/>
  <c r="C32" i="13" s="1"/>
  <c r="B31" i="13"/>
  <c r="B32" i="13" s="1"/>
  <c r="A31" i="13"/>
  <c r="A32" i="13" s="1"/>
  <c r="T14" i="13"/>
  <c r="T15" i="13" s="1"/>
  <c r="S14" i="13"/>
  <c r="S15" i="13" s="1"/>
  <c r="R14" i="13"/>
  <c r="R15" i="13" s="1"/>
  <c r="Q14" i="13"/>
  <c r="Q15" i="13" s="1"/>
  <c r="P14" i="13"/>
  <c r="P15" i="13" s="1"/>
  <c r="O14" i="13"/>
  <c r="O15" i="13" s="1"/>
  <c r="N14" i="13"/>
  <c r="N15" i="13" s="1"/>
  <c r="M14" i="13"/>
  <c r="M15" i="13" s="1"/>
  <c r="L14" i="13"/>
  <c r="L15" i="13" s="1"/>
  <c r="K14" i="13"/>
  <c r="K15" i="13" s="1"/>
  <c r="J14" i="13"/>
  <c r="J15" i="13" s="1"/>
  <c r="I14" i="13"/>
  <c r="I15" i="13" s="1"/>
  <c r="H14" i="13"/>
  <c r="H15" i="13" s="1"/>
  <c r="G14" i="13"/>
  <c r="G15" i="13" s="1"/>
  <c r="F14" i="13"/>
  <c r="F15" i="13" s="1"/>
  <c r="E14" i="13"/>
  <c r="E15" i="13" s="1"/>
  <c r="D14" i="13"/>
  <c r="D15" i="13" s="1"/>
  <c r="C14" i="13"/>
  <c r="C15" i="13" s="1"/>
  <c r="B14" i="13"/>
  <c r="B15" i="13" s="1"/>
  <c r="A14" i="13"/>
  <c r="A15" i="13" s="1"/>
  <c r="T8" i="13"/>
  <c r="T9" i="13" s="1"/>
  <c r="S8" i="13"/>
  <c r="S9" i="13" s="1"/>
  <c r="R8" i="13"/>
  <c r="R9" i="13" s="1"/>
  <c r="Q8" i="13"/>
  <c r="Q9" i="13" s="1"/>
  <c r="P8" i="13"/>
  <c r="P9" i="13" s="1"/>
  <c r="O8" i="13"/>
  <c r="O9" i="13" s="1"/>
  <c r="N8" i="13"/>
  <c r="N9" i="13" s="1"/>
  <c r="M8" i="13"/>
  <c r="M9" i="13" s="1"/>
  <c r="L8" i="13"/>
  <c r="L9" i="13" s="1"/>
  <c r="K8" i="13"/>
  <c r="K9" i="13" s="1"/>
  <c r="J8" i="13"/>
  <c r="J9" i="13" s="1"/>
  <c r="I8" i="13"/>
  <c r="I9" i="13" s="1"/>
  <c r="H8" i="13"/>
  <c r="H9" i="13" s="1"/>
  <c r="G8" i="13"/>
  <c r="G9" i="13" s="1"/>
  <c r="F8" i="13"/>
  <c r="F9" i="13" s="1"/>
  <c r="E8" i="13"/>
  <c r="E9" i="13" s="1"/>
  <c r="D8" i="13"/>
  <c r="D9" i="13" s="1"/>
  <c r="C8" i="13"/>
  <c r="C9" i="13" s="1"/>
  <c r="B8" i="13"/>
  <c r="B9" i="13" s="1"/>
  <c r="A8" i="13"/>
  <c r="A9" i="13" s="1"/>
  <c r="T36" i="10"/>
  <c r="T37" i="10" s="1"/>
  <c r="S36" i="10"/>
  <c r="S37" i="10" s="1"/>
  <c r="R36" i="10"/>
  <c r="R37" i="10" s="1"/>
  <c r="Q36" i="10"/>
  <c r="Q37" i="10" s="1"/>
  <c r="P36" i="10"/>
  <c r="P37" i="10" s="1"/>
  <c r="O36" i="10"/>
  <c r="O37" i="10" s="1"/>
  <c r="N36" i="10"/>
  <c r="N37" i="10" s="1"/>
  <c r="M36" i="10"/>
  <c r="M37" i="10" s="1"/>
  <c r="L36" i="10"/>
  <c r="L37" i="10" s="1"/>
  <c r="K36" i="10"/>
  <c r="K37" i="10" s="1"/>
  <c r="J36" i="10"/>
  <c r="J37" i="10" s="1"/>
  <c r="I36" i="10"/>
  <c r="I37" i="10" s="1"/>
  <c r="H36" i="10"/>
  <c r="H37" i="10" s="1"/>
  <c r="G36" i="10"/>
  <c r="G37" i="10" s="1"/>
  <c r="F36" i="10"/>
  <c r="F37" i="10" s="1"/>
  <c r="E36" i="10"/>
  <c r="E37" i="10" s="1"/>
  <c r="D36" i="10"/>
  <c r="D37" i="10" s="1"/>
  <c r="C36" i="10"/>
  <c r="C37" i="10" s="1"/>
  <c r="B36" i="10"/>
  <c r="B37" i="10" s="1"/>
  <c r="A36" i="10"/>
  <c r="A37" i="10" s="1"/>
  <c r="T30" i="10"/>
  <c r="T31" i="10" s="1"/>
  <c r="S30" i="10"/>
  <c r="S31" i="10" s="1"/>
  <c r="R30" i="10"/>
  <c r="R31" i="10" s="1"/>
  <c r="Q30" i="10"/>
  <c r="Q31" i="10" s="1"/>
  <c r="P30" i="10"/>
  <c r="P31" i="10" s="1"/>
  <c r="O30" i="10"/>
  <c r="O31" i="10" s="1"/>
  <c r="N30" i="10"/>
  <c r="N31" i="10" s="1"/>
  <c r="M30" i="10"/>
  <c r="M31" i="10" s="1"/>
  <c r="L30" i="10"/>
  <c r="L31" i="10" s="1"/>
  <c r="K30" i="10"/>
  <c r="K31" i="10" s="1"/>
  <c r="J30" i="10"/>
  <c r="J31" i="10" s="1"/>
  <c r="I30" i="10"/>
  <c r="I31" i="10" s="1"/>
  <c r="H30" i="10"/>
  <c r="H31" i="10" s="1"/>
  <c r="G30" i="10"/>
  <c r="G31" i="10" s="1"/>
  <c r="F30" i="10"/>
  <c r="F31" i="10" s="1"/>
  <c r="E30" i="10"/>
  <c r="E31" i="10" s="1"/>
  <c r="D30" i="10"/>
  <c r="D31" i="10" s="1"/>
  <c r="C30" i="10"/>
  <c r="C31" i="10" s="1"/>
  <c r="B30" i="10"/>
  <c r="B31" i="10" s="1"/>
  <c r="A30" i="10"/>
  <c r="A31" i="10" s="1"/>
  <c r="T14" i="10"/>
  <c r="T15" i="10" s="1"/>
  <c r="S14" i="10"/>
  <c r="S15" i="10" s="1"/>
  <c r="R14" i="10"/>
  <c r="R15" i="10" s="1"/>
  <c r="Q14" i="10"/>
  <c r="Q15" i="10" s="1"/>
  <c r="P14" i="10"/>
  <c r="P15" i="10" s="1"/>
  <c r="O14" i="10"/>
  <c r="O15" i="10" s="1"/>
  <c r="N14" i="10"/>
  <c r="N15" i="10" s="1"/>
  <c r="M14" i="10"/>
  <c r="M15" i="10" s="1"/>
  <c r="L14" i="10"/>
  <c r="L15" i="10" s="1"/>
  <c r="K14" i="10"/>
  <c r="K15" i="10" s="1"/>
  <c r="J14" i="10"/>
  <c r="J15" i="10" s="1"/>
  <c r="I14" i="10"/>
  <c r="I15" i="10" s="1"/>
  <c r="H14" i="10"/>
  <c r="H15" i="10" s="1"/>
  <c r="G14" i="10"/>
  <c r="G15" i="10" s="1"/>
  <c r="F14" i="10"/>
  <c r="F15" i="10" s="1"/>
  <c r="E14" i="10"/>
  <c r="E15" i="10" s="1"/>
  <c r="D14" i="10"/>
  <c r="D15" i="10" s="1"/>
  <c r="C14" i="10"/>
  <c r="C15" i="10" s="1"/>
  <c r="B14" i="10"/>
  <c r="B15" i="10" s="1"/>
  <c r="A14" i="10"/>
  <c r="A15" i="10" s="1"/>
  <c r="T8" i="10"/>
  <c r="T9" i="10" s="1"/>
  <c r="S8" i="10"/>
  <c r="S9" i="10" s="1"/>
  <c r="R8" i="10"/>
  <c r="R9" i="10" s="1"/>
  <c r="Q8" i="10"/>
  <c r="Q9" i="10" s="1"/>
  <c r="P8" i="10"/>
  <c r="P9" i="10" s="1"/>
  <c r="O8" i="10"/>
  <c r="O9" i="10" s="1"/>
  <c r="N8" i="10"/>
  <c r="N9" i="10" s="1"/>
  <c r="M8" i="10"/>
  <c r="M9" i="10" s="1"/>
  <c r="L8" i="10"/>
  <c r="L9" i="10" s="1"/>
  <c r="K8" i="10"/>
  <c r="K9" i="10" s="1"/>
  <c r="J8" i="10"/>
  <c r="J9" i="10" s="1"/>
  <c r="I8" i="10"/>
  <c r="I9" i="10" s="1"/>
  <c r="H8" i="10"/>
  <c r="H9" i="10" s="1"/>
  <c r="G8" i="10"/>
  <c r="G9" i="10" s="1"/>
  <c r="F8" i="10"/>
  <c r="F9" i="10" s="1"/>
  <c r="E8" i="10"/>
  <c r="E9" i="10" s="1"/>
  <c r="D8" i="10"/>
  <c r="D9" i="10" s="1"/>
  <c r="C8" i="10"/>
  <c r="C9" i="10" s="1"/>
  <c r="B8" i="10"/>
  <c r="B9" i="10" s="1"/>
  <c r="A8" i="10"/>
  <c r="A9" i="10" s="1"/>
  <c r="J36" i="7"/>
  <c r="F14" i="7" l="1"/>
  <c r="F15" i="7" s="1"/>
  <c r="C14" i="7"/>
  <c r="C15" i="7" s="1"/>
  <c r="T36" i="7"/>
  <c r="T37" i="7" s="1"/>
  <c r="S36" i="7"/>
  <c r="S37" i="7" s="1"/>
  <c r="R36" i="7"/>
  <c r="R37" i="7" s="1"/>
  <c r="Q36" i="7"/>
  <c r="Q37" i="7" s="1"/>
  <c r="P36" i="7"/>
  <c r="P37" i="7" s="1"/>
  <c r="O36" i="7"/>
  <c r="O37" i="7" s="1"/>
  <c r="N36" i="7"/>
  <c r="N37" i="7" s="1"/>
  <c r="M36" i="7"/>
  <c r="M37" i="7" s="1"/>
  <c r="L36" i="7"/>
  <c r="L37" i="7" s="1"/>
  <c r="K36" i="7"/>
  <c r="K37" i="7" s="1"/>
  <c r="J37" i="7"/>
  <c r="I36" i="7"/>
  <c r="I37" i="7" s="1"/>
  <c r="H36" i="7"/>
  <c r="H37" i="7" s="1"/>
  <c r="G36" i="7"/>
  <c r="G37" i="7" s="1"/>
  <c r="F36" i="7"/>
  <c r="F37" i="7" s="1"/>
  <c r="E36" i="7"/>
  <c r="E37" i="7" s="1"/>
  <c r="D36" i="7"/>
  <c r="D37" i="7" s="1"/>
  <c r="C36" i="7"/>
  <c r="C37" i="7" s="1"/>
  <c r="B36" i="7"/>
  <c r="B37" i="7" s="1"/>
  <c r="A36" i="7"/>
  <c r="A37" i="7" s="1"/>
  <c r="T14" i="7"/>
  <c r="T15" i="7" s="1"/>
  <c r="S14" i="7"/>
  <c r="S15" i="7" s="1"/>
  <c r="R14" i="7"/>
  <c r="R15" i="7" s="1"/>
  <c r="Q14" i="7"/>
  <c r="Q15" i="7" s="1"/>
  <c r="P14" i="7"/>
  <c r="P15" i="7" s="1"/>
  <c r="O14" i="7"/>
  <c r="O15" i="7" s="1"/>
  <c r="N14" i="7"/>
  <c r="N15" i="7" s="1"/>
  <c r="M14" i="7"/>
  <c r="M15" i="7" s="1"/>
  <c r="L14" i="7"/>
  <c r="L15" i="7" s="1"/>
  <c r="K14" i="7"/>
  <c r="K15" i="7" s="1"/>
  <c r="J14" i="7"/>
  <c r="J15" i="7" s="1"/>
  <c r="I14" i="7"/>
  <c r="I15" i="7" s="1"/>
  <c r="H14" i="7"/>
  <c r="H15" i="7" s="1"/>
  <c r="G14" i="7"/>
  <c r="G15" i="7" s="1"/>
  <c r="E14" i="7"/>
  <c r="E15" i="7" s="1"/>
  <c r="D14" i="7"/>
  <c r="D15" i="7" s="1"/>
  <c r="B14" i="7"/>
  <c r="B15" i="7" s="1"/>
  <c r="A14" i="7"/>
  <c r="A15" i="7" s="1"/>
  <c r="T30" i="7"/>
  <c r="T31" i="7" s="1"/>
  <c r="S30" i="7"/>
  <c r="S31" i="7" s="1"/>
  <c r="R30" i="7"/>
  <c r="R31" i="7" s="1"/>
  <c r="Q30" i="7"/>
  <c r="Q31" i="7" s="1"/>
  <c r="P30" i="7"/>
  <c r="P31" i="7" s="1"/>
  <c r="O30" i="7"/>
  <c r="O31" i="7" s="1"/>
  <c r="N30" i="7"/>
  <c r="N31" i="7" s="1"/>
  <c r="M30" i="7"/>
  <c r="M31" i="7" s="1"/>
  <c r="L30" i="7"/>
  <c r="L31" i="7" s="1"/>
  <c r="K30" i="7"/>
  <c r="K31" i="7" s="1"/>
  <c r="S8" i="7"/>
  <c r="S9" i="7" s="1"/>
  <c r="T8" i="7"/>
  <c r="T9" i="7" s="1"/>
  <c r="R8" i="7"/>
  <c r="R9" i="7" s="1"/>
  <c r="Q8" i="7"/>
  <c r="Q9" i="7" s="1"/>
  <c r="P8" i="7"/>
  <c r="P9" i="7" s="1"/>
  <c r="O8" i="7"/>
  <c r="O9" i="7" s="1"/>
  <c r="N8" i="7"/>
  <c r="N9" i="7" s="1"/>
  <c r="M8" i="7"/>
  <c r="M9" i="7" s="1"/>
  <c r="L8" i="7"/>
  <c r="L9" i="7" s="1"/>
  <c r="K8" i="7"/>
  <c r="K9" i="7" s="1"/>
  <c r="J30" i="7"/>
  <c r="J31" i="7" s="1"/>
  <c r="I30" i="7"/>
  <c r="I31" i="7" s="1"/>
  <c r="H30" i="7"/>
  <c r="H31" i="7" s="1"/>
  <c r="G30" i="7"/>
  <c r="G31" i="7" s="1"/>
  <c r="F30" i="7"/>
  <c r="F31" i="7" s="1"/>
  <c r="E30" i="7"/>
  <c r="E31" i="7" s="1"/>
  <c r="D30" i="7"/>
  <c r="D31" i="7" s="1"/>
  <c r="C30" i="7"/>
  <c r="C31" i="7" s="1"/>
  <c r="B30" i="7"/>
  <c r="B31" i="7" s="1"/>
  <c r="A30" i="7"/>
  <c r="A31" i="7" s="1"/>
  <c r="J8" i="7"/>
  <c r="J9" i="7" s="1"/>
  <c r="I8" i="7"/>
  <c r="I9" i="7" s="1"/>
  <c r="H8" i="7"/>
  <c r="H9" i="7" s="1"/>
  <c r="G8" i="7"/>
  <c r="G9" i="7" s="1"/>
  <c r="F8" i="7"/>
  <c r="F9" i="7" s="1"/>
  <c r="E8" i="7"/>
  <c r="E9" i="7" s="1"/>
  <c r="D8" i="7"/>
  <c r="D9" i="7" s="1"/>
  <c r="C8" i="7"/>
  <c r="C9" i="7" s="1"/>
  <c r="B8" i="7"/>
  <c r="B9" i="7" s="1"/>
  <c r="A8" i="7"/>
  <c r="A9" i="7" s="1"/>
  <c r="W102" i="1"/>
  <c r="R102" i="1"/>
  <c r="P102" i="1"/>
  <c r="H102" i="1"/>
  <c r="C102" i="1"/>
  <c r="W101" i="1"/>
  <c r="R101" i="1"/>
  <c r="P101" i="1"/>
  <c r="H101" i="1"/>
  <c r="C101" i="1"/>
  <c r="W100" i="1"/>
  <c r="R100" i="1"/>
  <c r="P100" i="1"/>
  <c r="H100" i="1"/>
  <c r="C100" i="1"/>
  <c r="W99" i="1"/>
  <c r="R99" i="1"/>
  <c r="P99" i="1"/>
  <c r="H99" i="1"/>
  <c r="C99" i="1"/>
  <c r="W98" i="1"/>
  <c r="R98" i="1"/>
  <c r="P98" i="1"/>
  <c r="H98" i="1"/>
  <c r="C98" i="1"/>
  <c r="W97" i="1"/>
  <c r="R97" i="1"/>
  <c r="P97" i="1"/>
  <c r="H97" i="1"/>
  <c r="C97" i="1"/>
  <c r="W96" i="1"/>
  <c r="R96" i="1"/>
  <c r="P96" i="1"/>
  <c r="H96" i="1"/>
  <c r="C96" i="1"/>
  <c r="W95" i="1"/>
  <c r="R95" i="1"/>
  <c r="P95" i="1"/>
  <c r="H95" i="1"/>
  <c r="C95" i="1"/>
  <c r="W94" i="1"/>
  <c r="R94" i="1"/>
  <c r="P94" i="1"/>
  <c r="H94" i="1"/>
  <c r="C94" i="1"/>
  <c r="W93" i="1"/>
  <c r="R93" i="1"/>
  <c r="P93" i="1"/>
  <c r="H93" i="1"/>
  <c r="C93" i="1"/>
  <c r="W92" i="1"/>
  <c r="R92" i="1"/>
  <c r="P92" i="1"/>
  <c r="H92" i="1"/>
  <c r="C92" i="1"/>
  <c r="W91" i="1"/>
  <c r="R91" i="1"/>
  <c r="P91" i="1"/>
  <c r="H91" i="1"/>
  <c r="C91" i="1"/>
  <c r="W90" i="1"/>
  <c r="R90" i="1"/>
  <c r="P90" i="1"/>
  <c r="H90" i="1"/>
  <c r="C90" i="1"/>
  <c r="W89" i="1"/>
  <c r="R89" i="1"/>
  <c r="P89" i="1"/>
  <c r="H89" i="1"/>
  <c r="C89" i="1"/>
  <c r="W88" i="1"/>
  <c r="R88" i="1"/>
  <c r="P88" i="1"/>
  <c r="H88" i="1"/>
  <c r="C88" i="1"/>
  <c r="W87" i="1"/>
  <c r="R87" i="1"/>
  <c r="P87" i="1"/>
  <c r="H87" i="1"/>
  <c r="C87" i="1"/>
  <c r="W86" i="1"/>
  <c r="R86" i="1"/>
  <c r="P86" i="1"/>
  <c r="H86" i="1"/>
  <c r="C86" i="1"/>
  <c r="W85" i="1"/>
  <c r="R85" i="1"/>
  <c r="P85" i="1"/>
  <c r="H85" i="1"/>
  <c r="C85" i="1"/>
  <c r="W84" i="1"/>
  <c r="R84" i="1"/>
  <c r="P84" i="1"/>
  <c r="H84" i="1"/>
  <c r="C84" i="1"/>
  <c r="W83" i="1"/>
  <c r="R83" i="1"/>
  <c r="P83" i="1"/>
  <c r="H83" i="1"/>
  <c r="C83" i="1"/>
  <c r="W82" i="1"/>
  <c r="R82" i="1"/>
  <c r="P82" i="1"/>
  <c r="H82" i="1"/>
  <c r="C82" i="1"/>
  <c r="W81" i="1"/>
  <c r="R81" i="1"/>
  <c r="P81" i="1"/>
  <c r="H81" i="1"/>
  <c r="C81" i="1"/>
  <c r="W80" i="1"/>
  <c r="R80" i="1"/>
  <c r="P80" i="1"/>
  <c r="H80" i="1"/>
  <c r="C80" i="1"/>
  <c r="W79" i="1"/>
  <c r="R79" i="1"/>
  <c r="P79" i="1"/>
  <c r="H79" i="1"/>
  <c r="C79" i="1"/>
  <c r="W78" i="1"/>
  <c r="R78" i="1"/>
  <c r="P78" i="1"/>
  <c r="H78" i="1"/>
  <c r="C78" i="1"/>
  <c r="W77" i="1"/>
  <c r="R77" i="1"/>
  <c r="P77" i="1"/>
  <c r="H77" i="1"/>
  <c r="C77" i="1"/>
  <c r="W76" i="1"/>
  <c r="R76" i="1"/>
  <c r="P76" i="1"/>
  <c r="H76" i="1"/>
  <c r="C76" i="1"/>
  <c r="W75" i="1"/>
  <c r="R75" i="1"/>
  <c r="P75" i="1"/>
  <c r="H75" i="1"/>
  <c r="C75" i="1"/>
  <c r="W74" i="1"/>
  <c r="R74" i="1"/>
  <c r="P74" i="1"/>
  <c r="H74" i="1"/>
  <c r="C74" i="1"/>
  <c r="W73" i="1"/>
  <c r="R73" i="1"/>
  <c r="P73" i="1"/>
  <c r="H73" i="1"/>
  <c r="C73" i="1"/>
  <c r="W72" i="1"/>
  <c r="R72" i="1"/>
  <c r="P72" i="1"/>
  <c r="H72" i="1"/>
  <c r="C72" i="1"/>
  <c r="W71" i="1"/>
  <c r="R71" i="1"/>
  <c r="P71" i="1"/>
  <c r="H71" i="1"/>
  <c r="C71" i="1"/>
  <c r="W70" i="1"/>
  <c r="R70" i="1"/>
  <c r="P70" i="1"/>
  <c r="H70" i="1"/>
  <c r="C70" i="1"/>
  <c r="W69" i="1"/>
  <c r="R69" i="1"/>
  <c r="P69" i="1"/>
  <c r="H69" i="1"/>
  <c r="C69" i="1"/>
  <c r="W68" i="1"/>
  <c r="R68" i="1"/>
  <c r="P68" i="1"/>
  <c r="H68" i="1"/>
  <c r="C68" i="1"/>
  <c r="W67" i="1"/>
  <c r="R67" i="1"/>
  <c r="P67" i="1"/>
  <c r="H67" i="1"/>
  <c r="C67" i="1"/>
  <c r="W66" i="1"/>
  <c r="R66" i="1"/>
  <c r="P66" i="1"/>
  <c r="H66" i="1"/>
  <c r="C66" i="1"/>
  <c r="W65" i="1"/>
  <c r="R65" i="1"/>
  <c r="P65" i="1"/>
  <c r="H65" i="1"/>
  <c r="C65" i="1"/>
  <c r="W64" i="1"/>
  <c r="R64" i="1"/>
  <c r="P64" i="1"/>
  <c r="H64" i="1"/>
  <c r="C64" i="1"/>
  <c r="W63" i="1"/>
  <c r="R63" i="1"/>
  <c r="P63" i="1"/>
  <c r="H63" i="1"/>
  <c r="C63" i="1"/>
  <c r="W62" i="1"/>
  <c r="R62" i="1"/>
  <c r="P62" i="1"/>
  <c r="H62" i="1"/>
  <c r="C62" i="1"/>
  <c r="W61" i="1"/>
  <c r="R61" i="1"/>
  <c r="P61" i="1"/>
  <c r="H61" i="1"/>
  <c r="C61" i="1"/>
  <c r="W60" i="1"/>
  <c r="R60" i="1"/>
  <c r="P60" i="1"/>
  <c r="H60" i="1"/>
  <c r="C60" i="1"/>
  <c r="W59" i="1"/>
  <c r="R59" i="1"/>
  <c r="P59" i="1"/>
  <c r="H59" i="1"/>
  <c r="C59" i="1"/>
  <c r="W58" i="1"/>
  <c r="R58" i="1"/>
  <c r="P58" i="1"/>
  <c r="H58" i="1"/>
  <c r="C58" i="1"/>
  <c r="W57" i="1"/>
  <c r="R57" i="1"/>
  <c r="P57" i="1"/>
  <c r="H57" i="1"/>
  <c r="C57" i="1"/>
  <c r="W56" i="1"/>
  <c r="R56" i="1"/>
  <c r="P56" i="1"/>
  <c r="H56" i="1"/>
  <c r="C56" i="1"/>
  <c r="W55" i="1"/>
  <c r="R55" i="1"/>
  <c r="P55" i="1"/>
  <c r="H55" i="1"/>
  <c r="C55" i="1"/>
  <c r="W54" i="1"/>
  <c r="R54" i="1"/>
  <c r="P54" i="1"/>
  <c r="H54" i="1"/>
  <c r="C54" i="1"/>
  <c r="W53" i="1"/>
  <c r="R53" i="1"/>
  <c r="P53" i="1"/>
  <c r="H53" i="1"/>
  <c r="C53" i="1"/>
  <c r="W52" i="1"/>
  <c r="R52" i="1"/>
  <c r="P52" i="1"/>
  <c r="H52" i="1"/>
  <c r="C52" i="1"/>
  <c r="W51" i="1"/>
  <c r="R51" i="1"/>
  <c r="P51" i="1"/>
  <c r="H51" i="1"/>
  <c r="C51" i="1"/>
  <c r="W50" i="1"/>
  <c r="R50" i="1"/>
  <c r="P50" i="1"/>
  <c r="H50" i="1"/>
  <c r="C50" i="1"/>
  <c r="W49" i="1"/>
  <c r="R49" i="1"/>
  <c r="P49" i="1"/>
  <c r="H49" i="1"/>
  <c r="C49" i="1"/>
  <c r="W48" i="1"/>
  <c r="R48" i="1"/>
  <c r="P48" i="1"/>
  <c r="H48" i="1"/>
  <c r="C48" i="1"/>
  <c r="W47" i="1"/>
  <c r="R47" i="1"/>
  <c r="P47" i="1"/>
  <c r="H47" i="1"/>
  <c r="C47" i="1"/>
  <c r="W46" i="1"/>
  <c r="R46" i="1"/>
  <c r="P46" i="1"/>
  <c r="H46" i="1"/>
  <c r="C46" i="1"/>
  <c r="W45" i="1"/>
  <c r="R45" i="1"/>
  <c r="P45" i="1"/>
  <c r="H45" i="1"/>
  <c r="C45" i="1"/>
  <c r="W44" i="1"/>
  <c r="R44" i="1"/>
  <c r="P44" i="1"/>
  <c r="H44" i="1"/>
  <c r="C44" i="1"/>
  <c r="W43" i="1"/>
  <c r="R43" i="1"/>
  <c r="P43" i="1"/>
  <c r="H43" i="1"/>
  <c r="C43" i="1"/>
  <c r="W42" i="1"/>
  <c r="R42" i="1"/>
  <c r="P42" i="1"/>
  <c r="H42" i="1"/>
  <c r="C42" i="1"/>
  <c r="W41" i="1"/>
  <c r="R41" i="1"/>
  <c r="P41" i="1"/>
  <c r="H41" i="1"/>
  <c r="C41" i="1"/>
  <c r="W40" i="1"/>
  <c r="R40" i="1"/>
  <c r="P40" i="1"/>
  <c r="H40" i="1"/>
  <c r="C40" i="1"/>
  <c r="W39" i="1"/>
  <c r="R39" i="1"/>
  <c r="P39" i="1"/>
  <c r="H39" i="1"/>
  <c r="C39" i="1"/>
  <c r="W38" i="1"/>
  <c r="R38" i="1"/>
  <c r="P38" i="1"/>
  <c r="H38" i="1"/>
  <c r="C38" i="1"/>
  <c r="W37" i="1"/>
  <c r="R37" i="1"/>
  <c r="P37" i="1"/>
  <c r="H37" i="1"/>
  <c r="C37" i="1"/>
  <c r="W36" i="1"/>
  <c r="R36" i="1"/>
  <c r="P36" i="1"/>
  <c r="H36" i="1"/>
  <c r="C36" i="1"/>
  <c r="W35" i="1"/>
  <c r="R35" i="1"/>
  <c r="P35" i="1"/>
  <c r="H35" i="1"/>
  <c r="C35" i="1"/>
  <c r="W34" i="1"/>
  <c r="R34" i="1"/>
  <c r="P34" i="1"/>
  <c r="H34" i="1"/>
  <c r="C34" i="1"/>
  <c r="W33" i="1"/>
  <c r="R33" i="1"/>
  <c r="P33" i="1"/>
  <c r="H33" i="1"/>
  <c r="C33" i="1"/>
  <c r="W32" i="1"/>
  <c r="R32" i="1"/>
  <c r="P32" i="1"/>
  <c r="H32" i="1"/>
  <c r="C32" i="1"/>
  <c r="W31" i="1"/>
  <c r="R31" i="1"/>
  <c r="P31" i="1"/>
  <c r="H31" i="1"/>
  <c r="C31" i="1"/>
  <c r="W30" i="1"/>
  <c r="R30" i="1"/>
  <c r="P30" i="1"/>
  <c r="H30" i="1"/>
  <c r="C30" i="1"/>
  <c r="W29" i="1"/>
  <c r="R29" i="1"/>
  <c r="P29" i="1"/>
  <c r="H29" i="1"/>
  <c r="C29" i="1"/>
  <c r="W28" i="1"/>
  <c r="R28" i="1"/>
  <c r="P28" i="1"/>
  <c r="H28" i="1"/>
  <c r="C28" i="1"/>
  <c r="W27" i="1"/>
  <c r="R27" i="1"/>
  <c r="P27" i="1"/>
  <c r="H27" i="1"/>
  <c r="C27" i="1"/>
  <c r="W26" i="1"/>
  <c r="R26" i="1"/>
  <c r="P26" i="1"/>
  <c r="H26" i="1"/>
  <c r="C26" i="1"/>
  <c r="W25" i="1"/>
  <c r="R25" i="1"/>
  <c r="P25" i="1"/>
  <c r="H25" i="1"/>
  <c r="C25" i="1"/>
  <c r="W24" i="1"/>
  <c r="R24" i="1"/>
  <c r="P24" i="1"/>
  <c r="H24" i="1"/>
  <c r="C24" i="1"/>
  <c r="W23" i="1"/>
  <c r="R23" i="1"/>
  <c r="P23" i="1"/>
  <c r="H23" i="1"/>
  <c r="C23" i="1"/>
  <c r="W22" i="1"/>
  <c r="R22" i="1"/>
  <c r="P22" i="1"/>
  <c r="H22" i="1"/>
  <c r="C22" i="1"/>
  <c r="W21" i="1"/>
  <c r="R21" i="1"/>
  <c r="P21" i="1"/>
  <c r="H21" i="1"/>
  <c r="C21" i="1"/>
  <c r="W20" i="1"/>
  <c r="R20" i="1"/>
  <c r="P20" i="1"/>
  <c r="H20" i="1"/>
  <c r="C20" i="1"/>
  <c r="W19" i="1"/>
  <c r="R19" i="1"/>
  <c r="P19" i="1"/>
  <c r="H19" i="1"/>
  <c r="C19" i="1"/>
  <c r="W18" i="1"/>
  <c r="R18" i="1"/>
  <c r="P18" i="1"/>
  <c r="H18" i="1"/>
  <c r="C18" i="1"/>
  <c r="W17" i="1"/>
  <c r="R17" i="1"/>
  <c r="P17" i="1"/>
  <c r="H17" i="1"/>
  <c r="C17" i="1"/>
  <c r="W16" i="1"/>
  <c r="R16" i="1"/>
  <c r="P16" i="1"/>
  <c r="H16" i="1"/>
  <c r="C16" i="1"/>
  <c r="W15" i="1"/>
  <c r="R15" i="1"/>
  <c r="P15" i="1"/>
  <c r="H15" i="1"/>
  <c r="C15" i="1"/>
  <c r="W14" i="1"/>
  <c r="R14" i="1"/>
  <c r="P14" i="1"/>
  <c r="H14" i="1"/>
  <c r="C14" i="1"/>
  <c r="W13" i="1"/>
  <c r="R13" i="1"/>
  <c r="P13" i="1"/>
  <c r="H13" i="1"/>
  <c r="C13" i="1"/>
  <c r="W12" i="1"/>
  <c r="R12" i="1"/>
  <c r="P12" i="1"/>
  <c r="H12" i="1"/>
  <c r="C12" i="1"/>
  <c r="W11" i="1"/>
  <c r="R11" i="1"/>
  <c r="P11" i="1"/>
  <c r="H11" i="1"/>
  <c r="C11" i="1"/>
  <c r="W10" i="1"/>
  <c r="R10" i="1"/>
  <c r="P10" i="1"/>
  <c r="H10" i="1"/>
  <c r="C10" i="1"/>
  <c r="W9" i="1"/>
  <c r="R9" i="1"/>
  <c r="P9" i="1"/>
  <c r="H9" i="1"/>
  <c r="C9" i="1"/>
  <c r="W8" i="1"/>
  <c r="R8" i="1"/>
  <c r="P8" i="1"/>
  <c r="H8" i="1"/>
  <c r="C8" i="1"/>
  <c r="W7" i="1"/>
  <c r="R7" i="1"/>
  <c r="P7" i="1"/>
  <c r="H7" i="1"/>
  <c r="C7" i="1"/>
  <c r="W6" i="1"/>
  <c r="R6" i="1"/>
  <c r="P6" i="1"/>
  <c r="H6" i="1"/>
  <c r="C6" i="1"/>
  <c r="W5" i="1"/>
  <c r="R5" i="1"/>
  <c r="P5" i="1"/>
  <c r="H5" i="1"/>
  <c r="C5" i="1"/>
  <c r="W4" i="1"/>
  <c r="R4" i="1"/>
  <c r="P4" i="1"/>
  <c r="H4" i="1"/>
  <c r="C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tc={EF2E373C-24B9-0649-890E-871FF88285B0}</author>
    <author>tc={DCF5ECF6-A785-D844-BB0A-AC21E83AC10B}</author>
    <author>tc={B8C86A40-F444-EC4C-A42C-B1B93FEF16BE}</author>
  </authors>
  <commentList>
    <comment ref="K9" authorId="0" shapeId="0" xr:uid="{EF2E373C-24B9-0649-890E-871FF88285B0}">
      <text>
        <t>[Threaded comment]
Your version of Excel allows you to read this threaded comment; however, any edits to it will get removed if the file is opened in a newer version of Excel. Learn more: https://go.microsoft.com/fwlink/?linkid=870924
Comment:
    Thoái vốn MSR -&gt; MSN</t>
      </text>
    </comment>
    <comment ref="S9" authorId="1" shapeId="0" xr:uid="{DCF5ECF6-A785-D844-BB0A-AC21E83AC10B}">
      <text>
        <t>[Threaded comment]
Your version of Excel allows you to read this threaded comment; however, any edits to it will get removed if the file is opened in a newer version of Excel. Learn more: https://go.microsoft.com/fwlink/?linkid=870924
Comment:
    Tiêu thụ điện đạt kỉ lục</t>
      </text>
    </comment>
    <comment ref="U13" authorId="2" shapeId="0" xr:uid="{B8C86A40-F444-EC4C-A42C-B1B93FEF16BE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heo cao kỉ lục 5 năm</t>
      </text>
    </comment>
  </commentList>
</comments>
</file>

<file path=xl/sharedStrings.xml><?xml version="1.0" encoding="utf-8"?>
<sst xmlns="http://schemas.openxmlformats.org/spreadsheetml/2006/main" count="2256" uniqueCount="383">
  <si>
    <t>VNINDEX</t>
  </si>
  <si>
    <t>SLCP tăng</t>
  </si>
  <si>
    <t>SLCP ko đổi</t>
  </si>
  <si>
    <t>SLCP giảm</t>
  </si>
  <si>
    <t>VN30</t>
  </si>
  <si>
    <t>SSI</t>
  </si>
  <si>
    <t>VND</t>
  </si>
  <si>
    <t>MBS</t>
  </si>
  <si>
    <t>HCM</t>
  </si>
  <si>
    <t>VCI</t>
  </si>
  <si>
    <t>SHS</t>
  </si>
  <si>
    <t>VIX</t>
  </si>
  <si>
    <t>Giá Trị Mua Bán Ròng</t>
  </si>
  <si>
    <t>VCB</t>
  </si>
  <si>
    <t>STB</t>
  </si>
  <si>
    <t>HPG</t>
  </si>
  <si>
    <t>VPB</t>
  </si>
  <si>
    <t>VCG</t>
  </si>
  <si>
    <t>MWG</t>
  </si>
  <si>
    <t>CTG</t>
  </si>
  <si>
    <t>EIB</t>
  </si>
  <si>
    <t>IDC</t>
  </si>
  <si>
    <t>Top 10 Nước Ngoài mua</t>
  </si>
  <si>
    <t>Top 10 Nước Ngoài bán</t>
  </si>
  <si>
    <t>VNM</t>
  </si>
  <si>
    <t>VRE</t>
  </si>
  <si>
    <t>MSN</t>
  </si>
  <si>
    <t>VHM</t>
  </si>
  <si>
    <t>DGC</t>
  </si>
  <si>
    <t>HDG</t>
  </si>
  <si>
    <t>LPB</t>
  </si>
  <si>
    <t>FRT</t>
  </si>
  <si>
    <t>PVS</t>
  </si>
  <si>
    <t>GAS</t>
  </si>
  <si>
    <t>NAB</t>
  </si>
  <si>
    <t>ACB</t>
  </si>
  <si>
    <t>FPT</t>
  </si>
  <si>
    <t>VIB</t>
  </si>
  <si>
    <t>MBB</t>
  </si>
  <si>
    <t>GMD</t>
  </si>
  <si>
    <t>TCH</t>
  </si>
  <si>
    <t>PC1</t>
  </si>
  <si>
    <t>AAA</t>
  </si>
  <si>
    <t>PNJ</t>
  </si>
  <si>
    <t>BWE</t>
  </si>
  <si>
    <t>HSG</t>
  </si>
  <si>
    <t>NN</t>
  </si>
  <si>
    <t>Jan</t>
  </si>
  <si>
    <t>Feb</t>
  </si>
  <si>
    <t>Mar</t>
  </si>
  <si>
    <t>TD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</si>
  <si>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</si>
  <si>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</si>
  <si>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</si>
  <si>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</si>
  <si>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</si>
  <si>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</si>
  <si>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</si>
  <si>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</si>
  <si>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</si>
  <si>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BSR</t>
  </si>
  <si>
    <t>NLG</t>
  </si>
  <si>
    <t>HDB</t>
  </si>
  <si>
    <t>DHC</t>
  </si>
  <si>
    <t>PLX</t>
  </si>
  <si>
    <t>MSB</t>
  </si>
  <si>
    <t>VEA</t>
  </si>
  <si>
    <t>VIC</t>
  </si>
  <si>
    <t>TPB</t>
  </si>
  <si>
    <t>DPM</t>
  </si>
  <si>
    <t>KDH</t>
  </si>
  <si>
    <t>VTP</t>
  </si>
  <si>
    <t>DCM</t>
  </si>
  <si>
    <t>PVD</t>
  </si>
  <si>
    <t>DBC</t>
  </si>
  <si>
    <t>NVL</t>
  </si>
  <si>
    <t>ST8</t>
  </si>
  <si>
    <t>DXS</t>
  </si>
  <si>
    <t>OCB</t>
  </si>
  <si>
    <t>ASM</t>
  </si>
  <si>
    <t>VOS</t>
  </si>
  <si>
    <t>SHB</t>
  </si>
  <si>
    <t>VGC</t>
  </si>
  <si>
    <t>TCB</t>
  </si>
  <si>
    <t>Khối Ngoại</t>
  </si>
  <si>
    <t>Tự Doanh</t>
  </si>
  <si>
    <t>Top 10 Tự Doanh mua</t>
  </si>
  <si>
    <t>Top 10 Lệnh Dư Mua</t>
  </si>
  <si>
    <t>HUT</t>
  </si>
  <si>
    <t>CEO</t>
  </si>
  <si>
    <t>Top 10 Volume Dư Mua</t>
  </si>
  <si>
    <t>BAF</t>
  </si>
  <si>
    <t>HAG</t>
  </si>
  <si>
    <t>Top 10 Lệnh Mua Lớn</t>
  </si>
  <si>
    <t>TPG</t>
  </si>
  <si>
    <t>Top 10 Lệnh Dư Bán</t>
  </si>
  <si>
    <t>Top 10 Volume Dư Bán</t>
  </si>
  <si>
    <t>Top 10 Lệnh Bán Lớn</t>
  </si>
  <si>
    <t>GEX</t>
  </si>
  <si>
    <t>NKG</t>
  </si>
  <si>
    <t>DXG</t>
  </si>
  <si>
    <t>DIG</t>
  </si>
  <si>
    <t>CSV</t>
  </si>
  <si>
    <t>DRC</t>
  </si>
  <si>
    <t>LAS</t>
  </si>
  <si>
    <t>HBC</t>
  </si>
  <si>
    <t>DDV</t>
  </si>
  <si>
    <t>Top 20 Nước Ngoài mua</t>
  </si>
  <si>
    <t>Top 20 Tự Doanh mua</t>
  </si>
  <si>
    <t>VGS</t>
  </si>
  <si>
    <t>PTB</t>
  </si>
  <si>
    <t>HDC</t>
  </si>
  <si>
    <t>EVF</t>
  </si>
  <si>
    <t>SCR</t>
  </si>
  <si>
    <t>KBC</t>
  </si>
  <si>
    <t>SLCP mua</t>
  </si>
  <si>
    <t>SLCP bán</t>
  </si>
  <si>
    <t>Biến động</t>
  </si>
  <si>
    <t>GT Mua Bán Ròng</t>
  </si>
  <si>
    <t>Luỹ kế Mua Bán</t>
  </si>
  <si>
    <t>Date</t>
  </si>
  <si>
    <t>Luỹ Kế</t>
  </si>
  <si>
    <t>19/02/2024</t>
  </si>
  <si>
    <t>20/02/2024</t>
  </si>
  <si>
    <t>21/02/2024</t>
  </si>
  <si>
    <t>22/02/2024</t>
  </si>
  <si>
    <t>23/02/2024</t>
  </si>
  <si>
    <t>BLUECHIP</t>
  </si>
  <si>
    <t>MIDCAP</t>
  </si>
  <si>
    <t>SMALLCAP</t>
  </si>
  <si>
    <t>Ngân Hàng</t>
  </si>
  <si>
    <t>Chứng Khoán</t>
  </si>
  <si>
    <t>BĐS</t>
  </si>
  <si>
    <t>BĐS KCN</t>
  </si>
  <si>
    <t>Thép</t>
  </si>
  <si>
    <t>Bán Lẻ</t>
  </si>
  <si>
    <t>Dầu Khí</t>
  </si>
  <si>
    <t>Xây Dựng</t>
  </si>
  <si>
    <t>Cảng, VT Biển</t>
  </si>
  <si>
    <t>Dệt May</t>
  </si>
  <si>
    <t>Thuỷ Sản</t>
  </si>
  <si>
    <t>Gỗ</t>
  </si>
  <si>
    <t>Vật liệu xây dựng</t>
  </si>
  <si>
    <t>Điện</t>
  </si>
  <si>
    <t>Hoá chất, Phân bón</t>
  </si>
  <si>
    <t>16/02/2024</t>
  </si>
  <si>
    <t>15/02/2024</t>
  </si>
  <si>
    <t>07/02/2024</t>
  </si>
  <si>
    <t>06/02/2024</t>
  </si>
  <si>
    <t>05/02/2024</t>
  </si>
  <si>
    <t>02/02/2024</t>
  </si>
  <si>
    <t>01/02/2024</t>
  </si>
  <si>
    <t>31/01/2024</t>
  </si>
  <si>
    <t>30/01/2024</t>
  </si>
  <si>
    <t>29/01/2024</t>
  </si>
  <si>
    <t>26/01/2024</t>
  </si>
  <si>
    <t>25/01/2024</t>
  </si>
  <si>
    <t>24/01/2024</t>
  </si>
  <si>
    <t>23/01/2024</t>
  </si>
  <si>
    <t>22/01/2024</t>
  </si>
  <si>
    <t>19/01/2024</t>
  </si>
  <si>
    <t>17/01/2024</t>
  </si>
  <si>
    <t>16/01/2024</t>
  </si>
  <si>
    <t>15/01/2024</t>
  </si>
  <si>
    <t>12/01/2024</t>
  </si>
  <si>
    <t>11/01/2024</t>
  </si>
  <si>
    <t>10/01/2024</t>
  </si>
  <si>
    <t>09/01/2024</t>
  </si>
  <si>
    <t>08/01/2024</t>
  </si>
  <si>
    <t>05/01/2024</t>
  </si>
  <si>
    <t>04/01/2024</t>
  </si>
  <si>
    <t>03/01/2024</t>
  </si>
  <si>
    <t>02/01/2024</t>
  </si>
  <si>
    <t>1M</t>
  </si>
  <si>
    <t>QTP</t>
  </si>
  <si>
    <t>TCM</t>
  </si>
  <si>
    <t>3M</t>
  </si>
  <si>
    <t>6M</t>
  </si>
  <si>
    <t>12M</t>
  </si>
  <si>
    <t>BID</t>
  </si>
  <si>
    <t>Duration</t>
  </si>
  <si>
    <t>f</t>
  </si>
  <si>
    <t>SBT</t>
  </si>
  <si>
    <t>SCS</t>
  </si>
  <si>
    <t>STK</t>
  </si>
  <si>
    <t>HJS</t>
  </si>
  <si>
    <t>PAN</t>
  </si>
  <si>
    <t>VHC</t>
  </si>
  <si>
    <t>IDI</t>
  </si>
  <si>
    <t>BCM</t>
  </si>
  <si>
    <t>FCN</t>
  </si>
  <si>
    <t>TTF</t>
  </si>
  <si>
    <t>ADS</t>
  </si>
  <si>
    <t>LHG</t>
  </si>
  <si>
    <t>GDT</t>
  </si>
  <si>
    <t>HT1</t>
  </si>
  <si>
    <t>26/02/2024</t>
  </si>
  <si>
    <t>REE</t>
  </si>
  <si>
    <t/>
  </si>
  <si>
    <t>27/02/2024</t>
  </si>
  <si>
    <t>ANV</t>
  </si>
  <si>
    <t>PDR</t>
  </si>
  <si>
    <t>28/02/2024</t>
  </si>
  <si>
    <t>DPR</t>
  </si>
  <si>
    <t>PVT</t>
  </si>
  <si>
    <t>ELC</t>
  </si>
  <si>
    <t>Top 20 Nước Ngoài bán</t>
  </si>
  <si>
    <t>29/02/2024</t>
  </si>
  <si>
    <t>GVR</t>
  </si>
  <si>
    <t>POW</t>
  </si>
  <si>
    <t>FTS</t>
  </si>
  <si>
    <t>01/03/2024</t>
  </si>
  <si>
    <t>BVH</t>
  </si>
  <si>
    <t>YEG</t>
  </si>
  <si>
    <t>GEE</t>
  </si>
  <si>
    <t>Top 10 Tự Doanh bán</t>
  </si>
  <si>
    <t>BHI</t>
  </si>
  <si>
    <t>VSC</t>
  </si>
  <si>
    <t>04/03/2024</t>
  </si>
  <si>
    <t>HAX</t>
  </si>
  <si>
    <t>05/03/2024</t>
  </si>
  <si>
    <t>06/03/2024</t>
  </si>
  <si>
    <t>VGI</t>
  </si>
  <si>
    <t>PHR</t>
  </si>
  <si>
    <t>07/03/2024</t>
  </si>
  <si>
    <t>08/03/2024</t>
  </si>
  <si>
    <t>11/03/2024</t>
  </si>
  <si>
    <t>TNG</t>
  </si>
  <si>
    <t>12/03/2024</t>
  </si>
  <si>
    <t>13/03/2024</t>
  </si>
  <si>
    <t>14/03/2024</t>
  </si>
  <si>
    <t>15/03/2024</t>
  </si>
  <si>
    <t>DPG</t>
  </si>
  <si>
    <t>18/03/2024</t>
  </si>
  <si>
    <t>19/03/2024</t>
  </si>
  <si>
    <t>20/03/2024</t>
  </si>
  <si>
    <t>21/03/2024</t>
  </si>
  <si>
    <t>VJC</t>
  </si>
  <si>
    <t>TSJ</t>
  </si>
  <si>
    <t>22/03/2024</t>
  </si>
  <si>
    <t>GKM</t>
  </si>
  <si>
    <t>25/03/2024</t>
  </si>
  <si>
    <t>26/03/2024</t>
  </si>
  <si>
    <t>27/03/2024</t>
  </si>
  <si>
    <t>28/03/2024</t>
  </si>
  <si>
    <t>29/03/2024</t>
  </si>
  <si>
    <t>SEA</t>
  </si>
  <si>
    <t>01/04/2024</t>
  </si>
  <si>
    <t>02/04/2024</t>
  </si>
  <si>
    <t>03/04/2024</t>
  </si>
  <si>
    <t>04/04/2024</t>
  </si>
  <si>
    <t>05/04/2024</t>
  </si>
  <si>
    <t>08/04/2024</t>
  </si>
  <si>
    <t>09/04/2024</t>
  </si>
  <si>
    <t>10/04/2024</t>
  </si>
  <si>
    <t>11/04/2024</t>
  </si>
  <si>
    <t>TDM</t>
  </si>
  <si>
    <t>12/04/2024</t>
  </si>
  <si>
    <t>15/04/2024</t>
  </si>
  <si>
    <t>16/04/2024</t>
  </si>
  <si>
    <t>17/04/2024</t>
  </si>
  <si>
    <t>19/04/2024</t>
  </si>
  <si>
    <t>PXL</t>
  </si>
  <si>
    <t>22/04/2024</t>
  </si>
  <si>
    <t>23/04/2024</t>
  </si>
  <si>
    <t>24/04/2024</t>
  </si>
  <si>
    <t>25/04/2024</t>
  </si>
  <si>
    <t>26/04/2024</t>
  </si>
  <si>
    <t>02/05/2024</t>
  </si>
  <si>
    <t>03/05/2024</t>
  </si>
  <si>
    <t>06/05/2024</t>
  </si>
  <si>
    <t>07/05/2024</t>
  </si>
  <si>
    <t>08/05/2024</t>
  </si>
  <si>
    <t>09/05/2024</t>
  </si>
  <si>
    <t>Luỹ kế</t>
  </si>
  <si>
    <t>Luỹ kế (-Vin)</t>
  </si>
  <si>
    <t>GT M/B (-Vin)</t>
  </si>
  <si>
    <t>10/05/2024</t>
  </si>
  <si>
    <t>13/05/2024</t>
  </si>
  <si>
    <t>14/05/2024</t>
  </si>
  <si>
    <t>15/05/2024</t>
  </si>
  <si>
    <t>16/05/2024</t>
  </si>
  <si>
    <t>17/05/2024</t>
  </si>
  <si>
    <t>20/05/2024</t>
  </si>
  <si>
    <t>21/05/2024</t>
  </si>
  <si>
    <t>22/05/2024</t>
  </si>
  <si>
    <t>23/05/2024</t>
  </si>
  <si>
    <t>24/05/2024</t>
  </si>
  <si>
    <t>27/05/2024</t>
  </si>
  <si>
    <t>28/05/2024</t>
  </si>
  <si>
    <t>29/05/2024</t>
  </si>
  <si>
    <t>BMP</t>
  </si>
  <si>
    <t>NTL</t>
  </si>
  <si>
    <t>MCH</t>
  </si>
  <si>
    <t>KSB</t>
  </si>
  <si>
    <t>TIP</t>
  </si>
  <si>
    <t>FOX</t>
  </si>
  <si>
    <t>HVN</t>
  </si>
  <si>
    <t>VGT</t>
  </si>
  <si>
    <t>SZC</t>
  </si>
  <si>
    <t>KDC</t>
  </si>
  <si>
    <t>BCG</t>
  </si>
  <si>
    <t>NT2</t>
  </si>
  <si>
    <t>HAH</t>
  </si>
  <si>
    <t>PVP</t>
  </si>
  <si>
    <t>ACL</t>
  </si>
  <si>
    <t>PLC</t>
  </si>
  <si>
    <t>SEB</t>
  </si>
  <si>
    <t>SJS</t>
  </si>
  <si>
    <t>BCC</t>
  </si>
  <si>
    <t>OIL</t>
  </si>
  <si>
    <t>FMC</t>
  </si>
  <si>
    <t>APH</t>
  </si>
  <si>
    <t>PPC</t>
  </si>
  <si>
    <t>SGT</t>
  </si>
  <si>
    <t>PHP</t>
  </si>
  <si>
    <t>TTP</t>
  </si>
  <si>
    <t>DHA</t>
  </si>
  <si>
    <t>BED</t>
  </si>
  <si>
    <t>CTT</t>
  </si>
  <si>
    <t>D2D</t>
  </si>
  <si>
    <t>HOM</t>
  </si>
  <si>
    <t>SZL</t>
  </si>
  <si>
    <t>SAV</t>
  </si>
  <si>
    <t>BTS</t>
  </si>
  <si>
    <t>PAC</t>
  </si>
  <si>
    <t>TTA</t>
  </si>
  <si>
    <t>TCO</t>
  </si>
  <si>
    <t>CTR</t>
  </si>
  <si>
    <t>TIG</t>
  </si>
  <si>
    <t>VCS</t>
  </si>
  <si>
    <t>MSH</t>
  </si>
  <si>
    <t>INN</t>
  </si>
  <si>
    <t>ACV</t>
  </si>
  <si>
    <t>DHG</t>
  </si>
  <si>
    <t>CMG</t>
  </si>
  <si>
    <t>AGG</t>
  </si>
  <si>
    <t>HHV</t>
  </si>
  <si>
    <t>SIP</t>
  </si>
  <si>
    <t>NTC</t>
  </si>
  <si>
    <t>NAF</t>
  </si>
  <si>
    <t>BFC</t>
  </si>
  <si>
    <t>SGP</t>
  </si>
  <si>
    <t>C4G</t>
  </si>
  <si>
    <t>ABC</t>
  </si>
  <si>
    <t>HHS</t>
  </si>
  <si>
    <t>BMC</t>
  </si>
  <si>
    <t>LTG</t>
  </si>
  <si>
    <t>NTP</t>
  </si>
  <si>
    <t>PVC</t>
  </si>
  <si>
    <t>CTS</t>
  </si>
  <si>
    <t>QNS</t>
  </si>
  <si>
    <t>SAB</t>
  </si>
  <si>
    <t>BMI</t>
  </si>
  <si>
    <t>TMC</t>
  </si>
  <si>
    <t>CNG</t>
  </si>
  <si>
    <t>IDV</t>
  </si>
  <si>
    <t>VLB</t>
  </si>
  <si>
    <t>DGT</t>
  </si>
  <si>
    <t>CSM</t>
  </si>
  <si>
    <t>VIP</t>
  </si>
  <si>
    <t>CII</t>
  </si>
  <si>
    <t>PGV</t>
  </si>
  <si>
    <t>TV2</t>
  </si>
  <si>
    <t>CRE</t>
  </si>
  <si>
    <t>PAT</t>
  </si>
  <si>
    <t>HLD</t>
  </si>
  <si>
    <t>TDC</t>
  </si>
  <si>
    <t>BLI</t>
  </si>
  <si>
    <t>VN30 / VNI</t>
  </si>
  <si>
    <t>30/05/2024</t>
  </si>
  <si>
    <t>TLG</t>
  </si>
  <si>
    <t>Chăn nuôi</t>
  </si>
  <si>
    <t>Bảo hiểm</t>
  </si>
  <si>
    <t>Hàng không</t>
  </si>
  <si>
    <t>31/05/2024</t>
  </si>
  <si>
    <t>GIL</t>
  </si>
  <si>
    <t>DTD</t>
  </si>
  <si>
    <t>VPG</t>
  </si>
  <si>
    <t>SMC</t>
  </si>
  <si>
    <t>IJC</t>
  </si>
  <si>
    <t>DGW</t>
  </si>
  <si>
    <t>VPI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</si>
</sst>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164" formatCode="0.0%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0" fillId="4" borderId="0" xfId="0" applyFill="1"/>
    <xf numFmtId="0" fontId="1" fillId="0" borderId="0" xfId="0" applyFont="1"/>
    <xf numFmtId="41" fontId="0" fillId="0" borderId="0" xfId="1" applyFont="1"/>
    <xf numFmtId="0" fontId="3" fillId="5" borderId="0" xfId="0" applyFont="1" applyFill="1"/>
    <xf numFmtId="0" fontId="4" fillId="6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5" fillId="10" borderId="0" xfId="0" applyFont="1" applyFill="1"/>
    <xf numFmtId="0" fontId="4" fillId="11" borderId="0" xfId="0" applyFont="1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41" fontId="0" fillId="0" borderId="0" xfId="0" applyNumberFormat="1"/>
    <xf numFmtId="3" fontId="0" fillId="0" borderId="0" xfId="1" applyNumberFormat="1" applyFont="1"/>
    <xf numFmtId="3" fontId="0" fillId="0" borderId="0" xfId="0" applyNumberFormat="1"/>
    <xf numFmtId="164" fontId="0" fillId="0" borderId="0" xfId="2" applyNumberFormat="1" applyFont="1"/>
    <xf numFmtId="41" fontId="0" fillId="8" borderId="0" xfId="1" applyFont="1" applyFill="1"/>
    <xf numFmtId="0" fontId="0" fillId="15" borderId="0" xfId="0" applyFill="1" applyAlignment="1">
      <alignment horizontal="center"/>
    </xf>
    <xf numFmtId="0" fontId="0" fillId="3" borderId="0" xfId="0" applyFill="1" applyAlignment="1">
      <alignment horizontal="center"/>
    </xf>
    <xf numFmtId="16" fontId="0" fillId="0" borderId="0" xfId="0" applyNumberFormat="1"/>
    <xf numFmtId="14" fontId="0" fillId="0" borderId="0" xfId="0" applyNumberFormat="1"/>
    <xf numFmtId="10" fontId="0" fillId="0" borderId="0" xfId="2" applyNumberFormat="1" applyFont="1"/>
    <xf numFmtId="14" fontId="6" fillId="0" borderId="0" xfId="0" applyNumberFormat="1" applyFont="1"/>
    <xf numFmtId="14" fontId="0" fillId="0" borderId="0" xfId="0" applyNumberFormat="1" applyAlignment="1">
      <alignment horizontal="right"/>
    </xf>
    <xf numFmtId="10" fontId="0" fillId="0" borderId="0" xfId="0" applyNumberFormat="1"/>
    <xf numFmtId="0" fontId="1" fillId="15" borderId="0" xfId="0" applyFont="1" applyFill="1"/>
    <xf numFmtId="0" fontId="1" fillId="2" borderId="0" xfId="0" applyFont="1" applyFill="1"/>
    <xf numFmtId="3" fontId="0" fillId="17" borderId="0" xfId="1" applyNumberFormat="1" applyFont="1" applyFill="1"/>
    <xf numFmtId="164" fontId="1" fillId="0" borderId="0" xfId="2" applyNumberFormat="1" applyFont="1" applyAlignment="1">
      <alignment horizontal="center"/>
    </xf>
    <xf numFmtId="14" fontId="0" fillId="4" borderId="0" xfId="0" applyNumberFormat="1" applyFill="1" applyAlignment="1">
      <alignment horizontal="right"/>
    </xf>
    <xf numFmtId="0" fontId="1" fillId="14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1" fillId="17" borderId="0" xfId="0" applyFont="1" applyFill="1" applyAlignment="1">
      <alignment horizontal="center"/>
    </xf>
    <xf numFmtId="0" fontId="1" fillId="15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" fillId="19" borderId="0" xfId="0" applyFont="1" applyFill="1" applyAlignment="1">
      <alignment horizontal="center"/>
    </xf>
    <xf numFmtId="0" fontId="1" fillId="18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14" fontId="0" fillId="0" borderId="0" xfId="0" applyNumberFormat="1" applyAlignment="1">
      <alignment horizontal="center" vertical="center"/>
    </xf>
  </cellXfs>
  <cellStyles count="3">
    <cellStyle name="Comma [0]" xfId="1" builtinId="6"/>
    <cellStyle name="Normal" xfId="0" builtinId="0"/>
    <cellStyle name="Percent" xfId="2" builtinId="5"/>
  </cellStyles>
  <dxfs count="10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Giao Dịch NN &amp;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Intraday!$O$1:$O$2</c:f>
              <c:strCache>
                <c:ptCount val="2"/>
                <c:pt idx="0">
                  <c:v>Khối Ngoại</c:v>
                </c:pt>
                <c:pt idx="1">
                  <c:v>GT Mua Bán Ròng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Intraday!$A$3:$A$23</c:f>
              <c:strCache>
                <c:ptCount val="21"/>
                <c:pt idx="0">
                  <c:v>31/05/2024</c:v>
                </c:pt>
                <c:pt idx="1">
                  <c:v>30/05/2024</c:v>
                </c:pt>
                <c:pt idx="2">
                  <c:v>29/05/2024</c:v>
                </c:pt>
                <c:pt idx="3">
                  <c:v>28/05/2024</c:v>
                </c:pt>
                <c:pt idx="4">
                  <c:v>27/05/2024</c:v>
                </c:pt>
                <c:pt idx="5">
                  <c:v>24/05/2024</c:v>
                </c:pt>
                <c:pt idx="6">
                  <c:v>23/05/2024</c:v>
                </c:pt>
                <c:pt idx="7">
                  <c:v>22/05/2024</c:v>
                </c:pt>
                <c:pt idx="8">
                  <c:v>21/05/2024</c:v>
                </c:pt>
                <c:pt idx="9">
                  <c:v>20/05/2024</c:v>
                </c:pt>
                <c:pt idx="10">
                  <c:v>17/05/2024</c:v>
                </c:pt>
                <c:pt idx="11">
                  <c:v>16/05/2024</c:v>
                </c:pt>
                <c:pt idx="12">
                  <c:v>15/05/2024</c:v>
                </c:pt>
                <c:pt idx="13">
                  <c:v>14/05/2024</c:v>
                </c:pt>
                <c:pt idx="14">
                  <c:v>13/05/2024</c:v>
                </c:pt>
                <c:pt idx="15">
                  <c:v>10/05/2024</c:v>
                </c:pt>
                <c:pt idx="16">
                  <c:v>09/05/2024</c:v>
                </c:pt>
                <c:pt idx="17">
                  <c:v>08/05/2024</c:v>
                </c:pt>
                <c:pt idx="18">
                  <c:v>07/05/2024</c:v>
                </c:pt>
                <c:pt idx="19">
                  <c:v>06/05/2024</c:v>
                </c:pt>
                <c:pt idx="20">
                  <c:v>03/05/2024</c:v>
                </c:pt>
              </c:strCache>
            </c:strRef>
          </c:cat>
          <c:val>
            <c:numRef>
              <c:f>Intraday!$O$3:$O$23</c:f>
              <c:numCache>
                <c:formatCode>#,##0</c:formatCode>
                <c:ptCount val="21"/>
                <c:pt idx="0">
                  <c:v>-1468396534533</c:v>
                </c:pt>
                <c:pt idx="1">
                  <c:v>-1289304741442</c:v>
                </c:pt>
                <c:pt idx="2">
                  <c:v>-1571802171474</c:v>
                </c:pt>
                <c:pt idx="3">
                  <c:v>-1123498507299</c:v>
                </c:pt>
                <c:pt idx="4">
                  <c:v>-541464853119</c:v>
                </c:pt>
                <c:pt idx="5">
                  <c:v>-1544441754511</c:v>
                </c:pt>
                <c:pt idx="6">
                  <c:v>-17033728865</c:v>
                </c:pt>
                <c:pt idx="7">
                  <c:v>-832906295905</c:v>
                </c:pt>
                <c:pt idx="8">
                  <c:v>-1043894995967</c:v>
                </c:pt>
                <c:pt idx="9">
                  <c:v>-1062064421941</c:v>
                </c:pt>
                <c:pt idx="10">
                  <c:v>-729563407349</c:v>
                </c:pt>
                <c:pt idx="11">
                  <c:v>32368370542</c:v>
                </c:pt>
                <c:pt idx="12">
                  <c:v>362048739182</c:v>
                </c:pt>
                <c:pt idx="13">
                  <c:v>-814936271811</c:v>
                </c:pt>
                <c:pt idx="14">
                  <c:v>-953063368068</c:v>
                </c:pt>
                <c:pt idx="15">
                  <c:v>-451995489585</c:v>
                </c:pt>
                <c:pt idx="16">
                  <c:v>-1879599889815</c:v>
                </c:pt>
                <c:pt idx="17">
                  <c:v>-1210365193381</c:v>
                </c:pt>
                <c:pt idx="18">
                  <c:v>173427725507</c:v>
                </c:pt>
                <c:pt idx="19">
                  <c:v>399132308544</c:v>
                </c:pt>
                <c:pt idx="20">
                  <c:v>669134180118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20-704B-B7F7-EC53F8C66FB3}"/>
            </c:ext>
          </c:extLst>
        </c:ser>
        <c:ser>
          <c:idx val="16"/>
          <c:order val="2"/>
          <c:tx>
            <c:strRef>
              <c:f>Intraday!$V$1:$V$2</c:f>
              <c:strCache>
                <c:ptCount val="2"/>
                <c:pt idx="0">
                  <c:v>Tự Doanh</c:v>
                </c:pt>
                <c:pt idx="1">
                  <c:v>GT Mua Bán Ròng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Intraday!$A$3:$A$23</c:f>
              <c:strCache>
                <c:ptCount val="21"/>
                <c:pt idx="0">
                  <c:v>31/05/2024</c:v>
                </c:pt>
                <c:pt idx="1">
                  <c:v>30/05/2024</c:v>
                </c:pt>
                <c:pt idx="2">
                  <c:v>29/05/2024</c:v>
                </c:pt>
                <c:pt idx="3">
                  <c:v>28/05/2024</c:v>
                </c:pt>
                <c:pt idx="4">
                  <c:v>27/05/2024</c:v>
                </c:pt>
                <c:pt idx="5">
                  <c:v>24/05/2024</c:v>
                </c:pt>
                <c:pt idx="6">
                  <c:v>23/05/2024</c:v>
                </c:pt>
                <c:pt idx="7">
                  <c:v>22/05/2024</c:v>
                </c:pt>
                <c:pt idx="8">
                  <c:v>21/05/2024</c:v>
                </c:pt>
                <c:pt idx="9">
                  <c:v>20/05/2024</c:v>
                </c:pt>
                <c:pt idx="10">
                  <c:v>17/05/2024</c:v>
                </c:pt>
                <c:pt idx="11">
                  <c:v>16/05/2024</c:v>
                </c:pt>
                <c:pt idx="12">
                  <c:v>15/05/2024</c:v>
                </c:pt>
                <c:pt idx="13">
                  <c:v>14/05/2024</c:v>
                </c:pt>
                <c:pt idx="14">
                  <c:v>13/05/2024</c:v>
                </c:pt>
                <c:pt idx="15">
                  <c:v>10/05/2024</c:v>
                </c:pt>
                <c:pt idx="16">
                  <c:v>09/05/2024</c:v>
                </c:pt>
                <c:pt idx="17">
                  <c:v>08/05/2024</c:v>
                </c:pt>
                <c:pt idx="18">
                  <c:v>07/05/2024</c:v>
                </c:pt>
                <c:pt idx="19">
                  <c:v>06/05/2024</c:v>
                </c:pt>
                <c:pt idx="20">
                  <c:v>03/05/2024</c:v>
                </c:pt>
              </c:strCache>
            </c:strRef>
          </c:cat>
          <c:val>
            <c:numRef>
              <c:f>Intraday!$V$3:$V$23</c:f>
              <c:numCache>
                <c:formatCode>#,##0</c:formatCode>
                <c:ptCount val="21"/>
                <c:pt idx="0">
                  <c:v>220290953200</c:v>
                </c:pt>
                <c:pt idx="1">
                  <c:v>-224818960200</c:v>
                </c:pt>
                <c:pt idx="2">
                  <c:v>-85770466500</c:v>
                </c:pt>
                <c:pt idx="3">
                  <c:v>-152435054300</c:v>
                </c:pt>
                <c:pt idx="4">
                  <c:v>46192053100</c:v>
                </c:pt>
                <c:pt idx="5">
                  <c:v>-751920454600</c:v>
                </c:pt>
                <c:pt idx="6">
                  <c:v>138595436200</c:v>
                </c:pt>
                <c:pt idx="7">
                  <c:v>-227506746400</c:v>
                </c:pt>
                <c:pt idx="8">
                  <c:v>-525099407000</c:v>
                </c:pt>
                <c:pt idx="9">
                  <c:v>-89900736600</c:v>
                </c:pt>
                <c:pt idx="10">
                  <c:v>144090857400</c:v>
                </c:pt>
                <c:pt idx="11">
                  <c:v>981689584800</c:v>
                </c:pt>
                <c:pt idx="12">
                  <c:v>334926546000</c:v>
                </c:pt>
                <c:pt idx="13">
                  <c:v>44080789900</c:v>
                </c:pt>
                <c:pt idx="14">
                  <c:v>277642333800</c:v>
                </c:pt>
                <c:pt idx="15">
                  <c:v>-140549666500</c:v>
                </c:pt>
                <c:pt idx="16">
                  <c:v>-155288115500</c:v>
                </c:pt>
                <c:pt idx="17">
                  <c:v>-855606034500</c:v>
                </c:pt>
                <c:pt idx="18">
                  <c:v>-1102021564000</c:v>
                </c:pt>
                <c:pt idx="19">
                  <c:v>-189165222000</c:v>
                </c:pt>
                <c:pt idx="20">
                  <c:v>829644265000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C20-704B-B7F7-EC53F8C66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5036480"/>
        <c:axId val="2144733184"/>
      </c:barChart>
      <c:lineChart>
        <c:grouping val="standard"/>
        <c:varyColors val="0"/>
        <c:ser>
          <c:idx val="12"/>
          <c:order val="1"/>
          <c:tx>
            <c:strRef>
              <c:f>Intraday!$P$1:$P$2</c:f>
              <c:strCache>
                <c:ptCount val="2"/>
                <c:pt idx="0">
                  <c:v>Khối Ngoại</c:v>
                </c:pt>
                <c:pt idx="1">
                  <c:v>Luỹ kế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Intraday!$A$3:$A$23</c:f>
              <c:strCache>
                <c:ptCount val="21"/>
                <c:pt idx="0">
                  <c:v>31/05/2024</c:v>
                </c:pt>
                <c:pt idx="1">
                  <c:v>30/05/2024</c:v>
                </c:pt>
                <c:pt idx="2">
                  <c:v>29/05/2024</c:v>
                </c:pt>
                <c:pt idx="3">
                  <c:v>28/05/2024</c:v>
                </c:pt>
                <c:pt idx="4">
                  <c:v>27/05/2024</c:v>
                </c:pt>
                <c:pt idx="5">
                  <c:v>24/05/2024</c:v>
                </c:pt>
                <c:pt idx="6">
                  <c:v>23/05/2024</c:v>
                </c:pt>
                <c:pt idx="7">
                  <c:v>22/05/2024</c:v>
                </c:pt>
                <c:pt idx="8">
                  <c:v>21/05/2024</c:v>
                </c:pt>
                <c:pt idx="9">
                  <c:v>20/05/2024</c:v>
                </c:pt>
                <c:pt idx="10">
                  <c:v>17/05/2024</c:v>
                </c:pt>
                <c:pt idx="11">
                  <c:v>16/05/2024</c:v>
                </c:pt>
                <c:pt idx="12">
                  <c:v>15/05/2024</c:v>
                </c:pt>
                <c:pt idx="13">
                  <c:v>14/05/2024</c:v>
                </c:pt>
                <c:pt idx="14">
                  <c:v>13/05/2024</c:v>
                </c:pt>
                <c:pt idx="15">
                  <c:v>10/05/2024</c:v>
                </c:pt>
                <c:pt idx="16">
                  <c:v>09/05/2024</c:v>
                </c:pt>
                <c:pt idx="17">
                  <c:v>08/05/2024</c:v>
                </c:pt>
                <c:pt idx="18">
                  <c:v>07/05/2024</c:v>
                </c:pt>
                <c:pt idx="19">
                  <c:v>06/05/2024</c:v>
                </c:pt>
                <c:pt idx="20">
                  <c:v>03/05/2024</c:v>
                </c:pt>
              </c:strCache>
            </c:strRef>
          </c:cat>
          <c:val>
            <c:numRef>
              <c:f>Intraday!$P$3:$P$23</c:f>
              <c:numCache>
                <c:formatCode>#,##0</c:formatCode>
                <c:ptCount val="21"/>
                <c:pt idx="0">
                  <c:v>-26939807387862</c:v>
                </c:pt>
                <c:pt idx="1">
                  <c:v>-25471410853329</c:v>
                </c:pt>
                <c:pt idx="2">
                  <c:v>-24182106111887</c:v>
                </c:pt>
                <c:pt idx="3">
                  <c:v>-22610303940413</c:v>
                </c:pt>
                <c:pt idx="4">
                  <c:v>-21486805433114</c:v>
                </c:pt>
                <c:pt idx="5">
                  <c:v>-20945340579995</c:v>
                </c:pt>
                <c:pt idx="6">
                  <c:v>-19400898825484</c:v>
                </c:pt>
                <c:pt idx="7">
                  <c:v>-19383865096619</c:v>
                </c:pt>
                <c:pt idx="8">
                  <c:v>-18550958800714</c:v>
                </c:pt>
                <c:pt idx="9">
                  <c:v>-17507063804747</c:v>
                </c:pt>
                <c:pt idx="10">
                  <c:v>-16444999382806</c:v>
                </c:pt>
                <c:pt idx="11">
                  <c:v>-15715435975457</c:v>
                </c:pt>
                <c:pt idx="12">
                  <c:v>-15747804345999</c:v>
                </c:pt>
                <c:pt idx="13">
                  <c:v>-16109853085181</c:v>
                </c:pt>
                <c:pt idx="14">
                  <c:v>-15294916813370</c:v>
                </c:pt>
                <c:pt idx="15">
                  <c:v>-14341853445302</c:v>
                </c:pt>
                <c:pt idx="16">
                  <c:v>-13889857955717</c:v>
                </c:pt>
                <c:pt idx="17">
                  <c:v>-12010258065902</c:v>
                </c:pt>
                <c:pt idx="18">
                  <c:v>-10799892872521</c:v>
                </c:pt>
                <c:pt idx="19">
                  <c:v>-10973320598028</c:v>
                </c:pt>
                <c:pt idx="20">
                  <c:v>-11372452906572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C20-704B-B7F7-EC53F8C66FB3}"/>
            </c:ext>
          </c:extLst>
        </c:ser>
        <c:ser>
          <c:idx val="17"/>
          <c:order val="3"/>
          <c:tx>
            <c:strRef>
              <c:f>Intraday!$W$1:$W$2</c:f>
              <c:strCache>
                <c:ptCount val="2"/>
                <c:pt idx="0">
                  <c:v>Tự Doanh</c:v>
                </c:pt>
                <c:pt idx="1">
                  <c:v>Luỹ kế Mua Bán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Intraday!$A$3:$A$23</c:f>
              <c:strCache>
                <c:ptCount val="21"/>
                <c:pt idx="0">
                  <c:v>31/05/2024</c:v>
                </c:pt>
                <c:pt idx="1">
                  <c:v>30/05/2024</c:v>
                </c:pt>
                <c:pt idx="2">
                  <c:v>29/05/2024</c:v>
                </c:pt>
                <c:pt idx="3">
                  <c:v>28/05/2024</c:v>
                </c:pt>
                <c:pt idx="4">
                  <c:v>27/05/2024</c:v>
                </c:pt>
                <c:pt idx="5">
                  <c:v>24/05/2024</c:v>
                </c:pt>
                <c:pt idx="6">
                  <c:v>23/05/2024</c:v>
                </c:pt>
                <c:pt idx="7">
                  <c:v>22/05/2024</c:v>
                </c:pt>
                <c:pt idx="8">
                  <c:v>21/05/2024</c:v>
                </c:pt>
                <c:pt idx="9">
                  <c:v>20/05/2024</c:v>
                </c:pt>
                <c:pt idx="10">
                  <c:v>17/05/2024</c:v>
                </c:pt>
                <c:pt idx="11">
                  <c:v>16/05/2024</c:v>
                </c:pt>
                <c:pt idx="12">
                  <c:v>15/05/2024</c:v>
                </c:pt>
                <c:pt idx="13">
                  <c:v>14/05/2024</c:v>
                </c:pt>
                <c:pt idx="14">
                  <c:v>13/05/2024</c:v>
                </c:pt>
                <c:pt idx="15">
                  <c:v>10/05/2024</c:v>
                </c:pt>
                <c:pt idx="16">
                  <c:v>09/05/2024</c:v>
                </c:pt>
                <c:pt idx="17">
                  <c:v>08/05/2024</c:v>
                </c:pt>
                <c:pt idx="18">
                  <c:v>07/05/2024</c:v>
                </c:pt>
                <c:pt idx="19">
                  <c:v>06/05/2024</c:v>
                </c:pt>
                <c:pt idx="20">
                  <c:v>03/05/2024</c:v>
                </c:pt>
              </c:strCache>
            </c:strRef>
          </c:cat>
          <c:val>
            <c:numRef>
              <c:f>Intraday!$W$3:$W$23</c:f>
              <c:numCache>
                <c:formatCode>#,##0</c:formatCode>
                <c:ptCount val="21"/>
                <c:pt idx="0">
                  <c:v>-5377385600245</c:v>
                </c:pt>
                <c:pt idx="1">
                  <c:v>-5597676553445</c:v>
                </c:pt>
                <c:pt idx="2">
                  <c:v>-5372857593245</c:v>
                </c:pt>
                <c:pt idx="3">
                  <c:v>-5287087126745</c:v>
                </c:pt>
                <c:pt idx="4">
                  <c:v>-5134652072445</c:v>
                </c:pt>
                <c:pt idx="5">
                  <c:v>-5180844125545</c:v>
                </c:pt>
                <c:pt idx="6">
                  <c:v>-4428923670945</c:v>
                </c:pt>
                <c:pt idx="7">
                  <c:v>-4567519107145</c:v>
                </c:pt>
                <c:pt idx="8">
                  <c:v>-4340012360745</c:v>
                </c:pt>
                <c:pt idx="9">
                  <c:v>-3814912953745</c:v>
                </c:pt>
                <c:pt idx="10">
                  <c:v>-3725012217145</c:v>
                </c:pt>
                <c:pt idx="11">
                  <c:v>-3869103074545</c:v>
                </c:pt>
                <c:pt idx="12">
                  <c:v>-4850792659345</c:v>
                </c:pt>
                <c:pt idx="13">
                  <c:v>-5185719205345</c:v>
                </c:pt>
                <c:pt idx="14">
                  <c:v>-5229799995245</c:v>
                </c:pt>
                <c:pt idx="15">
                  <c:v>-5507442329045</c:v>
                </c:pt>
                <c:pt idx="16">
                  <c:v>-5366892662545</c:v>
                </c:pt>
                <c:pt idx="17">
                  <c:v>-5211604547045</c:v>
                </c:pt>
                <c:pt idx="18">
                  <c:v>-4355998512545</c:v>
                </c:pt>
                <c:pt idx="19">
                  <c:v>-3253976948545</c:v>
                </c:pt>
                <c:pt idx="20">
                  <c:v>-3064811726545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C20-704B-B7F7-EC53F8C66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036480"/>
        <c:axId val="2144733184"/>
      </c:lineChart>
      <c:catAx>
        <c:axId val="214503648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144733184"/>
        <c:crosses val="autoZero"/>
        <c:auto val="0"/>
        <c:lblAlgn val="ctr"/>
        <c:lblOffset val="100"/>
        <c:noMultiLvlLbl val="1"/>
      </c:catAx>
      <c:valAx>
        <c:axId val="2144733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14503648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Intraday!$B$1:$B$2</c:f>
              <c:strCache>
                <c:ptCount val="2"/>
                <c:pt idx="0">
                  <c:v>VNINDEX</c:v>
                </c:pt>
                <c:pt idx="1">
                  <c:v>Biến động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Intraday!$A$3:$A$23</c:f>
              <c:strCache>
                <c:ptCount val="21"/>
                <c:pt idx="0">
                  <c:v>31/05/2024</c:v>
                </c:pt>
                <c:pt idx="1">
                  <c:v>30/05/2024</c:v>
                </c:pt>
                <c:pt idx="2">
                  <c:v>29/05/2024</c:v>
                </c:pt>
                <c:pt idx="3">
                  <c:v>28/05/2024</c:v>
                </c:pt>
                <c:pt idx="4">
                  <c:v>27/05/2024</c:v>
                </c:pt>
                <c:pt idx="5">
                  <c:v>24/05/2024</c:v>
                </c:pt>
                <c:pt idx="6">
                  <c:v>23/05/2024</c:v>
                </c:pt>
                <c:pt idx="7">
                  <c:v>22/05/2024</c:v>
                </c:pt>
                <c:pt idx="8">
                  <c:v>21/05/2024</c:v>
                </c:pt>
                <c:pt idx="9">
                  <c:v>20/05/2024</c:v>
                </c:pt>
                <c:pt idx="10">
                  <c:v>17/05/2024</c:v>
                </c:pt>
                <c:pt idx="11">
                  <c:v>16/05/2024</c:v>
                </c:pt>
                <c:pt idx="12">
                  <c:v>15/05/2024</c:v>
                </c:pt>
                <c:pt idx="13">
                  <c:v>14/05/2024</c:v>
                </c:pt>
                <c:pt idx="14">
                  <c:v>13/05/2024</c:v>
                </c:pt>
                <c:pt idx="15">
                  <c:v>10/05/2024</c:v>
                </c:pt>
                <c:pt idx="16">
                  <c:v>09/05/2024</c:v>
                </c:pt>
                <c:pt idx="17">
                  <c:v>08/05/2024</c:v>
                </c:pt>
                <c:pt idx="18">
                  <c:v>07/05/2024</c:v>
                </c:pt>
                <c:pt idx="19">
                  <c:v>06/05/2024</c:v>
                </c:pt>
                <c:pt idx="20">
                  <c:v>03/05/2024</c:v>
                </c:pt>
              </c:strCache>
            </c:strRef>
          </c:cat>
          <c:val>
            <c:numRef>
              <c:f>Intraday!$B$3:$B$23</c:f>
              <c:numCache>
                <c:formatCode>0.00%</c:formatCode>
                <c:ptCount val="21"/>
                <c:pt idx="0">
                  <c:v>-3.5999999999999999E-3</c:v>
                </c:pt>
                <c:pt idx="1">
                  <c:v>-5.0000000000000001E-3</c:v>
                </c:pt>
                <c:pt idx="2">
                  <c:v>-7.0999999999999995E-3</c:v>
                </c:pt>
                <c:pt idx="3">
                  <c:v>1.11E-2</c:v>
                </c:pt>
                <c:pt idx="4">
                  <c:v>4.5999999999999999E-3</c:v>
                </c:pt>
                <c:pt idx="5">
                  <c:v>-1.49E-2</c:v>
                </c:pt>
                <c:pt idx="6">
                  <c:v>1.11E-2</c:v>
                </c:pt>
                <c:pt idx="7">
                  <c:v>-8.0000000000000002E-3</c:v>
                </c:pt>
                <c:pt idx="8">
                  <c:v>-2.9999999999999997E-4</c:v>
                </c:pt>
                <c:pt idx="9">
                  <c:v>3.4999999999999996E-3</c:v>
                </c:pt>
                <c:pt idx="10">
                  <c:v>3.4000000000000002E-3</c:v>
                </c:pt>
                <c:pt idx="11">
                  <c:v>1.15E-2</c:v>
                </c:pt>
                <c:pt idx="12">
                  <c:v>8.8999999999999999E-3</c:v>
                </c:pt>
                <c:pt idx="13">
                  <c:v>2.5000000000000001E-3</c:v>
                </c:pt>
                <c:pt idx="14">
                  <c:v>-3.5999999999999999E-3</c:v>
                </c:pt>
                <c:pt idx="15">
                  <c:v>-3.2000000000000002E-3</c:v>
                </c:pt>
                <c:pt idx="16">
                  <c:v>-1.5E-3</c:v>
                </c:pt>
                <c:pt idx="17">
                  <c:v>1.5E-3</c:v>
                </c:pt>
                <c:pt idx="18">
                  <c:v>5.6999999999999993E-3</c:v>
                </c:pt>
                <c:pt idx="19">
                  <c:v>1.6799999999999999E-2</c:v>
                </c:pt>
                <c:pt idx="20">
                  <c:v>3.8E-3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F-BF41-AB19-3197A8DCC81D}"/>
            </c:ext>
          </c:extLst>
        </c:ser>
        <c:ser>
          <c:idx val="5"/>
          <c:order val="2"/>
          <c:tx>
            <c:strRef>
              <c:f>Intraday!$G$1:$G$2</c:f>
              <c:strCache>
                <c:ptCount val="2"/>
                <c:pt idx="0">
                  <c:v>VN30</c:v>
                </c:pt>
                <c:pt idx="1">
                  <c:v>Biến động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Intraday!$A$3:$A$23</c:f>
              <c:strCache>
                <c:ptCount val="21"/>
                <c:pt idx="0">
                  <c:v>31/05/2024</c:v>
                </c:pt>
                <c:pt idx="1">
                  <c:v>30/05/2024</c:v>
                </c:pt>
                <c:pt idx="2">
                  <c:v>29/05/2024</c:v>
                </c:pt>
                <c:pt idx="3">
                  <c:v>28/05/2024</c:v>
                </c:pt>
                <c:pt idx="4">
                  <c:v>27/05/2024</c:v>
                </c:pt>
                <c:pt idx="5">
                  <c:v>24/05/2024</c:v>
                </c:pt>
                <c:pt idx="6">
                  <c:v>23/05/2024</c:v>
                </c:pt>
                <c:pt idx="7">
                  <c:v>22/05/2024</c:v>
                </c:pt>
                <c:pt idx="8">
                  <c:v>21/05/2024</c:v>
                </c:pt>
                <c:pt idx="9">
                  <c:v>20/05/2024</c:v>
                </c:pt>
                <c:pt idx="10">
                  <c:v>17/05/2024</c:v>
                </c:pt>
                <c:pt idx="11">
                  <c:v>16/05/2024</c:v>
                </c:pt>
                <c:pt idx="12">
                  <c:v>15/05/2024</c:v>
                </c:pt>
                <c:pt idx="13">
                  <c:v>14/05/2024</c:v>
                </c:pt>
                <c:pt idx="14">
                  <c:v>13/05/2024</c:v>
                </c:pt>
                <c:pt idx="15">
                  <c:v>10/05/2024</c:v>
                </c:pt>
                <c:pt idx="16">
                  <c:v>09/05/2024</c:v>
                </c:pt>
                <c:pt idx="17">
                  <c:v>08/05/2024</c:v>
                </c:pt>
                <c:pt idx="18">
                  <c:v>07/05/2024</c:v>
                </c:pt>
                <c:pt idx="19">
                  <c:v>06/05/2024</c:v>
                </c:pt>
                <c:pt idx="20">
                  <c:v>03/05/2024</c:v>
                </c:pt>
              </c:strCache>
            </c:strRef>
          </c:cat>
          <c:val>
            <c:numRef>
              <c:f>Intraday!$G$3:$G$23</c:f>
              <c:numCache>
                <c:formatCode>0.00%</c:formatCode>
                <c:ptCount val="21"/>
                <c:pt idx="0">
                  <c:v>-2.5999999999999999E-3</c:v>
                </c:pt>
                <c:pt idx="1">
                  <c:v>-3.7000000000000002E-3</c:v>
                </c:pt>
                <c:pt idx="2">
                  <c:v>-1.21E-2</c:v>
                </c:pt>
                <c:pt idx="3">
                  <c:v>1.1599999999999999E-2</c:v>
                </c:pt>
                <c:pt idx="4">
                  <c:v>1.1000000000000001E-3</c:v>
                </c:pt>
                <c:pt idx="5">
                  <c:v>-1.6299999999999999E-2</c:v>
                </c:pt>
                <c:pt idx="6">
                  <c:v>1.03E-2</c:v>
                </c:pt>
                <c:pt idx="7">
                  <c:v>-1.3100000000000001E-2</c:v>
                </c:pt>
                <c:pt idx="8">
                  <c:v>-3.0000000000000001E-3</c:v>
                </c:pt>
                <c:pt idx="9">
                  <c:v>1.8E-3</c:v>
                </c:pt>
                <c:pt idx="10">
                  <c:v>1.4000000000000002E-3</c:v>
                </c:pt>
                <c:pt idx="11">
                  <c:v>1.4199999999999999E-2</c:v>
                </c:pt>
                <c:pt idx="12">
                  <c:v>9.8999999999999991E-3</c:v>
                </c:pt>
                <c:pt idx="13">
                  <c:v>3.8E-3</c:v>
                </c:pt>
                <c:pt idx="14">
                  <c:v>-3.9000000000000003E-3</c:v>
                </c:pt>
                <c:pt idx="15">
                  <c:v>-3.0999999999999999E-3</c:v>
                </c:pt>
                <c:pt idx="16">
                  <c:v>-2.5999999999999999E-3</c:v>
                </c:pt>
                <c:pt idx="17">
                  <c:v>0</c:v>
                </c:pt>
                <c:pt idx="18">
                  <c:v>8.0000000000000002E-3</c:v>
                </c:pt>
                <c:pt idx="19">
                  <c:v>1.5100000000000001E-2</c:v>
                </c:pt>
                <c:pt idx="20">
                  <c:v>6.7000000000000002E-3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25F-BF41-AB19-3197A8DCC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3308767"/>
        <c:axId val="411674223"/>
      </c:barChart>
      <c:lineChart>
        <c:grouping val="standard"/>
        <c:varyColors val="0"/>
        <c:ser>
          <c:idx val="1"/>
          <c:order val="1"/>
          <c:tx>
            <c:strRef>
              <c:f>Intraday!$C$1:$C$2</c:f>
              <c:strCache>
                <c:ptCount val="2"/>
                <c:pt idx="0">
                  <c:v>VNINDEX</c:v>
                </c:pt>
                <c:pt idx="1">
                  <c:v>Luỹ Kế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Intraday!$A$3:$A$23</c:f>
              <c:strCache>
                <c:ptCount val="21"/>
                <c:pt idx="0">
                  <c:v>31/05/2024</c:v>
                </c:pt>
                <c:pt idx="1">
                  <c:v>30/05/2024</c:v>
                </c:pt>
                <c:pt idx="2">
                  <c:v>29/05/2024</c:v>
                </c:pt>
                <c:pt idx="3">
                  <c:v>28/05/2024</c:v>
                </c:pt>
                <c:pt idx="4">
                  <c:v>27/05/2024</c:v>
                </c:pt>
                <c:pt idx="5">
                  <c:v>24/05/2024</c:v>
                </c:pt>
                <c:pt idx="6">
                  <c:v>23/05/2024</c:v>
                </c:pt>
                <c:pt idx="7">
                  <c:v>22/05/2024</c:v>
                </c:pt>
                <c:pt idx="8">
                  <c:v>21/05/2024</c:v>
                </c:pt>
                <c:pt idx="9">
                  <c:v>20/05/2024</c:v>
                </c:pt>
                <c:pt idx="10">
                  <c:v>17/05/2024</c:v>
                </c:pt>
                <c:pt idx="11">
                  <c:v>16/05/2024</c:v>
                </c:pt>
                <c:pt idx="12">
                  <c:v>15/05/2024</c:v>
                </c:pt>
                <c:pt idx="13">
                  <c:v>14/05/2024</c:v>
                </c:pt>
                <c:pt idx="14">
                  <c:v>13/05/2024</c:v>
                </c:pt>
                <c:pt idx="15">
                  <c:v>10/05/2024</c:v>
                </c:pt>
                <c:pt idx="16">
                  <c:v>09/05/2024</c:v>
                </c:pt>
                <c:pt idx="17">
                  <c:v>08/05/2024</c:v>
                </c:pt>
                <c:pt idx="18">
                  <c:v>07/05/2024</c:v>
                </c:pt>
                <c:pt idx="19">
                  <c:v>06/05/2024</c:v>
                </c:pt>
                <c:pt idx="20">
                  <c:v>03/05/2024</c:v>
                </c:pt>
              </c:strCache>
            </c:strRef>
          </c:cat>
          <c:val>
            <c:numRef>
              <c:f>Intraday!$C$3:$C$23</c:f>
              <c:numCache>
                <c:formatCode>0.00%</c:formatCode>
                <c:ptCount val="21"/>
                <c:pt idx="0">
                  <c:v>0.11370000000000004</c:v>
                </c:pt>
                <c:pt idx="1">
                  <c:v>0.11730000000000004</c:v>
                </c:pt>
                <c:pt idx="2">
                  <c:v>0.12230000000000005</c:v>
                </c:pt>
                <c:pt idx="3">
                  <c:v>0.12940000000000004</c:v>
                </c:pt>
                <c:pt idx="4">
                  <c:v>0.11830000000000004</c:v>
                </c:pt>
                <c:pt idx="5">
                  <c:v>0.11370000000000005</c:v>
                </c:pt>
                <c:pt idx="6">
                  <c:v>0.12860000000000005</c:v>
                </c:pt>
                <c:pt idx="7">
                  <c:v>0.11750000000000005</c:v>
                </c:pt>
                <c:pt idx="8">
                  <c:v>0.12550000000000006</c:v>
                </c:pt>
                <c:pt idx="9">
                  <c:v>0.12580000000000005</c:v>
                </c:pt>
                <c:pt idx="10">
                  <c:v>0.12230000000000005</c:v>
                </c:pt>
                <c:pt idx="11">
                  <c:v>0.11890000000000005</c:v>
                </c:pt>
                <c:pt idx="12">
                  <c:v>0.10740000000000005</c:v>
                </c:pt>
                <c:pt idx="13">
                  <c:v>9.8500000000000046E-2</c:v>
                </c:pt>
                <c:pt idx="14">
                  <c:v>9.6000000000000044E-2</c:v>
                </c:pt>
                <c:pt idx="15">
                  <c:v>9.960000000000005E-2</c:v>
                </c:pt>
                <c:pt idx="16">
                  <c:v>0.10280000000000004</c:v>
                </c:pt>
                <c:pt idx="17">
                  <c:v>0.10430000000000005</c:v>
                </c:pt>
                <c:pt idx="18">
                  <c:v>0.10280000000000004</c:v>
                </c:pt>
                <c:pt idx="19">
                  <c:v>9.7100000000000047E-2</c:v>
                </c:pt>
                <c:pt idx="20">
                  <c:v>8.0300000000000052E-2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F-BF41-AB19-3197A8DCC81D}"/>
            </c:ext>
          </c:extLst>
        </c:ser>
        <c:ser>
          <c:idx val="6"/>
          <c:order val="3"/>
          <c:tx>
            <c:strRef>
              <c:f>Intraday!$H$1:$H$2</c:f>
              <c:strCache>
                <c:ptCount val="2"/>
                <c:pt idx="0">
                  <c:v>VN30</c:v>
                </c:pt>
                <c:pt idx="1">
                  <c:v>Luỹ Kế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Intraday!$A$3:$A$23</c:f>
              <c:strCache>
                <c:ptCount val="21"/>
                <c:pt idx="0">
                  <c:v>31/05/2024</c:v>
                </c:pt>
                <c:pt idx="1">
                  <c:v>30/05/2024</c:v>
                </c:pt>
                <c:pt idx="2">
                  <c:v>29/05/2024</c:v>
                </c:pt>
                <c:pt idx="3">
                  <c:v>28/05/2024</c:v>
                </c:pt>
                <c:pt idx="4">
                  <c:v>27/05/2024</c:v>
                </c:pt>
                <c:pt idx="5">
                  <c:v>24/05/2024</c:v>
                </c:pt>
                <c:pt idx="6">
                  <c:v>23/05/2024</c:v>
                </c:pt>
                <c:pt idx="7">
                  <c:v>22/05/2024</c:v>
                </c:pt>
                <c:pt idx="8">
                  <c:v>21/05/2024</c:v>
                </c:pt>
                <c:pt idx="9">
                  <c:v>20/05/2024</c:v>
                </c:pt>
                <c:pt idx="10">
                  <c:v>17/05/2024</c:v>
                </c:pt>
                <c:pt idx="11">
                  <c:v>16/05/2024</c:v>
                </c:pt>
                <c:pt idx="12">
                  <c:v>15/05/2024</c:v>
                </c:pt>
                <c:pt idx="13">
                  <c:v>14/05/2024</c:v>
                </c:pt>
                <c:pt idx="14">
                  <c:v>13/05/2024</c:v>
                </c:pt>
                <c:pt idx="15">
                  <c:v>10/05/2024</c:v>
                </c:pt>
                <c:pt idx="16">
                  <c:v>09/05/2024</c:v>
                </c:pt>
                <c:pt idx="17">
                  <c:v>08/05/2024</c:v>
                </c:pt>
                <c:pt idx="18">
                  <c:v>07/05/2024</c:v>
                </c:pt>
                <c:pt idx="19">
                  <c:v>06/05/2024</c:v>
                </c:pt>
                <c:pt idx="20">
                  <c:v>03/05/2024</c:v>
                </c:pt>
              </c:strCache>
            </c:strRef>
          </c:cat>
          <c:val>
            <c:numRef>
              <c:f>Intraday!$H$3:$H$23</c:f>
              <c:numCache>
                <c:formatCode>0.00%</c:formatCode>
                <c:ptCount val="21"/>
                <c:pt idx="0">
                  <c:v>0.12580000000000005</c:v>
                </c:pt>
                <c:pt idx="1">
                  <c:v>0.12840000000000004</c:v>
                </c:pt>
                <c:pt idx="2">
                  <c:v>0.13210000000000005</c:v>
                </c:pt>
                <c:pt idx="3">
                  <c:v>0.14420000000000005</c:v>
                </c:pt>
                <c:pt idx="4">
                  <c:v>0.13260000000000005</c:v>
                </c:pt>
                <c:pt idx="5">
                  <c:v>0.13150000000000006</c:v>
                </c:pt>
                <c:pt idx="6">
                  <c:v>0.14780000000000007</c:v>
                </c:pt>
                <c:pt idx="7">
                  <c:v>0.13750000000000007</c:v>
                </c:pt>
                <c:pt idx="8">
                  <c:v>0.15060000000000007</c:v>
                </c:pt>
                <c:pt idx="9">
                  <c:v>0.15360000000000007</c:v>
                </c:pt>
                <c:pt idx="10">
                  <c:v>0.15180000000000007</c:v>
                </c:pt>
                <c:pt idx="11">
                  <c:v>0.15040000000000006</c:v>
                </c:pt>
                <c:pt idx="12">
                  <c:v>0.13620000000000007</c:v>
                </c:pt>
                <c:pt idx="13">
                  <c:v>0.12630000000000008</c:v>
                </c:pt>
                <c:pt idx="14">
                  <c:v>0.12250000000000007</c:v>
                </c:pt>
                <c:pt idx="15">
                  <c:v>0.12640000000000007</c:v>
                </c:pt>
                <c:pt idx="16">
                  <c:v>0.12950000000000006</c:v>
                </c:pt>
                <c:pt idx="17">
                  <c:v>0.13210000000000005</c:v>
                </c:pt>
                <c:pt idx="18">
                  <c:v>0.13210000000000005</c:v>
                </c:pt>
                <c:pt idx="19">
                  <c:v>0.12410000000000004</c:v>
                </c:pt>
                <c:pt idx="20">
                  <c:v>0.10900000000000004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5F-BF41-AB19-3197A8DCC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308767"/>
        <c:axId val="411674223"/>
      </c:lineChart>
      <c:catAx>
        <c:axId val="403308767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674223"/>
        <c:crosses val="autoZero"/>
        <c:auto val="0"/>
        <c:lblAlgn val="ctr"/>
        <c:lblOffset val="100"/>
        <c:noMultiLvlLbl val="1"/>
      </c:catAx>
      <c:valAx>
        <c:axId val="4116742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03308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812800</xdr:colOff>
      <xdr:row>1</xdr:row>
      <xdr:rowOff>12700</xdr:rowOff>
    </xdr:from>
    <xdr:to>
      <xdr:col>34</xdr:col>
      <xdr:colOff>133350</xdr:colOff>
      <xdr:row>17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653DB7-8FE1-B4DD-4D26-3277B3BAC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800100</xdr:colOff>
      <xdr:row>17</xdr:row>
      <xdr:rowOff>190500</xdr:rowOff>
    </xdr:from>
    <xdr:to>
      <xdr:col>36</xdr:col>
      <xdr:colOff>228600</xdr:colOff>
      <xdr:row>41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8D2D3D9-433F-88D4-EC0F-B62F24EA5B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rung.nguyenhoang/Documents/github/ssh/stocks/App/DinhGiaCoPhieu.xlsm" TargetMode="External"/><Relationship Id="rId1" Type="http://schemas.openxmlformats.org/officeDocument/2006/relationships/externalLinkPath" Target="DinhGiaCoPhie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rmula"/>
      <sheetName val="2020"/>
      <sheetName val="2021"/>
      <sheetName val="2022"/>
      <sheetName val="2023"/>
      <sheetName val="PriceValue"/>
      <sheetName val="PE"/>
      <sheetName val="ThongKe"/>
      <sheetName val="Estimate"/>
      <sheetName val="MWG"/>
      <sheetName val="DGW"/>
      <sheetName val="FRT"/>
      <sheetName val="PET"/>
      <sheetName val="PNJ"/>
      <sheetName val="MCH"/>
      <sheetName val="VRE"/>
      <sheetName val="VNM"/>
      <sheetName val="CSV"/>
      <sheetName val="DPM"/>
      <sheetName val="BFC"/>
      <sheetName val="DCM"/>
      <sheetName val="NTP"/>
      <sheetName val="BMP"/>
      <sheetName val="DDV"/>
      <sheetName val="LAS"/>
      <sheetName val="DGC"/>
      <sheetName val="SGP"/>
      <sheetName val="PVT"/>
      <sheetName val="VTP"/>
      <sheetName val="GMD"/>
      <sheetName val="VOS"/>
      <sheetName val="DVP"/>
      <sheetName val="VSC"/>
      <sheetName val="HAH"/>
      <sheetName val="VPG"/>
      <sheetName val="HSG"/>
      <sheetName val="NKG"/>
      <sheetName val="HPG"/>
      <sheetName val="KBC"/>
      <sheetName val="IDC"/>
      <sheetName val="SZC"/>
      <sheetName val="NTC"/>
      <sheetName val="VGC"/>
      <sheetName val="PHR"/>
      <sheetName val="SIP"/>
      <sheetName val="LHG"/>
      <sheetName val="DPR"/>
      <sheetName val="GVR"/>
      <sheetName val="NT2"/>
      <sheetName val="QTP"/>
      <sheetName val="GEG"/>
      <sheetName val="BCG"/>
      <sheetName val="POW"/>
      <sheetName val="VHC"/>
      <sheetName val="ANV"/>
      <sheetName val="IDI"/>
      <sheetName val="FMC"/>
      <sheetName val="ASM"/>
      <sheetName val="MPC"/>
      <sheetName val="PDR"/>
      <sheetName val="DXG"/>
      <sheetName val="TCH"/>
      <sheetName val="SCR"/>
      <sheetName val="NLG"/>
      <sheetName val="KDH"/>
      <sheetName val="VHM"/>
      <sheetName val="DIG"/>
      <sheetName val="NVL"/>
      <sheetName val="NTL"/>
      <sheetName val="DTD"/>
      <sheetName val="CEO"/>
      <sheetName val="HDC"/>
      <sheetName val="STK"/>
      <sheetName val="MSH"/>
      <sheetName val="TNG"/>
      <sheetName val="GIL"/>
      <sheetName val="ADS"/>
      <sheetName val="VGT"/>
      <sheetName val="EVE"/>
      <sheetName val="REE"/>
      <sheetName val="HDG"/>
      <sheetName val="GEX"/>
      <sheetName val="PC1"/>
      <sheetName val="TV2"/>
      <sheetName val="BSR"/>
      <sheetName val="PVD"/>
      <sheetName val="PVS"/>
      <sheetName val="PLX"/>
      <sheetName val="GAS"/>
      <sheetName val="OIL"/>
      <sheetName val="PSH"/>
      <sheetName val="KSB"/>
      <sheetName val="VLB"/>
      <sheetName val="DHA"/>
      <sheetName val="HT1"/>
      <sheetName val="PLC"/>
      <sheetName val="PTB"/>
      <sheetName val="VCS"/>
      <sheetName val="GDT"/>
      <sheetName val="DBC"/>
      <sheetName val="HAG"/>
      <sheetName val="BAF"/>
      <sheetName val="PAN"/>
      <sheetName val="LTG"/>
      <sheetName val="FPT"/>
      <sheetName val="MSN"/>
      <sheetName val="CTR"/>
      <sheetName val="LSS"/>
      <sheetName val="SLS"/>
      <sheetName val="SBT"/>
      <sheetName val="QNS"/>
      <sheetName val="DHC"/>
      <sheetName val="DHG"/>
      <sheetName val="IMP"/>
      <sheetName val="DRC"/>
      <sheetName val="HUT"/>
      <sheetName val="HAX"/>
      <sheetName val="VIC"/>
      <sheetName val="VCG"/>
      <sheetName val="CTD"/>
      <sheetName val="C4G"/>
      <sheetName val="VGI"/>
      <sheetName val="FCN"/>
      <sheetName val="CII"/>
      <sheetName val="THG"/>
      <sheetName val="HHV"/>
      <sheetName val="LCG"/>
      <sheetName val="DPG"/>
      <sheetName val="BCM"/>
      <sheetName val="SSI"/>
      <sheetName val="VND"/>
      <sheetName val="BSI"/>
      <sheetName val="FTS"/>
      <sheetName val="MBS"/>
      <sheetName val="VIX"/>
      <sheetName val="VCI"/>
      <sheetName val="HCM"/>
      <sheetName val="SHS"/>
      <sheetName val="CTS"/>
      <sheetName val="VDS"/>
      <sheetName val="ORS"/>
      <sheetName val="VCB"/>
      <sheetName val="TCB"/>
      <sheetName val="ACB"/>
      <sheetName val="MBB"/>
      <sheetName val="VPB"/>
      <sheetName val="STB"/>
      <sheetName val="CTG"/>
      <sheetName val="SHB"/>
      <sheetName val="VIB"/>
      <sheetName val="LPB"/>
      <sheetName val="TPB"/>
      <sheetName val="HDB"/>
      <sheetName val="MSB"/>
    </sheetNames>
    <sheetDataSet>
      <sheetData sheetId="0"/>
      <sheetData sheetId="1"/>
      <sheetData sheetId="2"/>
      <sheetData sheetId="3"/>
      <sheetData sheetId="4">
        <row r="41">
          <cell r="A41" t="str">
            <v>HNG</v>
          </cell>
          <cell r="B41">
            <v>11085538</v>
          </cell>
          <cell r="C41">
            <v>2305802</v>
          </cell>
          <cell r="D41">
            <v>1108553895</v>
          </cell>
          <cell r="E41">
            <v>605591</v>
          </cell>
          <cell r="F41">
            <v>-1050010</v>
          </cell>
        </row>
        <row r="42">
          <cell r="A42" t="str">
            <v>TCH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</row>
        <row r="43">
          <cell r="A43" t="str">
            <v>TCM</v>
          </cell>
          <cell r="B43">
            <v>926977</v>
          </cell>
          <cell r="C43">
            <v>2010136</v>
          </cell>
          <cell r="D43">
            <v>92697714</v>
          </cell>
          <cell r="E43">
            <v>3324824</v>
          </cell>
          <cell r="F43">
            <v>131907</v>
          </cell>
        </row>
        <row r="44">
          <cell r="A44" t="str">
            <v>VGI</v>
          </cell>
          <cell r="B44">
            <v>30438112</v>
          </cell>
          <cell r="C44">
            <v>30362756</v>
          </cell>
          <cell r="D44">
            <v>3043811200</v>
          </cell>
          <cell r="E44">
            <v>28192105</v>
          </cell>
          <cell r="F44">
            <v>444961</v>
          </cell>
        </row>
        <row r="45">
          <cell r="A45" t="str">
            <v>OIL</v>
          </cell>
          <cell r="B45">
            <v>10342295</v>
          </cell>
          <cell r="C45">
            <v>11397133</v>
          </cell>
          <cell r="D45">
            <v>1034229500</v>
          </cell>
          <cell r="E45">
            <v>102668902</v>
          </cell>
          <cell r="F45">
            <v>576728</v>
          </cell>
        </row>
        <row r="46">
          <cell r="A46" t="str">
            <v>VPG</v>
          </cell>
          <cell r="B46">
            <v>842070</v>
          </cell>
          <cell r="C46">
            <v>1493065</v>
          </cell>
          <cell r="D46">
            <v>84207071</v>
          </cell>
          <cell r="E46">
            <v>6337724</v>
          </cell>
          <cell r="F46">
            <v>19542</v>
          </cell>
        </row>
        <row r="47">
          <cell r="A47" t="str">
            <v>GDT</v>
          </cell>
          <cell r="B47">
            <v>218725</v>
          </cell>
          <cell r="C47">
            <v>291574</v>
          </cell>
          <cell r="D47">
            <v>21872592</v>
          </cell>
          <cell r="E47">
            <v>309782</v>
          </cell>
          <cell r="F47">
            <v>36622</v>
          </cell>
        </row>
        <row r="48">
          <cell r="A48" t="str">
            <v>PLC</v>
          </cell>
          <cell r="B48">
            <v>807988</v>
          </cell>
          <cell r="C48">
            <v>1319354</v>
          </cell>
          <cell r="D48">
            <v>80798839</v>
          </cell>
          <cell r="E48">
            <v>7960653</v>
          </cell>
          <cell r="F48">
            <v>107738</v>
          </cell>
        </row>
        <row r="49">
          <cell r="A49" t="str">
            <v>DVP</v>
          </cell>
          <cell r="B49">
            <v>400000</v>
          </cell>
          <cell r="C49">
            <v>1374260</v>
          </cell>
          <cell r="D49">
            <v>40000000</v>
          </cell>
          <cell r="E49">
            <v>549212</v>
          </cell>
          <cell r="F49">
            <v>328926</v>
          </cell>
        </row>
        <row r="50">
          <cell r="A50" t="str">
            <v>SGP</v>
          </cell>
          <cell r="B50">
            <v>2162949</v>
          </cell>
          <cell r="C50">
            <v>2841345</v>
          </cell>
          <cell r="D50">
            <v>216294961</v>
          </cell>
          <cell r="E50">
            <v>942618</v>
          </cell>
          <cell r="F50">
            <v>293244</v>
          </cell>
        </row>
        <row r="51">
          <cell r="A51" t="str">
            <v>EVE</v>
          </cell>
          <cell r="B51">
            <v>419797</v>
          </cell>
          <cell r="C51">
            <v>998827</v>
          </cell>
          <cell r="D51">
            <v>41979773</v>
          </cell>
          <cell r="E51">
            <v>786853</v>
          </cell>
          <cell r="F51">
            <v>17894</v>
          </cell>
        </row>
        <row r="52">
          <cell r="A52" t="str">
            <v>BCC</v>
          </cell>
          <cell r="B52">
            <v>1232098</v>
          </cell>
          <cell r="C52">
            <v>1818723</v>
          </cell>
          <cell r="D52">
            <v>123209812</v>
          </cell>
          <cell r="E52">
            <v>3081365</v>
          </cell>
          <cell r="F52">
            <v>-193682</v>
          </cell>
        </row>
        <row r="53">
          <cell r="A53" t="str">
            <v>EVF</v>
          </cell>
          <cell r="B53">
            <v>7042483</v>
          </cell>
          <cell r="C53">
            <v>8456218</v>
          </cell>
          <cell r="D53">
            <v>704248300</v>
          </cell>
          <cell r="E53">
            <v>709025</v>
          </cell>
          <cell r="F53">
            <v>328379</v>
          </cell>
        </row>
        <row r="54">
          <cell r="A54" t="str">
            <v>IJC</v>
          </cell>
          <cell r="B54">
            <v>2518325</v>
          </cell>
          <cell r="C54">
            <v>3823844</v>
          </cell>
          <cell r="D54">
            <v>251832509</v>
          </cell>
          <cell r="E54">
            <v>1493713</v>
          </cell>
          <cell r="F54">
            <v>395038</v>
          </cell>
        </row>
        <row r="55">
          <cell r="A55" t="str">
            <v>CTS</v>
          </cell>
          <cell r="B55">
            <v>1487383</v>
          </cell>
          <cell r="C55">
            <v>2038115</v>
          </cell>
          <cell r="D55">
            <v>148738311</v>
          </cell>
          <cell r="E55">
            <v>1144680</v>
          </cell>
          <cell r="F55">
            <v>187581</v>
          </cell>
        </row>
        <row r="56">
          <cell r="A56" t="str">
            <v>BVH</v>
          </cell>
          <cell r="B56">
            <v>7423227</v>
          </cell>
          <cell r="C56">
            <v>22196978</v>
          </cell>
          <cell r="D56">
            <v>742322764</v>
          </cell>
          <cell r="E56">
            <v>40034309</v>
          </cell>
          <cell r="F56">
            <v>1722756</v>
          </cell>
        </row>
        <row r="57">
          <cell r="A57" t="str">
            <v>TIG</v>
          </cell>
          <cell r="B57">
            <v>1936062</v>
          </cell>
          <cell r="C57">
            <v>2580355</v>
          </cell>
          <cell r="D57">
            <v>193606205</v>
          </cell>
          <cell r="E57">
            <v>1230477</v>
          </cell>
          <cell r="F57">
            <v>210075</v>
          </cell>
        </row>
        <row r="58">
          <cell r="A58" t="str">
            <v>SIP</v>
          </cell>
          <cell r="B58">
            <v>1818079</v>
          </cell>
          <cell r="C58">
            <v>4038759</v>
          </cell>
          <cell r="D58">
            <v>181807923</v>
          </cell>
          <cell r="E58">
            <v>6673425</v>
          </cell>
          <cell r="F58">
            <v>956238</v>
          </cell>
        </row>
        <row r="59">
          <cell r="A59" t="str">
            <v>CRE</v>
          </cell>
          <cell r="B59">
            <v>4636785</v>
          </cell>
          <cell r="C59">
            <v>5619478</v>
          </cell>
          <cell r="D59">
            <v>463678534</v>
          </cell>
          <cell r="E59">
            <v>932598</v>
          </cell>
          <cell r="F59">
            <v>2485</v>
          </cell>
        </row>
        <row r="60">
          <cell r="A60" t="str">
            <v>HHS</v>
          </cell>
          <cell r="B60">
            <v>3471607</v>
          </cell>
          <cell r="C60">
            <v>4501250</v>
          </cell>
          <cell r="D60">
            <v>347160713</v>
          </cell>
          <cell r="E60">
            <v>366575</v>
          </cell>
          <cell r="F60">
            <v>348117</v>
          </cell>
        </row>
        <row r="61">
          <cell r="A61" t="str">
            <v>PSH</v>
          </cell>
          <cell r="B61">
            <v>1261967</v>
          </cell>
          <cell r="C61">
            <v>1601029</v>
          </cell>
          <cell r="D61">
            <v>126196780</v>
          </cell>
          <cell r="E61">
            <v>6094831</v>
          </cell>
          <cell r="F61">
            <v>56915</v>
          </cell>
        </row>
        <row r="62">
          <cell r="A62" t="str">
            <v>FIT</v>
          </cell>
          <cell r="B62">
            <v>3399330</v>
          </cell>
          <cell r="C62">
            <v>5788794</v>
          </cell>
          <cell r="D62">
            <v>339933034</v>
          </cell>
          <cell r="E62">
            <v>1753876</v>
          </cell>
          <cell r="F62">
            <v>-113104</v>
          </cell>
        </row>
        <row r="63">
          <cell r="A63" t="str">
            <v>LCG</v>
          </cell>
          <cell r="B63">
            <v>1916411</v>
          </cell>
          <cell r="C63">
            <v>2555023</v>
          </cell>
          <cell r="D63">
            <v>191641170</v>
          </cell>
          <cell r="E63">
            <v>2030546</v>
          </cell>
          <cell r="F63">
            <v>120407</v>
          </cell>
        </row>
        <row r="64">
          <cell r="A64" t="str">
            <v>TTF</v>
          </cell>
          <cell r="B64">
            <v>4111983</v>
          </cell>
          <cell r="C64">
            <v>343896</v>
          </cell>
          <cell r="D64">
            <v>411198302</v>
          </cell>
          <cell r="E64">
            <v>1545450</v>
          </cell>
          <cell r="F64">
            <v>10847</v>
          </cell>
        </row>
        <row r="65">
          <cell r="A65" t="str">
            <v>ACL</v>
          </cell>
          <cell r="B65">
            <v>501590</v>
          </cell>
          <cell r="C65">
            <v>801265</v>
          </cell>
          <cell r="D65">
            <v>50159019</v>
          </cell>
          <cell r="E65">
            <v>1116757</v>
          </cell>
          <cell r="F65">
            <v>11976</v>
          </cell>
        </row>
        <row r="66">
          <cell r="A66" t="str">
            <v>HBC</v>
          </cell>
          <cell r="B66">
            <v>2741332</v>
          </cell>
          <cell r="C66">
            <v>453621</v>
          </cell>
          <cell r="D66">
            <v>274133270</v>
          </cell>
          <cell r="E66">
            <v>7546426</v>
          </cell>
          <cell r="F66">
            <v>-777544</v>
          </cell>
        </row>
        <row r="67">
          <cell r="A67" t="str">
            <v>DXS</v>
          </cell>
          <cell r="B67">
            <v>5741031</v>
          </cell>
          <cell r="C67">
            <v>8102854</v>
          </cell>
          <cell r="D67">
            <v>574103124</v>
          </cell>
          <cell r="E67">
            <v>1978398</v>
          </cell>
          <cell r="F67">
            <v>-168210</v>
          </cell>
        </row>
        <row r="68">
          <cell r="A68" t="str">
            <v>SCR</v>
          </cell>
          <cell r="B68">
            <v>3956617</v>
          </cell>
          <cell r="C68">
            <v>5124919</v>
          </cell>
          <cell r="D68">
            <v>395661775</v>
          </cell>
          <cell r="E68">
            <v>371202</v>
          </cell>
          <cell r="F68">
            <v>8488</v>
          </cell>
        </row>
        <row r="69">
          <cell r="A69" t="str">
            <v>HQC</v>
          </cell>
          <cell r="B69">
            <v>4766000</v>
          </cell>
          <cell r="C69">
            <v>4364393</v>
          </cell>
          <cell r="D69">
            <v>476600000</v>
          </cell>
          <cell r="E69">
            <v>292813</v>
          </cell>
          <cell r="F69">
            <v>5062</v>
          </cell>
        </row>
        <row r="70">
          <cell r="A70" t="str">
            <v>MIG</v>
          </cell>
          <cell r="B70">
            <v>1726725</v>
          </cell>
          <cell r="C70">
            <v>2081258</v>
          </cell>
          <cell r="D70">
            <v>172672500</v>
          </cell>
          <cell r="E70">
            <v>3593871</v>
          </cell>
          <cell r="F70">
            <v>280554</v>
          </cell>
        </row>
        <row r="71">
          <cell r="A71" t="str">
            <v>BCG</v>
          </cell>
          <cell r="B71">
            <v>5334676</v>
          </cell>
          <cell r="C71">
            <v>17456179</v>
          </cell>
          <cell r="D71">
            <v>533467622</v>
          </cell>
          <cell r="E71">
            <v>4011612</v>
          </cell>
          <cell r="F71">
            <v>75034</v>
          </cell>
        </row>
        <row r="72">
          <cell r="A72" t="str">
            <v>BFC</v>
          </cell>
          <cell r="B72">
            <v>571679</v>
          </cell>
          <cell r="C72">
            <v>1285955</v>
          </cell>
          <cell r="D72">
            <v>57167993</v>
          </cell>
          <cell r="E72">
            <v>8588409</v>
          </cell>
          <cell r="F72">
            <v>148358</v>
          </cell>
        </row>
        <row r="73">
          <cell r="A73" t="str">
            <v>SMC</v>
          </cell>
          <cell r="B73">
            <v>736785</v>
          </cell>
          <cell r="C73">
            <v>803767</v>
          </cell>
          <cell r="D73">
            <v>73678587</v>
          </cell>
          <cell r="E73">
            <v>13786263</v>
          </cell>
          <cell r="F73">
            <v>-879288</v>
          </cell>
        </row>
        <row r="74">
          <cell r="A74" t="str">
            <v>VGS</v>
          </cell>
          <cell r="B74">
            <v>532696</v>
          </cell>
          <cell r="C74">
            <v>981355</v>
          </cell>
          <cell r="D74">
            <v>53269670</v>
          </cell>
          <cell r="E74">
            <v>7555693</v>
          </cell>
          <cell r="F74">
            <v>58066</v>
          </cell>
        </row>
        <row r="75">
          <cell r="A75" t="str">
            <v>VIC</v>
          </cell>
          <cell r="B75">
            <v>38785833</v>
          </cell>
          <cell r="C75">
            <v>148021576</v>
          </cell>
          <cell r="D75">
            <v>3878583300</v>
          </cell>
          <cell r="E75">
            <v>161634280</v>
          </cell>
          <cell r="F75">
            <v>2062572</v>
          </cell>
        </row>
        <row r="76">
          <cell r="A76" t="str">
            <v>MSN</v>
          </cell>
          <cell r="B76">
            <v>14308434</v>
          </cell>
          <cell r="C76">
            <v>38237241</v>
          </cell>
          <cell r="D76">
            <v>1430843400</v>
          </cell>
          <cell r="E76">
            <v>78251619</v>
          </cell>
          <cell r="F76">
            <v>418695</v>
          </cell>
        </row>
        <row r="77">
          <cell r="A77" t="str">
            <v>GEX</v>
          </cell>
          <cell r="B77">
            <v>8514957</v>
          </cell>
          <cell r="C77">
            <v>21224630</v>
          </cell>
          <cell r="D77">
            <v>851495793</v>
          </cell>
          <cell r="E77">
            <v>29998097</v>
          </cell>
          <cell r="F77">
            <v>331021</v>
          </cell>
        </row>
        <row r="78">
          <cell r="A78" t="str">
            <v>HDG</v>
          </cell>
          <cell r="B78">
            <v>3057568</v>
          </cell>
          <cell r="C78">
            <v>7314694</v>
          </cell>
          <cell r="D78">
            <v>305756841</v>
          </cell>
          <cell r="E78">
            <v>2881512</v>
          </cell>
          <cell r="F78">
            <v>711503</v>
          </cell>
        </row>
        <row r="79">
          <cell r="A79" t="str">
            <v>REE</v>
          </cell>
          <cell r="B79">
            <v>4097142</v>
          </cell>
          <cell r="C79">
            <v>20770325</v>
          </cell>
          <cell r="D79">
            <v>409714260</v>
          </cell>
          <cell r="E79">
            <v>8569581</v>
          </cell>
          <cell r="F79">
            <v>2187861</v>
          </cell>
        </row>
        <row r="80">
          <cell r="A80" t="str">
            <v>DRC</v>
          </cell>
          <cell r="B80">
            <v>1187926</v>
          </cell>
          <cell r="C80">
            <v>1852784</v>
          </cell>
          <cell r="D80">
            <v>118792605</v>
          </cell>
          <cell r="E80">
            <v>4495174</v>
          </cell>
          <cell r="F80">
            <v>247740</v>
          </cell>
        </row>
        <row r="81">
          <cell r="A81" t="str">
            <v>DHC</v>
          </cell>
          <cell r="B81">
            <v>804930</v>
          </cell>
          <cell r="C81">
            <v>1851647</v>
          </cell>
          <cell r="D81">
            <v>80493048</v>
          </cell>
          <cell r="E81">
            <v>3258908</v>
          </cell>
          <cell r="F81">
            <v>309081</v>
          </cell>
        </row>
        <row r="82">
          <cell r="A82" t="str">
            <v>HUT</v>
          </cell>
          <cell r="B82">
            <v>8925119</v>
          </cell>
          <cell r="C82">
            <v>11252093</v>
          </cell>
          <cell r="D82">
            <v>892511965</v>
          </cell>
          <cell r="E82">
            <v>10975028</v>
          </cell>
          <cell r="F82">
            <v>43634</v>
          </cell>
        </row>
        <row r="83">
          <cell r="A83" t="str">
            <v>VEA</v>
          </cell>
          <cell r="B83">
            <v>13288000</v>
          </cell>
          <cell r="C83">
            <v>25760980</v>
          </cell>
          <cell r="D83">
            <v>1328800000</v>
          </cell>
          <cell r="E83">
            <v>3842549</v>
          </cell>
          <cell r="F83">
            <v>6233582</v>
          </cell>
        </row>
        <row r="84">
          <cell r="A84" t="str">
            <v>HAX</v>
          </cell>
          <cell r="B84">
            <v>934275</v>
          </cell>
          <cell r="C84">
            <v>1164003</v>
          </cell>
          <cell r="D84">
            <v>93427565</v>
          </cell>
          <cell r="E84">
            <v>3981921</v>
          </cell>
          <cell r="F84">
            <v>34589</v>
          </cell>
        </row>
        <row r="85">
          <cell r="A85" t="str">
            <v>FPT</v>
          </cell>
          <cell r="B85">
            <v>12699688</v>
          </cell>
          <cell r="C85">
            <v>29948354</v>
          </cell>
          <cell r="D85">
            <v>1269968875</v>
          </cell>
          <cell r="E85">
            <v>52617900</v>
          </cell>
          <cell r="F85">
            <v>6470522</v>
          </cell>
        </row>
        <row r="86">
          <cell r="A86" t="str">
            <v>AMV</v>
          </cell>
          <cell r="B86">
            <v>1311056</v>
          </cell>
          <cell r="C86">
            <v>1689816</v>
          </cell>
          <cell r="D86">
            <v>131105650</v>
          </cell>
          <cell r="E86">
            <v>196107</v>
          </cell>
          <cell r="F86">
            <v>13581</v>
          </cell>
        </row>
        <row r="87">
          <cell r="A87" t="str">
            <v>IMP</v>
          </cell>
          <cell r="B87">
            <v>700384</v>
          </cell>
          <cell r="C87">
            <v>2084578</v>
          </cell>
          <cell r="D87">
            <v>70038449</v>
          </cell>
          <cell r="E87">
            <v>1994036</v>
          </cell>
          <cell r="F87">
            <v>299556</v>
          </cell>
        </row>
        <row r="88">
          <cell r="A88" t="str">
            <v>DHG</v>
          </cell>
          <cell r="B88">
            <v>1307460</v>
          </cell>
          <cell r="C88">
            <v>4853762</v>
          </cell>
          <cell r="D88">
            <v>130746071</v>
          </cell>
          <cell r="E88">
            <v>5015395</v>
          </cell>
          <cell r="F88">
            <v>1051490</v>
          </cell>
        </row>
        <row r="89">
          <cell r="A89" t="str">
            <v>SLS</v>
          </cell>
          <cell r="B89">
            <v>97919</v>
          </cell>
          <cell r="C89">
            <v>1218872</v>
          </cell>
          <cell r="D89">
            <v>9791945</v>
          </cell>
          <cell r="E89">
            <v>1619561</v>
          </cell>
          <cell r="F89">
            <v>523378</v>
          </cell>
        </row>
        <row r="90">
          <cell r="A90" t="str">
            <v>LSS</v>
          </cell>
          <cell r="B90">
            <v>745479</v>
          </cell>
          <cell r="C90">
            <v>1705645</v>
          </cell>
          <cell r="D90">
            <v>74547993</v>
          </cell>
          <cell r="E90">
            <v>2808504</v>
          </cell>
          <cell r="F90">
            <v>119756</v>
          </cell>
        </row>
        <row r="91">
          <cell r="A91" t="str">
            <v>SBT</v>
          </cell>
          <cell r="B91">
            <v>7621123</v>
          </cell>
          <cell r="C91">
            <v>11100192</v>
          </cell>
          <cell r="D91">
            <v>762112326</v>
          </cell>
          <cell r="E91">
            <v>25893559</v>
          </cell>
          <cell r="F91">
            <v>553352</v>
          </cell>
        </row>
        <row r="92">
          <cell r="A92" t="str">
            <v>QNS</v>
          </cell>
          <cell r="B92">
            <v>3569399</v>
          </cell>
          <cell r="C92">
            <v>8586571</v>
          </cell>
          <cell r="D92">
            <v>356939955</v>
          </cell>
          <cell r="E92">
            <v>10022843</v>
          </cell>
          <cell r="F92">
            <v>2189477</v>
          </cell>
        </row>
        <row r="93">
          <cell r="A93" t="str">
            <v>GIL</v>
          </cell>
          <cell r="B93">
            <v>700000</v>
          </cell>
          <cell r="C93">
            <v>2542758</v>
          </cell>
          <cell r="D93">
            <v>69999286</v>
          </cell>
          <cell r="E93">
            <v>936395</v>
          </cell>
          <cell r="F93">
            <v>27640</v>
          </cell>
        </row>
        <row r="94">
          <cell r="A94" t="str">
            <v>ADS</v>
          </cell>
          <cell r="B94">
            <v>583947</v>
          </cell>
          <cell r="C94">
            <v>931156</v>
          </cell>
          <cell r="D94">
            <v>58394727</v>
          </cell>
          <cell r="E94">
            <v>1642250</v>
          </cell>
          <cell r="F94">
            <v>66773</v>
          </cell>
        </row>
        <row r="95">
          <cell r="A95" t="str">
            <v>MSH</v>
          </cell>
          <cell r="B95">
            <v>750141</v>
          </cell>
          <cell r="C95">
            <v>1809754</v>
          </cell>
          <cell r="D95">
            <v>75014100</v>
          </cell>
          <cell r="E95">
            <v>4541907</v>
          </cell>
          <cell r="F95">
            <v>244549</v>
          </cell>
        </row>
        <row r="96">
          <cell r="A96" t="str">
            <v>STK</v>
          </cell>
          <cell r="B96">
            <v>966369</v>
          </cell>
          <cell r="C96">
            <v>1628428</v>
          </cell>
          <cell r="D96">
            <v>96636924</v>
          </cell>
          <cell r="E96">
            <v>1425063</v>
          </cell>
          <cell r="F96">
            <v>87338</v>
          </cell>
        </row>
        <row r="97">
          <cell r="A97" t="str">
            <v>VGT</v>
          </cell>
          <cell r="B97">
            <v>5000000</v>
          </cell>
          <cell r="C97">
            <v>9185529</v>
          </cell>
          <cell r="D97">
            <v>500000000</v>
          </cell>
          <cell r="E97">
            <v>16486989</v>
          </cell>
          <cell r="F97">
            <v>61914</v>
          </cell>
        </row>
        <row r="98">
          <cell r="A98" t="str">
            <v>TNG</v>
          </cell>
          <cell r="B98">
            <v>1135230</v>
          </cell>
          <cell r="C98">
            <v>1861144</v>
          </cell>
          <cell r="D98">
            <v>113523002</v>
          </cell>
          <cell r="E98">
            <v>7095751</v>
          </cell>
          <cell r="F98">
            <v>225686</v>
          </cell>
        </row>
        <row r="99">
          <cell r="A99" t="str">
            <v>BAF</v>
          </cell>
          <cell r="B99">
            <v>1435200</v>
          </cell>
          <cell r="C99">
            <v>1906596</v>
          </cell>
          <cell r="D99">
            <v>143520000</v>
          </cell>
          <cell r="E99">
            <v>5250436</v>
          </cell>
          <cell r="F99">
            <v>19955</v>
          </cell>
        </row>
        <row r="100">
          <cell r="A100" t="str">
            <v>HAG</v>
          </cell>
          <cell r="B100">
            <v>9274679</v>
          </cell>
          <cell r="C100">
            <v>6725865</v>
          </cell>
          <cell r="D100">
            <v>927467947</v>
          </cell>
          <cell r="E100">
            <v>6932147</v>
          </cell>
          <cell r="F100">
            <v>1709132</v>
          </cell>
        </row>
        <row r="101">
          <cell r="A101" t="str">
            <v>DBC</v>
          </cell>
          <cell r="B101">
            <v>2420018</v>
          </cell>
          <cell r="C101">
            <v>4666234</v>
          </cell>
          <cell r="D101">
            <v>242001859</v>
          </cell>
          <cell r="E101">
            <v>11110000</v>
          </cell>
          <cell r="F101">
            <v>25007</v>
          </cell>
        </row>
        <row r="102">
          <cell r="A102" t="str">
            <v>VCS</v>
          </cell>
          <cell r="B102">
            <v>1600000</v>
          </cell>
          <cell r="C102">
            <v>4985818</v>
          </cell>
          <cell r="D102">
            <v>160000000</v>
          </cell>
          <cell r="E102">
            <v>4353861</v>
          </cell>
          <cell r="F102">
            <v>846380</v>
          </cell>
        </row>
        <row r="103">
          <cell r="A103" t="str">
            <v>PTB</v>
          </cell>
          <cell r="B103">
            <v>669384</v>
          </cell>
          <cell r="C103">
            <v>2811172</v>
          </cell>
          <cell r="D103">
            <v>66938403</v>
          </cell>
          <cell r="E103">
            <v>5618569</v>
          </cell>
          <cell r="F103">
            <v>292398</v>
          </cell>
        </row>
        <row r="104">
          <cell r="A104" t="str">
            <v>LTG</v>
          </cell>
          <cell r="B104">
            <v>1007414</v>
          </cell>
          <cell r="C104">
            <v>3314492</v>
          </cell>
          <cell r="D104">
            <v>100741465</v>
          </cell>
          <cell r="E104">
            <v>16068634</v>
          </cell>
          <cell r="F104">
            <v>265496</v>
          </cell>
        </row>
        <row r="105">
          <cell r="A105" t="str">
            <v>PAN</v>
          </cell>
          <cell r="B105">
            <v>2162945</v>
          </cell>
          <cell r="C105">
            <v>8340761</v>
          </cell>
          <cell r="D105">
            <v>216294580</v>
          </cell>
          <cell r="E105">
            <v>13204956</v>
          </cell>
          <cell r="F105">
            <v>407686</v>
          </cell>
        </row>
        <row r="106">
          <cell r="A106" t="str">
            <v>DPM</v>
          </cell>
          <cell r="B106">
            <v>3914000</v>
          </cell>
          <cell r="C106">
            <v>11558407</v>
          </cell>
          <cell r="D106">
            <v>391400000</v>
          </cell>
          <cell r="E106">
            <v>13569185</v>
          </cell>
          <cell r="F106">
            <v>532673</v>
          </cell>
        </row>
        <row r="107">
          <cell r="A107" t="str">
            <v>DCM</v>
          </cell>
          <cell r="B107">
            <v>5294000</v>
          </cell>
          <cell r="C107">
            <v>9993191</v>
          </cell>
          <cell r="D107">
            <v>529400000</v>
          </cell>
          <cell r="E107">
            <v>12601811</v>
          </cell>
          <cell r="F107">
            <v>1107087</v>
          </cell>
        </row>
        <row r="108">
          <cell r="A108" t="str">
            <v>NTP</v>
          </cell>
          <cell r="B108">
            <v>1295753</v>
          </cell>
          <cell r="C108">
            <v>3115499</v>
          </cell>
          <cell r="D108">
            <v>129575334</v>
          </cell>
          <cell r="E108">
            <v>5175862</v>
          </cell>
          <cell r="F108">
            <v>559414</v>
          </cell>
        </row>
        <row r="109">
          <cell r="A109" t="str">
            <v>BMP</v>
          </cell>
          <cell r="B109">
            <v>818609</v>
          </cell>
          <cell r="C109">
            <v>2689728</v>
          </cell>
          <cell r="D109">
            <v>81860938</v>
          </cell>
          <cell r="E109">
            <v>5156984</v>
          </cell>
          <cell r="F109">
            <v>1041006</v>
          </cell>
        </row>
        <row r="110">
          <cell r="A110" t="str">
            <v>HT1</v>
          </cell>
          <cell r="B110">
            <v>3815899</v>
          </cell>
          <cell r="C110">
            <v>4832101</v>
          </cell>
          <cell r="D110">
            <v>381589911</v>
          </cell>
          <cell r="E110">
            <v>7049026</v>
          </cell>
          <cell r="F110">
            <v>16918</v>
          </cell>
        </row>
        <row r="111">
          <cell r="A111" t="str">
            <v>VLB</v>
          </cell>
          <cell r="B111">
            <v>469216</v>
          </cell>
          <cell r="C111">
            <v>607359</v>
          </cell>
          <cell r="D111">
            <v>46921600</v>
          </cell>
          <cell r="E111">
            <v>1003204</v>
          </cell>
          <cell r="F111">
            <v>143041</v>
          </cell>
        </row>
        <row r="112">
          <cell r="A112" t="str">
            <v>DHA</v>
          </cell>
          <cell r="B112">
            <v>151199</v>
          </cell>
          <cell r="C112">
            <v>419660</v>
          </cell>
          <cell r="D112">
            <v>15119946</v>
          </cell>
          <cell r="E112">
            <v>375398</v>
          </cell>
          <cell r="F112">
            <v>95945</v>
          </cell>
        </row>
        <row r="113">
          <cell r="A113" t="str">
            <v>KSB</v>
          </cell>
          <cell r="B113">
            <v>766312</v>
          </cell>
          <cell r="C113">
            <v>2000552</v>
          </cell>
          <cell r="D113">
            <v>76631202</v>
          </cell>
          <cell r="E113">
            <v>528624</v>
          </cell>
          <cell r="F113">
            <v>77039</v>
          </cell>
        </row>
        <row r="114">
          <cell r="A114" t="str">
            <v>GAS</v>
          </cell>
          <cell r="B114">
            <v>22967398</v>
          </cell>
          <cell r="C114">
            <v>65298620</v>
          </cell>
          <cell r="D114">
            <v>2296739847</v>
          </cell>
          <cell r="E114">
            <v>89953906</v>
          </cell>
          <cell r="F114">
            <v>11606030</v>
          </cell>
        </row>
        <row r="115">
          <cell r="A115" t="str">
            <v>PLX</v>
          </cell>
          <cell r="B115">
            <v>12938780</v>
          </cell>
          <cell r="C115">
            <v>29185288</v>
          </cell>
          <cell r="D115">
            <v>1293878081</v>
          </cell>
          <cell r="E115">
            <v>274252672</v>
          </cell>
          <cell r="F115">
            <v>2811979</v>
          </cell>
        </row>
        <row r="116">
          <cell r="A116" t="str">
            <v>PVT</v>
          </cell>
          <cell r="B116">
            <v>3236512</v>
          </cell>
          <cell r="C116">
            <v>9026376</v>
          </cell>
          <cell r="D116">
            <v>323651246</v>
          </cell>
          <cell r="E116">
            <v>9487001</v>
          </cell>
          <cell r="F116">
            <v>980250</v>
          </cell>
        </row>
        <row r="117">
          <cell r="A117" t="str">
            <v>PVS</v>
          </cell>
          <cell r="B117">
            <v>4779662</v>
          </cell>
          <cell r="C117">
            <v>13383631</v>
          </cell>
          <cell r="D117">
            <v>477966290</v>
          </cell>
          <cell r="E117">
            <v>19349375</v>
          </cell>
          <cell r="F117">
            <v>866117</v>
          </cell>
        </row>
        <row r="118">
          <cell r="A118" t="str">
            <v>PVD</v>
          </cell>
          <cell r="B118">
            <v>5562960</v>
          </cell>
          <cell r="C118">
            <v>14894247</v>
          </cell>
          <cell r="D118">
            <v>556296006</v>
          </cell>
          <cell r="E118">
            <v>5811685</v>
          </cell>
          <cell r="F118">
            <v>579356</v>
          </cell>
        </row>
        <row r="119">
          <cell r="A119" t="str">
            <v>BSR</v>
          </cell>
          <cell r="B119">
            <v>31004996</v>
          </cell>
          <cell r="C119">
            <v>57130996</v>
          </cell>
          <cell r="D119">
            <v>3100499616</v>
          </cell>
          <cell r="E119">
            <v>147423365</v>
          </cell>
          <cell r="F119">
            <v>8511438</v>
          </cell>
        </row>
        <row r="120">
          <cell r="A120" t="str">
            <v>HSG</v>
          </cell>
          <cell r="B120">
            <v>6159823</v>
          </cell>
          <cell r="C120">
            <v>10870578</v>
          </cell>
          <cell r="D120">
            <v>615982309</v>
          </cell>
          <cell r="E120">
            <v>32806456</v>
          </cell>
          <cell r="F120">
            <v>813601</v>
          </cell>
        </row>
        <row r="121">
          <cell r="A121" t="str">
            <v>NKG</v>
          </cell>
          <cell r="B121">
            <v>2632778</v>
          </cell>
          <cell r="C121">
            <v>5423073</v>
          </cell>
          <cell r="D121">
            <v>263277806</v>
          </cell>
          <cell r="E121">
            <v>18595974</v>
          </cell>
          <cell r="F121">
            <v>117408</v>
          </cell>
        </row>
        <row r="122">
          <cell r="A122" t="str">
            <v>HPG</v>
          </cell>
          <cell r="B122">
            <v>58147857</v>
          </cell>
          <cell r="C122">
            <v>102836419</v>
          </cell>
          <cell r="D122">
            <v>5814785700</v>
          </cell>
          <cell r="E122">
            <v>118953027</v>
          </cell>
          <cell r="F122">
            <v>6835064</v>
          </cell>
        </row>
        <row r="123">
          <cell r="A123" t="str">
            <v>GEG</v>
          </cell>
          <cell r="B123">
            <v>4054494</v>
          </cell>
          <cell r="C123">
            <v>5767322</v>
          </cell>
          <cell r="D123">
            <v>405449401</v>
          </cell>
          <cell r="E123">
            <v>2163456</v>
          </cell>
          <cell r="F123">
            <v>137243</v>
          </cell>
        </row>
        <row r="124">
          <cell r="A124" t="str">
            <v>QTP</v>
          </cell>
          <cell r="B124">
            <v>4500000</v>
          </cell>
          <cell r="C124">
            <v>5166327</v>
          </cell>
          <cell r="D124">
            <v>450000000</v>
          </cell>
          <cell r="E124">
            <v>12058194</v>
          </cell>
          <cell r="F124">
            <v>614468</v>
          </cell>
        </row>
        <row r="125">
          <cell r="A125" t="str">
            <v>NT2</v>
          </cell>
          <cell r="B125">
            <v>2878760</v>
          </cell>
          <cell r="C125">
            <v>4358560</v>
          </cell>
          <cell r="D125">
            <v>287876029</v>
          </cell>
          <cell r="E125">
            <v>6382599</v>
          </cell>
          <cell r="F125">
            <v>495787</v>
          </cell>
        </row>
        <row r="126">
          <cell r="A126" t="str">
            <v>TV2</v>
          </cell>
          <cell r="B126">
            <v>675261</v>
          </cell>
          <cell r="C126">
            <v>1333598</v>
          </cell>
          <cell r="D126">
            <v>67526165</v>
          </cell>
          <cell r="E126">
            <v>1061339</v>
          </cell>
          <cell r="F126">
            <v>53014</v>
          </cell>
        </row>
        <row r="127">
          <cell r="A127" t="str">
            <v>PC1</v>
          </cell>
          <cell r="B127">
            <v>3109955</v>
          </cell>
          <cell r="C127">
            <v>7267407</v>
          </cell>
          <cell r="D127">
            <v>310995558</v>
          </cell>
          <cell r="E127">
            <v>7803008</v>
          </cell>
          <cell r="F127">
            <v>136569</v>
          </cell>
        </row>
        <row r="128">
          <cell r="A128" t="str">
            <v>FMC</v>
          </cell>
          <cell r="B128">
            <v>653888</v>
          </cell>
          <cell r="C128">
            <v>2234057</v>
          </cell>
          <cell r="D128">
            <v>65388889</v>
          </cell>
          <cell r="E128">
            <v>5087392</v>
          </cell>
          <cell r="F128">
            <v>275981</v>
          </cell>
        </row>
        <row r="129">
          <cell r="A129" t="str">
            <v>ANV</v>
          </cell>
          <cell r="B129">
            <v>1335396</v>
          </cell>
          <cell r="C129">
            <v>2850522</v>
          </cell>
          <cell r="D129">
            <v>133539625</v>
          </cell>
          <cell r="E129">
            <v>4439122</v>
          </cell>
          <cell r="F129">
            <v>41847</v>
          </cell>
        </row>
        <row r="130">
          <cell r="A130" t="str">
            <v>VHC</v>
          </cell>
          <cell r="B130">
            <v>1870444</v>
          </cell>
          <cell r="C130">
            <v>8566896</v>
          </cell>
          <cell r="D130">
            <v>187044495</v>
          </cell>
          <cell r="E130">
            <v>10038576</v>
          </cell>
          <cell r="F130">
            <v>896515</v>
          </cell>
        </row>
        <row r="131">
          <cell r="A131" t="str">
            <v>VTP</v>
          </cell>
          <cell r="B131">
            <v>1217830</v>
          </cell>
          <cell r="C131">
            <v>1581495</v>
          </cell>
          <cell r="D131">
            <v>121783042</v>
          </cell>
          <cell r="E131">
            <v>19589872</v>
          </cell>
          <cell r="F131">
            <v>380243</v>
          </cell>
        </row>
        <row r="132">
          <cell r="A132" t="str">
            <v>VSC</v>
          </cell>
          <cell r="B132">
            <v>1333956</v>
          </cell>
          <cell r="C132">
            <v>3296823</v>
          </cell>
          <cell r="D132">
            <v>133395642</v>
          </cell>
          <cell r="E132">
            <v>2180945</v>
          </cell>
          <cell r="F132">
            <v>126139</v>
          </cell>
        </row>
        <row r="133">
          <cell r="A133" t="str">
            <v>VOS</v>
          </cell>
          <cell r="B133">
            <v>1400000</v>
          </cell>
          <cell r="C133">
            <v>1672142</v>
          </cell>
          <cell r="D133">
            <v>140000000</v>
          </cell>
          <cell r="E133">
            <v>3187472</v>
          </cell>
          <cell r="F133">
            <v>155371</v>
          </cell>
        </row>
        <row r="134">
          <cell r="A134" t="str">
            <v>HAH</v>
          </cell>
          <cell r="B134">
            <v>1055168</v>
          </cell>
          <cell r="C134">
            <v>3186114</v>
          </cell>
          <cell r="D134">
            <v>105516881</v>
          </cell>
          <cell r="E134">
            <v>2612689</v>
          </cell>
          <cell r="F134">
            <v>384900</v>
          </cell>
        </row>
        <row r="135">
          <cell r="A135" t="str">
            <v>GMD</v>
          </cell>
          <cell r="B135">
            <v>3058985</v>
          </cell>
          <cell r="C135">
            <v>9706541</v>
          </cell>
          <cell r="D135">
            <v>305898557</v>
          </cell>
          <cell r="E135">
            <v>3845875</v>
          </cell>
          <cell r="F135">
            <v>2221551</v>
          </cell>
        </row>
        <row r="136">
          <cell r="A136" t="str">
            <v>DDV</v>
          </cell>
          <cell r="B136">
            <v>1461099</v>
          </cell>
          <cell r="C136">
            <v>1700306</v>
          </cell>
          <cell r="D136">
            <v>146109900</v>
          </cell>
          <cell r="E136">
            <v>3209553</v>
          </cell>
          <cell r="F136">
            <v>70244</v>
          </cell>
        </row>
        <row r="137">
          <cell r="A137" t="str">
            <v>LAS</v>
          </cell>
          <cell r="B137">
            <v>1128564</v>
          </cell>
          <cell r="C137">
            <v>1421687</v>
          </cell>
          <cell r="D137">
            <v>112856400</v>
          </cell>
          <cell r="E137">
            <v>3440291</v>
          </cell>
          <cell r="F137">
            <v>148516</v>
          </cell>
        </row>
        <row r="138">
          <cell r="A138" t="str">
            <v>CSV</v>
          </cell>
          <cell r="B138">
            <v>442000</v>
          </cell>
          <cell r="C138">
            <v>1436269</v>
          </cell>
          <cell r="D138">
            <v>44200000</v>
          </cell>
          <cell r="E138">
            <v>1588441</v>
          </cell>
          <cell r="F138">
            <v>209181</v>
          </cell>
        </row>
        <row r="139">
          <cell r="A139" t="str">
            <v>DGC</v>
          </cell>
          <cell r="B139">
            <v>3797792</v>
          </cell>
          <cell r="C139">
            <v>11999042</v>
          </cell>
          <cell r="D139">
            <v>379779286</v>
          </cell>
          <cell r="E139">
            <v>9747941</v>
          </cell>
          <cell r="F139">
            <v>3108753</v>
          </cell>
        </row>
        <row r="140">
          <cell r="A140" t="str">
            <v>PNJ</v>
          </cell>
          <cell r="B140">
            <v>3281691</v>
          </cell>
          <cell r="C140">
            <v>9806565</v>
          </cell>
          <cell r="D140">
            <v>328169188</v>
          </cell>
          <cell r="E140">
            <v>33136929</v>
          </cell>
          <cell r="F140">
            <v>1971484</v>
          </cell>
        </row>
        <row r="141">
          <cell r="A141" t="str">
            <v>VRE</v>
          </cell>
          <cell r="B141">
            <v>23288184</v>
          </cell>
          <cell r="C141">
            <v>37826853</v>
          </cell>
          <cell r="D141">
            <v>2328818400</v>
          </cell>
          <cell r="E141">
            <v>9791335</v>
          </cell>
          <cell r="F141">
            <v>4408600</v>
          </cell>
        </row>
        <row r="142">
          <cell r="A142" t="str">
            <v>VNM</v>
          </cell>
          <cell r="B142">
            <v>20899554</v>
          </cell>
          <cell r="C142">
            <v>35025743</v>
          </cell>
          <cell r="D142">
            <v>2089955445</v>
          </cell>
          <cell r="E142">
            <v>60368915</v>
          </cell>
          <cell r="F142">
            <v>8873812</v>
          </cell>
        </row>
        <row r="143">
          <cell r="A143" t="str">
            <v>PET</v>
          </cell>
          <cell r="B143">
            <v>1073348</v>
          </cell>
          <cell r="C143">
            <v>2126624</v>
          </cell>
          <cell r="D143">
            <v>107334831</v>
          </cell>
          <cell r="E143">
            <v>17508388</v>
          </cell>
          <cell r="F143">
            <v>80512</v>
          </cell>
        </row>
        <row r="144">
          <cell r="A144" t="str">
            <v>DGW</v>
          </cell>
          <cell r="B144">
            <v>1672244</v>
          </cell>
          <cell r="C144">
            <v>2627102</v>
          </cell>
          <cell r="D144">
            <v>167224443</v>
          </cell>
          <cell r="E144">
            <v>18817475</v>
          </cell>
          <cell r="F144">
            <v>354389</v>
          </cell>
        </row>
        <row r="145">
          <cell r="A145" t="str">
            <v>FRT</v>
          </cell>
          <cell r="B145">
            <v>1362423</v>
          </cell>
          <cell r="C145">
            <v>1719170</v>
          </cell>
          <cell r="D145">
            <v>136242389</v>
          </cell>
          <cell r="E145">
            <v>31849649</v>
          </cell>
          <cell r="F145">
            <v>-345643</v>
          </cell>
        </row>
        <row r="146">
          <cell r="A146" t="str">
            <v>MWG</v>
          </cell>
          <cell r="B146">
            <v>14633767</v>
          </cell>
          <cell r="C146">
            <v>23359557</v>
          </cell>
          <cell r="D146">
            <v>1463376716</v>
          </cell>
          <cell r="E146">
            <v>118279788</v>
          </cell>
          <cell r="F146">
            <v>167669</v>
          </cell>
        </row>
        <row r="147">
          <cell r="A147" t="str">
            <v>BCM</v>
          </cell>
          <cell r="B147">
            <v>10350000</v>
          </cell>
          <cell r="C147">
            <v>19088996</v>
          </cell>
          <cell r="D147">
            <v>1035000000</v>
          </cell>
          <cell r="E147">
            <v>8072006</v>
          </cell>
          <cell r="F147">
            <v>2441288</v>
          </cell>
        </row>
        <row r="148">
          <cell r="A148" t="str">
            <v>GVR</v>
          </cell>
          <cell r="B148">
            <v>40000000</v>
          </cell>
          <cell r="C148">
            <v>54853576</v>
          </cell>
          <cell r="D148">
            <v>4000000000</v>
          </cell>
          <cell r="E148">
            <v>22079889</v>
          </cell>
          <cell r="F148">
            <v>2585229</v>
          </cell>
        </row>
        <row r="149">
          <cell r="A149" t="str">
            <v>NTC</v>
          </cell>
          <cell r="B149">
            <v>239999</v>
          </cell>
          <cell r="C149">
            <v>960511</v>
          </cell>
          <cell r="D149">
            <v>23999980</v>
          </cell>
          <cell r="E149">
            <v>235260</v>
          </cell>
          <cell r="F149">
            <v>299651</v>
          </cell>
        </row>
        <row r="150">
          <cell r="A150" t="str">
            <v>DPR</v>
          </cell>
          <cell r="B150">
            <v>868859</v>
          </cell>
          <cell r="C150">
            <v>3055764</v>
          </cell>
          <cell r="D150">
            <v>86885932</v>
          </cell>
          <cell r="E150">
            <v>1018687</v>
          </cell>
          <cell r="F150">
            <v>206144</v>
          </cell>
        </row>
        <row r="151">
          <cell r="A151" t="str">
            <v>LHG</v>
          </cell>
          <cell r="B151">
            <v>500120</v>
          </cell>
          <cell r="C151">
            <v>1594911</v>
          </cell>
          <cell r="D151">
            <v>50012010</v>
          </cell>
          <cell r="E151">
            <v>394859</v>
          </cell>
          <cell r="F151">
            <v>166466</v>
          </cell>
        </row>
        <row r="152">
          <cell r="A152" t="str">
            <v>PHR</v>
          </cell>
          <cell r="B152">
            <v>1354991</v>
          </cell>
          <cell r="C152">
            <v>3816044</v>
          </cell>
          <cell r="D152">
            <v>135499198</v>
          </cell>
          <cell r="E152">
            <v>1351024</v>
          </cell>
          <cell r="F152">
            <v>622153</v>
          </cell>
        </row>
        <row r="153">
          <cell r="A153" t="str">
            <v>VGC</v>
          </cell>
          <cell r="B153">
            <v>4483500</v>
          </cell>
          <cell r="C153">
            <v>9524290</v>
          </cell>
          <cell r="D153">
            <v>448350000</v>
          </cell>
          <cell r="E153">
            <v>13193818</v>
          </cell>
          <cell r="F153">
            <v>1218073</v>
          </cell>
        </row>
        <row r="154">
          <cell r="A154" t="str">
            <v>SZC</v>
          </cell>
          <cell r="B154">
            <v>1199999</v>
          </cell>
          <cell r="C154">
            <v>1737315</v>
          </cell>
          <cell r="D154">
            <v>119999961</v>
          </cell>
          <cell r="E154">
            <v>817945</v>
          </cell>
          <cell r="F154">
            <v>218873</v>
          </cell>
        </row>
        <row r="155">
          <cell r="A155" t="str">
            <v>IDC</v>
          </cell>
          <cell r="B155">
            <v>3299999</v>
          </cell>
          <cell r="C155">
            <v>6204231</v>
          </cell>
          <cell r="D155">
            <v>329999929</v>
          </cell>
          <cell r="E155">
            <v>7237031</v>
          </cell>
          <cell r="F155">
            <v>1392963</v>
          </cell>
        </row>
        <row r="156">
          <cell r="A156" t="str">
            <v>KBC</v>
          </cell>
          <cell r="B156">
            <v>7676047</v>
          </cell>
          <cell r="C156">
            <v>20194196</v>
          </cell>
          <cell r="D156">
            <v>767604759</v>
          </cell>
          <cell r="E156">
            <v>5644662</v>
          </cell>
          <cell r="F156">
            <v>1995556</v>
          </cell>
        </row>
        <row r="157">
          <cell r="A157" t="str">
            <v>DTD</v>
          </cell>
          <cell r="B157">
            <v>493444</v>
          </cell>
          <cell r="C157">
            <v>1228629</v>
          </cell>
          <cell r="D157">
            <v>49344416</v>
          </cell>
          <cell r="E157">
            <v>785829</v>
          </cell>
          <cell r="F157">
            <v>213307</v>
          </cell>
        </row>
        <row r="158">
          <cell r="A158" t="str">
            <v>C4G</v>
          </cell>
          <cell r="B158">
            <v>3573007</v>
          </cell>
          <cell r="C158">
            <v>3765504</v>
          </cell>
          <cell r="D158">
            <v>357300754</v>
          </cell>
          <cell r="E158">
            <v>2624150</v>
          </cell>
          <cell r="F158">
            <v>152234</v>
          </cell>
        </row>
        <row r="159">
          <cell r="A159" t="str">
            <v>THG</v>
          </cell>
          <cell r="B159">
            <v>229578</v>
          </cell>
          <cell r="C159">
            <v>691853</v>
          </cell>
          <cell r="D159">
            <v>22957896</v>
          </cell>
          <cell r="E159">
            <v>1669780</v>
          </cell>
          <cell r="F159">
            <v>120044</v>
          </cell>
        </row>
        <row r="160">
          <cell r="A160" t="str">
            <v>CTR</v>
          </cell>
          <cell r="B160">
            <v>1143858</v>
          </cell>
          <cell r="C160">
            <v>1990752</v>
          </cell>
          <cell r="D160">
            <v>114385879</v>
          </cell>
          <cell r="E160">
            <v>11298950</v>
          </cell>
          <cell r="F160">
            <v>516503</v>
          </cell>
        </row>
        <row r="161">
          <cell r="A161" t="str">
            <v>HHV</v>
          </cell>
          <cell r="B161">
            <v>3293503</v>
          </cell>
          <cell r="C161">
            <v>8730235</v>
          </cell>
          <cell r="D161">
            <v>329350351</v>
          </cell>
          <cell r="E161">
            <v>2686560</v>
          </cell>
          <cell r="F161">
            <v>319909</v>
          </cell>
        </row>
        <row r="162">
          <cell r="A162" t="str">
            <v>FCN</v>
          </cell>
          <cell r="B162">
            <v>0</v>
          </cell>
          <cell r="C162">
            <v>3360179</v>
          </cell>
          <cell r="D162">
            <v>157439005</v>
          </cell>
          <cell r="E162">
            <v>2879567</v>
          </cell>
          <cell r="F162">
            <v>-32437</v>
          </cell>
        </row>
        <row r="163">
          <cell r="A163" t="str">
            <v>VCG</v>
          </cell>
          <cell r="B163">
            <v>5344655</v>
          </cell>
          <cell r="C163">
            <v>10182361</v>
          </cell>
          <cell r="D163">
            <v>534465514</v>
          </cell>
          <cell r="E163">
            <v>12704845</v>
          </cell>
          <cell r="F163">
            <v>377878</v>
          </cell>
        </row>
        <row r="164">
          <cell r="A164" t="str">
            <v>CTD</v>
          </cell>
          <cell r="B164">
            <v>0</v>
          </cell>
          <cell r="C164">
            <v>0</v>
          </cell>
          <cell r="D164">
            <v>99930000</v>
          </cell>
          <cell r="E164">
            <v>0</v>
          </cell>
          <cell r="F164">
            <v>0</v>
          </cell>
        </row>
        <row r="165">
          <cell r="A165" t="str">
            <v>NTL</v>
          </cell>
          <cell r="B165">
            <v>609899</v>
          </cell>
          <cell r="C165">
            <v>1464798</v>
          </cell>
          <cell r="D165">
            <v>60989950</v>
          </cell>
          <cell r="E165">
            <v>914023</v>
          </cell>
          <cell r="F165">
            <v>366808</v>
          </cell>
        </row>
        <row r="166">
          <cell r="A166" t="str">
            <v>HDC</v>
          </cell>
          <cell r="B166">
            <v>1351048</v>
          </cell>
          <cell r="C166">
            <v>1907626</v>
          </cell>
          <cell r="D166">
            <v>135104881</v>
          </cell>
          <cell r="E166">
            <v>665576</v>
          </cell>
          <cell r="F166">
            <v>131256</v>
          </cell>
        </row>
        <row r="167">
          <cell r="A167" t="str">
            <v>CEO</v>
          </cell>
          <cell r="B167">
            <v>5146787</v>
          </cell>
          <cell r="C167">
            <v>6234760</v>
          </cell>
          <cell r="D167">
            <v>514678760</v>
          </cell>
          <cell r="E167">
            <v>1393472</v>
          </cell>
          <cell r="F167">
            <v>153050</v>
          </cell>
        </row>
        <row r="168">
          <cell r="A168" t="str">
            <v>DIG</v>
          </cell>
          <cell r="B168">
            <v>6098519</v>
          </cell>
          <cell r="C168">
            <v>7953521</v>
          </cell>
          <cell r="D168">
            <v>609851995</v>
          </cell>
          <cell r="E168">
            <v>1027526</v>
          </cell>
          <cell r="F168">
            <v>172654</v>
          </cell>
        </row>
        <row r="169">
          <cell r="A169" t="str">
            <v>KDH</v>
          </cell>
          <cell r="B169">
            <v>7993119</v>
          </cell>
          <cell r="C169">
            <v>15528201</v>
          </cell>
          <cell r="D169">
            <v>799311971</v>
          </cell>
          <cell r="E169">
            <v>2093493</v>
          </cell>
          <cell r="F169">
            <v>716894</v>
          </cell>
        </row>
        <row r="170">
          <cell r="A170" t="str">
            <v>NLG</v>
          </cell>
          <cell r="B170">
            <v>3847774</v>
          </cell>
          <cell r="C170">
            <v>13528005</v>
          </cell>
          <cell r="D170">
            <v>384777471</v>
          </cell>
          <cell r="E170">
            <v>3181421</v>
          </cell>
          <cell r="F170">
            <v>483736</v>
          </cell>
        </row>
        <row r="171">
          <cell r="A171" t="str">
            <v>VHM</v>
          </cell>
          <cell r="B171">
            <v>43543675</v>
          </cell>
          <cell r="C171">
            <v>182369488</v>
          </cell>
          <cell r="D171">
            <v>4354367500</v>
          </cell>
          <cell r="E171">
            <v>103334072</v>
          </cell>
          <cell r="F171">
            <v>33125469</v>
          </cell>
        </row>
        <row r="172">
          <cell r="A172" t="str">
            <v>NVL</v>
          </cell>
          <cell r="B172">
            <v>19501045</v>
          </cell>
          <cell r="C172">
            <v>45501776</v>
          </cell>
          <cell r="D172">
            <v>1950104538</v>
          </cell>
          <cell r="E172">
            <v>4758901</v>
          </cell>
          <cell r="F172">
            <v>804990</v>
          </cell>
        </row>
        <row r="173">
          <cell r="A173" t="str">
            <v>DXG</v>
          </cell>
          <cell r="B173">
            <v>6117790</v>
          </cell>
          <cell r="C173">
            <v>14190657</v>
          </cell>
          <cell r="D173">
            <v>611779002</v>
          </cell>
          <cell r="E173">
            <v>3705958</v>
          </cell>
          <cell r="F173">
            <v>176333</v>
          </cell>
        </row>
        <row r="174">
          <cell r="A174" t="str">
            <v>PDR</v>
          </cell>
          <cell r="B174">
            <v>7388108</v>
          </cell>
          <cell r="C174">
            <v>9579280</v>
          </cell>
          <cell r="D174">
            <v>738810840</v>
          </cell>
          <cell r="E174">
            <v>617620</v>
          </cell>
          <cell r="F174">
            <v>683947</v>
          </cell>
        </row>
        <row r="175">
          <cell r="A175" t="str">
            <v>EIB</v>
          </cell>
          <cell r="B175">
            <v>17469561</v>
          </cell>
          <cell r="C175">
            <v>22444999</v>
          </cell>
          <cell r="D175">
            <v>1746956100</v>
          </cell>
          <cell r="E175">
            <v>4597104</v>
          </cell>
          <cell r="F175">
            <v>2165099</v>
          </cell>
        </row>
        <row r="176">
          <cell r="A176" t="str">
            <v>TPB</v>
          </cell>
          <cell r="B176">
            <v>22016350</v>
          </cell>
          <cell r="C176">
            <v>32742712</v>
          </cell>
          <cell r="D176">
            <v>2201635000</v>
          </cell>
          <cell r="E176">
            <v>12424695</v>
          </cell>
          <cell r="F176">
            <v>4463120</v>
          </cell>
        </row>
        <row r="177">
          <cell r="A177" t="str">
            <v>HDB</v>
          </cell>
          <cell r="B177">
            <v>29076321</v>
          </cell>
          <cell r="C177">
            <v>46400322</v>
          </cell>
          <cell r="D177">
            <v>2907632100</v>
          </cell>
          <cell r="E177">
            <v>22183974</v>
          </cell>
          <cell r="F177">
            <v>10070898</v>
          </cell>
        </row>
        <row r="178">
          <cell r="A178" t="str">
            <v>MSB</v>
          </cell>
          <cell r="B178">
            <v>20000000</v>
          </cell>
          <cell r="C178">
            <v>31298212</v>
          </cell>
          <cell r="D178">
            <v>2000000000</v>
          </cell>
          <cell r="E178">
            <v>9188515</v>
          </cell>
          <cell r="F178">
            <v>4644214</v>
          </cell>
        </row>
        <row r="179">
          <cell r="A179" t="str">
            <v>LPB</v>
          </cell>
          <cell r="B179">
            <v>25576164</v>
          </cell>
          <cell r="C179">
            <v>34117400</v>
          </cell>
          <cell r="D179">
            <v>2557616400</v>
          </cell>
          <cell r="E179">
            <v>11203129</v>
          </cell>
          <cell r="F179">
            <v>5572246</v>
          </cell>
        </row>
        <row r="180">
          <cell r="A180" t="str">
            <v>VIB</v>
          </cell>
          <cell r="B180">
            <v>25368075</v>
          </cell>
          <cell r="C180">
            <v>37938955</v>
          </cell>
          <cell r="D180">
            <v>2536807500</v>
          </cell>
          <cell r="E180">
            <v>17360553</v>
          </cell>
          <cell r="F180">
            <v>8562421</v>
          </cell>
        </row>
        <row r="181">
          <cell r="A181" t="str">
            <v>VPB</v>
          </cell>
          <cell r="B181">
            <v>79339236</v>
          </cell>
          <cell r="C181">
            <v>139946573</v>
          </cell>
          <cell r="D181">
            <v>7933923600</v>
          </cell>
          <cell r="E181">
            <v>38174676</v>
          </cell>
          <cell r="F181">
            <v>10052574</v>
          </cell>
        </row>
        <row r="182">
          <cell r="A182" t="str">
            <v>ACB</v>
          </cell>
          <cell r="B182">
            <v>38840504</v>
          </cell>
          <cell r="C182">
            <v>70955961</v>
          </cell>
          <cell r="D182">
            <v>3884050400</v>
          </cell>
          <cell r="E182">
            <v>24959570</v>
          </cell>
          <cell r="F182">
            <v>16044733</v>
          </cell>
        </row>
        <row r="183">
          <cell r="A183" t="str">
            <v>TCB</v>
          </cell>
          <cell r="B183">
            <v>35225108</v>
          </cell>
          <cell r="C183">
            <v>131628065</v>
          </cell>
          <cell r="D183">
            <v>3522510800</v>
          </cell>
          <cell r="E183">
            <v>27691120</v>
          </cell>
          <cell r="F183">
            <v>18003802</v>
          </cell>
        </row>
        <row r="184">
          <cell r="A184" t="str">
            <v>MBB</v>
          </cell>
          <cell r="B184">
            <v>52140841</v>
          </cell>
          <cell r="C184">
            <v>96711159</v>
          </cell>
          <cell r="D184">
            <v>5214084100</v>
          </cell>
          <cell r="E184">
            <v>38683848</v>
          </cell>
          <cell r="F184">
            <v>20676788</v>
          </cell>
        </row>
        <row r="185">
          <cell r="A185" t="str">
            <v>SHB</v>
          </cell>
          <cell r="B185">
            <v>37638320</v>
          </cell>
          <cell r="C185">
            <v>49879870</v>
          </cell>
          <cell r="D185">
            <v>3619400000</v>
          </cell>
          <cell r="E185">
            <v>19729130</v>
          </cell>
          <cell r="F185">
            <v>7470410</v>
          </cell>
        </row>
        <row r="186">
          <cell r="A186" t="str">
            <v>CTG</v>
          </cell>
          <cell r="B186">
            <v>53699917</v>
          </cell>
          <cell r="C186">
            <v>127570582</v>
          </cell>
          <cell r="D186">
            <v>5369991700</v>
          </cell>
          <cell r="E186">
            <v>53083104</v>
          </cell>
          <cell r="F186">
            <v>19992233</v>
          </cell>
        </row>
        <row r="187">
          <cell r="A187" t="str">
            <v>STB</v>
          </cell>
          <cell r="B187">
            <v>18852157</v>
          </cell>
          <cell r="C187">
            <v>45733864</v>
          </cell>
          <cell r="D187">
            <v>1885215700</v>
          </cell>
          <cell r="E187">
            <v>22072333</v>
          </cell>
          <cell r="F187">
            <v>7718616</v>
          </cell>
        </row>
        <row r="188">
          <cell r="A188" t="str">
            <v>VCB</v>
          </cell>
          <cell r="B188">
            <v>55890913</v>
          </cell>
          <cell r="C188">
            <v>168543324</v>
          </cell>
          <cell r="D188">
            <v>5589091300</v>
          </cell>
          <cell r="E188">
            <v>53620869</v>
          </cell>
          <cell r="F188">
            <v>33033203</v>
          </cell>
        </row>
        <row r="189">
          <cell r="A189" t="str">
            <v>BSI</v>
          </cell>
          <cell r="B189">
            <v>2027831</v>
          </cell>
          <cell r="C189">
            <v>4684512</v>
          </cell>
          <cell r="D189">
            <v>202783127</v>
          </cell>
          <cell r="E189">
            <v>1258998</v>
          </cell>
          <cell r="F189">
            <v>408357</v>
          </cell>
        </row>
        <row r="190">
          <cell r="A190" t="str">
            <v>SHS</v>
          </cell>
          <cell r="B190">
            <v>8131567</v>
          </cell>
          <cell r="C190">
            <v>10263510</v>
          </cell>
          <cell r="D190">
            <v>813156748</v>
          </cell>
          <cell r="E190">
            <v>1460069</v>
          </cell>
          <cell r="F190">
            <v>559293</v>
          </cell>
        </row>
        <row r="191">
          <cell r="A191" t="str">
            <v>VIX</v>
          </cell>
          <cell r="B191">
            <v>6694447</v>
          </cell>
          <cell r="C191">
            <v>8829497</v>
          </cell>
          <cell r="D191">
            <v>669444725</v>
          </cell>
          <cell r="E191">
            <v>1623956</v>
          </cell>
          <cell r="F191">
            <v>966423</v>
          </cell>
        </row>
        <row r="192">
          <cell r="A192" t="str">
            <v>FTS</v>
          </cell>
          <cell r="B192">
            <v>2145649</v>
          </cell>
          <cell r="C192">
            <v>3643935</v>
          </cell>
          <cell r="D192">
            <v>214564987</v>
          </cell>
          <cell r="E192">
            <v>944166</v>
          </cell>
          <cell r="F192">
            <v>444917</v>
          </cell>
        </row>
        <row r="193">
          <cell r="A193" t="str">
            <v>MBS</v>
          </cell>
          <cell r="B193">
            <v>4376699</v>
          </cell>
          <cell r="C193">
            <v>5038196</v>
          </cell>
          <cell r="D193">
            <v>437669993</v>
          </cell>
          <cell r="E193">
            <v>1815958</v>
          </cell>
          <cell r="F193">
            <v>584016</v>
          </cell>
        </row>
        <row r="194">
          <cell r="A194" t="str">
            <v>VCI</v>
          </cell>
          <cell r="B194">
            <v>4375000</v>
          </cell>
          <cell r="C194">
            <v>7371229</v>
          </cell>
          <cell r="D194">
            <v>437500000</v>
          </cell>
          <cell r="E194">
            <v>2472460</v>
          </cell>
          <cell r="F194">
            <v>491904</v>
          </cell>
        </row>
        <row r="195">
          <cell r="A195" t="str">
            <v>HCM</v>
          </cell>
          <cell r="B195">
            <v>4580523</v>
          </cell>
          <cell r="C195">
            <v>8312085</v>
          </cell>
          <cell r="D195">
            <v>458052367</v>
          </cell>
          <cell r="E195">
            <v>2903163</v>
          </cell>
          <cell r="F195">
            <v>674358</v>
          </cell>
        </row>
        <row r="196">
          <cell r="A196" t="str">
            <v>VND</v>
          </cell>
          <cell r="B196">
            <v>12178440</v>
          </cell>
          <cell r="C196">
            <v>16503094</v>
          </cell>
          <cell r="D196">
            <v>1217844009</v>
          </cell>
          <cell r="E196">
            <v>6561422</v>
          </cell>
          <cell r="F196">
            <v>2017525</v>
          </cell>
        </row>
        <row r="197">
          <cell r="A197" t="str">
            <v>SSI</v>
          </cell>
          <cell r="B197">
            <v>15011301</v>
          </cell>
          <cell r="C197">
            <v>23240892</v>
          </cell>
          <cell r="D197">
            <v>1501130137</v>
          </cell>
          <cell r="E197">
            <v>7157692</v>
          </cell>
          <cell r="F197">
            <v>2292781</v>
          </cell>
        </row>
        <row r="198">
          <cell r="A198" t="str">
            <v>CII</v>
          </cell>
          <cell r="B198">
            <v>3183650</v>
          </cell>
          <cell r="C198">
            <v>8516770</v>
          </cell>
          <cell r="D198">
            <v>318360000</v>
          </cell>
          <cell r="E198">
            <v>3055970</v>
          </cell>
          <cell r="F198">
            <v>187470</v>
          </cell>
        </row>
        <row r="199">
          <cell r="A199" t="str">
            <v>DPG</v>
          </cell>
          <cell r="B199">
            <v>630000</v>
          </cell>
          <cell r="C199">
            <v>2355990</v>
          </cell>
          <cell r="D199">
            <v>63000000</v>
          </cell>
          <cell r="E199">
            <v>3450140</v>
          </cell>
          <cell r="F199">
            <v>208750</v>
          </cell>
        </row>
        <row r="200">
          <cell r="A200" t="str">
            <v>MCH</v>
          </cell>
          <cell r="B200">
            <v>7274620</v>
          </cell>
          <cell r="C200">
            <v>26375560</v>
          </cell>
          <cell r="D200">
            <v>727460000</v>
          </cell>
          <cell r="E200">
            <v>28395710</v>
          </cell>
          <cell r="F200">
            <v>7085160</v>
          </cell>
        </row>
        <row r="201">
          <cell r="A201" t="str">
            <v>POW</v>
          </cell>
          <cell r="D201">
            <v>2341871600</v>
          </cell>
        </row>
        <row r="202">
          <cell r="A202" t="str">
            <v>IDI</v>
          </cell>
          <cell r="B202">
            <v>2276446</v>
          </cell>
          <cell r="C202">
            <v>3435970</v>
          </cell>
          <cell r="D202">
            <v>227644608</v>
          </cell>
          <cell r="E202">
            <v>7221240</v>
          </cell>
          <cell r="F202">
            <v>72300</v>
          </cell>
        </row>
        <row r="203">
          <cell r="A203" t="str">
            <v>TDM</v>
          </cell>
          <cell r="B203">
            <v>1000000</v>
          </cell>
          <cell r="C203">
            <v>2036640</v>
          </cell>
          <cell r="D203">
            <v>100000000</v>
          </cell>
          <cell r="E203">
            <v>532570</v>
          </cell>
          <cell r="F203">
            <v>283450</v>
          </cell>
        </row>
        <row r="204">
          <cell r="B204"/>
          <cell r="C204"/>
          <cell r="D204"/>
          <cell r="E204"/>
          <cell r="F204"/>
        </row>
      </sheetData>
      <sheetData sheetId="5">
        <row r="40">
          <cell r="A40" t="str">
            <v>MCK</v>
          </cell>
          <cell r="B40" t="str">
            <v>Price</v>
          </cell>
        </row>
        <row r="41">
          <cell r="A41" t="str">
            <v>SSI</v>
          </cell>
          <cell r="B41">
            <v>35200</v>
          </cell>
        </row>
        <row r="42">
          <cell r="A42" t="str">
            <v>VND</v>
          </cell>
          <cell r="B42">
            <v>20650</v>
          </cell>
        </row>
        <row r="43">
          <cell r="A43" t="str">
            <v>HCM</v>
          </cell>
          <cell r="B43">
            <v>27050</v>
          </cell>
        </row>
        <row r="44">
          <cell r="A44" t="str">
            <v>VCI</v>
          </cell>
          <cell r="B44">
            <v>47000</v>
          </cell>
        </row>
        <row r="45">
          <cell r="A45" t="str">
            <v>MBS</v>
          </cell>
          <cell r="B45">
            <v>27000</v>
          </cell>
        </row>
        <row r="46">
          <cell r="A46" t="str">
            <v>FTS</v>
          </cell>
          <cell r="B46">
            <v>54500</v>
          </cell>
        </row>
        <row r="47">
          <cell r="A47" t="str">
            <v>VIX</v>
          </cell>
          <cell r="B47">
            <v>16850</v>
          </cell>
        </row>
        <row r="48">
          <cell r="A48" t="str">
            <v>SHS</v>
          </cell>
          <cell r="B48">
            <v>18300</v>
          </cell>
        </row>
        <row r="49">
          <cell r="A49" t="str">
            <v>BSI</v>
          </cell>
          <cell r="B49">
            <v>51200</v>
          </cell>
        </row>
        <row r="50">
          <cell r="A50" t="str">
            <v>VCB</v>
          </cell>
          <cell r="B50">
            <v>91200</v>
          </cell>
        </row>
        <row r="51">
          <cell r="A51" t="str">
            <v>STB</v>
          </cell>
          <cell r="B51">
            <v>28200</v>
          </cell>
        </row>
        <row r="52">
          <cell r="A52" t="str">
            <v>CTG</v>
          </cell>
          <cell r="B52">
            <v>32800</v>
          </cell>
        </row>
        <row r="53">
          <cell r="A53" t="str">
            <v>MBB</v>
          </cell>
          <cell r="B53">
            <v>22250</v>
          </cell>
        </row>
        <row r="54">
          <cell r="A54" t="str">
            <v>TCB</v>
          </cell>
          <cell r="B54">
            <v>46600</v>
          </cell>
        </row>
        <row r="55">
          <cell r="A55" t="str">
            <v>ACB</v>
          </cell>
          <cell r="B55">
            <v>26850</v>
          </cell>
        </row>
        <row r="56">
          <cell r="A56" t="str">
            <v>VPB</v>
          </cell>
          <cell r="B56">
            <v>18550</v>
          </cell>
        </row>
        <row r="57">
          <cell r="A57" t="str">
            <v>VIB</v>
          </cell>
          <cell r="B57">
            <v>21100</v>
          </cell>
        </row>
        <row r="58">
          <cell r="A58" t="str">
            <v>LPB</v>
          </cell>
          <cell r="B58">
            <v>20900</v>
          </cell>
        </row>
        <row r="59">
          <cell r="A59" t="str">
            <v>MSB</v>
          </cell>
          <cell r="B59">
            <v>13600</v>
          </cell>
        </row>
        <row r="60">
          <cell r="A60" t="str">
            <v>HDB</v>
          </cell>
          <cell r="B60">
            <v>23600</v>
          </cell>
        </row>
        <row r="61">
          <cell r="A61" t="str">
            <v>TPB</v>
          </cell>
          <cell r="B61">
            <v>17900</v>
          </cell>
        </row>
        <row r="62">
          <cell r="A62" t="str">
            <v>EIB</v>
          </cell>
          <cell r="B62">
            <v>17950</v>
          </cell>
        </row>
        <row r="63">
          <cell r="A63" t="str">
            <v>PDR</v>
          </cell>
          <cell r="B63">
            <v>26450</v>
          </cell>
        </row>
        <row r="64">
          <cell r="A64" t="str">
            <v>DXG</v>
          </cell>
          <cell r="B64">
            <v>16150</v>
          </cell>
        </row>
        <row r="65">
          <cell r="A65" t="str">
            <v>NVL</v>
          </cell>
          <cell r="B65">
            <v>15250</v>
          </cell>
        </row>
        <row r="66">
          <cell r="A66" t="str">
            <v>VHM</v>
          </cell>
          <cell r="B66">
            <v>40800</v>
          </cell>
        </row>
        <row r="67">
          <cell r="A67" t="str">
            <v>NLG</v>
          </cell>
          <cell r="B67">
            <v>37900</v>
          </cell>
        </row>
        <row r="68">
          <cell r="A68" t="str">
            <v>KDH</v>
          </cell>
          <cell r="B68">
            <v>35000</v>
          </cell>
        </row>
        <row r="69">
          <cell r="A69" t="str">
            <v>DIG</v>
          </cell>
          <cell r="B69">
            <v>27800</v>
          </cell>
        </row>
        <row r="70">
          <cell r="A70" t="str">
            <v>CEO</v>
          </cell>
          <cell r="B70">
            <v>18100</v>
          </cell>
        </row>
        <row r="71">
          <cell r="A71" t="str">
            <v>HDC</v>
          </cell>
          <cell r="B71">
            <v>28500</v>
          </cell>
        </row>
        <row r="72">
          <cell r="A72" t="str">
            <v>NTL</v>
          </cell>
          <cell r="B72">
            <v>40800</v>
          </cell>
        </row>
        <row r="73">
          <cell r="A73" t="str">
            <v>CTD</v>
          </cell>
          <cell r="B73">
            <v>66300</v>
          </cell>
        </row>
        <row r="74">
          <cell r="A74" t="str">
            <v>VCG</v>
          </cell>
          <cell r="B74">
            <v>22150</v>
          </cell>
        </row>
        <row r="75">
          <cell r="A75" t="str">
            <v>FCN</v>
          </cell>
          <cell r="B75">
            <v>14950</v>
          </cell>
        </row>
        <row r="76">
          <cell r="A76" t="str">
            <v>HHV</v>
          </cell>
          <cell r="B76">
            <v>12650</v>
          </cell>
        </row>
        <row r="77">
          <cell r="A77" t="str">
            <v>CTR</v>
          </cell>
          <cell r="B77">
            <v>124000</v>
          </cell>
        </row>
        <row r="78">
          <cell r="A78" t="str">
            <v>THG</v>
          </cell>
          <cell r="B78">
            <v>42300</v>
          </cell>
        </row>
        <row r="79">
          <cell r="A79" t="str">
            <v>C4G</v>
          </cell>
          <cell r="B79">
            <v>9600</v>
          </cell>
        </row>
        <row r="80">
          <cell r="A80" t="str">
            <v>DTD</v>
          </cell>
          <cell r="B80">
            <v>25600</v>
          </cell>
        </row>
        <row r="81">
          <cell r="A81" t="str">
            <v>KBC</v>
          </cell>
          <cell r="B81">
            <v>29000</v>
          </cell>
        </row>
        <row r="82">
          <cell r="A82" t="str">
            <v>IDC</v>
          </cell>
          <cell r="B82">
            <v>56200</v>
          </cell>
        </row>
        <row r="83">
          <cell r="A83" t="str">
            <v>SZC</v>
          </cell>
          <cell r="B83">
            <v>40200</v>
          </cell>
        </row>
        <row r="84">
          <cell r="A84" t="str">
            <v>VGC</v>
          </cell>
          <cell r="B84">
            <v>50800</v>
          </cell>
        </row>
        <row r="85">
          <cell r="A85" t="str">
            <v>PHR</v>
          </cell>
          <cell r="B85">
            <v>56500</v>
          </cell>
        </row>
        <row r="86">
          <cell r="A86" t="str">
            <v>LHG</v>
          </cell>
          <cell r="B86">
            <v>31700</v>
          </cell>
        </row>
        <row r="87">
          <cell r="A87" t="str">
            <v>DPR</v>
          </cell>
          <cell r="B87">
            <v>37200</v>
          </cell>
        </row>
        <row r="88">
          <cell r="A88" t="str">
            <v>NTC</v>
          </cell>
          <cell r="B88">
            <v>200000</v>
          </cell>
        </row>
        <row r="89">
          <cell r="A89" t="str">
            <v>GVR</v>
          </cell>
          <cell r="B89">
            <v>30000</v>
          </cell>
        </row>
        <row r="90">
          <cell r="A90" t="str">
            <v>BCM</v>
          </cell>
          <cell r="B90">
            <v>52400</v>
          </cell>
        </row>
        <row r="91">
          <cell r="A91" t="str">
            <v>MWG</v>
          </cell>
          <cell r="B91">
            <v>54900</v>
          </cell>
        </row>
        <row r="92">
          <cell r="A92" t="str">
            <v>FRT</v>
          </cell>
          <cell r="B92">
            <v>161000</v>
          </cell>
        </row>
        <row r="93">
          <cell r="A93" t="str">
            <v>DGW</v>
          </cell>
          <cell r="B93">
            <v>59000</v>
          </cell>
        </row>
        <row r="94">
          <cell r="A94" t="str">
            <v>PET</v>
          </cell>
          <cell r="B94">
            <v>24400</v>
          </cell>
        </row>
        <row r="95">
          <cell r="A95" t="str">
            <v>VNM</v>
          </cell>
          <cell r="B95">
            <v>65000</v>
          </cell>
        </row>
        <row r="96">
          <cell r="A96" t="str">
            <v>VRE</v>
          </cell>
          <cell r="B96">
            <v>22450</v>
          </cell>
        </row>
        <row r="97">
          <cell r="A97" t="str">
            <v>PNJ</v>
          </cell>
          <cell r="B97">
            <v>95000</v>
          </cell>
        </row>
        <row r="98">
          <cell r="A98" t="str">
            <v>DGC</v>
          </cell>
          <cell r="B98">
            <v>118800</v>
          </cell>
        </row>
        <row r="99">
          <cell r="A99" t="str">
            <v>CSV</v>
          </cell>
          <cell r="B99">
            <v>56400</v>
          </cell>
        </row>
        <row r="100">
          <cell r="A100" t="str">
            <v>LAS</v>
          </cell>
          <cell r="B100">
            <v>18700</v>
          </cell>
        </row>
        <row r="101">
          <cell r="A101" t="str">
            <v>DDV</v>
          </cell>
          <cell r="B101">
            <v>14700</v>
          </cell>
        </row>
        <row r="102">
          <cell r="A102" t="str">
            <v>GMD</v>
          </cell>
          <cell r="B102">
            <v>84200</v>
          </cell>
        </row>
        <row r="103">
          <cell r="A103" t="str">
            <v>HAH</v>
          </cell>
          <cell r="B103">
            <v>41200</v>
          </cell>
        </row>
        <row r="104">
          <cell r="A104" t="str">
            <v>VOS</v>
          </cell>
          <cell r="B104">
            <v>10600</v>
          </cell>
        </row>
        <row r="105">
          <cell r="A105" t="str">
            <v>VSC</v>
          </cell>
          <cell r="B105">
            <v>20450</v>
          </cell>
        </row>
        <row r="106">
          <cell r="A106" t="str">
            <v>VTP</v>
          </cell>
          <cell r="B106">
            <v>76600</v>
          </cell>
        </row>
        <row r="107">
          <cell r="A107" t="str">
            <v>VHC</v>
          </cell>
          <cell r="B107">
            <v>74000</v>
          </cell>
        </row>
        <row r="108">
          <cell r="A108" t="str">
            <v>ANV</v>
          </cell>
          <cell r="B108">
            <v>28700</v>
          </cell>
        </row>
        <row r="109">
          <cell r="A109" t="str">
            <v>FMC</v>
          </cell>
          <cell r="B109">
            <v>48550</v>
          </cell>
        </row>
        <row r="110">
          <cell r="A110" t="str">
            <v>IDI</v>
          </cell>
          <cell r="B110">
            <v>10850</v>
          </cell>
        </row>
        <row r="111">
          <cell r="A111" t="str">
            <v>PC1</v>
          </cell>
          <cell r="B111">
            <v>25850</v>
          </cell>
        </row>
        <row r="112">
          <cell r="A112" t="str">
            <v>TV2</v>
          </cell>
          <cell r="B112">
            <v>35250</v>
          </cell>
        </row>
        <row r="113">
          <cell r="A113" t="str">
            <v>NT2</v>
          </cell>
          <cell r="B113">
            <v>21400</v>
          </cell>
        </row>
        <row r="114">
          <cell r="A114" t="str">
            <v>QTP</v>
          </cell>
          <cell r="B114">
            <v>15400</v>
          </cell>
        </row>
        <row r="115">
          <cell r="A115" t="str">
            <v>GEG</v>
          </cell>
          <cell r="B115">
            <v>12300</v>
          </cell>
        </row>
        <row r="116">
          <cell r="A116" t="str">
            <v>HPG</v>
          </cell>
          <cell r="B116">
            <v>28400</v>
          </cell>
        </row>
        <row r="117">
          <cell r="A117" t="str">
            <v>NKG</v>
          </cell>
          <cell r="B117">
            <v>21900</v>
          </cell>
        </row>
        <row r="118">
          <cell r="A118" t="str">
            <v>HSG</v>
          </cell>
          <cell r="B118">
            <v>19400</v>
          </cell>
        </row>
        <row r="119">
          <cell r="A119" t="str">
            <v>BSR</v>
          </cell>
          <cell r="B119">
            <v>18100</v>
          </cell>
        </row>
        <row r="120">
          <cell r="A120" t="str">
            <v>PVD</v>
          </cell>
          <cell r="B120">
            <v>29750</v>
          </cell>
        </row>
        <row r="121">
          <cell r="A121" t="str">
            <v>PVS</v>
          </cell>
          <cell r="B121">
            <v>39700</v>
          </cell>
        </row>
        <row r="122">
          <cell r="A122" t="str">
            <v>PVT</v>
          </cell>
          <cell r="B122">
            <v>24850</v>
          </cell>
        </row>
        <row r="123">
          <cell r="A123" t="str">
            <v>PLX</v>
          </cell>
          <cell r="B123">
            <v>35700</v>
          </cell>
        </row>
        <row r="124">
          <cell r="A124" t="str">
            <v>GAS</v>
          </cell>
          <cell r="B124">
            <v>73500</v>
          </cell>
        </row>
        <row r="125">
          <cell r="A125" t="str">
            <v>KSB</v>
          </cell>
          <cell r="B125">
            <v>21450</v>
          </cell>
        </row>
        <row r="126">
          <cell r="A126" t="str">
            <v>DHA</v>
          </cell>
          <cell r="B126">
            <v>43000</v>
          </cell>
        </row>
        <row r="127">
          <cell r="A127" t="str">
            <v>VLB</v>
          </cell>
          <cell r="B127">
            <v>33200</v>
          </cell>
        </row>
        <row r="128">
          <cell r="A128" t="str">
            <v>HT1</v>
          </cell>
          <cell r="B128">
            <v>11250</v>
          </cell>
        </row>
        <row r="129">
          <cell r="A129" t="str">
            <v>BMP</v>
          </cell>
          <cell r="B129">
            <v>109000</v>
          </cell>
        </row>
        <row r="130">
          <cell r="A130" t="str">
            <v>NTP</v>
          </cell>
          <cell r="B130">
            <v>40800</v>
          </cell>
        </row>
        <row r="131">
          <cell r="A131" t="str">
            <v>DCM</v>
          </cell>
          <cell r="B131">
            <v>30700</v>
          </cell>
        </row>
        <row r="132">
          <cell r="A132" t="str">
            <v>DPM</v>
          </cell>
          <cell r="B132">
            <v>31600</v>
          </cell>
        </row>
        <row r="133">
          <cell r="A133" t="str">
            <v>PAN</v>
          </cell>
          <cell r="B133">
            <v>21300</v>
          </cell>
        </row>
        <row r="134">
          <cell r="A134" t="str">
            <v>LTG</v>
          </cell>
          <cell r="B134">
            <v>24000</v>
          </cell>
        </row>
        <row r="135">
          <cell r="A135" t="str">
            <v>PTB</v>
          </cell>
          <cell r="B135">
            <v>64300</v>
          </cell>
        </row>
        <row r="136">
          <cell r="A136" t="str">
            <v>VCS</v>
          </cell>
          <cell r="B136">
            <v>62900</v>
          </cell>
        </row>
        <row r="137">
          <cell r="A137" t="str">
            <v>DBC</v>
          </cell>
          <cell r="B137">
            <v>28000</v>
          </cell>
        </row>
        <row r="138">
          <cell r="A138" t="str">
            <v>HAG</v>
          </cell>
          <cell r="B138">
            <v>12400</v>
          </cell>
        </row>
        <row r="139">
          <cell r="A139" t="str">
            <v>BAF</v>
          </cell>
          <cell r="B139">
            <v>28300</v>
          </cell>
        </row>
        <row r="140">
          <cell r="A140" t="str">
            <v>TNG</v>
          </cell>
          <cell r="B140">
            <v>20100</v>
          </cell>
        </row>
        <row r="141">
          <cell r="A141" t="str">
            <v>VGT</v>
          </cell>
          <cell r="B141">
            <v>12000</v>
          </cell>
        </row>
        <row r="142">
          <cell r="A142" t="str">
            <v>STK</v>
          </cell>
          <cell r="B142">
            <v>28300</v>
          </cell>
        </row>
        <row r="143">
          <cell r="A143" t="str">
            <v>MSH</v>
          </cell>
          <cell r="B143">
            <v>43200</v>
          </cell>
        </row>
        <row r="144">
          <cell r="A144" t="str">
            <v>ADS</v>
          </cell>
          <cell r="B144">
            <v>12150</v>
          </cell>
        </row>
        <row r="145">
          <cell r="A145" t="str">
            <v>GIL</v>
          </cell>
          <cell r="B145">
            <v>32200</v>
          </cell>
        </row>
        <row r="146">
          <cell r="A146" t="str">
            <v>QNS</v>
          </cell>
          <cell r="B146">
            <v>46000</v>
          </cell>
        </row>
        <row r="147">
          <cell r="A147" t="str">
            <v>SBT</v>
          </cell>
          <cell r="B147">
            <v>10900</v>
          </cell>
        </row>
        <row r="148">
          <cell r="A148" t="str">
            <v>LSS</v>
          </cell>
          <cell r="B148">
            <v>10200</v>
          </cell>
        </row>
        <row r="149">
          <cell r="A149" t="str">
            <v>SLS</v>
          </cell>
          <cell r="B149">
            <v>159700</v>
          </cell>
        </row>
        <row r="150">
          <cell r="A150" t="str">
            <v>DHG</v>
          </cell>
          <cell r="B150">
            <v>114100</v>
          </cell>
        </row>
        <row r="151">
          <cell r="A151" t="str">
            <v>IMP</v>
          </cell>
          <cell r="B151">
            <v>64500</v>
          </cell>
        </row>
        <row r="152">
          <cell r="A152" t="str">
            <v>AMV</v>
          </cell>
          <cell r="B152">
            <v>3100</v>
          </cell>
        </row>
        <row r="153">
          <cell r="A153" t="str">
            <v>FPT</v>
          </cell>
          <cell r="B153">
            <v>123200</v>
          </cell>
        </row>
        <row r="154">
          <cell r="A154" t="str">
            <v>HAX</v>
          </cell>
          <cell r="B154">
            <v>15300</v>
          </cell>
        </row>
        <row r="155">
          <cell r="A155" t="str">
            <v>VEA</v>
          </cell>
          <cell r="B155">
            <v>35600</v>
          </cell>
        </row>
        <row r="156">
          <cell r="A156" t="str">
            <v>HUT</v>
          </cell>
          <cell r="B156">
            <v>16900</v>
          </cell>
        </row>
        <row r="157">
          <cell r="A157" t="str">
            <v>DHC</v>
          </cell>
          <cell r="B157">
            <v>38000</v>
          </cell>
        </row>
        <row r="158">
          <cell r="A158" t="str">
            <v>DRC</v>
          </cell>
          <cell r="B158">
            <v>29450</v>
          </cell>
        </row>
        <row r="159">
          <cell r="A159" t="str">
            <v>REE</v>
          </cell>
          <cell r="B159">
            <v>61600</v>
          </cell>
        </row>
        <row r="160">
          <cell r="A160" t="str">
            <v>HDG</v>
          </cell>
          <cell r="B160">
            <v>26650</v>
          </cell>
        </row>
        <row r="161">
          <cell r="A161" t="str">
            <v>GEX</v>
          </cell>
          <cell r="B161">
            <v>20400</v>
          </cell>
        </row>
        <row r="162">
          <cell r="A162" t="str">
            <v>MSN</v>
          </cell>
          <cell r="B162">
            <v>67200</v>
          </cell>
        </row>
        <row r="163">
          <cell r="A163" t="str">
            <v>VIC</v>
          </cell>
          <cell r="B163">
            <v>44450</v>
          </cell>
        </row>
        <row r="164">
          <cell r="A164" t="str">
            <v>VGS</v>
          </cell>
          <cell r="B164">
            <v>25200</v>
          </cell>
        </row>
        <row r="165">
          <cell r="A165" t="str">
            <v>SMC</v>
          </cell>
          <cell r="B165">
            <v>12050</v>
          </cell>
        </row>
        <row r="166">
          <cell r="A166" t="str">
            <v>BFC</v>
          </cell>
          <cell r="B166">
            <v>27200</v>
          </cell>
        </row>
        <row r="167">
          <cell r="A167" t="str">
            <v>BCG</v>
          </cell>
          <cell r="B167">
            <v>8060</v>
          </cell>
        </row>
        <row r="168">
          <cell r="A168" t="str">
            <v>MIG</v>
          </cell>
          <cell r="B168">
            <v>17750</v>
          </cell>
        </row>
        <row r="169">
          <cell r="A169" t="str">
            <v>HQC</v>
          </cell>
          <cell r="B169">
            <v>3790</v>
          </cell>
        </row>
        <row r="170">
          <cell r="A170" t="str">
            <v>SCR</v>
          </cell>
          <cell r="B170">
            <v>6600</v>
          </cell>
        </row>
        <row r="171">
          <cell r="A171" t="str">
            <v>DXS</v>
          </cell>
          <cell r="B171">
            <v>7040</v>
          </cell>
        </row>
        <row r="172">
          <cell r="A172" t="str">
            <v>HBC</v>
          </cell>
          <cell r="B172">
            <v>7640</v>
          </cell>
        </row>
        <row r="173">
          <cell r="A173" t="str">
            <v>ACL</v>
          </cell>
          <cell r="B173">
            <v>12300</v>
          </cell>
        </row>
        <row r="174">
          <cell r="A174" t="str">
            <v>TTF</v>
          </cell>
          <cell r="B174">
            <v>3900</v>
          </cell>
        </row>
        <row r="175">
          <cell r="A175" t="str">
            <v>LCG</v>
          </cell>
          <cell r="B175">
            <v>11500</v>
          </cell>
        </row>
        <row r="176">
          <cell r="A176" t="str">
            <v>FIT</v>
          </cell>
          <cell r="B176">
            <v>4430</v>
          </cell>
        </row>
        <row r="177">
          <cell r="A177" t="str">
            <v>PSH</v>
          </cell>
          <cell r="B177">
            <v>4530</v>
          </cell>
        </row>
        <row r="178">
          <cell r="A178" t="str">
            <v>HHS</v>
          </cell>
          <cell r="B178">
            <v>8830</v>
          </cell>
        </row>
        <row r="179">
          <cell r="A179" t="str">
            <v>CRE</v>
          </cell>
          <cell r="B179">
            <v>8090</v>
          </cell>
        </row>
        <row r="180">
          <cell r="A180" t="str">
            <v>SIP</v>
          </cell>
          <cell r="B180">
            <v>81000</v>
          </cell>
        </row>
        <row r="181">
          <cell r="A181" t="str">
            <v>TIG</v>
          </cell>
          <cell r="B181">
            <v>12100</v>
          </cell>
        </row>
        <row r="182">
          <cell r="A182" t="str">
            <v>BVH</v>
          </cell>
          <cell r="B182">
            <v>39450</v>
          </cell>
        </row>
        <row r="183">
          <cell r="A183" t="str">
            <v>CTS</v>
          </cell>
          <cell r="B183">
            <v>35500</v>
          </cell>
        </row>
        <row r="184">
          <cell r="A184" t="str">
            <v>IJC</v>
          </cell>
          <cell r="B184">
            <v>13800</v>
          </cell>
        </row>
        <row r="185">
          <cell r="A185" t="str">
            <v>EVF</v>
          </cell>
          <cell r="B185">
            <v>13150</v>
          </cell>
        </row>
        <row r="186">
          <cell r="A186" t="str">
            <v>BCC</v>
          </cell>
          <cell r="B186">
            <v>8000</v>
          </cell>
        </row>
        <row r="187">
          <cell r="A187" t="str">
            <v>EVE</v>
          </cell>
          <cell r="B187">
            <v>14550</v>
          </cell>
        </row>
        <row r="188">
          <cell r="A188" t="str">
            <v>SGP</v>
          </cell>
          <cell r="B188">
            <v>18400</v>
          </cell>
        </row>
        <row r="189">
          <cell r="A189" t="str">
            <v>DVP</v>
          </cell>
          <cell r="B189">
            <v>72100</v>
          </cell>
        </row>
        <row r="190">
          <cell r="A190" t="str">
            <v>PLC</v>
          </cell>
          <cell r="B190">
            <v>28100</v>
          </cell>
        </row>
        <row r="191">
          <cell r="A191" t="str">
            <v>GDT</v>
          </cell>
          <cell r="B191">
            <v>24750</v>
          </cell>
        </row>
        <row r="192">
          <cell r="A192" t="str">
            <v>VPG</v>
          </cell>
          <cell r="B192">
            <v>14200</v>
          </cell>
        </row>
        <row r="193">
          <cell r="A193" t="str">
            <v>OIL</v>
          </cell>
          <cell r="B193">
            <v>9300</v>
          </cell>
        </row>
        <row r="194">
          <cell r="A194" t="str">
            <v>VGI</v>
          </cell>
          <cell r="B194">
            <v>67600</v>
          </cell>
        </row>
        <row r="195">
          <cell r="A195" t="str">
            <v>MCH</v>
          </cell>
          <cell r="B195">
            <v>140000</v>
          </cell>
        </row>
        <row r="196">
          <cell r="A196" t="str">
            <v>ORS</v>
          </cell>
          <cell r="B196">
            <v>14300</v>
          </cell>
        </row>
        <row r="197">
          <cell r="A197" t="str">
            <v>VDS</v>
          </cell>
          <cell r="B197">
            <v>12000</v>
          </cell>
        </row>
        <row r="198">
          <cell r="A198" t="str">
            <v>SHB</v>
          </cell>
          <cell r="B198">
            <v>11450</v>
          </cell>
        </row>
        <row r="199">
          <cell r="A199" t="str">
            <v>DPG</v>
          </cell>
          <cell r="B199">
            <v>42950</v>
          </cell>
        </row>
        <row r="200">
          <cell r="A200" t="str">
            <v>POW</v>
          </cell>
          <cell r="B200">
            <v>12000</v>
          </cell>
        </row>
        <row r="201">
          <cell r="A201" t="str">
            <v>MPC</v>
          </cell>
          <cell r="B201">
            <v>12000</v>
          </cell>
        </row>
        <row r="202">
          <cell r="A202" t="str">
            <v>OCB</v>
          </cell>
          <cell r="B202">
            <v>0</v>
          </cell>
        </row>
        <row r="203">
          <cell r="A203" t="str">
            <v>ASM</v>
          </cell>
          <cell r="B203">
            <v>11050</v>
          </cell>
        </row>
        <row r="204">
          <cell r="A204" t="str">
            <v>NAB</v>
          </cell>
          <cell r="B204">
            <v>0</v>
          </cell>
        </row>
        <row r="205">
          <cell r="A205" t="str">
            <v>ST8</v>
          </cell>
          <cell r="B205">
            <v>7990</v>
          </cell>
        </row>
        <row r="206">
          <cell r="A206" t="str">
            <v>TCH</v>
          </cell>
          <cell r="B206">
            <v>16000</v>
          </cell>
        </row>
        <row r="207">
          <cell r="A207" t="str">
            <v>AAA</v>
          </cell>
          <cell r="B207">
            <v>9780</v>
          </cell>
        </row>
        <row r="208">
          <cell r="A208" t="str">
            <v>BWE</v>
          </cell>
          <cell r="B208">
            <v>42050</v>
          </cell>
        </row>
        <row r="209">
          <cell r="A209" t="str">
            <v>NAB</v>
          </cell>
          <cell r="B209">
            <v>0</v>
          </cell>
        </row>
        <row r="210">
          <cell r="A210" t="str">
            <v>TDM</v>
          </cell>
          <cell r="B210">
            <v>51300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rung Nguyen Hoang" id="{4D585C85-B6D3-4248-BA15-75BF0C3C200B}" userId="S::trung.nguyenhoang@v-key.com::dfad774c-056e-46a2-a607-719a6211ceec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9" dT="2024-05-31T02:24:10.57" personId="{4D585C85-B6D3-4248-BA15-75BF0C3C200B}" id="{EF2E373C-24B9-0649-890E-871FF88285B0}">
    <text>Thoái vốn MSR -&gt; MSN</text>
  </threadedComment>
  <threadedComment ref="S9" dT="2024-05-31T02:25:36.14" personId="{4D585C85-B6D3-4248-BA15-75BF0C3C200B}" id="{DCF5ECF6-A785-D844-BB0A-AC21E83AC10B}">
    <text>Tiêu thụ điện đạt kỉ lục</text>
  </threadedComment>
  <threadedComment ref="U13" dT="2024-05-31T02:55:24.19" personId="{4D585C85-B6D3-4248-BA15-75BF0C3C200B}" id="{B8C86A40-F444-EC4C-A42C-B1B93FEF16BE}">
    <text>giá heo cao kỉ lục 5 năm</text>
  </threadedComment>
</ThreadedComment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1F217-437D-424A-92DE-3600F5BB370B}">
  <sheetPr codeName="Sheet13"/>
  <dimension ref="A1:T46"/>
  <sheetViews>
    <sheetView workbookViewId="0">
      <selection activeCell="K21" sqref="K21"/>
    </sheetView>
  </sheetViews>
  <sheetFormatPr baseColWidth="10" defaultRowHeight="16" x14ac:dyDescent="0.2"/>
  <cols>
    <col min="1" max="1" width="21.6640625" customWidth="1"/>
    <col min="2" max="2" width="21" customWidth="1"/>
    <col min="3" max="3" width="20.33203125" customWidth="1"/>
    <col min="4" max="5" width="19.6640625" customWidth="1"/>
    <col min="6" max="6" width="19.5" customWidth="1"/>
    <col min="7" max="7" width="19.1640625" customWidth="1"/>
    <col min="8" max="8" width="20.33203125" customWidth="1"/>
    <col min="9" max="9" width="19.83203125" customWidth="1"/>
    <col min="10" max="10" width="20" customWidth="1"/>
    <col min="11" max="12" width="20.83203125" customWidth="1"/>
    <col min="13" max="13" width="22" customWidth="1"/>
    <col min="14" max="14" width="21" customWidth="1"/>
    <col min="15" max="15" width="21.33203125" customWidth="1"/>
    <col min="16" max="16" width="21.5" customWidth="1"/>
    <col min="17" max="17" width="20.6640625" customWidth="1"/>
    <col min="18" max="18" width="20.5" customWidth="1"/>
    <col min="19" max="19" width="20.6640625" customWidth="1"/>
    <col min="20" max="20" width="19.33203125" customWidth="1"/>
  </cols>
  <sheetData>
    <row r="1" spans="1:20" x14ac:dyDescent="0.2">
      <c r="A1" s="20" t="s">
        <v>84</v>
      </c>
      <c r="C1" s="21" t="s">
        <v>85</v>
      </c>
    </row>
    <row r="2" spans="1:20" x14ac:dyDescent="0.2">
      <c r="A2" t="s">
        <v>12</v>
      </c>
      <c r="C2" t="s">
        <v>12</v>
      </c>
    </row>
    <row r="3" spans="1:20" x14ac:dyDescent="0.2">
      <c r="A3" s="30">
        <f>'2024'!E3</f>
        <v>-2260925083236</v>
      </c>
      <c r="C3" s="19">
        <f>'2024'!E4</f>
        <v>382058080300</v>
      </c>
    </row>
    <row r="5" spans="1:20" x14ac:dyDescent="0.2">
      <c r="A5" s="37" t="s">
        <v>22</v>
      </c>
      <c r="B5" s="37"/>
      <c r="C5" s="37"/>
      <c r="D5" s="37"/>
      <c r="E5" s="37"/>
      <c r="F5" s="37"/>
      <c r="G5" s="37"/>
      <c r="H5" s="37"/>
      <c r="I5" s="37"/>
      <c r="J5" s="37"/>
    </row>
    <row r="6" spans="1:20" x14ac:dyDescent="0.2">
      <c r="A6" s="5" t="s">
        <v>18</v>
      </c>
      <c r="B6" s="6" t="s">
        <v>32</v>
      </c>
      <c r="C6" s="7" t="s">
        <v>38</v>
      </c>
      <c r="D6" s="8" t="s">
        <v>182</v>
      </c>
      <c r="E6" s="1" t="s">
        <v>15</v>
      </c>
      <c r="F6" s="9" t="s">
        <v>70</v>
      </c>
      <c r="G6" s="9" t="s">
        <v>83</v>
      </c>
      <c r="H6" s="9" t="s">
        <v>61</v>
      </c>
      <c r="I6" s="9" t="s">
        <v>232</v>
      </c>
      <c r="J6" s="9" t="s">
        <v>6</v>
      </c>
      <c r="K6" s="9" t="s">
        <v>39</v>
      </c>
      <c r="L6" s="9" t="s">
        <v>100</v>
      </c>
      <c r="M6" s="9" t="s">
        <v>16</v>
      </c>
      <c r="N6" s="9" t="s">
        <v>8</v>
      </c>
      <c r="O6" s="9" t="s">
        <v>79</v>
      </c>
      <c r="P6" s="9" t="s">
        <v>40</v>
      </c>
      <c r="Q6" s="9" t="s">
        <v>28</v>
      </c>
      <c r="R6" s="9" t="s">
        <v>68</v>
      </c>
      <c r="S6" s="9" t="s">
        <v>223</v>
      </c>
      <c r="T6" s="9" t="s">
        <v>179</v>
      </c>
    </row>
    <row r="7" spans="1:20" x14ac:dyDescent="0.2">
      <c r="A7" s="4">
        <v>1465358150105</v>
      </c>
      <c r="B7" s="4">
        <v>639671722493</v>
      </c>
      <c r="C7" s="4">
        <v>426944510000</v>
      </c>
      <c r="D7" s="4">
        <v>296827330000</v>
      </c>
      <c r="E7" s="4">
        <v>283488350000</v>
      </c>
      <c r="F7" s="4">
        <v>206292900000</v>
      </c>
      <c r="G7" s="4">
        <v>188572610000</v>
      </c>
      <c r="H7" s="4">
        <v>185557730000</v>
      </c>
      <c r="I7" s="4">
        <v>163277871653</v>
      </c>
      <c r="J7" s="4">
        <v>139186210000</v>
      </c>
      <c r="K7" s="4">
        <v>138415478383</v>
      </c>
      <c r="L7" s="15">
        <v>134845180000</v>
      </c>
      <c r="M7" s="15">
        <v>115284386280</v>
      </c>
      <c r="N7" s="15">
        <v>112649137951</v>
      </c>
      <c r="O7" s="15">
        <v>94421600000</v>
      </c>
      <c r="P7" s="15">
        <v>90346190000</v>
      </c>
      <c r="Q7" s="15">
        <v>89760130000</v>
      </c>
      <c r="R7" s="15">
        <v>84971660000</v>
      </c>
      <c r="S7" s="15">
        <v>81980840000</v>
      </c>
      <c r="T7" s="15">
        <v>81616260000</v>
      </c>
    </row>
    <row r="8" spans="1:20" x14ac:dyDescent="0.2">
      <c r="A8" s="15">
        <f>VLOOKUP(A6,[1]PriceValue!A40:B194,2,FALSE)*VLOOKUP(A6,'[1]2023'!A41:F200,4,FALSE)</f>
        <v>80339381708400</v>
      </c>
      <c r="B8" s="15">
        <f>VLOOKUP(B6,[1]PriceValue!A40:B194,2,FALSE)*VLOOKUP(B6,'[1]2023'!A41:F200,4,FALSE)</f>
        <v>18975261713000</v>
      </c>
      <c r="C8" s="15">
        <f>VLOOKUP(C6,[1]PriceValue!A40:B194,2,FALSE)*VLOOKUP(C6,'[1]2023'!A41:F200,4,FALSE)</f>
        <v>116013371225000</v>
      </c>
      <c r="D8" s="15">
        <f>VLOOKUP(D6,[1]PriceValue!A40:B194,2,FALSE)*VLOOKUP(D6,'[1]2023'!A41:F200,4,FALSE)</f>
        <v>8307024353400</v>
      </c>
      <c r="E8" s="15">
        <f>VLOOKUP(E6,[1]PriceValue!A40:B194,2,FALSE)*VLOOKUP(E6,'[1]2023'!A41:F200,4,FALSE)</f>
        <v>165139913880000</v>
      </c>
      <c r="F8" s="15">
        <f>VLOOKUP(F6,[1]PriceValue!A40:B194,2,FALSE)*VLOOKUP(F6,'[1]2023'!A41:F200,4,FALSE)</f>
        <v>27975918985000</v>
      </c>
      <c r="G8" s="15">
        <f>VLOOKUP(G6,[1]PriceValue!A40:B194,2,FALSE)*VLOOKUP(G6,'[1]2023'!A41:F200,4,FALSE)</f>
        <v>164149003280000</v>
      </c>
      <c r="H8" s="15">
        <f>VLOOKUP(H6,[1]PriceValue!A40:B194,2,FALSE)*VLOOKUP(H6,'[1]2023'!A41:F200,4,FALSE)</f>
        <v>14583066150900</v>
      </c>
      <c r="I8" s="15" t="e">
        <f>VLOOKUP(I6,[1]PriceValue!A40:B194,2,FALSE)*VLOOKUP(I6,'[1]2023'!A41:F200,4,FALSE)</f>
        <v>#N/A</v>
      </c>
      <c r="J8" s="15">
        <f>VLOOKUP(J6,[1]PriceValue!A40:B194,2,FALSE)*VLOOKUP(J6,'[1]2023'!A41:F200,4,FALSE)</f>
        <v>25148478785850</v>
      </c>
      <c r="K8" s="15">
        <f>VLOOKUP(K6,[1]PriceValue!A40:B194,2,FALSE)*VLOOKUP(K6,'[1]2023'!A41:F200,4,FALSE)</f>
        <v>25756658499400</v>
      </c>
      <c r="L8" s="15">
        <f>VLOOKUP(L6,[1]PriceValue!A40:B194,2,FALSE)*VLOOKUP(L6,'[1]2023'!A41:F200,4,FALSE)</f>
        <v>9880230882300</v>
      </c>
      <c r="M8" s="15">
        <f>VLOOKUP(M6,[1]PriceValue!A40:B194,2,FALSE)*VLOOKUP(M6,'[1]2023'!A41:F200,4,FALSE)</f>
        <v>147174282780000</v>
      </c>
      <c r="N8" s="15">
        <f>VLOOKUP(N6,[1]PriceValue!A40:B194,2,FALSE)*VLOOKUP(N6,'[1]2023'!A41:F200,4,FALSE)</f>
        <v>12390316527350</v>
      </c>
      <c r="O8" s="15" t="e">
        <f>VLOOKUP(O6,[1]PriceValue!A40:B194,2,FALSE)*VLOOKUP(O6,'[1]2023'!A41:F200,4,FALSE)</f>
        <v>#N/A</v>
      </c>
      <c r="P8" s="15" t="e">
        <f>VLOOKUP(P6,[1]PriceValue!A40:B194,2,FALSE)*VLOOKUP(P6,'[1]2023'!A41:F200,4,FALSE)</f>
        <v>#N/A</v>
      </c>
      <c r="Q8" s="15">
        <f>VLOOKUP(Q6,[1]PriceValue!A40:B194,2,FALSE)*VLOOKUP(Q6,'[1]2023'!A41:F200,4,FALSE)</f>
        <v>45117779176800</v>
      </c>
      <c r="R8" s="15">
        <f>VLOOKUP(R6,[1]PriceValue!A40:B194,2,FALSE)*VLOOKUP(R6,'[1]2023'!A41:F200,4,FALSE)</f>
        <v>39409266500000</v>
      </c>
      <c r="S8" s="15">
        <f>VLOOKUP(S6,[1]PriceValue!A40:B194,2,FALSE)*VLOOKUP(S6,'[1]2023'!A41:F200,4,FALSE)</f>
        <v>7655704687000</v>
      </c>
      <c r="T8" s="15" t="e">
        <f>VLOOKUP(T6,[1]PriceValue!A40:B194,2,FALSE)*VLOOKUP(T6,'[1]2023'!A41:F200,4,FALSE)</f>
        <v>#N/A</v>
      </c>
    </row>
    <row r="9" spans="1:20" x14ac:dyDescent="0.2">
      <c r="A9" s="18">
        <f>A7/A8</f>
        <v>1.8239599545633388E-2</v>
      </c>
      <c r="B9" s="18">
        <f>B7/B8</f>
        <v>3.3710824765845485E-2</v>
      </c>
      <c r="C9" s="18">
        <f t="shared" ref="C9:T9" si="0">C7/C8</f>
        <v>3.6801319148977258E-3</v>
      </c>
      <c r="D9" s="18">
        <f t="shared" si="0"/>
        <v>3.573208857615915E-2</v>
      </c>
      <c r="E9" s="18">
        <f t="shared" si="0"/>
        <v>1.7166555518855283E-3</v>
      </c>
      <c r="F9" s="18">
        <f t="shared" si="0"/>
        <v>7.3739454318054462E-3</v>
      </c>
      <c r="G9" s="18">
        <f t="shared" si="0"/>
        <v>1.1487892477686204E-3</v>
      </c>
      <c r="H9" s="18">
        <f t="shared" si="0"/>
        <v>1.2724191749520948E-2</v>
      </c>
      <c r="I9" s="18" t="e">
        <f t="shared" si="0"/>
        <v>#N/A</v>
      </c>
      <c r="J9" s="18">
        <f t="shared" si="0"/>
        <v>5.5345777048874337E-3</v>
      </c>
      <c r="K9" s="18">
        <f t="shared" si="0"/>
        <v>5.3739687695212634E-3</v>
      </c>
      <c r="L9" s="18">
        <f t="shared" si="0"/>
        <v>1.3647978635961759E-2</v>
      </c>
      <c r="M9" s="18">
        <f t="shared" si="0"/>
        <v>7.8331882515323781E-4</v>
      </c>
      <c r="N9" s="18">
        <f t="shared" si="0"/>
        <v>9.0917078431646033E-3</v>
      </c>
      <c r="O9" s="18" t="e">
        <f t="shared" si="0"/>
        <v>#N/A</v>
      </c>
      <c r="P9" s="18" t="e">
        <f t="shared" si="0"/>
        <v>#N/A</v>
      </c>
      <c r="Q9" s="18">
        <f t="shared" si="0"/>
        <v>1.9894625054186071E-3</v>
      </c>
      <c r="R9" s="18">
        <f t="shared" si="0"/>
        <v>2.1561340148261829E-3</v>
      </c>
      <c r="S9" s="18">
        <f t="shared" si="0"/>
        <v>1.0708464256622913E-2</v>
      </c>
      <c r="T9" s="18" t="e">
        <f t="shared" si="0"/>
        <v>#N/A</v>
      </c>
    </row>
    <row r="10" spans="1:20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</row>
    <row r="11" spans="1:20" x14ac:dyDescent="0.2">
      <c r="A11" s="35" t="s">
        <v>86</v>
      </c>
      <c r="B11" s="35"/>
      <c r="C11" s="35"/>
      <c r="D11" s="35"/>
      <c r="E11" s="35"/>
      <c r="F11" s="35"/>
      <c r="G11" s="35"/>
      <c r="H11" s="35"/>
      <c r="I11" s="35"/>
      <c r="J11" s="35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 t="s">
        <v>256</v>
      </c>
      <c r="B12" s="6" t="s">
        <v>16</v>
      </c>
      <c r="C12" s="7" t="s">
        <v>41</v>
      </c>
      <c r="D12" s="8" t="s">
        <v>98</v>
      </c>
      <c r="E12" s="1" t="s">
        <v>21</v>
      </c>
      <c r="F12" s="9" t="s">
        <v>15</v>
      </c>
      <c r="G12" s="9" t="s">
        <v>5</v>
      </c>
      <c r="H12" s="9" t="s">
        <v>71</v>
      </c>
      <c r="I12" s="9" t="s">
        <v>32</v>
      </c>
      <c r="J12" s="9" t="s">
        <v>7</v>
      </c>
      <c r="K12" s="9" t="s">
        <v>75</v>
      </c>
      <c r="L12" s="9" t="s">
        <v>61</v>
      </c>
      <c r="M12" s="9" t="s">
        <v>73</v>
      </c>
      <c r="N12" s="9" t="s">
        <v>33</v>
      </c>
      <c r="O12" s="9" t="s">
        <v>262</v>
      </c>
      <c r="P12" s="9" t="s">
        <v>45</v>
      </c>
      <c r="Q12" s="9" t="s">
        <v>64</v>
      </c>
      <c r="R12" s="9" t="s">
        <v>20</v>
      </c>
      <c r="S12" s="9" t="s">
        <v>204</v>
      </c>
      <c r="T12" s="9" t="s">
        <v>187</v>
      </c>
    </row>
    <row r="13" spans="1:20" x14ac:dyDescent="0.2">
      <c r="A13" s="4">
        <v>884761890000</v>
      </c>
      <c r="B13" s="4">
        <v>834165343000</v>
      </c>
      <c r="C13" s="4">
        <v>401833940000</v>
      </c>
      <c r="D13" s="4">
        <v>330136810000</v>
      </c>
      <c r="E13" s="4">
        <v>151429780000</v>
      </c>
      <c r="F13" s="4">
        <v>121126720000</v>
      </c>
      <c r="G13" s="4">
        <v>117929314000</v>
      </c>
      <c r="H13" s="4">
        <v>100228090000</v>
      </c>
      <c r="I13" s="4">
        <v>97357040000</v>
      </c>
      <c r="J13" s="4">
        <v>71539830000</v>
      </c>
      <c r="K13" s="4">
        <v>71517965000</v>
      </c>
      <c r="L13" s="15">
        <v>67489525000</v>
      </c>
      <c r="M13" s="15">
        <v>60865910000</v>
      </c>
      <c r="N13" s="15">
        <v>60600658000</v>
      </c>
      <c r="O13" s="15">
        <v>59450000000</v>
      </c>
      <c r="P13" s="15">
        <v>59062795000</v>
      </c>
      <c r="Q13" s="15">
        <v>57318273000</v>
      </c>
      <c r="R13" s="15">
        <v>53913986000</v>
      </c>
      <c r="S13" s="15">
        <v>50674115000</v>
      </c>
      <c r="T13" s="15">
        <v>49258410000</v>
      </c>
    </row>
    <row r="14" spans="1:20" x14ac:dyDescent="0.2">
      <c r="A14" s="4">
        <f>VLOOKUP(A12,[1]PriceValue!A46:B226,2,FALSE)*VLOOKUP(A12,'[1]2023'!A47:F207,4,FALSE)</f>
        <v>5130000000000</v>
      </c>
      <c r="B14" s="4">
        <f>VLOOKUP(B12,[1]PriceValue!A46:B226,2,FALSE)*VLOOKUP(B12,'[1]2023'!A47:F206,4,FALSE)</f>
        <v>147174282780000</v>
      </c>
      <c r="C14" s="4">
        <f>VLOOKUP(C12,[1]PriceValue!A41:B226,2,FALSE)*VLOOKUP(C12,'[1]2023'!A47:F206,4,FALSE)</f>
        <v>8039235174300</v>
      </c>
      <c r="D14" s="4">
        <f>VLOOKUP(D12,[1]PriceValue!A46:B226,2,FALSE)*VLOOKUP(D12,'[1]2023'!A47:F206,4,FALSE)</f>
        <v>17370514177200</v>
      </c>
      <c r="E14" s="4">
        <f>VLOOKUP(E12,[1]PriceValue!A46:B226,2,FALSE)*VLOOKUP(E12,'[1]2023'!A47:F206,4,FALSE)</f>
        <v>18545996009800</v>
      </c>
      <c r="F14" s="4">
        <f>VLOOKUP(F12,[1]PriceValue!A41:B226,2,FALSE)*VLOOKUP(F12,'[1]2023'!A47:F206,4,FALSE)</f>
        <v>165139913880000</v>
      </c>
      <c r="G14" s="4">
        <f>VLOOKUP(G12,[1]PriceValue!A41:B256,2,FALSE)*VLOOKUP(G12,'[1]2023'!A47:F206,4,FALSE)</f>
        <v>52839780822400</v>
      </c>
      <c r="H14" s="4">
        <f>VLOOKUP(H12,[1]PriceValue!A46:B226,2,FALSE)*VLOOKUP(H12,'[1]2023'!A47:F206,4,FALSE)</f>
        <v>9328581017200</v>
      </c>
      <c r="I14" s="4">
        <f>VLOOKUP(I12,[1]PriceValue!A46:B226,2,FALSE)*VLOOKUP(I12,'[1]2023'!A47:F206,4,FALSE)</f>
        <v>18975261713000</v>
      </c>
      <c r="J14" s="4" t="e">
        <f>VLOOKUP(J12,[1]PriceValue!A46:B226,2,FALSE)*VLOOKUP(J12,'[1]2023'!A47:F206,4,FALSE)</f>
        <v>#N/A</v>
      </c>
      <c r="K14" s="4">
        <f>VLOOKUP(K12,[1]PriceValue!A46:B226,2,FALSE)*VLOOKUP(K12,'[1]2023'!A47:F206,4,FALSE)</f>
        <v>29739094204500</v>
      </c>
      <c r="L14" s="4">
        <f>VLOOKUP(L12,[1]PriceValue!A46:B226,2,FALSE)*VLOOKUP(L12,'[1]2023'!A47:F206,4,FALSE)</f>
        <v>14583066150900</v>
      </c>
      <c r="M14" s="4">
        <f>VLOOKUP(M12,[1]PriceValue!A46:B226,2,FALSE)*VLOOKUP(M12,'[1]2023'!A47:F206,4,FALSE)</f>
        <v>16549806178500</v>
      </c>
      <c r="N14" s="4">
        <f>VLOOKUP(N12,[1]PriceValue!A46:B226,2,FALSE)*VLOOKUP(N12,'[1]2023'!A47:F206,4,FALSE)</f>
        <v>168810378754500</v>
      </c>
      <c r="O14" s="4" t="e">
        <f>VLOOKUP(O12,[1]PriceValue!A46:B226,2,FALSE)*VLOOKUP(O12,'[1]2023'!A47:F206,4,FALSE)</f>
        <v>#N/A</v>
      </c>
      <c r="P14" s="4">
        <f>VLOOKUP(P12,[1]PriceValue!A46:B226,2,FALSE)*VLOOKUP(P12,'[1]2023'!A47:F206,4,FALSE)</f>
        <v>11950056794600</v>
      </c>
      <c r="Q14" s="4">
        <f>VLOOKUP(Q12,[1]PriceValue!A46:B226,2,FALSE)*VLOOKUP(Q12,'[1]2023'!A47:F206,4,FALSE)</f>
        <v>46191447491700</v>
      </c>
      <c r="R14" s="4">
        <f>VLOOKUP(R12,[1]PriceValue!A46:B226,2,FALSE)*VLOOKUP(R12,'[1]2023'!A47:F206,4,FALSE)</f>
        <v>31357861995000</v>
      </c>
      <c r="S14" s="4">
        <f>VLOOKUP(S12,[1]PriceValue!A46:B226,2,FALSE)*VLOOKUP(S12,'[1]2023'!A47:F206,4,FALSE)</f>
        <v>8042733463100</v>
      </c>
      <c r="T14" s="4">
        <f>VLOOKUP(T12,[1]PriceValue!A46:B226,2,FALSE)*VLOOKUP(T12,'[1]2023'!A47:F206,4,FALSE)</f>
        <v>13841292630000</v>
      </c>
    </row>
    <row r="15" spans="1:20" x14ac:dyDescent="0.2">
      <c r="A15" s="18">
        <f>A13/A14</f>
        <v>0.17246820467836257</v>
      </c>
      <c r="B15" s="18">
        <f t="shared" ref="B15:T15" si="1">B13/B14</f>
        <v>5.6678743544273449E-3</v>
      </c>
      <c r="C15" s="18">
        <f t="shared" si="1"/>
        <v>4.9984100637407818E-2</v>
      </c>
      <c r="D15" s="18">
        <f t="shared" si="1"/>
        <v>1.9005586514723172E-2</v>
      </c>
      <c r="E15" s="18">
        <f t="shared" si="1"/>
        <v>8.1650928815029441E-3</v>
      </c>
      <c r="F15" s="18">
        <f t="shared" si="1"/>
        <v>7.3347937003296205E-4</v>
      </c>
      <c r="G15" s="18">
        <f t="shared" si="1"/>
        <v>2.231828220415461E-3</v>
      </c>
      <c r="H15" s="18">
        <f t="shared" si="1"/>
        <v>1.0744194622440417E-2</v>
      </c>
      <c r="I15" s="18">
        <f t="shared" si="1"/>
        <v>5.1307350313540313E-3</v>
      </c>
      <c r="J15" s="18" t="e">
        <f t="shared" si="1"/>
        <v>#N/A</v>
      </c>
      <c r="K15" s="18">
        <f t="shared" si="1"/>
        <v>2.4048467820912377E-3</v>
      </c>
      <c r="L15" s="18">
        <f t="shared" si="1"/>
        <v>4.6279379316835137E-3</v>
      </c>
      <c r="M15" s="18">
        <f t="shared" si="1"/>
        <v>3.6777415604462753E-3</v>
      </c>
      <c r="N15" s="18">
        <f t="shared" si="1"/>
        <v>3.589865649678519E-4</v>
      </c>
      <c r="O15" s="18" t="e">
        <f t="shared" si="1"/>
        <v>#N/A</v>
      </c>
      <c r="P15" s="18">
        <f t="shared" si="1"/>
        <v>4.9424698154312821E-3</v>
      </c>
      <c r="Q15" s="18">
        <f t="shared" si="1"/>
        <v>1.240884971407301E-3</v>
      </c>
      <c r="R15" s="18">
        <f t="shared" si="1"/>
        <v>1.7193131983486809E-3</v>
      </c>
      <c r="S15" s="18">
        <f t="shared" si="1"/>
        <v>6.3006085222757227E-3</v>
      </c>
      <c r="T15" s="18">
        <f t="shared" si="1"/>
        <v>3.5588012851658062E-3</v>
      </c>
    </row>
    <row r="16" spans="1:20" x14ac:dyDescent="0.2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</row>
    <row r="17" spans="1:20" x14ac:dyDescent="0.2">
      <c r="A17" s="38" t="s">
        <v>87</v>
      </c>
      <c r="B17" s="38"/>
      <c r="C17" s="38"/>
      <c r="D17" s="38"/>
      <c r="E17" s="38"/>
      <c r="F17" s="38"/>
      <c r="G17" s="38"/>
      <c r="H17" s="38"/>
      <c r="I17" s="38"/>
      <c r="J17" s="38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 t="s">
        <v>74</v>
      </c>
      <c r="B18" s="18" t="s">
        <v>10</v>
      </c>
      <c r="C18" s="18" t="s">
        <v>18</v>
      </c>
      <c r="D18" s="18" t="s">
        <v>89</v>
      </c>
      <c r="E18" s="18" t="s">
        <v>32</v>
      </c>
      <c r="F18" s="18" t="s">
        <v>60</v>
      </c>
      <c r="G18" s="18" t="s">
        <v>7</v>
      </c>
      <c r="H18" s="18" t="s">
        <v>104</v>
      </c>
      <c r="I18" s="18" t="s">
        <v>66</v>
      </c>
      <c r="J18" s="18"/>
      <c r="K18" s="4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4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38" t="s">
        <v>90</v>
      </c>
      <c r="B20" s="38"/>
      <c r="C20" s="38"/>
      <c r="D20" s="38"/>
      <c r="E20" s="38"/>
      <c r="F20" s="38"/>
      <c r="G20" s="38"/>
      <c r="H20" s="38"/>
      <c r="I20" s="38"/>
      <c r="J20" s="38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 t="s">
        <v>27</v>
      </c>
      <c r="B21" s="18" t="s">
        <v>75</v>
      </c>
      <c r="C21" s="18" t="s">
        <v>74</v>
      </c>
      <c r="D21" s="18" t="s">
        <v>62</v>
      </c>
      <c r="E21" s="18" t="s">
        <v>67</v>
      </c>
      <c r="F21" s="18" t="s">
        <v>10</v>
      </c>
      <c r="G21" s="18" t="s">
        <v>32</v>
      </c>
      <c r="H21" s="18" t="s">
        <v>91</v>
      </c>
      <c r="I21" s="18" t="s">
        <v>39</v>
      </c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38" t="s">
        <v>93</v>
      </c>
      <c r="B23" s="38"/>
      <c r="C23" s="38"/>
      <c r="D23" s="38"/>
      <c r="E23" s="38"/>
      <c r="F23" s="38"/>
      <c r="G23" s="38"/>
      <c r="H23" s="38"/>
      <c r="I23" s="38"/>
      <c r="J23" s="38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 t="s">
        <v>27</v>
      </c>
      <c r="B24" s="18" t="s">
        <v>74</v>
      </c>
      <c r="C24" s="18" t="s">
        <v>67</v>
      </c>
      <c r="D24" s="18" t="s">
        <v>62</v>
      </c>
      <c r="E24" s="18" t="s">
        <v>32</v>
      </c>
      <c r="F24" s="18" t="s">
        <v>39</v>
      </c>
      <c r="G24" s="18" t="s">
        <v>43</v>
      </c>
      <c r="H24" s="18" t="s">
        <v>10</v>
      </c>
      <c r="I24" s="18" t="s">
        <v>91</v>
      </c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</row>
    <row r="27" spans="1:20" x14ac:dyDescent="0.2">
      <c r="A27" s="37" t="s">
        <v>23</v>
      </c>
      <c r="B27" s="37"/>
      <c r="C27" s="37"/>
      <c r="D27" s="37"/>
      <c r="E27" s="37"/>
      <c r="F27" s="37"/>
      <c r="G27" s="37"/>
      <c r="H27" s="37"/>
      <c r="I27" s="37"/>
      <c r="J27" s="37"/>
    </row>
    <row r="28" spans="1:20" x14ac:dyDescent="0.2">
      <c r="A28" s="10" t="s">
        <v>27</v>
      </c>
      <c r="B28" s="11" t="s">
        <v>26</v>
      </c>
      <c r="C28" s="12" t="s">
        <v>67</v>
      </c>
      <c r="D28" s="2" t="s">
        <v>24</v>
      </c>
      <c r="E28" s="13" t="s">
        <v>25</v>
      </c>
      <c r="F28" s="14" t="s">
        <v>9</v>
      </c>
      <c r="G28" s="14" t="s">
        <v>14</v>
      </c>
      <c r="H28" s="14" t="s">
        <v>62</v>
      </c>
      <c r="I28" s="14" t="s">
        <v>30</v>
      </c>
      <c r="J28" s="14" t="s">
        <v>45</v>
      </c>
      <c r="K28" s="14" t="s">
        <v>19</v>
      </c>
      <c r="L28" s="14" t="s">
        <v>73</v>
      </c>
      <c r="M28" s="14" t="s">
        <v>33</v>
      </c>
      <c r="N28" s="14" t="s">
        <v>5</v>
      </c>
      <c r="O28" s="14" t="s">
        <v>60</v>
      </c>
      <c r="P28" s="14" t="s">
        <v>201</v>
      </c>
      <c r="Q28" s="14" t="s">
        <v>65</v>
      </c>
      <c r="R28" s="14" t="s">
        <v>75</v>
      </c>
      <c r="S28" s="14" t="s">
        <v>72</v>
      </c>
      <c r="T28" s="14" t="s">
        <v>66</v>
      </c>
    </row>
    <row r="29" spans="1:20" x14ac:dyDescent="0.2">
      <c r="A29" s="16">
        <v>-2797021877368</v>
      </c>
      <c r="B29" s="16">
        <v>-766073760000</v>
      </c>
      <c r="C29" s="16">
        <v>-467301567207</v>
      </c>
      <c r="D29" s="16">
        <v>-460401912266</v>
      </c>
      <c r="E29" s="16">
        <v>-434273490000</v>
      </c>
      <c r="F29" s="16">
        <v>-364546360000</v>
      </c>
      <c r="G29" s="16">
        <v>-327919440000</v>
      </c>
      <c r="H29" s="16">
        <v>-300180300000</v>
      </c>
      <c r="I29" s="16">
        <v>-240859165164</v>
      </c>
      <c r="J29" s="16">
        <v>-233667120000</v>
      </c>
      <c r="K29" s="16">
        <v>-179062300000</v>
      </c>
      <c r="L29" s="16">
        <v>-173848610000</v>
      </c>
      <c r="M29" s="16">
        <v>-158712830000</v>
      </c>
      <c r="N29" s="16">
        <v>-140427270000</v>
      </c>
      <c r="O29" s="16">
        <v>-127471444088</v>
      </c>
      <c r="P29" s="16">
        <v>-117270650000</v>
      </c>
      <c r="Q29" s="16">
        <v>-105875250000</v>
      </c>
      <c r="R29" s="16">
        <v>-87882270000</v>
      </c>
      <c r="S29" s="16">
        <v>-74670640000</v>
      </c>
      <c r="T29" s="16">
        <v>-53019752462</v>
      </c>
    </row>
    <row r="30" spans="1:20" x14ac:dyDescent="0.2">
      <c r="A30" s="4">
        <f>VLOOKUP(A28,[1]PriceValue!A40:B194,2,FALSE)*VLOOKUP(A28,'[1]2023'!A41:F200,4,FALSE)</f>
        <v>177658194000000</v>
      </c>
      <c r="B30" s="4">
        <f>VLOOKUP(B28,[1]PriceValue!A40:B194,2,FALSE)*VLOOKUP(B28,'[1]2023'!A41:F200,4,FALSE)</f>
        <v>96152676480000</v>
      </c>
      <c r="C30" s="4">
        <f>VLOOKUP(C28,[1]PriceValue!A40:B194,2,FALSE)*VLOOKUP(C28,'[1]2023'!A41:F200,4,FALSE)</f>
        <v>172403027685000</v>
      </c>
      <c r="D30" s="4">
        <f>VLOOKUP(D28,[1]PriceValue!A40:B194,2,FALSE)*VLOOKUP(D28,'[1]2023'!A41:F200,4,FALSE)</f>
        <v>135847103925000</v>
      </c>
      <c r="E30" s="4">
        <f>VLOOKUP(E28,[1]PriceValue!A40:B194,2,FALSE)*VLOOKUP(E28,'[1]2023'!A41:F200,4,FALSE)</f>
        <v>52281973080000</v>
      </c>
      <c r="F30" s="4">
        <f>VLOOKUP(F28,[1]PriceValue!A40:B194,2,FALSE)*VLOOKUP(F28,'[1]2023'!A41:F200,4,FALSE)</f>
        <v>20562500000000</v>
      </c>
      <c r="G30" s="4">
        <f>VLOOKUP(G28,[1]PriceValue!A40:B194,2,FALSE)*VLOOKUP(G28,'[1]2023'!A41:F200,4,FALSE)</f>
        <v>53163082740000</v>
      </c>
      <c r="H30" s="4">
        <f>VLOOKUP(H28,[1]PriceValue!A40:B194,2,FALSE)*VLOOKUP(H28,'[1]2023'!A41:F200,4,FALSE)</f>
        <v>68620117560000</v>
      </c>
      <c r="I30" s="4">
        <f>VLOOKUP(I28,[1]PriceValue!A40:B194,2,FALSE)*VLOOKUP(I28,'[1]2023'!A41:F200,4,FALSE)</f>
        <v>53454182760000</v>
      </c>
      <c r="J30" s="4">
        <f>VLOOKUP(J28,[1]PriceValue!A40:B194,2,FALSE)*VLOOKUP(J28,'[1]2023'!A41:F200,4,FALSE)</f>
        <v>11950056794600</v>
      </c>
      <c r="K30" s="4">
        <f>VLOOKUP(K28,[1]PriceValue!A40:B194,2,FALSE)*VLOOKUP(K28,'[1]2023'!A41:F200,4,FALSE)</f>
        <v>176135727760000</v>
      </c>
      <c r="L30" s="4">
        <f>VLOOKUP(L28,[1]PriceValue!A40:B194,2,FALSE)*VLOOKUP(L28,'[1]2023'!A41:F200,4,FALSE)</f>
        <v>16549806178500</v>
      </c>
      <c r="M30" s="4">
        <f>VLOOKUP(M28,[1]PriceValue!A40:B194,2,FALSE)*VLOOKUP(M28,'[1]2023'!A41:F200,4,FALSE)</f>
        <v>168810378754500</v>
      </c>
      <c r="N30" s="4">
        <f>VLOOKUP(N28,[1]PriceValue!A40:B194,2,FALSE)*VLOOKUP(N28,'[1]2023'!A41:F200,4,FALSE)</f>
        <v>52839780822400</v>
      </c>
      <c r="O30" s="4">
        <f>VLOOKUP(O28,[1]PriceValue!A40:B194,2,FALSE)*VLOOKUP(O28,'[1]2023'!A41:F200,4,FALSE)</f>
        <v>56119043049600</v>
      </c>
      <c r="P30" s="4">
        <f>VLOOKUP(P28,[1]PriceValue!A40:B194,2,FALSE)*VLOOKUP(P28,'[1]2023'!A41:F200,4,FALSE)</f>
        <v>19541546718000</v>
      </c>
      <c r="Q30" s="4">
        <f>VLOOKUP(Q28,[1]PriceValue!A40:B194,2,FALSE)*VLOOKUP(Q28,'[1]2023'!A41:F200,4,FALSE)</f>
        <v>27200000000000</v>
      </c>
      <c r="R30" s="4">
        <f>VLOOKUP(R28,[1]PriceValue!A40:B194,2,FALSE)*VLOOKUP(R28,'[1]2023'!A41:F200,4,FALSE)</f>
        <v>29739094204500</v>
      </c>
      <c r="S30" s="4">
        <f>VLOOKUP(S28,[1]PriceValue!A40:B194,2,FALSE)*VLOOKUP(S28,'[1]2023'!A41:F200,4,FALSE)</f>
        <v>16252580000000</v>
      </c>
      <c r="T30" s="4">
        <f>VLOOKUP(T28,[1]PriceValue!A40:B194,2,FALSE)*VLOOKUP(T28,'[1]2023'!A41:F200,4,FALSE)</f>
        <v>47305280000000</v>
      </c>
    </row>
    <row r="31" spans="1:20" x14ac:dyDescent="0.2">
      <c r="A31" s="18">
        <f>-(A29/A30)</f>
        <v>1.5743838290779879E-2</v>
      </c>
      <c r="B31" s="18">
        <f t="shared" ref="B31:T31" si="2">-(B29/B30)</f>
        <v>7.9672640226436681E-3</v>
      </c>
      <c r="C31" s="18">
        <f t="shared" si="2"/>
        <v>2.7105183330121863E-3</v>
      </c>
      <c r="D31" s="18">
        <f t="shared" si="2"/>
        <v>3.3891183467568355E-3</v>
      </c>
      <c r="E31" s="18">
        <f t="shared" si="2"/>
        <v>8.30637147789909E-3</v>
      </c>
      <c r="F31" s="18">
        <f t="shared" si="2"/>
        <v>1.7728698358662615E-2</v>
      </c>
      <c r="G31" s="18">
        <f t="shared" si="2"/>
        <v>6.1681795542919641E-3</v>
      </c>
      <c r="H31" s="18">
        <f t="shared" si="2"/>
        <v>4.3745232546057444E-3</v>
      </c>
      <c r="I31" s="18">
        <f t="shared" si="2"/>
        <v>4.5058993090478219E-3</v>
      </c>
      <c r="J31" s="18">
        <f t="shared" si="2"/>
        <v>1.9553640958893993E-2</v>
      </c>
      <c r="K31" s="18">
        <f t="shared" si="2"/>
        <v>1.0166154378627129E-3</v>
      </c>
      <c r="L31" s="18">
        <f t="shared" si="2"/>
        <v>1.0504570755991588E-2</v>
      </c>
      <c r="M31" s="18">
        <f t="shared" si="2"/>
        <v>9.4018407618654291E-4</v>
      </c>
      <c r="N31" s="18">
        <f t="shared" si="2"/>
        <v>2.657605081141246E-3</v>
      </c>
      <c r="O31" s="18">
        <f t="shared" si="2"/>
        <v>2.2714472157933309E-3</v>
      </c>
      <c r="P31" s="18">
        <f t="shared" si="2"/>
        <v>6.0010935517187244E-3</v>
      </c>
      <c r="Q31" s="18">
        <f t="shared" si="2"/>
        <v>3.8924724264705881E-3</v>
      </c>
      <c r="R31" s="18">
        <f t="shared" si="2"/>
        <v>2.9551091702955099E-3</v>
      </c>
      <c r="S31" s="18">
        <f t="shared" si="2"/>
        <v>4.594386860424622E-3</v>
      </c>
      <c r="T31" s="18">
        <f t="shared" si="2"/>
        <v>1.1207998866511308E-3</v>
      </c>
    </row>
    <row r="32" spans="1:20" x14ac:dyDescent="0.2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</row>
    <row r="33" spans="1:20" x14ac:dyDescent="0.2">
      <c r="A33" s="35" t="s">
        <v>215</v>
      </c>
      <c r="B33" s="35"/>
      <c r="C33" s="35"/>
      <c r="D33" s="35"/>
      <c r="E33" s="35"/>
      <c r="F33" s="35"/>
      <c r="G33" s="35"/>
      <c r="H33" s="35"/>
      <c r="I33" s="35"/>
      <c r="J33" s="35"/>
    </row>
    <row r="34" spans="1:20" x14ac:dyDescent="0.2">
      <c r="A34" s="10" t="s">
        <v>14</v>
      </c>
      <c r="B34" s="11" t="s">
        <v>36</v>
      </c>
      <c r="C34" s="12" t="s">
        <v>18</v>
      </c>
      <c r="D34" s="2" t="s">
        <v>11</v>
      </c>
      <c r="E34" s="13" t="s">
        <v>83</v>
      </c>
      <c r="F34" s="14" t="s">
        <v>43</v>
      </c>
      <c r="G34" s="14" t="s">
        <v>35</v>
      </c>
      <c r="H34" s="14" t="s">
        <v>39</v>
      </c>
      <c r="I34" s="14" t="s">
        <v>26</v>
      </c>
      <c r="J34" s="14" t="s">
        <v>25</v>
      </c>
      <c r="K34" s="14" t="s">
        <v>38</v>
      </c>
      <c r="L34" s="14" t="s">
        <v>40</v>
      </c>
      <c r="M34" s="14" t="s">
        <v>27</v>
      </c>
      <c r="N34" s="14" t="s">
        <v>101</v>
      </c>
      <c r="O34" s="14" t="s">
        <v>68</v>
      </c>
      <c r="P34" s="14" t="s">
        <v>238</v>
      </c>
      <c r="Q34" s="14" t="s">
        <v>209</v>
      </c>
      <c r="R34" s="14" t="s">
        <v>62</v>
      </c>
      <c r="S34" s="14" t="s">
        <v>213</v>
      </c>
      <c r="T34" s="14" t="s">
        <v>67</v>
      </c>
    </row>
    <row r="35" spans="1:20" x14ac:dyDescent="0.2">
      <c r="A35" s="16">
        <v>-608635050000</v>
      </c>
      <c r="B35" s="16">
        <v>-522877668000</v>
      </c>
      <c r="C35" s="16">
        <v>-321460113000</v>
      </c>
      <c r="D35" s="16">
        <v>-250317605000</v>
      </c>
      <c r="E35" s="16">
        <v>-178467835000</v>
      </c>
      <c r="F35" s="16">
        <v>-176865228000</v>
      </c>
      <c r="G35" s="16">
        <v>-153547113000</v>
      </c>
      <c r="H35" s="16">
        <v>-148166440000</v>
      </c>
      <c r="I35" s="16">
        <v>-144042670000</v>
      </c>
      <c r="J35" s="16">
        <v>-136601375000</v>
      </c>
      <c r="K35" s="16">
        <v>-102728102000</v>
      </c>
      <c r="L35" s="17">
        <v>-85229582000</v>
      </c>
      <c r="M35" s="17">
        <v>-76090195000</v>
      </c>
      <c r="N35" s="17">
        <v>-75565705000</v>
      </c>
      <c r="O35" s="17">
        <v>-70216003000</v>
      </c>
      <c r="P35" s="17">
        <v>-62800000000</v>
      </c>
      <c r="Q35" s="17">
        <v>-59740975000</v>
      </c>
      <c r="R35" s="17">
        <v>-50400804000</v>
      </c>
      <c r="S35" s="17">
        <v>-50000000000</v>
      </c>
      <c r="T35" s="17">
        <v>-47234315000</v>
      </c>
    </row>
    <row r="36" spans="1:20" x14ac:dyDescent="0.2">
      <c r="A36" s="4">
        <f>VLOOKUP(A34,[1]PriceValue!A40:B206,2,FALSE)*VLOOKUP(A34,'[1]2023'!A53:F212,4,FALSE)</f>
        <v>53163082740000</v>
      </c>
      <c r="B36" s="4">
        <f>VLOOKUP(B34,[1]PriceValue!A52:B206,2,FALSE)*VLOOKUP(B34,'[1]2023'!A53:F212,4,FALSE)</f>
        <v>156460165400000</v>
      </c>
      <c r="C36" s="4">
        <f>VLOOKUP(C34,[1]PriceValue!A52:B206,2,FALSE)*VLOOKUP(C34,'[1]2023'!A53:F212,4,FALSE)</f>
        <v>80339381708400</v>
      </c>
      <c r="D36" s="4">
        <f>VLOOKUP(D34,[1]PriceValue!A41:B206,2,FALSE)*VLOOKUP(D34,'[1]2023'!A53:F212,4,FALSE)</f>
        <v>11280143616250</v>
      </c>
      <c r="E36" s="4">
        <f>VLOOKUP(E34,[1]PriceValue!A52:B206,2,FALSE)*VLOOKUP(E34,'[1]2023'!A53:F212,4,FALSE)</f>
        <v>164149003280000</v>
      </c>
      <c r="F36" s="4">
        <f>VLOOKUP(F34,[1]PriceValue!A52:B206,2,FALSE)*VLOOKUP(F34,'[1]2023'!A53:F212,4,FALSE)</f>
        <v>31176072860000</v>
      </c>
      <c r="G36" s="4">
        <f>VLOOKUP(G34,[1]PriceValue!A52:B206,2,FALSE)*VLOOKUP(G34,'[1]2023'!A53:F212,4,FALSE)</f>
        <v>104286753240000</v>
      </c>
      <c r="H36" s="4">
        <f>VLOOKUP(H34,[1]PriceValue!A52:B206,2,FALSE)*VLOOKUP(H34,'[1]2023'!A53:F212,4,FALSE)</f>
        <v>25756658499400</v>
      </c>
      <c r="I36" s="4">
        <f>VLOOKUP(I34,[1]PriceValue!A52:B206,2,FALSE)*VLOOKUP(I34,'[1]2023'!A53:F212,4,FALSE)</f>
        <v>96152676480000</v>
      </c>
      <c r="J36" s="4">
        <f>VLOOKUP(J34,[1]PriceValue!A52:B250,2,FALSE)*VLOOKUP(J34,'[1]2023'!A53:F212,4,FALSE)</f>
        <v>52281973080000</v>
      </c>
      <c r="K36" s="4">
        <f>VLOOKUP(K34,[1]PriceValue!A52:B206,2,FALSE)*VLOOKUP(K34,'[1]2023'!A53:F212,4,FALSE)</f>
        <v>116013371225000</v>
      </c>
      <c r="L36" s="4" t="e">
        <f>VLOOKUP(L34,[1]PriceValue!A40:B206,2,FALSE)*VLOOKUP(L34,'[1]2023'!A53:F212,4,FALSE)</f>
        <v>#N/A</v>
      </c>
      <c r="M36" s="4">
        <f>VLOOKUP(M34,[1]PriceValue!A52:B206,2,FALSE)*VLOOKUP(M34,'[1]2023'!A53:F212,4,FALSE)</f>
        <v>177658194000000</v>
      </c>
      <c r="N36" s="4">
        <f>VLOOKUP(N34,[1]PriceValue!A52:B206,2,FALSE)*VLOOKUP(N34,'[1]2023'!A53:F212,4,FALSE)</f>
        <v>16953885461000</v>
      </c>
      <c r="O36" s="4">
        <f>VLOOKUP(O34,[1]PriceValue!A52:B206,2,FALSE)*VLOOKUP(O34,'[1]2023'!A53:F212,4,FALSE)</f>
        <v>39409266500000</v>
      </c>
      <c r="P36" s="4" t="e">
        <f>VLOOKUP(P34,[1]PriceValue!A52:B206,2,FALSE)*VLOOKUP(P34,'[1]2023'!A53:F212,4,FALSE)</f>
        <v>#N/A</v>
      </c>
      <c r="Q36" s="4">
        <f>VLOOKUP(Q34,[1]PriceValue!A52:B206,2,FALSE)*VLOOKUP(Q34,'[1]2023'!A53:F212,4,FALSE)</f>
        <v>28102459200000</v>
      </c>
      <c r="R36" s="4">
        <f>VLOOKUP(R34,[1]PriceValue!A52:B206,2,FALSE)*VLOOKUP(R34,'[1]2023'!A53:F212,4,FALSE)</f>
        <v>68620117560000</v>
      </c>
      <c r="S36" s="4" t="e">
        <f>VLOOKUP(S34,[1]PriceValue!A52:B206,2,FALSE)*VLOOKUP(S34,'[1]2023'!A53:F212,4,FALSE)</f>
        <v>#N/A</v>
      </c>
      <c r="T36" s="4">
        <f>VLOOKUP(T34,[1]PriceValue!A52:B206,2,FALSE)*VLOOKUP(T34,'[1]2023'!A53:F212,4,FALSE)</f>
        <v>172403027685000</v>
      </c>
    </row>
    <row r="37" spans="1:20" x14ac:dyDescent="0.2">
      <c r="A37" s="18">
        <f>-(A35/A36)</f>
        <v>1.1448452923179751E-2</v>
      </c>
      <c r="B37" s="18">
        <f t="shared" ref="B37:T37" si="3">-(B35/B36)</f>
        <v>3.3419219944145605E-3</v>
      </c>
      <c r="C37" s="18">
        <f t="shared" si="3"/>
        <v>4.001276910080941E-3</v>
      </c>
      <c r="D37" s="18">
        <f t="shared" si="3"/>
        <v>2.2190994504661832E-2</v>
      </c>
      <c r="E37" s="18">
        <f t="shared" si="3"/>
        <v>1.0872306954893623E-3</v>
      </c>
      <c r="F37" s="18">
        <f t="shared" si="3"/>
        <v>5.6731079887526285E-3</v>
      </c>
      <c r="G37" s="18">
        <f t="shared" si="3"/>
        <v>1.4723549082656243E-3</v>
      </c>
      <c r="H37" s="18">
        <f t="shared" si="3"/>
        <v>5.7525489963479361E-3</v>
      </c>
      <c r="I37" s="18">
        <f t="shared" si="3"/>
        <v>1.4980619913368843E-3</v>
      </c>
      <c r="J37" s="18">
        <f t="shared" si="3"/>
        <v>2.6127815564836749E-3</v>
      </c>
      <c r="K37" s="18">
        <f t="shared" si="3"/>
        <v>8.854850170741601E-4</v>
      </c>
      <c r="L37" s="18" t="e">
        <f t="shared" si="3"/>
        <v>#N/A</v>
      </c>
      <c r="M37" s="18">
        <f t="shared" si="3"/>
        <v>4.2829544355269086E-4</v>
      </c>
      <c r="N37" s="18">
        <f t="shared" si="3"/>
        <v>4.4571319756658819E-3</v>
      </c>
      <c r="O37" s="18">
        <f t="shared" si="3"/>
        <v>1.7817130141206765E-3</v>
      </c>
      <c r="P37" s="18" t="e">
        <f t="shared" si="3"/>
        <v>#N/A</v>
      </c>
      <c r="Q37" s="18">
        <f t="shared" si="3"/>
        <v>2.1258273012633713E-3</v>
      </c>
      <c r="R37" s="18">
        <f t="shared" si="3"/>
        <v>7.3449020188475465E-4</v>
      </c>
      <c r="S37" s="18" t="e">
        <f t="shared" si="3"/>
        <v>#N/A</v>
      </c>
      <c r="T37" s="18">
        <f t="shared" si="3"/>
        <v>2.7397613391281318E-4</v>
      </c>
    </row>
    <row r="38" spans="1:20" x14ac:dyDescent="0.2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</row>
    <row r="39" spans="1:20" x14ac:dyDescent="0.2">
      <c r="A39" s="36" t="s">
        <v>95</v>
      </c>
      <c r="B39" s="36"/>
      <c r="C39" s="36"/>
      <c r="D39" s="36"/>
      <c r="E39" s="36"/>
      <c r="F39" s="36"/>
      <c r="G39" s="36"/>
      <c r="H39" s="36"/>
      <c r="I39" s="36"/>
      <c r="J39" s="36"/>
    </row>
    <row r="40" spans="1:20" x14ac:dyDescent="0.2">
      <c r="A40" s="18" t="s">
        <v>6</v>
      </c>
      <c r="B40" s="18" t="s">
        <v>14</v>
      </c>
      <c r="C40" s="18" t="s">
        <v>11</v>
      </c>
      <c r="D40" s="18" t="s">
        <v>38</v>
      </c>
      <c r="E40" s="18" t="s">
        <v>25</v>
      </c>
      <c r="F40" s="18" t="s">
        <v>15</v>
      </c>
      <c r="G40" s="18" t="s">
        <v>98</v>
      </c>
      <c r="H40" s="18" t="s">
        <v>101</v>
      </c>
      <c r="I40" s="18" t="s">
        <v>5</v>
      </c>
      <c r="J40" s="18" t="s">
        <v>16</v>
      </c>
    </row>
    <row r="41" spans="1:20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20" x14ac:dyDescent="0.2">
      <c r="A42" s="36" t="s">
        <v>96</v>
      </c>
      <c r="B42" s="36"/>
      <c r="C42" s="36"/>
      <c r="D42" s="36"/>
      <c r="E42" s="36"/>
      <c r="F42" s="36"/>
      <c r="G42" s="36"/>
      <c r="H42" s="36"/>
      <c r="I42" s="36"/>
      <c r="J42" s="36"/>
    </row>
    <row r="43" spans="1:20" x14ac:dyDescent="0.2">
      <c r="A43" s="18" t="s">
        <v>11</v>
      </c>
      <c r="B43" s="18" t="s">
        <v>38</v>
      </c>
      <c r="C43" s="18" t="s">
        <v>15</v>
      </c>
      <c r="D43" s="18" t="s">
        <v>112</v>
      </c>
      <c r="E43" s="18" t="s">
        <v>5</v>
      </c>
      <c r="F43" s="18" t="s">
        <v>6</v>
      </c>
      <c r="G43" s="18" t="s">
        <v>98</v>
      </c>
      <c r="H43" s="18" t="s">
        <v>14</v>
      </c>
      <c r="I43" s="18" t="s">
        <v>92</v>
      </c>
      <c r="J43" s="18" t="s">
        <v>101</v>
      </c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36" t="s">
        <v>97</v>
      </c>
      <c r="B45" s="36"/>
      <c r="C45" s="36"/>
      <c r="D45" s="36"/>
      <c r="E45" s="36"/>
      <c r="F45" s="36"/>
      <c r="G45" s="36"/>
      <c r="H45" s="36"/>
      <c r="I45" s="36"/>
      <c r="J45" s="36"/>
    </row>
    <row r="46" spans="1:20" x14ac:dyDescent="0.2">
      <c r="A46" s="18" t="s">
        <v>14</v>
      </c>
      <c r="B46" s="18" t="s">
        <v>11</v>
      </c>
      <c r="C46" s="18" t="s">
        <v>5</v>
      </c>
      <c r="D46" s="18" t="s">
        <v>15</v>
      </c>
      <c r="E46" s="18" t="s">
        <v>98</v>
      </c>
      <c r="F46" s="18" t="s">
        <v>101</v>
      </c>
      <c r="G46" s="18" t="s">
        <v>38</v>
      </c>
      <c r="H46" s="18" t="s">
        <v>9</v>
      </c>
      <c r="I46" s="18" t="s">
        <v>114</v>
      </c>
      <c r="J46" s="18" t="s">
        <v>36</v>
      </c>
    </row>
  </sheetData>
  <mergeCells count="10">
    <mergeCell ref="A33:J33"/>
    <mergeCell ref="A39:J39"/>
    <mergeCell ref="A42:J42"/>
    <mergeCell ref="A45:J45"/>
    <mergeCell ref="A5:J5"/>
    <mergeCell ref="A11:J11"/>
    <mergeCell ref="A17:J17"/>
    <mergeCell ref="A20:J20"/>
    <mergeCell ref="A23:J23"/>
    <mergeCell ref="A27:J2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08306-025A-9947-AAFE-167F1E31E5D0}">
  <sheetPr codeName="Sheet8"/>
  <dimension ref="A1:T46"/>
  <sheetViews>
    <sheetView workbookViewId="0">
      <selection activeCell="A22" sqref="A22"/>
    </sheetView>
  </sheetViews>
  <sheetFormatPr baseColWidth="10" defaultRowHeight="16" x14ac:dyDescent="0.2"/>
  <cols>
    <col min="1" max="1" width="21.6640625" customWidth="1"/>
    <col min="2" max="2" width="23" customWidth="1"/>
    <col min="3" max="4" width="19.6640625" bestFit="1" customWidth="1"/>
    <col min="5" max="5" width="20.83203125" customWidth="1"/>
    <col min="6" max="6" width="19.83203125" customWidth="1"/>
    <col min="7" max="7" width="19.6640625" bestFit="1" customWidth="1"/>
    <col min="8" max="8" width="23.33203125" customWidth="1"/>
    <col min="9" max="9" width="22.5" customWidth="1"/>
    <col min="10" max="10" width="19.6640625" bestFit="1" customWidth="1"/>
    <col min="11" max="11" width="20.6640625" customWidth="1"/>
    <col min="12" max="12" width="21.5" customWidth="1"/>
    <col min="13" max="13" width="20.5" customWidth="1"/>
    <col min="14" max="14" width="22.83203125" customWidth="1"/>
    <col min="15" max="15" width="19.5" customWidth="1"/>
    <col min="16" max="16" width="20.33203125" customWidth="1"/>
    <col min="17" max="17" width="18.5" customWidth="1"/>
    <col min="18" max="18" width="19.5" customWidth="1"/>
    <col min="19" max="19" width="21.83203125" customWidth="1"/>
    <col min="20" max="20" width="21.6640625" customWidth="1"/>
  </cols>
  <sheetData>
    <row r="1" spans="1:20" x14ac:dyDescent="0.2">
      <c r="A1" s="20" t="s">
        <v>84</v>
      </c>
      <c r="C1" s="21" t="s">
        <v>85</v>
      </c>
    </row>
    <row r="2" spans="1:20" x14ac:dyDescent="0.2">
      <c r="A2" t="s">
        <v>12</v>
      </c>
      <c r="C2" t="s">
        <v>12</v>
      </c>
    </row>
    <row r="3" spans="1:20" x14ac:dyDescent="0.2">
      <c r="A3" s="30">
        <f>'2024'!D3</f>
        <v>-7722196199347</v>
      </c>
      <c r="C3" s="30">
        <v>-995761819500</v>
      </c>
    </row>
    <row r="5" spans="1:20" x14ac:dyDescent="0.2">
      <c r="A5" s="37" t="s">
        <v>107</v>
      </c>
      <c r="B5" s="37"/>
      <c r="C5" s="37"/>
      <c r="D5" s="37"/>
      <c r="E5" s="37"/>
      <c r="F5" s="37"/>
      <c r="G5" s="37"/>
      <c r="H5" s="37"/>
      <c r="I5" s="37"/>
      <c r="J5" s="37"/>
    </row>
    <row r="6" spans="1:20" x14ac:dyDescent="0.2">
      <c r="A6" s="5" t="s">
        <v>114</v>
      </c>
      <c r="B6" s="6" t="s">
        <v>14</v>
      </c>
      <c r="C6" s="7" t="s">
        <v>201</v>
      </c>
      <c r="D6" s="8" t="s">
        <v>70</v>
      </c>
      <c r="E6" s="1" t="s">
        <v>20</v>
      </c>
      <c r="F6" s="9" t="s">
        <v>18</v>
      </c>
      <c r="G6" s="9" t="s">
        <v>5</v>
      </c>
      <c r="H6" s="9" t="s">
        <v>61</v>
      </c>
      <c r="I6" s="9" t="s">
        <v>210</v>
      </c>
      <c r="J6" s="9" t="s">
        <v>208</v>
      </c>
      <c r="K6" s="9" t="s">
        <v>64</v>
      </c>
      <c r="L6" s="9" t="s">
        <v>21</v>
      </c>
      <c r="M6" s="9" t="s">
        <v>110</v>
      </c>
      <c r="N6" s="9" t="s">
        <v>223</v>
      </c>
      <c r="O6" s="9" t="s">
        <v>111</v>
      </c>
      <c r="P6" s="9" t="s">
        <v>10</v>
      </c>
      <c r="Q6" s="9" t="s">
        <v>186</v>
      </c>
      <c r="R6" s="9" t="s">
        <v>106</v>
      </c>
      <c r="S6" s="9" t="s">
        <v>28</v>
      </c>
      <c r="T6" s="9" t="s">
        <v>40</v>
      </c>
    </row>
    <row r="7" spans="1:20" x14ac:dyDescent="0.2">
      <c r="A7" s="4">
        <v>465878861526</v>
      </c>
      <c r="B7" s="4">
        <v>442379050000</v>
      </c>
      <c r="C7" s="4">
        <v>321607390000</v>
      </c>
      <c r="D7" s="4">
        <v>312545420786</v>
      </c>
      <c r="E7" s="4">
        <v>261477766573</v>
      </c>
      <c r="F7" s="4">
        <v>255612255324</v>
      </c>
      <c r="G7" s="4">
        <v>242557020000</v>
      </c>
      <c r="H7" s="4">
        <v>241978570432</v>
      </c>
      <c r="I7" s="4">
        <v>183284566172</v>
      </c>
      <c r="J7" s="4">
        <v>169852630000</v>
      </c>
      <c r="K7" s="4">
        <v>157684030024</v>
      </c>
      <c r="L7" s="15">
        <v>148075027195</v>
      </c>
      <c r="M7" s="15">
        <v>113604820000</v>
      </c>
      <c r="N7" s="15">
        <v>94416112835</v>
      </c>
      <c r="O7" s="15">
        <v>89435484381</v>
      </c>
      <c r="P7" s="15">
        <v>80749586258</v>
      </c>
      <c r="Q7" s="15">
        <v>72955955748</v>
      </c>
      <c r="R7" s="15">
        <v>67725522133</v>
      </c>
      <c r="S7" s="15">
        <v>65990750000</v>
      </c>
      <c r="T7" s="15">
        <v>55228993813</v>
      </c>
    </row>
    <row r="8" spans="1:20" x14ac:dyDescent="0.2">
      <c r="A8" s="15">
        <f>VLOOKUP(A6,[1]PriceValue!A40:B194,2,FALSE)*VLOOKUP(A6,'[1]2023'!A41:F200,4,FALSE)</f>
        <v>22260538011000</v>
      </c>
      <c r="B8" s="15">
        <f>VLOOKUP(B6,[1]PriceValue!A40:B194,2,FALSE)*VLOOKUP(B6,'[1]2023'!A41:F200,4,FALSE)</f>
        <v>53163082740000</v>
      </c>
      <c r="C8" s="15">
        <f>VLOOKUP(C6,[1]PriceValue!A40:B194,2,FALSE)*VLOOKUP(C6,'[1]2023'!A41:F200,4,FALSE)</f>
        <v>19541546718000</v>
      </c>
      <c r="D8" s="15">
        <f>VLOOKUP(D6,[1]PriceValue!A40:B194,2,FALSE)*VLOOKUP(D6,'[1]2023'!A41:F200,4,FALSE)</f>
        <v>27975918985000</v>
      </c>
      <c r="E8" s="15">
        <f>VLOOKUP(E6,[1]PriceValue!A40:B194,2,FALSE)*VLOOKUP(E6,'[1]2023'!A41:F200,4,FALSE)</f>
        <v>31357861995000</v>
      </c>
      <c r="F8" s="15">
        <f>VLOOKUP(F6,[1]PriceValue!A40:B194,2,FALSE)*VLOOKUP(F6,'[1]2023'!A41:F200,4,FALSE)</f>
        <v>80339381708400</v>
      </c>
      <c r="G8" s="15">
        <f>VLOOKUP(G6,[1]PriceValue!A40:B194,2,FALSE)*VLOOKUP(G6,'[1]2023'!A41:F200,4,FALSE)</f>
        <v>52839780822400</v>
      </c>
      <c r="H8" s="15">
        <f>VLOOKUP(H6,[1]PriceValue!A40:B194,2,FALSE)*VLOOKUP(H6,'[1]2023'!A41:F200,4,FALSE)</f>
        <v>14583066150900</v>
      </c>
      <c r="I8" s="15">
        <f>VLOOKUP(I6,[1]PriceValue!A40:B194,2,FALSE)*VLOOKUP(I6,'[1]2023'!A41:F200,4,FALSE)</f>
        <v>11693791791500</v>
      </c>
      <c r="J8" s="15">
        <f>VLOOKUP(J6,[1]PriceValue!A40:B194,2,FALSE)*VLOOKUP(J6,'[1]2023'!A41:F200,4,FALSE)</f>
        <v>120000000000000</v>
      </c>
      <c r="K8" s="15">
        <f>VLOOKUP(K6,[1]PriceValue!A40:B194,2,FALSE)*VLOOKUP(K6,'[1]2023'!A41:F200,4,FALSE)</f>
        <v>46191447491700</v>
      </c>
      <c r="L8" s="15">
        <f>VLOOKUP(L6,[1]PriceValue!A40:B194,2,FALSE)*VLOOKUP(L6,'[1]2023'!A41:F200,4,FALSE)</f>
        <v>18545996009800</v>
      </c>
      <c r="M8" s="15">
        <f>VLOOKUP(M6,[1]PriceValue!A40:B194,2,FALSE)*VLOOKUP(M6,'[1]2023'!A41:F200,4,FALSE)</f>
        <v>4304139312900</v>
      </c>
      <c r="N8" s="15">
        <f>VLOOKUP(N6,[1]PriceValue!A40:B194,2,FALSE)*VLOOKUP(N6,'[1]2023'!A41:F200,4,FALSE)</f>
        <v>7655704687000</v>
      </c>
      <c r="O8" s="15">
        <f>VLOOKUP(O6,[1]PriceValue!A40:B194,2,FALSE)*VLOOKUP(O6,'[1]2023'!A41:F200,4,FALSE)</f>
        <v>3850489108500</v>
      </c>
      <c r="P8" s="15">
        <f>VLOOKUP(P6,[1]PriceValue!A40:B194,2,FALSE)*VLOOKUP(P6,'[1]2023'!A41:F200,4,FALSE)</f>
        <v>14880768488400</v>
      </c>
      <c r="Q8" s="15">
        <f>VLOOKUP(Q6,[1]PriceValue!A40:B194,2,FALSE)*VLOOKUP(Q6,'[1]2023'!A41:F200,4,FALSE)</f>
        <v>4607074554000</v>
      </c>
      <c r="R8" s="15">
        <f>VLOOKUP(R6,[1]PriceValue!A40:B194,2,FALSE)*VLOOKUP(R6,'[1]2023'!A41:F200,4,FALSE)</f>
        <v>2147815530000</v>
      </c>
      <c r="S8" s="15">
        <f>VLOOKUP(S6,[1]PriceValue!A40:B194,2,FALSE)*VLOOKUP(S6,'[1]2023'!A41:F200,4,FALSE)</f>
        <v>45117779176800</v>
      </c>
      <c r="T8" s="15" t="e">
        <f>VLOOKUP(T6,[1]PriceValue!A40:B194,2,FALSE)*VLOOKUP(T6,'[1]2023'!A41:F200,4,FALSE)</f>
        <v>#N/A</v>
      </c>
    </row>
    <row r="9" spans="1:20" x14ac:dyDescent="0.2">
      <c r="A9" s="18">
        <f>A7/A8</f>
        <v>2.0928463691928152E-2</v>
      </c>
      <c r="B9" s="18">
        <f>B7/B8</f>
        <v>8.3211700149802108E-3</v>
      </c>
      <c r="C9" s="18">
        <f t="shared" ref="C9:T9" si="0">C7/C8</f>
        <v>1.6457622041952433E-2</v>
      </c>
      <c r="D9" s="18">
        <f t="shared" si="0"/>
        <v>1.1171944734097177E-2</v>
      </c>
      <c r="E9" s="18">
        <f t="shared" si="0"/>
        <v>8.3385074726935321E-3</v>
      </c>
      <c r="F9" s="18">
        <f t="shared" si="0"/>
        <v>3.1816557445235368E-3</v>
      </c>
      <c r="G9" s="18">
        <f t="shared" si="0"/>
        <v>4.5904244155603024E-3</v>
      </c>
      <c r="H9" s="18">
        <f t="shared" si="0"/>
        <v>1.6593120262097021E-2</v>
      </c>
      <c r="I9" s="18">
        <f t="shared" si="0"/>
        <v>1.5673664234831523E-2</v>
      </c>
      <c r="J9" s="18">
        <f t="shared" si="0"/>
        <v>1.4154385833333332E-3</v>
      </c>
      <c r="K9" s="18">
        <f t="shared" si="0"/>
        <v>3.4137061855949364E-3</v>
      </c>
      <c r="L9" s="18">
        <f t="shared" si="0"/>
        <v>7.9842046292231909E-3</v>
      </c>
      <c r="M9" s="18">
        <f t="shared" si="0"/>
        <v>2.6394317595509351E-2</v>
      </c>
      <c r="N9" s="18">
        <f t="shared" si="0"/>
        <v>1.2332778848605031E-2</v>
      </c>
      <c r="O9" s="18">
        <f t="shared" si="0"/>
        <v>2.3227045152152258E-2</v>
      </c>
      <c r="P9" s="18">
        <f t="shared" si="0"/>
        <v>5.4264392541921941E-3</v>
      </c>
      <c r="Q9" s="18">
        <f t="shared" si="0"/>
        <v>1.5835636018665566E-2</v>
      </c>
      <c r="R9" s="18">
        <f t="shared" si="0"/>
        <v>3.1532280676357716E-2</v>
      </c>
      <c r="S9" s="18">
        <f t="shared" si="0"/>
        <v>1.4626329399194606E-3</v>
      </c>
      <c r="T9" s="18" t="e">
        <f t="shared" si="0"/>
        <v>#N/A</v>
      </c>
    </row>
    <row r="10" spans="1:20" x14ac:dyDescent="0.2">
      <c r="A10" s="18"/>
    </row>
    <row r="11" spans="1:20" x14ac:dyDescent="0.2">
      <c r="A11" s="35" t="s">
        <v>108</v>
      </c>
      <c r="B11" s="35"/>
      <c r="C11" s="35"/>
      <c r="D11" s="35"/>
      <c r="E11" s="35"/>
      <c r="F11" s="35"/>
      <c r="G11" s="35"/>
      <c r="H11" s="35"/>
      <c r="I11" s="35"/>
      <c r="J11" s="35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 t="s">
        <v>15</v>
      </c>
      <c r="B12" s="6" t="s">
        <v>11</v>
      </c>
      <c r="C12" s="7" t="s">
        <v>33</v>
      </c>
      <c r="D12" s="8" t="s">
        <v>27</v>
      </c>
      <c r="E12" s="1" t="s">
        <v>190</v>
      </c>
      <c r="F12" s="9" t="s">
        <v>24</v>
      </c>
      <c r="G12" s="9" t="s">
        <v>16</v>
      </c>
      <c r="H12" s="9" t="s">
        <v>41</v>
      </c>
      <c r="I12" s="9" t="s">
        <v>114</v>
      </c>
      <c r="J12" s="9" t="s">
        <v>5</v>
      </c>
      <c r="K12" s="9" t="s">
        <v>246</v>
      </c>
      <c r="L12" s="9" t="s">
        <v>29</v>
      </c>
      <c r="M12" s="9" t="s">
        <v>14</v>
      </c>
      <c r="N12" s="9" t="s">
        <v>26</v>
      </c>
      <c r="O12" s="9" t="s">
        <v>101</v>
      </c>
      <c r="P12" s="9" t="s">
        <v>73</v>
      </c>
      <c r="Q12" s="9" t="s">
        <v>183</v>
      </c>
      <c r="R12" s="9" t="s">
        <v>204</v>
      </c>
      <c r="S12" s="9" t="s">
        <v>237</v>
      </c>
      <c r="T12" s="9" t="s">
        <v>25</v>
      </c>
    </row>
    <row r="13" spans="1:20" x14ac:dyDescent="0.2">
      <c r="A13" s="4">
        <v>273263111000</v>
      </c>
      <c r="B13" s="4">
        <v>210871015000</v>
      </c>
      <c r="C13" s="4">
        <v>175271460000</v>
      </c>
      <c r="D13" s="4">
        <v>165681820000</v>
      </c>
      <c r="E13" s="4">
        <v>163439346000</v>
      </c>
      <c r="F13" s="4">
        <v>154568260000</v>
      </c>
      <c r="G13" s="4">
        <v>146721904000</v>
      </c>
      <c r="H13" s="4">
        <v>104406538000</v>
      </c>
      <c r="I13" s="4">
        <v>87154595000</v>
      </c>
      <c r="J13" s="4">
        <v>80302751000</v>
      </c>
      <c r="K13" s="4">
        <v>79200000000</v>
      </c>
      <c r="L13" s="15">
        <v>72716177000</v>
      </c>
      <c r="M13" s="15">
        <v>65644526000</v>
      </c>
      <c r="N13" s="15">
        <v>54276894000</v>
      </c>
      <c r="O13" s="15">
        <v>48995686000</v>
      </c>
      <c r="P13" s="15">
        <v>43064050000</v>
      </c>
      <c r="Q13" s="15">
        <v>34535880000</v>
      </c>
      <c r="R13" s="15">
        <v>34287560000</v>
      </c>
      <c r="S13" s="15">
        <v>32601230000</v>
      </c>
      <c r="T13" s="15">
        <v>28232922000</v>
      </c>
    </row>
    <row r="14" spans="1:20" x14ac:dyDescent="0.2">
      <c r="A14" s="4">
        <f>VLOOKUP(A12,[1]PriceValue!A46:B226,2,FALSE)*VLOOKUP(A12,'[1]2023'!A47:F206,4,FALSE)</f>
        <v>165139913880000</v>
      </c>
      <c r="B14" s="4">
        <f>VLOOKUP(B12,[1]PriceValue!A46:B226,2,FALSE)*VLOOKUP(B12,'[1]2023'!A47:F206,4,FALSE)</f>
        <v>11280143616250</v>
      </c>
      <c r="C14" s="4">
        <f>VLOOKUP(C12,[1]PriceValue!A41:B226,2,FALSE)*VLOOKUP(C12,'[1]2023'!A47:F206,4,FALSE)</f>
        <v>168810378754500</v>
      </c>
      <c r="D14" s="4">
        <f>VLOOKUP(D12,[1]PriceValue!A46:B226,2,FALSE)*VLOOKUP(D12,'[1]2023'!A47:F206,4,FALSE)</f>
        <v>177658194000000</v>
      </c>
      <c r="E14" s="4">
        <f>VLOOKUP(E12,[1]PriceValue!A46:B226,2,FALSE)*VLOOKUP(E12,'[1]2023'!A47:F206,4,FALSE)</f>
        <v>2353713124750</v>
      </c>
      <c r="F14" s="4">
        <f>VLOOKUP(F12,[1]PriceValue!A41:B226,2,FALSE)*VLOOKUP(F12,'[1]2023'!A47:F206,4,FALSE)</f>
        <v>135847103925000</v>
      </c>
      <c r="G14" s="4">
        <f>VLOOKUP(G12,[1]PriceValue!A46:B226,2,FALSE)*VLOOKUP(G12,'[1]2023'!A47:F206,4,FALSE)</f>
        <v>147174282780000</v>
      </c>
      <c r="H14" s="4">
        <f>VLOOKUP(H12,[1]PriceValue!A46:B226,2,FALSE)*VLOOKUP(H12,'[1]2023'!A47:F206,4,FALSE)</f>
        <v>8039235174300</v>
      </c>
      <c r="I14" s="4">
        <f>VLOOKUP(I12,[1]PriceValue!A46:B226,2,FALSE)*VLOOKUP(I12,'[1]2023'!A47:F206,4,FALSE)</f>
        <v>22260538011000</v>
      </c>
      <c r="J14" s="4" t="e">
        <f>VLOOKUP(J12,[1]PriceValue!A46:B226,2,FALSE)*VLOOKUP(J12,'[1]2023'!A47:F206,4,FALSE)</f>
        <v>#N/A</v>
      </c>
      <c r="K14" s="4" t="e">
        <f>VLOOKUP(K12,[1]PriceValue!A46:B226,2,FALSE)*VLOOKUP(K12,'[1]2023'!A47:F206,4,FALSE)</f>
        <v>#N/A</v>
      </c>
      <c r="L14" s="4">
        <f>VLOOKUP(L12,[1]PriceValue!A46:B226,2,FALSE)*VLOOKUP(L12,'[1]2023'!A47:F206,4,FALSE)</f>
        <v>8148419812650</v>
      </c>
      <c r="M14" s="4">
        <f>VLOOKUP(M12,[1]PriceValue!A46:B226,2,FALSE)*VLOOKUP(M12,'[1]2023'!A47:F206,4,FALSE)</f>
        <v>53163082740000</v>
      </c>
      <c r="N14" s="4">
        <f>VLOOKUP(N12,[1]PriceValue!A46:B226,2,FALSE)*VLOOKUP(N12,'[1]2023'!A47:F206,4,FALSE)</f>
        <v>96152676480000</v>
      </c>
      <c r="O14" s="4">
        <f>VLOOKUP(O12,[1]PriceValue!A46:B226,2,FALSE)*VLOOKUP(O12,'[1]2023'!A47:F206,4,FALSE)</f>
        <v>16953885461000</v>
      </c>
      <c r="P14" s="4">
        <f>VLOOKUP(P12,[1]PriceValue!A46:B226,2,FALSE)*VLOOKUP(P12,'[1]2023'!A47:F206,4,FALSE)</f>
        <v>16549806178500</v>
      </c>
      <c r="Q14" s="4" t="e">
        <f>VLOOKUP(Q12,[1]PriceValue!A46:B226,2,FALSE)*VLOOKUP(Q12,'[1]2023'!A47:F206,4,FALSE)</f>
        <v>#N/A</v>
      </c>
      <c r="R14" s="4">
        <f>VLOOKUP(R12,[1]PriceValue!A46:B226,2,FALSE)*VLOOKUP(R12,'[1]2023'!A47:F206,4,FALSE)</f>
        <v>8042733463100</v>
      </c>
      <c r="S14" s="4" t="e">
        <f>VLOOKUP(S12,[1]PriceValue!A46:B226,2,FALSE)*VLOOKUP(S12,'[1]2023'!A47:F206,4,FALSE)</f>
        <v>#N/A</v>
      </c>
      <c r="T14" s="4">
        <f>VLOOKUP(T12,[1]PriceValue!A46:B226,2,FALSE)*VLOOKUP(T12,'[1]2023'!A47:F206,4,FALSE)</f>
        <v>52281973080000</v>
      </c>
    </row>
    <row r="15" spans="1:20" x14ac:dyDescent="0.2">
      <c r="A15" s="18">
        <f>A13/A14</f>
        <v>1.6547369111417148E-3</v>
      </c>
      <c r="B15" s="18">
        <f t="shared" ref="B15:T15" si="1">B13/B14</f>
        <v>1.8694000907596823E-2</v>
      </c>
      <c r="C15" s="18">
        <f t="shared" si="1"/>
        <v>1.0382741943544616E-3</v>
      </c>
      <c r="D15" s="18">
        <f t="shared" si="1"/>
        <v>9.3258755067610337E-4</v>
      </c>
      <c r="E15" s="18">
        <f t="shared" si="1"/>
        <v>6.9438940659924189E-2</v>
      </c>
      <c r="F15" s="18">
        <f t="shared" si="1"/>
        <v>1.1378104908687328E-3</v>
      </c>
      <c r="G15" s="18">
        <f t="shared" si="1"/>
        <v>9.9692623757727944E-4</v>
      </c>
      <c r="H15" s="18">
        <f t="shared" si="1"/>
        <v>1.2987123244480901E-2</v>
      </c>
      <c r="I15" s="18">
        <f t="shared" si="1"/>
        <v>3.9152061354910976E-3</v>
      </c>
      <c r="J15" s="18" t="e">
        <f t="shared" si="1"/>
        <v>#N/A</v>
      </c>
      <c r="K15" s="18" t="e">
        <f t="shared" si="1"/>
        <v>#N/A</v>
      </c>
      <c r="L15" s="18">
        <f t="shared" si="1"/>
        <v>8.9239605557769486E-3</v>
      </c>
      <c r="M15" s="18">
        <f t="shared" si="1"/>
        <v>1.2347765143914226E-3</v>
      </c>
      <c r="N15" s="18">
        <f t="shared" si="1"/>
        <v>5.6448656435777666E-4</v>
      </c>
      <c r="O15" s="18">
        <f t="shared" si="1"/>
        <v>2.8899384812235284E-3</v>
      </c>
      <c r="P15" s="18">
        <f t="shared" si="1"/>
        <v>2.6020878755634545E-3</v>
      </c>
      <c r="Q15" s="18" t="e">
        <f t="shared" si="1"/>
        <v>#N/A</v>
      </c>
      <c r="R15" s="18">
        <f t="shared" si="1"/>
        <v>4.2631724844931218E-3</v>
      </c>
      <c r="S15" s="18" t="e">
        <f t="shared" si="1"/>
        <v>#N/A</v>
      </c>
      <c r="T15" s="18">
        <f t="shared" si="1"/>
        <v>5.4001255761329048E-4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38" t="s">
        <v>87</v>
      </c>
      <c r="B17" s="38"/>
      <c r="C17" s="38"/>
      <c r="D17" s="38"/>
      <c r="E17" s="38"/>
      <c r="F17" s="38"/>
      <c r="G17" s="38"/>
      <c r="H17" s="38"/>
      <c r="I17" s="38"/>
      <c r="J17" s="38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 t="s">
        <v>74</v>
      </c>
      <c r="B18" s="18" t="s">
        <v>10</v>
      </c>
      <c r="C18" s="18" t="s">
        <v>60</v>
      </c>
      <c r="D18" s="18" t="s">
        <v>91</v>
      </c>
      <c r="E18" s="18" t="s">
        <v>21</v>
      </c>
      <c r="F18" s="18" t="s">
        <v>222</v>
      </c>
      <c r="G18" s="18" t="s">
        <v>7</v>
      </c>
      <c r="H18" s="18" t="s">
        <v>227</v>
      </c>
      <c r="I18" s="18" t="s">
        <v>114</v>
      </c>
      <c r="J18" s="18" t="s">
        <v>106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38" t="s">
        <v>90</v>
      </c>
      <c r="B20" s="38"/>
      <c r="C20" s="38"/>
      <c r="D20" s="38"/>
      <c r="E20" s="38"/>
      <c r="F20" s="38"/>
      <c r="G20" s="38"/>
      <c r="H20" s="38"/>
      <c r="I20" s="38"/>
      <c r="J20" s="38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 t="s">
        <v>10</v>
      </c>
      <c r="B21" s="18" t="s">
        <v>62</v>
      </c>
      <c r="C21" s="18" t="s">
        <v>74</v>
      </c>
      <c r="D21" s="18" t="s">
        <v>91</v>
      </c>
      <c r="E21" s="18" t="s">
        <v>101</v>
      </c>
      <c r="F21" s="18" t="s">
        <v>114</v>
      </c>
      <c r="G21" s="18" t="s">
        <v>67</v>
      </c>
      <c r="H21" s="18" t="s">
        <v>190</v>
      </c>
      <c r="I21" s="18" t="s">
        <v>75</v>
      </c>
      <c r="J21" s="18" t="s">
        <v>106</v>
      </c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38" t="s">
        <v>93</v>
      </c>
      <c r="B23" s="38"/>
      <c r="C23" s="38"/>
      <c r="D23" s="38"/>
      <c r="E23" s="38"/>
      <c r="F23" s="38"/>
      <c r="G23" s="38"/>
      <c r="H23" s="38"/>
      <c r="I23" s="38"/>
      <c r="J23" s="38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 t="s">
        <v>74</v>
      </c>
      <c r="B24" s="18" t="s">
        <v>10</v>
      </c>
      <c r="C24" s="18" t="s">
        <v>62</v>
      </c>
      <c r="D24" s="18" t="s">
        <v>101</v>
      </c>
      <c r="E24" s="18" t="s">
        <v>67</v>
      </c>
      <c r="F24" s="18" t="s">
        <v>91</v>
      </c>
      <c r="G24" s="18" t="s">
        <v>18</v>
      </c>
      <c r="H24" s="18" t="s">
        <v>114</v>
      </c>
      <c r="I24" s="18" t="s">
        <v>75</v>
      </c>
      <c r="J24" s="18" t="s">
        <v>43</v>
      </c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</row>
    <row r="27" spans="1:20" x14ac:dyDescent="0.2">
      <c r="A27" s="37" t="s">
        <v>206</v>
      </c>
      <c r="B27" s="37"/>
      <c r="C27" s="37"/>
      <c r="D27" s="37"/>
      <c r="E27" s="37"/>
      <c r="F27" s="37"/>
      <c r="G27" s="37"/>
      <c r="H27" s="37"/>
      <c r="I27" s="37"/>
      <c r="J27" s="37"/>
    </row>
    <row r="28" spans="1:20" x14ac:dyDescent="0.2">
      <c r="A28" s="10" t="s">
        <v>18</v>
      </c>
      <c r="B28" s="11" t="s">
        <v>24</v>
      </c>
      <c r="C28" s="12" t="s">
        <v>16</v>
      </c>
      <c r="D28" s="2" t="s">
        <v>98</v>
      </c>
      <c r="E28" s="13" t="s">
        <v>26</v>
      </c>
      <c r="F28" s="14" t="s">
        <v>10</v>
      </c>
      <c r="G28" s="14" t="s">
        <v>68</v>
      </c>
      <c r="H28" s="14" t="s">
        <v>17</v>
      </c>
      <c r="I28" s="14" t="s">
        <v>14</v>
      </c>
      <c r="J28" s="14" t="s">
        <v>32</v>
      </c>
      <c r="K28" s="14" t="s">
        <v>13</v>
      </c>
      <c r="L28" s="14" t="s">
        <v>25</v>
      </c>
      <c r="M28" s="14" t="s">
        <v>33</v>
      </c>
      <c r="N28" s="14" t="s">
        <v>189</v>
      </c>
      <c r="O28" s="14" t="s">
        <v>62</v>
      </c>
      <c r="P28" s="14" t="s">
        <v>41</v>
      </c>
      <c r="Q28" s="14" t="s">
        <v>30</v>
      </c>
      <c r="R28" s="14" t="s">
        <v>29</v>
      </c>
      <c r="S28" s="14" t="s">
        <v>8</v>
      </c>
      <c r="T28" s="14" t="s">
        <v>45</v>
      </c>
    </row>
    <row r="29" spans="1:20" x14ac:dyDescent="0.2">
      <c r="A29" s="16">
        <v>-760188624309</v>
      </c>
      <c r="B29" s="16">
        <v>-692491684208</v>
      </c>
      <c r="C29" s="16">
        <v>-667387308463</v>
      </c>
      <c r="D29" s="16">
        <v>-510425559363</v>
      </c>
      <c r="E29" s="16">
        <v>-424627786984</v>
      </c>
      <c r="F29" s="16">
        <v>-364723673034</v>
      </c>
      <c r="G29" s="16">
        <v>-331404581688</v>
      </c>
      <c r="H29" s="16">
        <v>-321119813454</v>
      </c>
      <c r="I29" s="16">
        <v>-303045254979</v>
      </c>
      <c r="J29" s="16">
        <v>-273860197289</v>
      </c>
      <c r="K29" s="16">
        <v>-255678591616</v>
      </c>
      <c r="L29" s="16">
        <v>-238806837197</v>
      </c>
      <c r="M29" s="16">
        <v>-210471519829</v>
      </c>
      <c r="N29" s="16">
        <v>-179212629747</v>
      </c>
      <c r="O29" s="16">
        <v>-151084293685</v>
      </c>
      <c r="P29" s="16">
        <v>-148557503469</v>
      </c>
      <c r="Q29" s="16">
        <v>-135750691857</v>
      </c>
      <c r="R29" s="16">
        <v>-122002884045</v>
      </c>
      <c r="S29" s="16">
        <v>-94934318368</v>
      </c>
      <c r="T29" s="16">
        <v>-93324485305</v>
      </c>
    </row>
    <row r="30" spans="1:20" x14ac:dyDescent="0.2">
      <c r="A30" s="4">
        <f>VLOOKUP(A28,[1]PriceValue!A40:B194,2,FALSE)*VLOOKUP(A28,'[1]2023'!A41:F200,4,FALSE)</f>
        <v>80339381708400</v>
      </c>
      <c r="B30" s="4">
        <f>VLOOKUP(B28,[1]PriceValue!A40:B194,2,FALSE)*VLOOKUP(B28,'[1]2023'!A41:F200,4,FALSE)</f>
        <v>135847103925000</v>
      </c>
      <c r="C30" s="4">
        <f>VLOOKUP(C28,[1]PriceValue!A40:B194,2,FALSE)*VLOOKUP(C28,'[1]2023'!A41:F200,4,FALSE)</f>
        <v>147174282780000</v>
      </c>
      <c r="D30" s="4">
        <f>VLOOKUP(D28,[1]PriceValue!A40:B194,2,FALSE)*VLOOKUP(D28,'[1]2023'!A41:F200,4,FALSE)</f>
        <v>17370514177200</v>
      </c>
      <c r="E30" s="4">
        <f>VLOOKUP(E28,[1]PriceValue!A40:B194,2,FALSE)*VLOOKUP(E28,'[1]2023'!A41:F200,4,FALSE)</f>
        <v>96152676480000</v>
      </c>
      <c r="F30" s="4">
        <f>VLOOKUP(F28,[1]PriceValue!A40:B194,2,FALSE)*VLOOKUP(F28,'[1]2023'!A41:F200,4,FALSE)</f>
        <v>14880768488400</v>
      </c>
      <c r="G30" s="4">
        <f>VLOOKUP(G28,[1]PriceValue!A40:B194,2,FALSE)*VLOOKUP(G28,'[1]2023'!A41:F200,4,FALSE)</f>
        <v>39409266500000</v>
      </c>
      <c r="H30" s="4">
        <f>VLOOKUP(H28,[1]PriceValue!A40:B194,2,FALSE)*VLOOKUP(H28,'[1]2023'!A41:F200,4,FALSE)</f>
        <v>11838411135100</v>
      </c>
      <c r="I30" s="4">
        <f>VLOOKUP(I28,[1]PriceValue!A40:B194,2,FALSE)*VLOOKUP(I28,'[1]2023'!A41:F200,4,FALSE)</f>
        <v>53163082740000</v>
      </c>
      <c r="J30" s="4">
        <f>VLOOKUP(J28,[1]PriceValue!A40:B194,2,FALSE)*VLOOKUP(J28,'[1]2023'!A41:F200,4,FALSE)</f>
        <v>18975261713000</v>
      </c>
      <c r="K30" s="4">
        <f>VLOOKUP(K28,[1]PriceValue!A40:B194,2,FALSE)*VLOOKUP(K28,'[1]2023'!A41:F200,4,FALSE)</f>
        <v>509725126560000</v>
      </c>
      <c r="L30" s="4">
        <f>VLOOKUP(L28,[1]PriceValue!A40:B194,2,FALSE)*VLOOKUP(L28,'[1]2023'!A41:F200,4,FALSE)</f>
        <v>52281973080000</v>
      </c>
      <c r="M30" s="4">
        <f>VLOOKUP(M28,[1]PriceValue!A40:B194,2,FALSE)*VLOOKUP(M28,'[1]2023'!A41:F200,4,FALSE)</f>
        <v>168810378754500</v>
      </c>
      <c r="N30" s="4">
        <f>VLOOKUP(N28,[1]PriceValue!A40:B194,2,FALSE)*VLOOKUP(N28,'[1]2023'!A41:F200,4,FALSE)</f>
        <v>54234000000000</v>
      </c>
      <c r="O30" s="4">
        <f>VLOOKUP(O28,[1]PriceValue!A40:B194,2,FALSE)*VLOOKUP(O28,'[1]2023'!A41:F200,4,FALSE)</f>
        <v>68620117560000</v>
      </c>
      <c r="P30" s="4">
        <f>VLOOKUP(P28,[1]PriceValue!A40:B194,2,FALSE)*VLOOKUP(P28,'[1]2023'!A41:F200,4,FALSE)</f>
        <v>8039235174300</v>
      </c>
      <c r="Q30" s="4">
        <f>VLOOKUP(Q28,[1]PriceValue!A40:B194,2,FALSE)*VLOOKUP(Q28,'[1]2023'!A41:F200,4,FALSE)</f>
        <v>53454182760000</v>
      </c>
      <c r="R30" s="4">
        <f>VLOOKUP(R28,[1]PriceValue!A40:B194,2,FALSE)*VLOOKUP(R28,'[1]2023'!A41:F200,4,FALSE)</f>
        <v>8148419812650</v>
      </c>
      <c r="S30" s="4">
        <f>VLOOKUP(S28,[1]PriceValue!A40:B194,2,FALSE)*VLOOKUP(S28,'[1]2023'!A41:F200,4,FALSE)</f>
        <v>12390316527350</v>
      </c>
      <c r="T30" s="4">
        <f>VLOOKUP(T28,[1]PriceValue!A40:B194,2,FALSE)*VLOOKUP(T28,'[1]2023'!A41:F200,4,FALSE)</f>
        <v>11950056794600</v>
      </c>
    </row>
    <row r="31" spans="1:20" x14ac:dyDescent="0.2">
      <c r="A31" s="18">
        <f>-(A29/A30)</f>
        <v>9.462216513791236E-3</v>
      </c>
      <c r="B31" s="18">
        <f t="shared" ref="B31:T31" si="2">-(B29/B30)</f>
        <v>5.0975815030279824E-3</v>
      </c>
      <c r="C31" s="18">
        <f t="shared" si="2"/>
        <v>4.5346734215829555E-3</v>
      </c>
      <c r="D31" s="18">
        <f t="shared" si="2"/>
        <v>2.9384597033573642E-2</v>
      </c>
      <c r="E31" s="18">
        <f t="shared" si="2"/>
        <v>4.4161827057650717E-3</v>
      </c>
      <c r="F31" s="18">
        <f t="shared" si="2"/>
        <v>2.4509733708868123E-2</v>
      </c>
      <c r="G31" s="18">
        <f t="shared" si="2"/>
        <v>8.4093060115188901E-3</v>
      </c>
      <c r="H31" s="18">
        <f t="shared" si="2"/>
        <v>2.712524592948997E-2</v>
      </c>
      <c r="I31" s="18">
        <f t="shared" si="2"/>
        <v>5.7002950047324516E-3</v>
      </c>
      <c r="J31" s="18">
        <f t="shared" si="2"/>
        <v>1.4432485908817672E-2</v>
      </c>
      <c r="K31" s="18">
        <f t="shared" si="2"/>
        <v>5.0160091840382125E-4</v>
      </c>
      <c r="L31" s="18">
        <f t="shared" si="2"/>
        <v>4.5676707118835463E-3</v>
      </c>
      <c r="M31" s="18">
        <f t="shared" si="2"/>
        <v>1.246792533621926E-3</v>
      </c>
      <c r="N31" s="18">
        <f t="shared" si="2"/>
        <v>3.304433192222591E-3</v>
      </c>
      <c r="O31" s="18">
        <f t="shared" si="2"/>
        <v>2.2017492691249769E-3</v>
      </c>
      <c r="P31" s="18">
        <f t="shared" si="2"/>
        <v>1.8479059294584616E-2</v>
      </c>
      <c r="Q31" s="18">
        <f t="shared" si="2"/>
        <v>2.5395709904779021E-3</v>
      </c>
      <c r="R31" s="18">
        <f t="shared" si="2"/>
        <v>1.4972582028186231E-2</v>
      </c>
      <c r="S31" s="18">
        <f t="shared" si="2"/>
        <v>7.6619768476814077E-3</v>
      </c>
      <c r="T31" s="18">
        <f t="shared" si="2"/>
        <v>7.8095432439427006E-3</v>
      </c>
    </row>
    <row r="33" spans="1:20" x14ac:dyDescent="0.2">
      <c r="A33" s="35" t="s">
        <v>206</v>
      </c>
      <c r="B33" s="35"/>
      <c r="C33" s="35"/>
      <c r="D33" s="35"/>
      <c r="E33" s="35"/>
      <c r="F33" s="35"/>
      <c r="G33" s="35"/>
      <c r="H33" s="35"/>
      <c r="I33" s="35"/>
      <c r="J33" s="35"/>
    </row>
    <row r="34" spans="1:20" x14ac:dyDescent="0.2">
      <c r="A34" s="10" t="s">
        <v>36</v>
      </c>
      <c r="B34" s="11" t="s">
        <v>18</v>
      </c>
      <c r="C34" s="12" t="s">
        <v>83</v>
      </c>
      <c r="D34" s="2" t="s">
        <v>39</v>
      </c>
      <c r="E34" s="13" t="s">
        <v>43</v>
      </c>
      <c r="F34" s="14" t="s">
        <v>70</v>
      </c>
      <c r="G34" s="14" t="s">
        <v>75</v>
      </c>
      <c r="H34" s="14" t="s">
        <v>240</v>
      </c>
      <c r="I34" s="14" t="s">
        <v>35</v>
      </c>
      <c r="J34" s="14" t="s">
        <v>61</v>
      </c>
      <c r="K34" s="14" t="s">
        <v>65</v>
      </c>
      <c r="L34" s="14" t="s">
        <v>98</v>
      </c>
      <c r="M34" s="14" t="s">
        <v>197</v>
      </c>
      <c r="N34" s="14" t="s">
        <v>62</v>
      </c>
      <c r="O34" s="14" t="s">
        <v>37</v>
      </c>
      <c r="P34" s="14" t="s">
        <v>21</v>
      </c>
      <c r="Q34" s="14" t="s">
        <v>68</v>
      </c>
      <c r="R34" s="14" t="s">
        <v>74</v>
      </c>
      <c r="S34" s="14" t="s">
        <v>38</v>
      </c>
      <c r="T34" s="14" t="s">
        <v>19</v>
      </c>
    </row>
    <row r="35" spans="1:20" x14ac:dyDescent="0.2">
      <c r="A35" s="16">
        <v>-514400610000</v>
      </c>
      <c r="B35" s="16">
        <v>-407631758000</v>
      </c>
      <c r="C35" s="16">
        <v>-271589032000</v>
      </c>
      <c r="D35" s="16">
        <v>-218811400000</v>
      </c>
      <c r="E35" s="16">
        <v>-210161672000</v>
      </c>
      <c r="F35" s="16">
        <v>-199600783000</v>
      </c>
      <c r="G35" s="16">
        <v>-172076280000</v>
      </c>
      <c r="H35" s="16">
        <v>-111797800000</v>
      </c>
      <c r="I35" s="16">
        <v>-108158108000</v>
      </c>
      <c r="J35" s="16">
        <v>-99729000000</v>
      </c>
      <c r="K35" s="16">
        <v>-84064349000</v>
      </c>
      <c r="L35" s="17">
        <v>-82979435000</v>
      </c>
      <c r="M35" s="17">
        <v>-79598608000</v>
      </c>
      <c r="N35" s="17">
        <v>-75150276000</v>
      </c>
      <c r="O35" s="17">
        <v>-73096793000</v>
      </c>
      <c r="P35" s="17">
        <v>-56789950800</v>
      </c>
      <c r="Q35" s="17">
        <v>-47811975000</v>
      </c>
      <c r="R35" s="17">
        <v>-43852574000</v>
      </c>
      <c r="S35" s="17">
        <v>-40312070000</v>
      </c>
      <c r="T35" s="17">
        <v>-39642486000</v>
      </c>
    </row>
    <row r="36" spans="1:20" x14ac:dyDescent="0.2">
      <c r="A36" s="4">
        <f>VLOOKUP(A34,[1]PriceValue!A52:B206,2,FALSE)*VLOOKUP(A34,'[1]2023'!A53:F212,4,FALSE)</f>
        <v>156460165400000</v>
      </c>
      <c r="B36" s="4">
        <f>VLOOKUP(B34,[1]PriceValue!A52:B206,2,FALSE)*VLOOKUP(B34,'[1]2023'!A53:F212,4,FALSE)</f>
        <v>80339381708400</v>
      </c>
      <c r="C36" s="4">
        <f>VLOOKUP(C34,[1]PriceValue!A52:B206,2,FALSE)*VLOOKUP(C34,'[1]2023'!A53:F212,4,FALSE)</f>
        <v>164149003280000</v>
      </c>
      <c r="D36" s="4">
        <f>VLOOKUP(D34,[1]PriceValue!A52:B206,2,FALSE)*VLOOKUP(D34,'[1]2023'!A53:F212,4,FALSE)</f>
        <v>25756658499400</v>
      </c>
      <c r="E36" s="4">
        <f>VLOOKUP(E34,[1]PriceValue!A52:B206,2,FALSE)*VLOOKUP(E34,'[1]2023'!A53:F212,4,FALSE)</f>
        <v>31176072860000</v>
      </c>
      <c r="F36" s="4">
        <f>VLOOKUP(F34,[1]PriceValue!A52:B206,2,FALSE)*VLOOKUP(F34,'[1]2023'!A53:F212,4,FALSE)</f>
        <v>27975918985000</v>
      </c>
      <c r="G36" s="4">
        <f>VLOOKUP(G34,[1]PriceValue!A52:B206,2,FALSE)*VLOOKUP(G34,'[1]2023'!A53:F212,4,FALSE)</f>
        <v>29739094204500</v>
      </c>
      <c r="H36" s="4" t="e">
        <f>VLOOKUP(H34,[1]PriceValue!A52:B206,2,FALSE)*VLOOKUP(H34,'[1]2023'!A53:F212,4,FALSE)</f>
        <v>#N/A</v>
      </c>
      <c r="I36" s="4">
        <f>VLOOKUP(I34,[1]PriceValue!A52:B206,2,FALSE)*VLOOKUP(I34,'[1]2023'!A53:F212,4,FALSE)</f>
        <v>104286753240000</v>
      </c>
      <c r="J36" s="4">
        <f>VLOOKUP(J34,[1]PriceValue!A52:B250,2,FALSE)*VLOOKUP(J34,'[1]2023'!A53:F212,4,FALSE)</f>
        <v>14583066150900</v>
      </c>
      <c r="K36" s="4">
        <f>VLOOKUP(K34,[1]PriceValue!A52:B206,2,FALSE)*VLOOKUP(K34,'[1]2023'!A53:F212,4,FALSE)</f>
        <v>27200000000000</v>
      </c>
      <c r="L36" s="4">
        <f>VLOOKUP(L34,[1]PriceValue!A52:B206,2,FALSE)*VLOOKUP(L34,'[1]2023'!A53:F212,4,FALSE)</f>
        <v>17370514177200</v>
      </c>
      <c r="M36" s="4">
        <f>VLOOKUP(M34,[1]PriceValue!A52:B206,2,FALSE)*VLOOKUP(M34,'[1]2023'!A53:F212,4,FALSE)</f>
        <v>25238398416000</v>
      </c>
      <c r="N36" s="4">
        <f>VLOOKUP(N34,[1]PriceValue!A52:B206,2,FALSE)*VLOOKUP(N34,'[1]2023'!A53:F212,4,FALSE)</f>
        <v>68620117560000</v>
      </c>
      <c r="O36" s="4">
        <f>VLOOKUP(O34,[1]PriceValue!A52:B206,2,FALSE)*VLOOKUP(O34,'[1]2023'!A53:F212,4,FALSE)</f>
        <v>53526638250000</v>
      </c>
      <c r="P36" s="4">
        <f>VLOOKUP(P34,[1]PriceValue!A52:B206,2,FALSE)*VLOOKUP(P34,'[1]2023'!A53:F212,4,FALSE)</f>
        <v>18545996009800</v>
      </c>
      <c r="Q36" s="4">
        <f>VLOOKUP(Q34,[1]PriceValue!A52:B206,2,FALSE)*VLOOKUP(Q34,'[1]2023'!A53:F212,4,FALSE)</f>
        <v>39409266500000</v>
      </c>
      <c r="R36" s="4">
        <f>VLOOKUP(R34,[1]PriceValue!A52:B206,2,FALSE)*VLOOKUP(R34,'[1]2023'!A53:F212,4,FALSE)</f>
        <v>6776052052000</v>
      </c>
      <c r="S36" s="4">
        <f>VLOOKUP(S34,[1]PriceValue!A52:B206,2,FALSE)*VLOOKUP(S34,'[1]2023'!A53:F212,4,FALSE)</f>
        <v>116013371225000</v>
      </c>
      <c r="T36" s="4">
        <f>VLOOKUP(T34,[1]PriceValue!A52:B206,2,FALSE)*VLOOKUP(T34,'[1]2023'!A53:F212,4,FALSE)</f>
        <v>176135727760000</v>
      </c>
    </row>
    <row r="37" spans="1:20" x14ac:dyDescent="0.2">
      <c r="A37" s="18">
        <f>-(A35/A36)</f>
        <v>3.2877416988848461E-3</v>
      </c>
      <c r="B37" s="18">
        <f t="shared" ref="B37:T37" si="3">-(B35/B36)</f>
        <v>5.0738722321705329E-3</v>
      </c>
      <c r="C37" s="18">
        <f t="shared" si="3"/>
        <v>1.6545274511154497E-3</v>
      </c>
      <c r="D37" s="18">
        <f t="shared" si="3"/>
        <v>8.4953333525424977E-3</v>
      </c>
      <c r="E37" s="18">
        <f t="shared" si="3"/>
        <v>6.7411207609039438E-3</v>
      </c>
      <c r="F37" s="18">
        <f t="shared" si="3"/>
        <v>7.1347355240419814E-3</v>
      </c>
      <c r="G37" s="18">
        <f t="shared" si="3"/>
        <v>5.7861977509039977E-3</v>
      </c>
      <c r="H37" s="18" t="e">
        <f t="shared" si="3"/>
        <v>#N/A</v>
      </c>
      <c r="I37" s="18">
        <f t="shared" si="3"/>
        <v>1.0371222100575964E-3</v>
      </c>
      <c r="J37" s="18">
        <f t="shared" si="3"/>
        <v>6.8386852921081473E-3</v>
      </c>
      <c r="K37" s="18">
        <f t="shared" si="3"/>
        <v>3.0906010661764707E-3</v>
      </c>
      <c r="L37" s="18">
        <f t="shared" si="3"/>
        <v>4.7770281382295658E-3</v>
      </c>
      <c r="M37" s="18">
        <f t="shared" si="3"/>
        <v>3.1538692229193944E-3</v>
      </c>
      <c r="N37" s="18">
        <f t="shared" si="3"/>
        <v>1.0951639063324274E-3</v>
      </c>
      <c r="O37" s="18">
        <f t="shared" si="3"/>
        <v>1.3656152411178186E-3</v>
      </c>
      <c r="P37" s="18">
        <f t="shared" si="3"/>
        <v>3.0621138260782158E-3</v>
      </c>
      <c r="Q37" s="18">
        <f t="shared" si="3"/>
        <v>1.213216566717881E-3</v>
      </c>
      <c r="R37" s="18">
        <f t="shared" si="3"/>
        <v>6.4716996952608411E-3</v>
      </c>
      <c r="S37" s="18">
        <f t="shared" si="3"/>
        <v>3.4747779134714993E-4</v>
      </c>
      <c r="T37" s="18">
        <f t="shared" si="3"/>
        <v>2.2506782981597168E-4</v>
      </c>
    </row>
    <row r="39" spans="1:20" x14ac:dyDescent="0.2">
      <c r="A39" s="36" t="s">
        <v>95</v>
      </c>
      <c r="B39" s="36"/>
      <c r="C39" s="36"/>
      <c r="D39" s="36"/>
      <c r="E39" s="36"/>
      <c r="F39" s="36"/>
      <c r="G39" s="36"/>
      <c r="H39" s="36"/>
      <c r="I39" s="36"/>
      <c r="J39" s="36"/>
    </row>
    <row r="40" spans="1:20" x14ac:dyDescent="0.2">
      <c r="A40" s="18" t="s">
        <v>15</v>
      </c>
      <c r="B40" s="18" t="s">
        <v>6</v>
      </c>
      <c r="C40" s="18" t="s">
        <v>16</v>
      </c>
      <c r="D40" s="18" t="s">
        <v>65</v>
      </c>
      <c r="E40" s="18" t="s">
        <v>24</v>
      </c>
      <c r="F40" s="18" t="s">
        <v>45</v>
      </c>
      <c r="G40" s="18" t="s">
        <v>68</v>
      </c>
      <c r="H40" s="18" t="s">
        <v>35</v>
      </c>
      <c r="I40" s="18" t="s">
        <v>112</v>
      </c>
      <c r="J40" s="18" t="s">
        <v>38</v>
      </c>
    </row>
    <row r="41" spans="1:20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20" x14ac:dyDescent="0.2">
      <c r="A42" s="36" t="s">
        <v>96</v>
      </c>
      <c r="B42" s="36"/>
      <c r="C42" s="36"/>
      <c r="D42" s="36"/>
      <c r="E42" s="36"/>
      <c r="F42" s="36"/>
      <c r="G42" s="36"/>
      <c r="H42" s="36"/>
      <c r="I42" s="36"/>
      <c r="J42" s="36"/>
    </row>
    <row r="43" spans="1:20" x14ac:dyDescent="0.2">
      <c r="A43" s="18" t="s">
        <v>112</v>
      </c>
      <c r="B43" s="18" t="s">
        <v>14</v>
      </c>
      <c r="C43" s="18" t="s">
        <v>15</v>
      </c>
      <c r="D43" s="18" t="s">
        <v>38</v>
      </c>
      <c r="E43" s="18" t="s">
        <v>6</v>
      </c>
      <c r="F43" s="18" t="s">
        <v>65</v>
      </c>
      <c r="G43" s="18" t="s">
        <v>11</v>
      </c>
      <c r="H43" s="18" t="s">
        <v>68</v>
      </c>
      <c r="I43" s="18" t="s">
        <v>35</v>
      </c>
      <c r="J43" s="18" t="s">
        <v>5</v>
      </c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36" t="s">
        <v>97</v>
      </c>
      <c r="B45" s="36"/>
      <c r="C45" s="36"/>
      <c r="D45" s="36"/>
      <c r="E45" s="36"/>
      <c r="F45" s="36"/>
      <c r="G45" s="36"/>
      <c r="H45" s="36"/>
      <c r="I45" s="36"/>
      <c r="J45" s="36"/>
    </row>
    <row r="46" spans="1:20" x14ac:dyDescent="0.2">
      <c r="A46" s="18" t="s">
        <v>15</v>
      </c>
      <c r="B46" s="18" t="s">
        <v>112</v>
      </c>
      <c r="C46" s="18" t="s">
        <v>14</v>
      </c>
      <c r="D46" s="18" t="s">
        <v>6</v>
      </c>
      <c r="E46" s="18" t="s">
        <v>24</v>
      </c>
      <c r="F46" s="18" t="s">
        <v>5</v>
      </c>
      <c r="G46" s="18" t="s">
        <v>36</v>
      </c>
      <c r="H46" s="18" t="s">
        <v>35</v>
      </c>
      <c r="I46" s="18" t="s">
        <v>19</v>
      </c>
      <c r="J46" s="18" t="s">
        <v>26</v>
      </c>
    </row>
  </sheetData>
  <mergeCells count="10">
    <mergeCell ref="A27:J27"/>
    <mergeCell ref="A33:J33"/>
    <mergeCell ref="A39:J39"/>
    <mergeCell ref="A42:J42"/>
    <mergeCell ref="A45:J45"/>
    <mergeCell ref="A5:J5"/>
    <mergeCell ref="A11:J11"/>
    <mergeCell ref="A17:J17"/>
    <mergeCell ref="A20:J20"/>
    <mergeCell ref="A23:J2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500C1-A977-B342-835F-757AA1BA2330}">
  <sheetPr codeName="Sheet10"/>
  <dimension ref="A1:T48"/>
  <sheetViews>
    <sheetView workbookViewId="0">
      <selection activeCell="A21" sqref="A21"/>
    </sheetView>
  </sheetViews>
  <sheetFormatPr baseColWidth="10" defaultRowHeight="16" x14ac:dyDescent="0.2"/>
  <cols>
    <col min="1" max="1" width="21.6640625" customWidth="1"/>
    <col min="2" max="2" width="21" customWidth="1"/>
    <col min="3" max="3" width="20.33203125" customWidth="1"/>
    <col min="4" max="4" width="21.1640625" customWidth="1"/>
    <col min="5" max="5" width="20.33203125" customWidth="1"/>
    <col min="6" max="7" width="19.6640625" customWidth="1"/>
    <col min="8" max="9" width="21" customWidth="1"/>
    <col min="10" max="10" width="21.6640625" customWidth="1"/>
    <col min="11" max="11" width="19.83203125" customWidth="1"/>
    <col min="12" max="12" width="21.33203125" customWidth="1"/>
    <col min="13" max="13" width="21.1640625" customWidth="1"/>
    <col min="14" max="14" width="19.5" customWidth="1"/>
    <col min="15" max="15" width="21.5" customWidth="1"/>
    <col min="16" max="16" width="18.33203125" customWidth="1"/>
    <col min="17" max="17" width="19.83203125" customWidth="1"/>
    <col min="18" max="18" width="20.1640625" customWidth="1"/>
    <col min="19" max="19" width="18.1640625" customWidth="1"/>
    <col min="20" max="20" width="21.83203125" customWidth="1"/>
  </cols>
  <sheetData>
    <row r="1" spans="1:20" x14ac:dyDescent="0.2">
      <c r="A1" s="20" t="s">
        <v>84</v>
      </c>
      <c r="C1" s="21" t="s">
        <v>85</v>
      </c>
    </row>
    <row r="2" spans="1:20" x14ac:dyDescent="0.2">
      <c r="A2" t="s">
        <v>12</v>
      </c>
      <c r="C2" t="s">
        <v>12</v>
      </c>
    </row>
    <row r="3" spans="1:20" x14ac:dyDescent="0.2">
      <c r="A3" s="30">
        <f>'2024'!C3</f>
        <v>-2366312217119</v>
      </c>
      <c r="C3" s="30">
        <f>'2024'!C4</f>
        <v>-3294901162400</v>
      </c>
    </row>
    <row r="5" spans="1:20" x14ac:dyDescent="0.2">
      <c r="A5" s="37" t="s">
        <v>22</v>
      </c>
      <c r="B5" s="37"/>
      <c r="C5" s="37"/>
      <c r="D5" s="37"/>
      <c r="E5" s="37"/>
      <c r="F5" s="37"/>
      <c r="G5" s="37"/>
      <c r="H5" s="37"/>
      <c r="I5" s="37"/>
      <c r="J5" s="37"/>
    </row>
    <row r="6" spans="1:20" x14ac:dyDescent="0.2">
      <c r="A6" s="5" t="s">
        <v>65</v>
      </c>
      <c r="B6" s="6" t="s">
        <v>28</v>
      </c>
      <c r="C6" s="7" t="s">
        <v>15</v>
      </c>
      <c r="D6" s="8" t="s">
        <v>5</v>
      </c>
      <c r="E6" s="1" t="s">
        <v>43</v>
      </c>
      <c r="F6" s="9" t="s">
        <v>21</v>
      </c>
      <c r="G6" s="9" t="s">
        <v>19</v>
      </c>
      <c r="H6" s="9" t="s">
        <v>61</v>
      </c>
      <c r="I6" s="9" t="s">
        <v>31</v>
      </c>
      <c r="J6" s="9" t="s">
        <v>42</v>
      </c>
      <c r="K6" s="9" t="s">
        <v>179</v>
      </c>
      <c r="L6" s="9" t="s">
        <v>70</v>
      </c>
      <c r="M6" s="9" t="s">
        <v>187</v>
      </c>
      <c r="N6" s="9" t="s">
        <v>67</v>
      </c>
      <c r="O6" s="9" t="s">
        <v>114</v>
      </c>
      <c r="P6" s="9" t="s">
        <v>9</v>
      </c>
      <c r="Q6" s="9" t="s">
        <v>112</v>
      </c>
      <c r="R6" s="9" t="s">
        <v>79</v>
      </c>
      <c r="S6" s="9" t="s">
        <v>39</v>
      </c>
      <c r="T6" s="9" t="s">
        <v>101</v>
      </c>
    </row>
    <row r="7" spans="1:20" x14ac:dyDescent="0.2">
      <c r="A7" s="4">
        <v>823974113845</v>
      </c>
      <c r="B7" s="4">
        <v>591487410785</v>
      </c>
      <c r="C7" s="4">
        <v>557459728676</v>
      </c>
      <c r="D7" s="4">
        <v>425198586840</v>
      </c>
      <c r="E7" s="4">
        <v>292932143592</v>
      </c>
      <c r="F7" s="4">
        <v>281858216735</v>
      </c>
      <c r="G7" s="4">
        <v>151019218874</v>
      </c>
      <c r="H7" s="4">
        <v>141231825559</v>
      </c>
      <c r="I7" s="4">
        <v>138704370000</v>
      </c>
      <c r="J7" s="4">
        <v>120739150000</v>
      </c>
      <c r="K7" s="4">
        <v>118916620000</v>
      </c>
      <c r="L7" s="15">
        <v>90419918849</v>
      </c>
      <c r="M7" s="15">
        <v>84449769008</v>
      </c>
      <c r="N7" s="15">
        <v>80138679596</v>
      </c>
      <c r="O7" s="15">
        <v>76372801024</v>
      </c>
      <c r="P7" s="15">
        <v>75956686995</v>
      </c>
      <c r="Q7" s="15">
        <v>74063504120</v>
      </c>
      <c r="R7" s="15">
        <v>69738850000</v>
      </c>
      <c r="S7" s="15">
        <v>59064897988</v>
      </c>
      <c r="T7" s="15">
        <v>49562867909</v>
      </c>
    </row>
    <row r="8" spans="1:20" x14ac:dyDescent="0.2">
      <c r="A8" s="15">
        <f>VLOOKUP(A6,[1]PriceValue!A40:B194,2,FALSE)*VLOOKUP(A6,'[1]2023'!A41:F200,4,FALSE)</f>
        <v>27200000000000</v>
      </c>
      <c r="B8" s="15">
        <f>VLOOKUP(B6,[1]PriceValue!A40:B194,2,FALSE)*VLOOKUP(B6,'[1]2023'!A41:F200,4,FALSE)</f>
        <v>45117779176800</v>
      </c>
      <c r="C8" s="15">
        <f>VLOOKUP(C6,[1]PriceValue!A40:B194,2,FALSE)*VLOOKUP(C6,'[1]2023'!A41:F200,4,FALSE)</f>
        <v>165139913880000</v>
      </c>
      <c r="D8" s="15">
        <f>VLOOKUP(D6,[1]PriceValue!A40:B194,2,FALSE)*VLOOKUP(D6,'[1]2023'!A41:F200,4,FALSE)</f>
        <v>52839780822400</v>
      </c>
      <c r="E8" s="15">
        <f>VLOOKUP(E6,[1]PriceValue!A40:B194,2,FALSE)*VLOOKUP(E6,'[1]2023'!A41:F200,4,FALSE)</f>
        <v>31176072860000</v>
      </c>
      <c r="F8" s="15">
        <f>VLOOKUP(F6,[1]PriceValue!A40:B194,2,FALSE)*VLOOKUP(F6,'[1]2023'!A41:F200,4,FALSE)</f>
        <v>18545996009800</v>
      </c>
      <c r="G8" s="15">
        <f>VLOOKUP(G6,[1]PriceValue!A40:B194,2,FALSE)*VLOOKUP(G6,'[1]2023'!A41:F200,4,FALSE)</f>
        <v>176135727760000</v>
      </c>
      <c r="H8" s="15">
        <f>VLOOKUP(H6,[1]PriceValue!A40:B194,2,FALSE)*VLOOKUP(H6,'[1]2023'!A41:F200,4,FALSE)</f>
        <v>14583066150900</v>
      </c>
      <c r="I8" s="15">
        <f>VLOOKUP(I6,[1]PriceValue!A40:B194,2,FALSE)*VLOOKUP(I6,'[1]2023'!A41:F200,4,FALSE)</f>
        <v>21935024629000</v>
      </c>
      <c r="J8" s="15" t="e">
        <f>VLOOKUP(J6,[1]PriceValue!A40:B194,2,FALSE)*VLOOKUP(J6,'[1]2023'!A41:F200,4,FALSE)</f>
        <v>#N/A</v>
      </c>
      <c r="K8" s="15" t="e">
        <f>VLOOKUP(K6,[1]PriceValue!A40:B194,2,FALSE)*VLOOKUP(K6,'[1]2023'!A41:F200,4,FALSE)</f>
        <v>#N/A</v>
      </c>
      <c r="L8" s="15">
        <f>VLOOKUP(L6,[1]PriceValue!A40:B194,2,FALSE)*VLOOKUP(L6,'[1]2023'!A41:F200,4,FALSE)</f>
        <v>27975918985000</v>
      </c>
      <c r="M8" s="15">
        <f>VLOOKUP(M6,[1]PriceValue!A40:B194,2,FALSE)*VLOOKUP(M6,'[1]2023'!A41:F200,4,FALSE)</f>
        <v>13841292630000</v>
      </c>
      <c r="N8" s="15">
        <f>VLOOKUP(N6,[1]PriceValue!A40:B194,2,FALSE)*VLOOKUP(N6,'[1]2023'!A41:F200,4,FALSE)</f>
        <v>172403027685000</v>
      </c>
      <c r="O8" s="15">
        <f>VLOOKUP(O6,[1]PriceValue!A40:B194,2,FALSE)*VLOOKUP(O6,'[1]2023'!A41:F200,4,FALSE)</f>
        <v>22260538011000</v>
      </c>
      <c r="P8" s="15">
        <f>VLOOKUP(P6,[1]PriceValue!A40:B194,2,FALSE)*VLOOKUP(P6,'[1]2023'!A41:F200,4,FALSE)</f>
        <v>20562500000000</v>
      </c>
      <c r="Q8" s="15">
        <f>VLOOKUP(Q6,[1]PriceValue!A40:B194,2,FALSE)*VLOOKUP(Q6,'[1]2023'!A41:F200,4,FALSE)</f>
        <v>9260865145000</v>
      </c>
      <c r="R8" s="15" t="e">
        <f>VLOOKUP(R6,[1]PriceValue!A40:B194,2,FALSE)*VLOOKUP(R6,'[1]2023'!A41:F200,4,FALSE)</f>
        <v>#N/A</v>
      </c>
      <c r="S8" s="15">
        <f>VLOOKUP(S6,[1]PriceValue!A40:B194,2,FALSE)*VLOOKUP(S6,'[1]2023'!A41:F200,4,FALSE)</f>
        <v>25756658499400</v>
      </c>
      <c r="T8" s="15">
        <f>VLOOKUP(T6,[1]PriceValue!A40:B194,2,FALSE)*VLOOKUP(T6,'[1]2023'!A41:F200,4,FALSE)</f>
        <v>16953885461000</v>
      </c>
    </row>
    <row r="9" spans="1:20" x14ac:dyDescent="0.2">
      <c r="A9" s="18">
        <f>A7/A8</f>
        <v>3.0293165950183824E-2</v>
      </c>
      <c r="B9" s="18">
        <f>B7/B8</f>
        <v>1.3109852071113211E-2</v>
      </c>
      <c r="C9" s="18">
        <f t="shared" ref="C9:T9" si="0">C7/C8</f>
        <v>3.3756813575734437E-3</v>
      </c>
      <c r="D9" s="18">
        <f t="shared" si="0"/>
        <v>8.0469407749652992E-3</v>
      </c>
      <c r="E9" s="18">
        <f t="shared" si="0"/>
        <v>9.3960565497600654E-3</v>
      </c>
      <c r="F9" s="18">
        <f t="shared" si="0"/>
        <v>1.519779345288663E-2</v>
      </c>
      <c r="G9" s="18">
        <f t="shared" si="0"/>
        <v>8.5740253152828032E-4</v>
      </c>
      <c r="H9" s="18">
        <f t="shared" si="0"/>
        <v>9.6846454715069519E-3</v>
      </c>
      <c r="I9" s="18">
        <f t="shared" si="0"/>
        <v>6.323419843195472E-3</v>
      </c>
      <c r="J9" s="18" t="e">
        <f t="shared" si="0"/>
        <v>#N/A</v>
      </c>
      <c r="K9" s="18" t="e">
        <f t="shared" si="0"/>
        <v>#N/A</v>
      </c>
      <c r="L9" s="18">
        <f t="shared" si="0"/>
        <v>3.2320625069539605E-3</v>
      </c>
      <c r="M9" s="18">
        <f t="shared" si="0"/>
        <v>6.1012920733256688E-3</v>
      </c>
      <c r="N9" s="18">
        <f t="shared" si="0"/>
        <v>4.6483336558579764E-4</v>
      </c>
      <c r="O9" s="18">
        <f t="shared" si="0"/>
        <v>3.4308605203639073E-3</v>
      </c>
      <c r="P9" s="18">
        <f t="shared" si="0"/>
        <v>3.6939422246808512E-3</v>
      </c>
      <c r="Q9" s="18">
        <f t="shared" si="0"/>
        <v>7.9974713982297174E-3</v>
      </c>
      <c r="R9" s="18" t="e">
        <f t="shared" si="0"/>
        <v>#N/A</v>
      </c>
      <c r="S9" s="18">
        <f t="shared" si="0"/>
        <v>2.2931894674682245E-3</v>
      </c>
      <c r="T9" s="18">
        <f t="shared" si="0"/>
        <v>2.9233928719768882E-3</v>
      </c>
    </row>
    <row r="10" spans="1:20" x14ac:dyDescent="0.2">
      <c r="A10" s="18"/>
    </row>
    <row r="11" spans="1:20" x14ac:dyDescent="0.2">
      <c r="A11" s="35" t="s">
        <v>86</v>
      </c>
      <c r="B11" s="35"/>
      <c r="C11" s="35"/>
      <c r="D11" s="35"/>
      <c r="E11" s="35"/>
      <c r="F11" s="35"/>
      <c r="G11" s="35"/>
      <c r="H11" s="35"/>
      <c r="I11" s="35"/>
      <c r="J11" s="35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 t="s">
        <v>112</v>
      </c>
      <c r="B12" s="6" t="s">
        <v>98</v>
      </c>
      <c r="C12" s="7" t="s">
        <v>8</v>
      </c>
      <c r="D12" s="8" t="s">
        <v>11</v>
      </c>
      <c r="E12" s="1" t="s">
        <v>7</v>
      </c>
      <c r="F12" s="9" t="s">
        <v>213</v>
      </c>
      <c r="G12" s="9" t="s">
        <v>45</v>
      </c>
      <c r="H12" s="9" t="s">
        <v>195</v>
      </c>
      <c r="I12" s="9" t="s">
        <v>40</v>
      </c>
      <c r="J12" s="9" t="s">
        <v>101</v>
      </c>
      <c r="K12" s="9" t="s">
        <v>80</v>
      </c>
      <c r="L12" s="9" t="s">
        <v>214</v>
      </c>
      <c r="M12" s="9" t="s">
        <v>60</v>
      </c>
      <c r="N12" s="9" t="s">
        <v>103</v>
      </c>
      <c r="O12" s="9" t="s">
        <v>114</v>
      </c>
      <c r="P12" s="9" t="s">
        <v>25</v>
      </c>
      <c r="Q12" s="9" t="s">
        <v>205</v>
      </c>
      <c r="R12" s="9" t="s">
        <v>201</v>
      </c>
      <c r="S12" s="9" t="s">
        <v>104</v>
      </c>
      <c r="T12" s="9" t="s">
        <v>72</v>
      </c>
    </row>
    <row r="13" spans="1:20" x14ac:dyDescent="0.2">
      <c r="A13" s="4">
        <v>236204979000</v>
      </c>
      <c r="B13" s="4">
        <v>82089960000</v>
      </c>
      <c r="C13" s="4">
        <v>57646176000</v>
      </c>
      <c r="D13" s="4">
        <v>56063907000</v>
      </c>
      <c r="E13" s="4">
        <v>51202270000</v>
      </c>
      <c r="F13" s="4">
        <v>50000000000</v>
      </c>
      <c r="G13" s="4">
        <v>34383774000</v>
      </c>
      <c r="H13" s="4">
        <v>27836405000</v>
      </c>
      <c r="I13" s="4">
        <v>27816980000</v>
      </c>
      <c r="J13" s="4">
        <v>24949110000</v>
      </c>
      <c r="K13" s="4">
        <v>19500295000</v>
      </c>
      <c r="L13" s="15">
        <v>19050200000</v>
      </c>
      <c r="M13" s="15">
        <v>18991240000</v>
      </c>
      <c r="N13" s="15">
        <v>16978795000</v>
      </c>
      <c r="O13" s="15">
        <v>16346070000</v>
      </c>
      <c r="P13" s="15">
        <v>16122078000</v>
      </c>
      <c r="Q13" s="15">
        <v>15305430000</v>
      </c>
      <c r="R13" s="15">
        <v>14607185000</v>
      </c>
      <c r="S13" s="15">
        <v>14597320000</v>
      </c>
      <c r="T13" s="15">
        <v>14112015000</v>
      </c>
    </row>
    <row r="14" spans="1:20" x14ac:dyDescent="0.2">
      <c r="A14" s="4">
        <f>VLOOKUP(A12,[1]PriceValue!A46:B226,2,FALSE)*VLOOKUP(A12,'[1]2023'!A47:F206,4,FALSE)</f>
        <v>9260865145000</v>
      </c>
      <c r="B14" s="4">
        <f>VLOOKUP(B12,[1]PriceValue!A46:B226,2,FALSE)*VLOOKUP(B12,'[1]2023'!A47:F206,4,FALSE)</f>
        <v>17370514177200</v>
      </c>
      <c r="C14" s="4">
        <f>VLOOKUP(C12,[1]PriceValue!A41:B226,2,FALSE)*VLOOKUP(C12,'[1]2023'!A47:F206,4,FALSE)</f>
        <v>12390316527350</v>
      </c>
      <c r="D14" s="4">
        <f>VLOOKUP(D12,[1]PriceValue!A46:B226,2,FALSE)*VLOOKUP(D12,'[1]2023'!A47:F206,4,FALSE)</f>
        <v>11280143616250</v>
      </c>
      <c r="E14" s="4" t="e">
        <f>VLOOKUP(E12,[1]PriceValue!A46:B226,2,FALSE)*VLOOKUP(E12,'[1]2023'!A47:F206,4,FALSE)</f>
        <v>#N/A</v>
      </c>
      <c r="F14" s="4" t="e">
        <f>VLOOKUP(F12,[1]PriceValue!A41:B226,2,FALSE)*VLOOKUP(F12,'[1]2023'!A47:F206,4,FALSE)</f>
        <v>#N/A</v>
      </c>
      <c r="G14" s="4">
        <f>VLOOKUP(G12,[1]PriceValue!A46:B226,2,FALSE)*VLOOKUP(G12,'[1]2023'!A47:F206,4,FALSE)</f>
        <v>11950056794600</v>
      </c>
      <c r="H14" s="4">
        <f>VLOOKUP(H12,[1]PriceValue!A46:B226,2,FALSE)*VLOOKUP(H12,'[1]2023'!A47:F206,4,FALSE)</f>
        <v>4292886498750</v>
      </c>
      <c r="I14" s="4" t="e">
        <f>VLOOKUP(I12,[1]PriceValue!A46:B226,2,FALSE)*VLOOKUP(I12,'[1]2023'!A47:F206,4,FALSE)</f>
        <v>#N/A</v>
      </c>
      <c r="J14" s="4">
        <f>VLOOKUP(J12,[1]PriceValue!A46:B226,2,FALSE)*VLOOKUP(J12,'[1]2023'!A47:F206,4,FALSE)</f>
        <v>16953885461000</v>
      </c>
      <c r="K14" s="4">
        <f>VLOOKUP(K12,[1]PriceValue!A46:B226,2,FALSE)*VLOOKUP(K12,'[1]2023'!A47:F206,4,FALSE)</f>
        <v>1484000000000</v>
      </c>
      <c r="L14" s="4" t="e">
        <f>VLOOKUP(L12,[1]PriceValue!A46:B226,2,FALSE)*VLOOKUP(L12,'[1]2023'!A47:F206,4,FALSE)</f>
        <v>#N/A</v>
      </c>
      <c r="M14" s="4">
        <f>VLOOKUP(M12,[1]PriceValue!A46:B226,2,FALSE)*VLOOKUP(M12,'[1]2023'!A47:F206,4,FALSE)</f>
        <v>56119043049600</v>
      </c>
      <c r="N14" s="4">
        <f>VLOOKUP(N12,[1]PriceValue!A46:B226,2,FALSE)*VLOOKUP(N12,'[1]2023'!A47:F206,4,FALSE)</f>
        <v>3498442217250</v>
      </c>
      <c r="O14" s="4">
        <f>VLOOKUP(O12,[1]PriceValue!A46:B226,2,FALSE)*VLOOKUP(O12,'[1]2023'!A47:F206,4,FALSE)</f>
        <v>22260538011000</v>
      </c>
      <c r="P14" s="4">
        <f>VLOOKUP(P12,[1]PriceValue!A46:B226,2,FALSE)*VLOOKUP(P12,'[1]2023'!A47:F206,4,FALSE)</f>
        <v>52281973080000</v>
      </c>
      <c r="Q14" s="4" t="e">
        <f>VLOOKUP(Q12,[1]PriceValue!A46:B226,2,FALSE)*VLOOKUP(Q12,'[1]2023'!A47:F206,4,FALSE)</f>
        <v>#N/A</v>
      </c>
      <c r="R14" s="4">
        <f>VLOOKUP(R12,[1]PriceValue!A46:B226,2,FALSE)*VLOOKUP(R12,'[1]2023'!A47:F206,4,FALSE)</f>
        <v>19541546718000</v>
      </c>
      <c r="S14" s="4">
        <f>VLOOKUP(S12,[1]PriceValue!A46:B226,2,FALSE)*VLOOKUP(S12,'[1]2023'!A47:F206,4,FALSE)</f>
        <v>2110414680000</v>
      </c>
      <c r="T14" s="4">
        <f>VLOOKUP(T12,[1]PriceValue!A46:B226,2,FALSE)*VLOOKUP(T12,'[1]2023'!A47:F206,4,FALSE)</f>
        <v>16252580000000</v>
      </c>
    </row>
    <row r="15" spans="1:20" x14ac:dyDescent="0.2">
      <c r="A15" s="18">
        <f>A13/A14</f>
        <v>2.5505714131635809E-2</v>
      </c>
      <c r="B15" s="18">
        <f t="shared" ref="B15:T15" si="1">B13/B14</f>
        <v>4.7258221122635936E-3</v>
      </c>
      <c r="C15" s="18">
        <f t="shared" si="1"/>
        <v>4.6525184302397462E-3</v>
      </c>
      <c r="D15" s="18">
        <f t="shared" si="1"/>
        <v>4.9701412417511425E-3</v>
      </c>
      <c r="E15" s="18" t="e">
        <f t="shared" si="1"/>
        <v>#N/A</v>
      </c>
      <c r="F15" s="18" t="e">
        <f t="shared" si="1"/>
        <v>#N/A</v>
      </c>
      <c r="G15" s="18">
        <f t="shared" si="1"/>
        <v>2.8772895887438261E-3</v>
      </c>
      <c r="H15" s="18">
        <f t="shared" si="1"/>
        <v>6.4843095684233411E-3</v>
      </c>
      <c r="I15" s="18" t="e">
        <f t="shared" si="1"/>
        <v>#N/A</v>
      </c>
      <c r="J15" s="18">
        <f t="shared" si="1"/>
        <v>1.4715865609327063E-3</v>
      </c>
      <c r="K15" s="18">
        <f t="shared" si="1"/>
        <v>1.3140360512129381E-2</v>
      </c>
      <c r="L15" s="18" t="e">
        <f t="shared" si="1"/>
        <v>#N/A</v>
      </c>
      <c r="M15" s="18">
        <f t="shared" si="1"/>
        <v>3.3840990451699024E-4</v>
      </c>
      <c r="N15" s="18">
        <f t="shared" si="1"/>
        <v>4.8532443715324312E-3</v>
      </c>
      <c r="O15" s="18">
        <f t="shared" si="1"/>
        <v>7.343070500777035E-4</v>
      </c>
      <c r="P15" s="18">
        <f t="shared" si="1"/>
        <v>3.0836781877628401E-4</v>
      </c>
      <c r="Q15" s="18" t="e">
        <f t="shared" si="1"/>
        <v>#N/A</v>
      </c>
      <c r="R15" s="18">
        <f t="shared" si="1"/>
        <v>7.4749379927767498E-4</v>
      </c>
      <c r="S15" s="18">
        <f t="shared" si="1"/>
        <v>6.9168017728155678E-3</v>
      </c>
      <c r="T15" s="18">
        <f t="shared" si="1"/>
        <v>8.6829383396359221E-4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38" t="s">
        <v>87</v>
      </c>
      <c r="B17" s="38"/>
      <c r="C17" s="38"/>
      <c r="D17" s="38"/>
      <c r="E17" s="38"/>
      <c r="F17" s="38"/>
      <c r="G17" s="38"/>
      <c r="H17" s="38"/>
      <c r="I17" s="38"/>
      <c r="J17" s="38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 t="s">
        <v>15</v>
      </c>
      <c r="B18" s="18" t="s">
        <v>68</v>
      </c>
      <c r="C18" s="18" t="s">
        <v>83</v>
      </c>
      <c r="D18" s="18" t="s">
        <v>25</v>
      </c>
      <c r="E18" s="18" t="s">
        <v>28</v>
      </c>
      <c r="F18" s="18" t="s">
        <v>74</v>
      </c>
      <c r="G18" s="18" t="s">
        <v>10</v>
      </c>
      <c r="H18" s="18" t="s">
        <v>9</v>
      </c>
      <c r="I18" s="18" t="s">
        <v>112</v>
      </c>
      <c r="J18" s="18" t="s">
        <v>5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38" t="s">
        <v>90</v>
      </c>
      <c r="B20" s="38"/>
      <c r="C20" s="38"/>
      <c r="D20" s="38"/>
      <c r="E20" s="38"/>
      <c r="F20" s="38"/>
      <c r="G20" s="38"/>
      <c r="H20" s="38"/>
      <c r="I20" s="38"/>
      <c r="J20" s="38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 t="s">
        <v>68</v>
      </c>
      <c r="B21" s="18" t="s">
        <v>15</v>
      </c>
      <c r="C21" s="18" t="s">
        <v>74</v>
      </c>
      <c r="D21" s="18" t="s">
        <v>25</v>
      </c>
      <c r="E21" s="18" t="s">
        <v>19</v>
      </c>
      <c r="F21" s="18" t="s">
        <v>65</v>
      </c>
      <c r="G21" s="18" t="s">
        <v>91</v>
      </c>
      <c r="H21" s="18" t="s">
        <v>35</v>
      </c>
      <c r="I21" s="18" t="s">
        <v>28</v>
      </c>
      <c r="J21" s="18" t="s">
        <v>5</v>
      </c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38" t="s">
        <v>93</v>
      </c>
      <c r="B23" s="38"/>
      <c r="C23" s="38"/>
      <c r="D23" s="38"/>
      <c r="E23" s="38"/>
      <c r="F23" s="38"/>
      <c r="G23" s="38"/>
      <c r="H23" s="38"/>
      <c r="I23" s="38"/>
      <c r="J23" s="38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 t="s">
        <v>68</v>
      </c>
      <c r="B24" s="18" t="s">
        <v>15</v>
      </c>
      <c r="C24" s="18" t="s">
        <v>28</v>
      </c>
      <c r="D24" s="18" t="s">
        <v>74</v>
      </c>
      <c r="E24" s="18" t="s">
        <v>25</v>
      </c>
      <c r="F24" s="18" t="s">
        <v>5</v>
      </c>
      <c r="G24" s="18" t="s">
        <v>65</v>
      </c>
      <c r="H24" s="18" t="s">
        <v>112</v>
      </c>
      <c r="I24" s="18" t="s">
        <v>83</v>
      </c>
      <c r="J24" s="18" t="s">
        <v>91</v>
      </c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</row>
    <row r="27" spans="1:20" x14ac:dyDescent="0.2">
      <c r="A27" s="37" t="s">
        <v>23</v>
      </c>
      <c r="B27" s="37"/>
      <c r="C27" s="37"/>
      <c r="D27" s="37"/>
      <c r="E27" s="37"/>
      <c r="F27" s="37"/>
      <c r="G27" s="37"/>
      <c r="H27" s="37"/>
      <c r="I27" s="37"/>
      <c r="J27" s="37"/>
    </row>
    <row r="28" spans="1:20" x14ac:dyDescent="0.2">
      <c r="A28" s="10" t="s">
        <v>18</v>
      </c>
      <c r="B28" s="11" t="s">
        <v>24</v>
      </c>
      <c r="C28" s="12" t="s">
        <v>16</v>
      </c>
      <c r="D28" s="2" t="s">
        <v>98</v>
      </c>
      <c r="E28" s="13" t="s">
        <v>26</v>
      </c>
      <c r="F28" s="14" t="s">
        <v>10</v>
      </c>
      <c r="G28" s="14" t="s">
        <v>68</v>
      </c>
      <c r="H28" s="14" t="s">
        <v>17</v>
      </c>
      <c r="I28" s="14" t="s">
        <v>14</v>
      </c>
      <c r="J28" s="14" t="s">
        <v>32</v>
      </c>
      <c r="K28" s="14" t="s">
        <v>13</v>
      </c>
      <c r="L28" s="14" t="s">
        <v>25</v>
      </c>
      <c r="M28" s="14" t="s">
        <v>33</v>
      </c>
      <c r="N28" s="14" t="s">
        <v>189</v>
      </c>
      <c r="O28" s="14" t="s">
        <v>62</v>
      </c>
      <c r="P28" s="14" t="s">
        <v>41</v>
      </c>
      <c r="Q28" s="14" t="s">
        <v>30</v>
      </c>
      <c r="R28" s="14" t="s">
        <v>29</v>
      </c>
      <c r="S28" s="14" t="s">
        <v>8</v>
      </c>
      <c r="T28" s="14" t="s">
        <v>45</v>
      </c>
    </row>
    <row r="29" spans="1:20" x14ac:dyDescent="0.2">
      <c r="A29" s="16">
        <v>-760188624309</v>
      </c>
      <c r="B29" s="16">
        <v>-692491684208</v>
      </c>
      <c r="C29" s="16">
        <v>-667387308463</v>
      </c>
      <c r="D29" s="16">
        <v>-510425559363</v>
      </c>
      <c r="E29" s="16">
        <v>-424627786984</v>
      </c>
      <c r="F29" s="16">
        <v>-364723673034</v>
      </c>
      <c r="G29" s="16">
        <v>-331404581688</v>
      </c>
      <c r="H29" s="16">
        <v>-321119813454</v>
      </c>
      <c r="I29" s="16">
        <v>-303045254979</v>
      </c>
      <c r="J29" s="16">
        <v>-273860197289</v>
      </c>
      <c r="K29" s="16">
        <v>-255678591616</v>
      </c>
      <c r="L29" s="16">
        <v>-238806837197</v>
      </c>
      <c r="M29" s="16">
        <v>-210471519829</v>
      </c>
      <c r="N29" s="16">
        <v>-179212629747</v>
      </c>
      <c r="O29" s="16">
        <v>-151084293685</v>
      </c>
      <c r="P29" s="16">
        <v>-148557503469</v>
      </c>
      <c r="Q29" s="16">
        <v>-135750691857</v>
      </c>
      <c r="R29" s="16">
        <v>-122002884045</v>
      </c>
      <c r="S29" s="16">
        <v>-94934318368</v>
      </c>
      <c r="T29" s="16">
        <v>-93324485305</v>
      </c>
    </row>
    <row r="30" spans="1:20" x14ac:dyDescent="0.2">
      <c r="A30" s="4">
        <f>VLOOKUP(A28,[1]PriceValue!A40:B194,2,FALSE)*VLOOKUP(A28,'[1]2023'!A41:F200,4,FALSE)</f>
        <v>80339381708400</v>
      </c>
      <c r="B30" s="4">
        <f>VLOOKUP(B28,[1]PriceValue!A40:B194,2,FALSE)*VLOOKUP(B28,'[1]2023'!A41:F200,4,FALSE)</f>
        <v>135847103925000</v>
      </c>
      <c r="C30" s="4">
        <f>VLOOKUP(C28,[1]PriceValue!A40:B194,2,FALSE)*VLOOKUP(C28,'[1]2023'!A41:F200,4,FALSE)</f>
        <v>147174282780000</v>
      </c>
      <c r="D30" s="4">
        <f>VLOOKUP(D28,[1]PriceValue!A40:B194,2,FALSE)*VLOOKUP(D28,'[1]2023'!A41:F200,4,FALSE)</f>
        <v>17370514177200</v>
      </c>
      <c r="E30" s="4">
        <f>VLOOKUP(E28,[1]PriceValue!A40:B194,2,FALSE)*VLOOKUP(E28,'[1]2023'!A41:F200,4,FALSE)</f>
        <v>96152676480000</v>
      </c>
      <c r="F30" s="4">
        <f>VLOOKUP(F28,[1]PriceValue!A40:B194,2,FALSE)*VLOOKUP(F28,'[1]2023'!A41:F200,4,FALSE)</f>
        <v>14880768488400</v>
      </c>
      <c r="G30" s="4">
        <f>VLOOKUP(G28,[1]PriceValue!A40:B194,2,FALSE)*VLOOKUP(G28,'[1]2023'!A41:F200,4,FALSE)</f>
        <v>39409266500000</v>
      </c>
      <c r="H30" s="4">
        <f>VLOOKUP(H28,[1]PriceValue!A40:B194,2,FALSE)*VLOOKUP(H28,'[1]2023'!A41:F200,4,FALSE)</f>
        <v>11838411135100</v>
      </c>
      <c r="I30" s="4">
        <f>VLOOKUP(I28,[1]PriceValue!A40:B194,2,FALSE)*VLOOKUP(I28,'[1]2023'!A41:F200,4,FALSE)</f>
        <v>53163082740000</v>
      </c>
      <c r="J30" s="4">
        <f>VLOOKUP(J28,[1]PriceValue!A40:B194,2,FALSE)*VLOOKUP(J28,'[1]2023'!A41:F200,4,FALSE)</f>
        <v>18975261713000</v>
      </c>
      <c r="K30" s="4">
        <f>VLOOKUP(K28,[1]PriceValue!A40:B194,2,FALSE)*VLOOKUP(K28,'[1]2023'!A41:F200,4,FALSE)</f>
        <v>509725126560000</v>
      </c>
      <c r="L30" s="4">
        <f>VLOOKUP(L28,[1]PriceValue!A40:B194,2,FALSE)*VLOOKUP(L28,'[1]2023'!A41:F200,4,FALSE)</f>
        <v>52281973080000</v>
      </c>
      <c r="M30" s="4">
        <f>VLOOKUP(M28,[1]PriceValue!A40:B194,2,FALSE)*VLOOKUP(M28,'[1]2023'!A41:F200,4,FALSE)</f>
        <v>168810378754500</v>
      </c>
      <c r="N30" s="4">
        <f>VLOOKUP(N28,[1]PriceValue!A40:B194,2,FALSE)*VLOOKUP(N28,'[1]2023'!A41:F200,4,FALSE)</f>
        <v>54234000000000</v>
      </c>
      <c r="O30" s="4">
        <f>VLOOKUP(O28,[1]PriceValue!A40:B194,2,FALSE)*VLOOKUP(O28,'[1]2023'!A41:F200,4,FALSE)</f>
        <v>68620117560000</v>
      </c>
      <c r="P30" s="4">
        <f>VLOOKUP(P28,[1]PriceValue!A40:B194,2,FALSE)*VLOOKUP(P28,'[1]2023'!A41:F200,4,FALSE)</f>
        <v>8039235174300</v>
      </c>
      <c r="Q30" s="4">
        <f>VLOOKUP(Q28,[1]PriceValue!A40:B194,2,FALSE)*VLOOKUP(Q28,'[1]2023'!A41:F200,4,FALSE)</f>
        <v>53454182760000</v>
      </c>
      <c r="R30" s="4">
        <f>VLOOKUP(R28,[1]PriceValue!A40:B194,2,FALSE)*VLOOKUP(R28,'[1]2023'!A41:F200,4,FALSE)</f>
        <v>8148419812650</v>
      </c>
      <c r="S30" s="4">
        <f>VLOOKUP(S28,[1]PriceValue!A40:B194,2,FALSE)*VLOOKUP(S28,'[1]2023'!A41:F200,4,FALSE)</f>
        <v>12390316527350</v>
      </c>
      <c r="T30" s="4">
        <f>VLOOKUP(T28,[1]PriceValue!A40:B194,2,FALSE)*VLOOKUP(T28,'[1]2023'!A41:F200,4,FALSE)</f>
        <v>11950056794600</v>
      </c>
    </row>
    <row r="31" spans="1:20" x14ac:dyDescent="0.2">
      <c r="A31" s="18">
        <f>-(A29/A30)</f>
        <v>9.462216513791236E-3</v>
      </c>
      <c r="B31" s="18">
        <f t="shared" ref="B31:T31" si="2">-(B29/B30)</f>
        <v>5.0975815030279824E-3</v>
      </c>
      <c r="C31" s="18">
        <f t="shared" si="2"/>
        <v>4.5346734215829555E-3</v>
      </c>
      <c r="D31" s="18">
        <f t="shared" si="2"/>
        <v>2.9384597033573642E-2</v>
      </c>
      <c r="E31" s="18">
        <f t="shared" si="2"/>
        <v>4.4161827057650717E-3</v>
      </c>
      <c r="F31" s="18">
        <f t="shared" si="2"/>
        <v>2.4509733708868123E-2</v>
      </c>
      <c r="G31" s="18">
        <f t="shared" si="2"/>
        <v>8.4093060115188901E-3</v>
      </c>
      <c r="H31" s="18">
        <f t="shared" si="2"/>
        <v>2.712524592948997E-2</v>
      </c>
      <c r="I31" s="18">
        <f t="shared" si="2"/>
        <v>5.7002950047324516E-3</v>
      </c>
      <c r="J31" s="18">
        <f t="shared" si="2"/>
        <v>1.4432485908817672E-2</v>
      </c>
      <c r="K31" s="18">
        <f t="shared" si="2"/>
        <v>5.0160091840382125E-4</v>
      </c>
      <c r="L31" s="18">
        <f t="shared" si="2"/>
        <v>4.5676707118835463E-3</v>
      </c>
      <c r="M31" s="18">
        <f t="shared" si="2"/>
        <v>1.246792533621926E-3</v>
      </c>
      <c r="N31" s="18">
        <f t="shared" si="2"/>
        <v>3.304433192222591E-3</v>
      </c>
      <c r="O31" s="18">
        <f t="shared" si="2"/>
        <v>2.2017492691249769E-3</v>
      </c>
      <c r="P31" s="18">
        <f t="shared" si="2"/>
        <v>1.8479059294584616E-2</v>
      </c>
      <c r="Q31" s="18">
        <f t="shared" si="2"/>
        <v>2.5395709904779021E-3</v>
      </c>
      <c r="R31" s="18">
        <f t="shared" si="2"/>
        <v>1.4972582028186231E-2</v>
      </c>
      <c r="S31" s="18">
        <f t="shared" si="2"/>
        <v>7.6619768476814077E-3</v>
      </c>
      <c r="T31" s="18">
        <f t="shared" si="2"/>
        <v>7.8095432439427006E-3</v>
      </c>
    </row>
    <row r="33" spans="1:20" x14ac:dyDescent="0.2">
      <c r="A33" s="35" t="s">
        <v>215</v>
      </c>
      <c r="B33" s="35"/>
      <c r="C33" s="35"/>
      <c r="D33" s="35"/>
      <c r="E33" s="35"/>
      <c r="F33" s="35"/>
      <c r="G33" s="35"/>
      <c r="H33" s="35"/>
      <c r="I33" s="35"/>
      <c r="J33" s="35"/>
    </row>
    <row r="34" spans="1:20" x14ac:dyDescent="0.2">
      <c r="A34" s="10" t="s">
        <v>75</v>
      </c>
      <c r="B34" s="11" t="s">
        <v>41</v>
      </c>
      <c r="C34" s="12" t="s">
        <v>38</v>
      </c>
      <c r="D34" s="2" t="s">
        <v>43</v>
      </c>
      <c r="E34" s="13" t="s">
        <v>15</v>
      </c>
      <c r="F34" s="14" t="s">
        <v>216</v>
      </c>
      <c r="G34" s="14" t="s">
        <v>5</v>
      </c>
      <c r="H34" s="14" t="s">
        <v>18</v>
      </c>
      <c r="I34" s="14" t="s">
        <v>83</v>
      </c>
      <c r="J34" s="14" t="s">
        <v>35</v>
      </c>
      <c r="K34" s="14" t="s">
        <v>185</v>
      </c>
      <c r="L34" s="14" t="s">
        <v>20</v>
      </c>
      <c r="M34" s="14" t="s">
        <v>14</v>
      </c>
      <c r="N34" s="14" t="s">
        <v>42</v>
      </c>
      <c r="O34" s="14" t="s">
        <v>27</v>
      </c>
      <c r="P34" s="14" t="s">
        <v>39</v>
      </c>
      <c r="Q34" s="14" t="s">
        <v>6</v>
      </c>
      <c r="R34" s="14" t="s">
        <v>81</v>
      </c>
      <c r="S34" s="14" t="s">
        <v>62</v>
      </c>
      <c r="T34" s="14" t="s">
        <v>217</v>
      </c>
    </row>
    <row r="35" spans="1:20" x14ac:dyDescent="0.2">
      <c r="A35" s="16">
        <v>-472694475000</v>
      </c>
      <c r="B35" s="16">
        <v>-288931361000</v>
      </c>
      <c r="C35" s="16">
        <v>-271916014000</v>
      </c>
      <c r="D35" s="16">
        <v>-264370246000</v>
      </c>
      <c r="E35" s="16">
        <v>-259531183000</v>
      </c>
      <c r="F35" s="16">
        <v>-216638304400</v>
      </c>
      <c r="G35" s="16">
        <v>-207400377000</v>
      </c>
      <c r="H35" s="16">
        <v>-190039882000</v>
      </c>
      <c r="I35" s="16">
        <v>-146895378000</v>
      </c>
      <c r="J35" s="16">
        <v>-133817956000</v>
      </c>
      <c r="K35" s="16">
        <v>-116314200000</v>
      </c>
      <c r="L35" s="17">
        <v>-110831994000</v>
      </c>
      <c r="M35" s="17">
        <v>-108187815000</v>
      </c>
      <c r="N35" s="17">
        <v>-89734459000</v>
      </c>
      <c r="O35" s="17">
        <v>-85164935000</v>
      </c>
      <c r="P35" s="17">
        <v>-67757861000</v>
      </c>
      <c r="Q35" s="17">
        <v>-64764210000</v>
      </c>
      <c r="R35" s="17">
        <v>-63614206000</v>
      </c>
      <c r="S35" s="17">
        <v>-59221977000</v>
      </c>
      <c r="T35" s="17">
        <v>-59090360000</v>
      </c>
    </row>
    <row r="36" spans="1:20" x14ac:dyDescent="0.2">
      <c r="A36" s="4">
        <f>VLOOKUP(A34,[1]PriceValue!A52:B206,2,FALSE)*VLOOKUP(A34,'[1]2023'!A53:F212,4,FALSE)</f>
        <v>29739094204500</v>
      </c>
      <c r="B36" s="4">
        <f>VLOOKUP(B34,[1]PriceValue!A52:B206,2,FALSE)*VLOOKUP(B34,'[1]2023'!A53:F212,4,FALSE)</f>
        <v>8039235174300</v>
      </c>
      <c r="C36" s="4">
        <f>VLOOKUP(C34,[1]PriceValue!A52:B206,2,FALSE)*VLOOKUP(C34,'[1]2023'!A53:F212,4,FALSE)</f>
        <v>116013371225000</v>
      </c>
      <c r="D36" s="4">
        <f>VLOOKUP(D34,[1]PriceValue!A52:B206,2,FALSE)*VLOOKUP(D34,'[1]2023'!A53:F212,4,FALSE)</f>
        <v>31176072860000</v>
      </c>
      <c r="E36" s="4">
        <f>VLOOKUP(E34,[1]PriceValue!A52:B206,2,FALSE)*VLOOKUP(E34,'[1]2023'!A53:F212,4,FALSE)</f>
        <v>165139913880000</v>
      </c>
      <c r="F36" s="4" t="e">
        <f>VLOOKUP(F34,[1]PriceValue!A52:B206,2,FALSE)*VLOOKUP(F34,'[1]2023'!A53:F212,4,FALSE)</f>
        <v>#N/A</v>
      </c>
      <c r="G36" s="4" t="e">
        <f>VLOOKUP(G34,[1]PriceValue!A52:B206,2,FALSE)*VLOOKUP(G34,'[1]2023'!A53:F212,4,FALSE)</f>
        <v>#N/A</v>
      </c>
      <c r="H36" s="4">
        <f>VLOOKUP(H34,[1]PriceValue!A52:B206,2,FALSE)*VLOOKUP(H34,'[1]2023'!A53:F212,4,FALSE)</f>
        <v>80339381708400</v>
      </c>
      <c r="I36" s="4">
        <f>VLOOKUP(I34,[1]PriceValue!A52:B206,2,FALSE)*VLOOKUP(I34,'[1]2023'!A53:F212,4,FALSE)</f>
        <v>164149003280000</v>
      </c>
      <c r="J36" s="4">
        <f>VLOOKUP(J34,[1]PriceValue!A52:B250,2,FALSE)*VLOOKUP(J34,'[1]2023'!A53:F212,4,FALSE)</f>
        <v>104286753240000</v>
      </c>
      <c r="K36" s="4" t="e">
        <f>VLOOKUP(K34,[1]PriceValue!A52:B206,2,FALSE)*VLOOKUP(K34,'[1]2023'!A53:F212,4,FALSE)</f>
        <v>#N/A</v>
      </c>
      <c r="L36" s="4">
        <f>VLOOKUP(L34,[1]PriceValue!A52:B206,2,FALSE)*VLOOKUP(L34,'[1]2023'!A53:F212,4,FALSE)</f>
        <v>31357861995000</v>
      </c>
      <c r="M36" s="4" t="e">
        <f>VLOOKUP(M34,[1]PriceValue!A52:B206,2,FALSE)*VLOOKUP(M34,'[1]2023'!A53:F212,4,FALSE)</f>
        <v>#N/A</v>
      </c>
      <c r="N36" s="4" t="e">
        <f>VLOOKUP(N34,[1]PriceValue!A52:B206,2,FALSE)*VLOOKUP(N34,'[1]2023'!A53:F212,4,FALSE)</f>
        <v>#N/A</v>
      </c>
      <c r="O36" s="4">
        <f>VLOOKUP(O34,[1]PriceValue!A52:B206,2,FALSE)*VLOOKUP(O34,'[1]2023'!A53:F212,4,FALSE)</f>
        <v>177658194000000</v>
      </c>
      <c r="P36" s="4">
        <f>VLOOKUP(P34,[1]PriceValue!A52:B206,2,FALSE)*VLOOKUP(P34,'[1]2023'!A53:F212,4,FALSE)</f>
        <v>25756658499400</v>
      </c>
      <c r="Q36" s="4" t="e">
        <f>VLOOKUP(Q34,[1]PriceValue!A52:B206,2,FALSE)*VLOOKUP(Q34,'[1]2023'!A53:F212,4,FALSE)</f>
        <v>#N/A</v>
      </c>
      <c r="R36" s="4">
        <f>VLOOKUP(R34,[1]PriceValue!A52:B206,2,FALSE)*VLOOKUP(R34,'[1]2023'!A53:F212,4,FALSE)</f>
        <v>41442130000000</v>
      </c>
      <c r="S36" s="4">
        <f>VLOOKUP(S34,[1]PriceValue!A52:B206,2,FALSE)*VLOOKUP(S34,'[1]2023'!A53:F212,4,FALSE)</f>
        <v>68620117560000</v>
      </c>
      <c r="T36" s="4">
        <f>VLOOKUP(T34,[1]PriceValue!A52:B206,2,FALSE)*VLOOKUP(T34,'[1]2023'!A53:F212,4,FALSE)</f>
        <v>2727940878900</v>
      </c>
    </row>
    <row r="37" spans="1:20" x14ac:dyDescent="0.2">
      <c r="A37" s="18">
        <f>-(A35/A36)</f>
        <v>1.5894716622824167E-2</v>
      </c>
      <c r="B37" s="18">
        <f t="shared" ref="B37:T37" si="3">-(B35/B36)</f>
        <v>3.5940155342595523E-2</v>
      </c>
      <c r="C37" s="18">
        <f t="shared" si="3"/>
        <v>2.3438333972093397E-3</v>
      </c>
      <c r="D37" s="18">
        <f t="shared" si="3"/>
        <v>8.4799085243092414E-3</v>
      </c>
      <c r="E37" s="18">
        <f t="shared" si="3"/>
        <v>1.5715836159911651E-3</v>
      </c>
      <c r="F37" s="18" t="e">
        <f t="shared" si="3"/>
        <v>#N/A</v>
      </c>
      <c r="G37" s="18" t="e">
        <f t="shared" si="3"/>
        <v>#N/A</v>
      </c>
      <c r="H37" s="18">
        <f t="shared" si="3"/>
        <v>2.3654635865853336E-3</v>
      </c>
      <c r="I37" s="18">
        <f t="shared" si="3"/>
        <v>8.9489046576439251E-4</v>
      </c>
      <c r="J37" s="18">
        <f t="shared" si="3"/>
        <v>1.2831730957434111E-3</v>
      </c>
      <c r="K37" s="18" t="e">
        <f t="shared" si="3"/>
        <v>#N/A</v>
      </c>
      <c r="L37" s="18">
        <f t="shared" si="3"/>
        <v>3.5344244456995224E-3</v>
      </c>
      <c r="M37" s="18" t="e">
        <f t="shared" si="3"/>
        <v>#N/A</v>
      </c>
      <c r="N37" s="18" t="e">
        <f t="shared" si="3"/>
        <v>#N/A</v>
      </c>
      <c r="O37" s="18">
        <f t="shared" si="3"/>
        <v>4.7937521530811014E-4</v>
      </c>
      <c r="P37" s="18">
        <f t="shared" si="3"/>
        <v>2.6306929915454061E-3</v>
      </c>
      <c r="Q37" s="18" t="e">
        <f t="shared" si="3"/>
        <v>#N/A</v>
      </c>
      <c r="R37" s="18">
        <f t="shared" si="3"/>
        <v>1.5350129445566626E-3</v>
      </c>
      <c r="S37" s="18">
        <f t="shared" si="3"/>
        <v>8.6304103090784621E-4</v>
      </c>
      <c r="T37" s="18">
        <f t="shared" si="3"/>
        <v>2.1661158589267988E-2</v>
      </c>
    </row>
    <row r="39" spans="1:20" x14ac:dyDescent="0.2">
      <c r="A39" s="36" t="s">
        <v>95</v>
      </c>
      <c r="B39" s="36"/>
      <c r="C39" s="36"/>
      <c r="D39" s="36"/>
      <c r="E39" s="36"/>
      <c r="F39" s="36"/>
      <c r="G39" s="36"/>
      <c r="H39" s="36"/>
      <c r="I39" s="36"/>
      <c r="J39" s="36"/>
    </row>
    <row r="40" spans="1:20" x14ac:dyDescent="0.2">
      <c r="A40" s="18" t="s">
        <v>18</v>
      </c>
      <c r="B40" s="18" t="s">
        <v>99</v>
      </c>
      <c r="C40" s="18" t="s">
        <v>41</v>
      </c>
      <c r="D40" s="18" t="s">
        <v>45</v>
      </c>
      <c r="E40" s="18" t="s">
        <v>92</v>
      </c>
      <c r="F40" s="18" t="s">
        <v>17</v>
      </c>
      <c r="G40" s="18" t="s">
        <v>201</v>
      </c>
      <c r="H40" s="18" t="s">
        <v>6</v>
      </c>
      <c r="I40" s="18" t="s">
        <v>101</v>
      </c>
      <c r="J40" s="18" t="s">
        <v>30</v>
      </c>
    </row>
    <row r="41" spans="1:20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20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</row>
    <row r="43" spans="1:20" x14ac:dyDescent="0.2">
      <c r="A43" s="36" t="s">
        <v>96</v>
      </c>
      <c r="B43" s="36"/>
      <c r="C43" s="36"/>
      <c r="D43" s="36"/>
      <c r="E43" s="36"/>
      <c r="F43" s="36"/>
      <c r="G43" s="36"/>
      <c r="H43" s="36"/>
      <c r="I43" s="36"/>
      <c r="J43" s="36"/>
    </row>
    <row r="44" spans="1:20" x14ac:dyDescent="0.2">
      <c r="A44" s="18" t="s">
        <v>92</v>
      </c>
      <c r="B44" s="18" t="s">
        <v>41</v>
      </c>
      <c r="C44" s="18" t="s">
        <v>75</v>
      </c>
      <c r="D44" s="18" t="s">
        <v>98</v>
      </c>
      <c r="E44" s="18" t="s">
        <v>17</v>
      </c>
      <c r="F44" s="18" t="s">
        <v>10</v>
      </c>
      <c r="G44" s="18" t="s">
        <v>18</v>
      </c>
      <c r="H44" s="18" t="s">
        <v>20</v>
      </c>
      <c r="I44" s="18" t="s">
        <v>45</v>
      </c>
      <c r="J44" s="18" t="s">
        <v>6</v>
      </c>
    </row>
    <row r="45" spans="1:20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</row>
    <row r="46" spans="1:20" x14ac:dyDescent="0.2">
      <c r="A46" s="18"/>
      <c r="B46" s="18"/>
      <c r="C46" s="18"/>
      <c r="D46" s="18"/>
      <c r="E46" s="18"/>
      <c r="F46" s="18"/>
      <c r="G46" s="18"/>
      <c r="H46" s="18"/>
      <c r="I46" s="18"/>
      <c r="J46" s="18"/>
    </row>
    <row r="47" spans="1:20" x14ac:dyDescent="0.2">
      <c r="A47" s="36" t="s">
        <v>97</v>
      </c>
      <c r="B47" s="36"/>
      <c r="C47" s="36"/>
      <c r="D47" s="36"/>
      <c r="E47" s="36"/>
      <c r="F47" s="36"/>
      <c r="G47" s="36"/>
      <c r="H47" s="36"/>
      <c r="I47" s="36"/>
      <c r="J47" s="36"/>
    </row>
    <row r="48" spans="1:20" x14ac:dyDescent="0.2">
      <c r="A48" s="18" t="s">
        <v>41</v>
      </c>
      <c r="B48" s="18" t="s">
        <v>18</v>
      </c>
      <c r="C48" s="18" t="s">
        <v>98</v>
      </c>
      <c r="D48" s="18" t="s">
        <v>92</v>
      </c>
      <c r="E48" s="18" t="s">
        <v>17</v>
      </c>
      <c r="F48" s="18" t="s">
        <v>101</v>
      </c>
      <c r="G48" s="18" t="s">
        <v>6</v>
      </c>
      <c r="H48" s="18" t="s">
        <v>99</v>
      </c>
      <c r="I48" s="18" t="s">
        <v>45</v>
      </c>
      <c r="J48" s="18" t="s">
        <v>75</v>
      </c>
    </row>
  </sheetData>
  <mergeCells count="10">
    <mergeCell ref="A27:J27"/>
    <mergeCell ref="A33:J33"/>
    <mergeCell ref="A39:J39"/>
    <mergeCell ref="A43:J43"/>
    <mergeCell ref="A47:J47"/>
    <mergeCell ref="A5:J5"/>
    <mergeCell ref="A11:J11"/>
    <mergeCell ref="A17:J17"/>
    <mergeCell ref="A20:J20"/>
    <mergeCell ref="A23:J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B287F-F156-594D-806D-8B2150A13712}">
  <sheetPr codeName="Sheet7"/>
  <dimension ref="A1:T46"/>
  <sheetViews>
    <sheetView workbookViewId="0">
      <selection activeCell="A23" sqref="A23:J23"/>
    </sheetView>
  </sheetViews>
  <sheetFormatPr baseColWidth="10" defaultRowHeight="16" x14ac:dyDescent="0.2"/>
  <cols>
    <col min="1" max="1" width="21.6640625" customWidth="1"/>
    <col min="2" max="2" width="23" customWidth="1"/>
    <col min="3" max="4" width="19.6640625" bestFit="1" customWidth="1"/>
    <col min="5" max="5" width="20.83203125" customWidth="1"/>
    <col min="6" max="6" width="18.6640625" bestFit="1" customWidth="1"/>
    <col min="7" max="7" width="19.6640625" bestFit="1" customWidth="1"/>
    <col min="8" max="8" width="23.33203125" customWidth="1"/>
    <col min="9" max="9" width="22.5" customWidth="1"/>
    <col min="10" max="10" width="19.6640625" bestFit="1" customWidth="1"/>
    <col min="11" max="11" width="20.6640625" customWidth="1"/>
    <col min="12" max="12" width="21.5" customWidth="1"/>
    <col min="13" max="13" width="19" customWidth="1"/>
    <col min="14" max="14" width="22.83203125" customWidth="1"/>
    <col min="15" max="15" width="19.5" customWidth="1"/>
    <col min="16" max="16" width="20.33203125" customWidth="1"/>
    <col min="17" max="17" width="18.5" customWidth="1"/>
    <col min="18" max="18" width="19.5" customWidth="1"/>
    <col min="19" max="19" width="21.83203125" customWidth="1"/>
    <col min="20" max="20" width="21.6640625" customWidth="1"/>
  </cols>
  <sheetData>
    <row r="1" spans="1:20" x14ac:dyDescent="0.2">
      <c r="A1" s="20" t="s">
        <v>84</v>
      </c>
      <c r="C1" s="21" t="s">
        <v>85</v>
      </c>
    </row>
    <row r="2" spans="1:20" x14ac:dyDescent="0.2">
      <c r="A2" t="s">
        <v>12</v>
      </c>
      <c r="C2" t="s">
        <v>12</v>
      </c>
    </row>
    <row r="3" spans="1:20" x14ac:dyDescent="0.2">
      <c r="A3" s="19">
        <f>'2024'!B3</f>
        <v>1132080794721</v>
      </c>
      <c r="C3" s="19">
        <f>'2024'!B4</f>
        <v>535714594655</v>
      </c>
    </row>
    <row r="5" spans="1:20" x14ac:dyDescent="0.2">
      <c r="A5" s="37" t="s">
        <v>107</v>
      </c>
      <c r="B5" s="37"/>
      <c r="C5" s="37"/>
      <c r="D5" s="37"/>
      <c r="E5" s="37"/>
      <c r="F5" s="37"/>
      <c r="G5" s="37"/>
      <c r="H5" s="37"/>
      <c r="I5" s="37"/>
      <c r="J5" s="37"/>
    </row>
    <row r="6" spans="1:20" x14ac:dyDescent="0.2">
      <c r="A6" s="5" t="s">
        <v>13</v>
      </c>
      <c r="B6" s="6" t="s">
        <v>14</v>
      </c>
      <c r="C6" s="7" t="s">
        <v>15</v>
      </c>
      <c r="D6" s="8" t="s">
        <v>16</v>
      </c>
      <c r="E6" s="1" t="s">
        <v>17</v>
      </c>
      <c r="F6" s="9" t="s">
        <v>18</v>
      </c>
      <c r="G6" s="9" t="s">
        <v>19</v>
      </c>
      <c r="H6" s="9" t="s">
        <v>20</v>
      </c>
      <c r="I6" s="9" t="s">
        <v>21</v>
      </c>
      <c r="J6" s="9" t="s">
        <v>8</v>
      </c>
      <c r="K6" s="9" t="s">
        <v>45</v>
      </c>
      <c r="L6" s="9" t="s">
        <v>60</v>
      </c>
      <c r="M6" s="9" t="s">
        <v>9</v>
      </c>
      <c r="N6" s="9" t="s">
        <v>61</v>
      </c>
      <c r="O6" s="9" t="s">
        <v>62</v>
      </c>
      <c r="P6" s="9" t="s">
        <v>11</v>
      </c>
      <c r="Q6" s="9" t="s">
        <v>63</v>
      </c>
      <c r="R6" s="9" t="s">
        <v>64</v>
      </c>
      <c r="S6" s="9" t="s">
        <v>65</v>
      </c>
      <c r="T6" s="9" t="s">
        <v>66</v>
      </c>
    </row>
    <row r="7" spans="1:20" x14ac:dyDescent="0.2">
      <c r="A7" s="4">
        <v>899260850297</v>
      </c>
      <c r="B7" s="4">
        <v>771038086699</v>
      </c>
      <c r="C7" s="4">
        <v>738110518553</v>
      </c>
      <c r="D7" s="4">
        <v>663457500000</v>
      </c>
      <c r="E7" s="4">
        <v>513927679396</v>
      </c>
      <c r="F7" s="4">
        <v>443447598756</v>
      </c>
      <c r="G7" s="4">
        <v>402910154860</v>
      </c>
      <c r="H7" s="4">
        <v>322294360456</v>
      </c>
      <c r="I7" s="4">
        <v>313495062238</v>
      </c>
      <c r="J7" s="4">
        <v>258576450401</v>
      </c>
      <c r="K7" s="4">
        <v>244950918936</v>
      </c>
      <c r="L7" s="15">
        <v>215415865653</v>
      </c>
      <c r="M7" s="15">
        <v>186043110619</v>
      </c>
      <c r="N7" s="15">
        <v>167756730000</v>
      </c>
      <c r="O7" s="15">
        <v>143876680000</v>
      </c>
      <c r="P7" s="15">
        <v>133193410000</v>
      </c>
      <c r="Q7" s="15">
        <v>104102500000</v>
      </c>
      <c r="R7" s="15">
        <v>78027473524</v>
      </c>
      <c r="S7" s="15">
        <v>72620478720</v>
      </c>
      <c r="T7" s="15">
        <v>60057620570</v>
      </c>
    </row>
    <row r="8" spans="1:20" x14ac:dyDescent="0.2">
      <c r="A8" s="15">
        <f>VLOOKUP(A6,[1]PriceValue!A40:B194,2,FALSE)*VLOOKUP(A6,'[1]2023'!A41:F200,4,FALSE)</f>
        <v>509725126560000</v>
      </c>
      <c r="B8" s="15">
        <f>VLOOKUP(B6,[1]PriceValue!A40:B194,2,FALSE)*VLOOKUP(B6,'[1]2023'!A41:F200,4,FALSE)</f>
        <v>53163082740000</v>
      </c>
      <c r="C8" s="15">
        <f>VLOOKUP(C6,[1]PriceValue!A40:B194,2,FALSE)*VLOOKUP(C6,'[1]2023'!A41:F200,4,FALSE)</f>
        <v>165139913880000</v>
      </c>
      <c r="D8" s="15">
        <f>VLOOKUP(D6,[1]PriceValue!A40:B194,2,FALSE)*VLOOKUP(D6,'[1]2023'!A41:F200,4,FALSE)</f>
        <v>147174282780000</v>
      </c>
      <c r="E8" s="15">
        <f>VLOOKUP(E6,[1]PriceValue!A40:B194,2,FALSE)*VLOOKUP(E6,'[1]2023'!A41:F200,4,FALSE)</f>
        <v>11838411135100</v>
      </c>
      <c r="F8" s="15">
        <f>VLOOKUP(F6,[1]PriceValue!A40:B194,2,FALSE)*VLOOKUP(F6,'[1]2023'!A41:F200,4,FALSE)</f>
        <v>80339381708400</v>
      </c>
      <c r="G8" s="15">
        <f>VLOOKUP(G6,[1]PriceValue!A40:B194,2,FALSE)*VLOOKUP(G6,'[1]2023'!A41:F200,4,FALSE)</f>
        <v>176135727760000</v>
      </c>
      <c r="H8" s="15">
        <f>VLOOKUP(H6,[1]PriceValue!A40:B194,2,FALSE)*VLOOKUP(H6,'[1]2023'!A41:F200,4,FALSE)</f>
        <v>31357861995000</v>
      </c>
      <c r="I8" s="15">
        <f>VLOOKUP(I6,[1]PriceValue!A40:B194,2,FALSE)*VLOOKUP(I6,'[1]2023'!A41:F200,4,FALSE)</f>
        <v>18545996009800</v>
      </c>
      <c r="J8" s="15">
        <f>VLOOKUP(J6,[1]PriceValue!A40:B194,2,FALSE)*VLOOKUP(J6,'[1]2023'!A41:F200,4,FALSE)</f>
        <v>12390316527350</v>
      </c>
      <c r="K8" s="15">
        <f>VLOOKUP(K6,[1]PriceValue!A40:B194,2,FALSE)*VLOOKUP(K6,'[1]2023'!A41:F200,4,FALSE)</f>
        <v>11950056794600</v>
      </c>
      <c r="L8" s="15">
        <f>VLOOKUP(L6,[1]PriceValue!A40:B194,2,FALSE)*VLOOKUP(L6,'[1]2023'!A41:F200,4,FALSE)</f>
        <v>56119043049600</v>
      </c>
      <c r="M8" s="15">
        <f>VLOOKUP(M6,[1]PriceValue!A40:B194,2,FALSE)*VLOOKUP(M6,'[1]2023'!A41:F200,4,FALSE)</f>
        <v>20562500000000</v>
      </c>
      <c r="N8" s="15">
        <f>VLOOKUP(N6,[1]PriceValue!A40:B194,2,FALSE)*VLOOKUP(N6,'[1]2023'!A41:F200,4,FALSE)</f>
        <v>14583066150900</v>
      </c>
      <c r="O8" s="15">
        <f>VLOOKUP(O6,[1]PriceValue!A40:B194,2,FALSE)*VLOOKUP(O6,'[1]2023'!A41:F200,4,FALSE)</f>
        <v>68620117560000</v>
      </c>
      <c r="P8" s="15">
        <f>VLOOKUP(P6,[1]PriceValue!A40:B194,2,FALSE)*VLOOKUP(P6,'[1]2023'!A41:F200,4,FALSE)</f>
        <v>11280143616250</v>
      </c>
      <c r="Q8" s="15">
        <f>VLOOKUP(Q6,[1]PriceValue!A40:B194,2,FALSE)*VLOOKUP(Q6,'[1]2023'!A41:F200,4,FALSE)</f>
        <v>3058735824000</v>
      </c>
      <c r="R8" s="15">
        <f>VLOOKUP(R6,[1]PriceValue!A40:B194,2,FALSE)*VLOOKUP(R6,'[1]2023'!A41:F200,4,FALSE)</f>
        <v>46191447491700</v>
      </c>
      <c r="S8" s="15">
        <f>VLOOKUP(S6,[1]PriceValue!A40:B194,2,FALSE)*VLOOKUP(S6,'[1]2023'!A41:F200,4,FALSE)</f>
        <v>27200000000000</v>
      </c>
      <c r="T8" s="15">
        <f>VLOOKUP(T6,[1]PriceValue!A40:B194,2,FALSE)*VLOOKUP(T6,'[1]2023'!A41:F200,4,FALSE)</f>
        <v>47305280000000</v>
      </c>
    </row>
    <row r="9" spans="1:20" x14ac:dyDescent="0.2">
      <c r="A9" s="18">
        <f>A7/A8</f>
        <v>1.7642074197241826E-3</v>
      </c>
      <c r="B9" s="18">
        <f>B7/B8</f>
        <v>1.4503261416758843E-2</v>
      </c>
      <c r="C9" s="18">
        <f t="shared" ref="C9:J9" si="0">C7/C8</f>
        <v>4.4696070211672316E-3</v>
      </c>
      <c r="D9" s="18">
        <f t="shared" si="0"/>
        <v>4.5079716881770288E-3</v>
      </c>
      <c r="E9" s="18">
        <f t="shared" si="0"/>
        <v>4.3411879645930102E-2</v>
      </c>
      <c r="F9" s="18">
        <f t="shared" si="0"/>
        <v>5.5196790083042761E-3</v>
      </c>
      <c r="G9" s="18">
        <f t="shared" si="0"/>
        <v>2.2874981696444888E-3</v>
      </c>
      <c r="H9" s="18">
        <f t="shared" si="0"/>
        <v>1.0277944347972121E-2</v>
      </c>
      <c r="I9" s="18">
        <f t="shared" si="0"/>
        <v>1.6903651983551825E-2</v>
      </c>
      <c r="J9" s="18">
        <f t="shared" si="0"/>
        <v>2.0869236861723942E-2</v>
      </c>
      <c r="K9" s="18">
        <f t="shared" ref="K9" si="1">K7/K8</f>
        <v>2.0497887428174284E-2</v>
      </c>
      <c r="L9" s="18">
        <f t="shared" ref="L9" si="2">L7/L8</f>
        <v>3.8385520127741275E-3</v>
      </c>
      <c r="M9" s="18">
        <f t="shared" ref="M9" si="3">M7/M8</f>
        <v>9.0476892702249234E-3</v>
      </c>
      <c r="N9" s="18">
        <f t="shared" ref="N9" si="4">N7/N8</f>
        <v>1.1503529385666733E-2</v>
      </c>
      <c r="O9" s="18">
        <f t="shared" ref="O9" si="5">O7/O8</f>
        <v>2.0967128171151444E-3</v>
      </c>
      <c r="P9" s="18">
        <f t="shared" ref="P9" si="6">P7/P8</f>
        <v>1.1807776082577853E-2</v>
      </c>
      <c r="Q9" s="18">
        <f t="shared" ref="Q9" si="7">Q7/Q8</f>
        <v>3.4034485483568848E-2</v>
      </c>
      <c r="R9" s="18">
        <f t="shared" ref="R9" si="8">R7/R8</f>
        <v>1.6892190602604631E-3</v>
      </c>
      <c r="S9" s="18">
        <f t="shared" ref="S9" si="9">S7/S8</f>
        <v>2.6698705411764708E-3</v>
      </c>
      <c r="T9" s="18">
        <f t="shared" ref="T9" si="10">T7/T8</f>
        <v>1.2695754167399496E-3</v>
      </c>
    </row>
    <row r="10" spans="1:20" x14ac:dyDescent="0.2">
      <c r="A10" s="18"/>
    </row>
    <row r="11" spans="1:20" x14ac:dyDescent="0.2">
      <c r="A11" s="35" t="s">
        <v>108</v>
      </c>
      <c r="B11" s="35"/>
      <c r="C11" s="35"/>
      <c r="D11" s="35"/>
      <c r="E11" s="35"/>
      <c r="F11" s="35"/>
      <c r="G11" s="35"/>
      <c r="H11" s="35"/>
      <c r="I11" s="35"/>
      <c r="J11" s="35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 t="s">
        <v>41</v>
      </c>
      <c r="B12" s="6" t="s">
        <v>11</v>
      </c>
      <c r="C12" s="7" t="s">
        <v>5</v>
      </c>
      <c r="D12" s="8" t="s">
        <v>42</v>
      </c>
      <c r="E12" s="1" t="s">
        <v>43</v>
      </c>
      <c r="F12" s="9" t="s">
        <v>44</v>
      </c>
      <c r="G12" s="9" t="s">
        <v>45</v>
      </c>
      <c r="H12" s="9" t="s">
        <v>15</v>
      </c>
      <c r="I12" s="9" t="s">
        <v>27</v>
      </c>
      <c r="J12" s="9" t="s">
        <v>14</v>
      </c>
      <c r="K12" s="9" t="s">
        <v>17</v>
      </c>
      <c r="L12" s="9" t="s">
        <v>26</v>
      </c>
      <c r="M12" s="9" t="s">
        <v>80</v>
      </c>
      <c r="N12" s="9" t="s">
        <v>28</v>
      </c>
      <c r="O12" s="9" t="s">
        <v>81</v>
      </c>
      <c r="P12" s="9" t="s">
        <v>82</v>
      </c>
      <c r="Q12" s="9" t="s">
        <v>30</v>
      </c>
      <c r="R12" s="9" t="s">
        <v>25</v>
      </c>
      <c r="S12" s="9" t="s">
        <v>24</v>
      </c>
      <c r="T12" s="9" t="s">
        <v>83</v>
      </c>
    </row>
    <row r="13" spans="1:20" x14ac:dyDescent="0.2">
      <c r="A13" s="4">
        <v>265716015000</v>
      </c>
      <c r="B13" s="4">
        <v>201188317000</v>
      </c>
      <c r="C13" s="4">
        <v>98161722000</v>
      </c>
      <c r="D13" s="4">
        <v>94766652000</v>
      </c>
      <c r="E13" s="4">
        <v>83529260000</v>
      </c>
      <c r="F13" s="4">
        <v>73296570000</v>
      </c>
      <c r="G13" s="4">
        <v>72822631000</v>
      </c>
      <c r="H13" s="4">
        <v>71487265000</v>
      </c>
      <c r="I13" s="4">
        <v>59729560000</v>
      </c>
      <c r="J13" s="4">
        <v>55599245000</v>
      </c>
      <c r="K13" s="4">
        <v>37807506000</v>
      </c>
      <c r="L13" s="15">
        <v>37384190000</v>
      </c>
      <c r="M13" s="15">
        <v>30439320000</v>
      </c>
      <c r="N13" s="15">
        <v>29528936000</v>
      </c>
      <c r="O13" s="15">
        <v>29211907000</v>
      </c>
      <c r="P13" s="15">
        <v>28222785000</v>
      </c>
      <c r="Q13" s="15">
        <v>27416208000</v>
      </c>
      <c r="R13" s="15">
        <v>25473040000</v>
      </c>
      <c r="S13" s="15">
        <v>24871930000</v>
      </c>
      <c r="T13" s="15">
        <v>24569913000</v>
      </c>
    </row>
    <row r="14" spans="1:20" x14ac:dyDescent="0.2">
      <c r="A14" s="4">
        <f>VLOOKUP(A12,[1]PriceValue!A46:B226,2,FALSE)*VLOOKUP(A12,'[1]2023'!A47:F206,4,FALSE)</f>
        <v>8039235174300</v>
      </c>
      <c r="B14" s="4">
        <f>VLOOKUP(B12,[1]PriceValue!A46:B226,2,FALSE)*VLOOKUP(B12,'[1]2023'!A47:F206,4,FALSE)</f>
        <v>11280143616250</v>
      </c>
      <c r="C14" s="4">
        <f>VLOOKUP(C12,[1]PriceValue!A41:B226,2,FALSE)*VLOOKUP(C12,'[1]2023'!A47:F206,4,FALSE)</f>
        <v>52839780822400</v>
      </c>
      <c r="D14" s="4" t="e">
        <f>VLOOKUP(D12,[1]PriceValue!A46:B226,2,FALSE)*VLOOKUP(D12,'[1]2023'!A47:F206,4,FALSE)</f>
        <v>#N/A</v>
      </c>
      <c r="E14" s="4">
        <f>VLOOKUP(E12,[1]PriceValue!A46:B226,2,FALSE)*VLOOKUP(E12,'[1]2023'!A47:F206,4,FALSE)</f>
        <v>31176072860000</v>
      </c>
      <c r="F14" s="4" t="e">
        <f>VLOOKUP(F12,[1]PriceValue!A41:B226,2,FALSE)*VLOOKUP(F12,'[1]2023'!A47:F206,4,FALSE)</f>
        <v>#N/A</v>
      </c>
      <c r="G14" s="4">
        <f>VLOOKUP(G12,[1]PriceValue!A46:B226,2,FALSE)*VLOOKUP(G12,'[1]2023'!A47:F206,4,FALSE)</f>
        <v>11950056794600</v>
      </c>
      <c r="H14" s="4">
        <f>VLOOKUP(H12,[1]PriceValue!A46:B226,2,FALSE)*VLOOKUP(H12,'[1]2023'!A47:F206,4,FALSE)</f>
        <v>165139913880000</v>
      </c>
      <c r="I14" s="4">
        <f>VLOOKUP(I12,[1]PriceValue!A46:B226,2,FALSE)*VLOOKUP(I12,'[1]2023'!A47:F206,4,FALSE)</f>
        <v>177658194000000</v>
      </c>
      <c r="J14" s="4">
        <f>VLOOKUP(J12,[1]PriceValue!A46:B226,2,FALSE)*VLOOKUP(J12,'[1]2023'!A47:F206,4,FALSE)</f>
        <v>53163082740000</v>
      </c>
      <c r="K14" s="4">
        <f>VLOOKUP(K12,[1]PriceValue!A46:B226,2,FALSE)*VLOOKUP(K12,'[1]2023'!A47:F206,4,FALSE)</f>
        <v>11838411135100</v>
      </c>
      <c r="L14" s="4">
        <f>VLOOKUP(L12,[1]PriceValue!A46:B226,2,FALSE)*VLOOKUP(L12,'[1]2023'!A47:F206,4,FALSE)</f>
        <v>96152676480000</v>
      </c>
      <c r="M14" s="4">
        <f>VLOOKUP(M12,[1]PriceValue!A46:B226,2,FALSE)*VLOOKUP(M12,'[1]2023'!A47:F206,4,FALSE)</f>
        <v>1484000000000</v>
      </c>
      <c r="N14" s="4">
        <f>VLOOKUP(N12,[1]PriceValue!A46:B226,2,FALSE)*VLOOKUP(N12,'[1]2023'!A47:F206,4,FALSE)</f>
        <v>45117779176800</v>
      </c>
      <c r="O14" s="4">
        <f>VLOOKUP(O12,[1]PriceValue!A46:B226,2,FALSE)*VLOOKUP(O12,'[1]2023'!A47:F206,4,FALSE)</f>
        <v>41442130000000</v>
      </c>
      <c r="P14" s="4">
        <f>VLOOKUP(P12,[1]PriceValue!A46:B226,2,FALSE)*VLOOKUP(P12,'[1]2023'!A47:F206,4,FALSE)</f>
        <v>22776180000000</v>
      </c>
      <c r="Q14" s="4">
        <f>VLOOKUP(Q12,[1]PriceValue!A46:B226,2,FALSE)*VLOOKUP(Q12,'[1]2023'!A47:F206,4,FALSE)</f>
        <v>53454182760000</v>
      </c>
      <c r="R14" s="4">
        <f>VLOOKUP(R12,[1]PriceValue!A46:B226,2,FALSE)*VLOOKUP(R12,'[1]2023'!A47:F206,4,FALSE)</f>
        <v>52281973080000</v>
      </c>
      <c r="S14" s="4">
        <f>VLOOKUP(S12,[1]PriceValue!A46:B226,2,FALSE)*VLOOKUP(S12,'[1]2023'!A47:F206,4,FALSE)</f>
        <v>135847103925000</v>
      </c>
      <c r="T14" s="4">
        <f>VLOOKUP(T12,[1]PriceValue!A46:B226,2,FALSE)*VLOOKUP(T12,'[1]2023'!A47:F206,4,FALSE)</f>
        <v>164149003280000</v>
      </c>
    </row>
    <row r="15" spans="1:20" x14ac:dyDescent="0.2">
      <c r="A15" s="18">
        <f>A13/A14</f>
        <v>3.3052399791642699E-2</v>
      </c>
      <c r="B15" s="18">
        <f t="shared" ref="B15:T15" si="11">B13/B14</f>
        <v>1.7835616623725539E-2</v>
      </c>
      <c r="C15" s="18">
        <f t="shared" si="11"/>
        <v>1.8577238677414609E-3</v>
      </c>
      <c r="D15" s="18" t="e">
        <f t="shared" si="11"/>
        <v>#N/A</v>
      </c>
      <c r="E15" s="18">
        <f t="shared" si="11"/>
        <v>2.6792745954597437E-3</v>
      </c>
      <c r="F15" s="18" t="e">
        <f t="shared" si="11"/>
        <v>#N/A</v>
      </c>
      <c r="G15" s="18">
        <f t="shared" si="11"/>
        <v>6.093915054270465E-3</v>
      </c>
      <c r="H15" s="18">
        <f t="shared" si="11"/>
        <v>4.328890776335677E-4</v>
      </c>
      <c r="I15" s="18">
        <f t="shared" si="11"/>
        <v>3.3620492618539172E-4</v>
      </c>
      <c r="J15" s="18">
        <f t="shared" si="11"/>
        <v>1.0458243227149623E-3</v>
      </c>
      <c r="K15" s="18">
        <f t="shared" si="11"/>
        <v>3.1936300884080281E-3</v>
      </c>
      <c r="L15" s="18">
        <f t="shared" si="11"/>
        <v>3.8880030560330792E-4</v>
      </c>
      <c r="M15" s="18">
        <f t="shared" si="11"/>
        <v>2.0511671159029649E-2</v>
      </c>
      <c r="N15" s="18">
        <f t="shared" si="11"/>
        <v>6.54485582818404E-4</v>
      </c>
      <c r="O15" s="18">
        <f t="shared" si="11"/>
        <v>7.0488430493316826E-4</v>
      </c>
      <c r="P15" s="18">
        <f t="shared" si="11"/>
        <v>1.2391360184192432E-3</v>
      </c>
      <c r="Q15" s="18">
        <f t="shared" si="11"/>
        <v>5.128917249206487E-4</v>
      </c>
      <c r="R15" s="18">
        <f t="shared" si="11"/>
        <v>4.8722415202314702E-4</v>
      </c>
      <c r="S15" s="18">
        <f t="shared" si="11"/>
        <v>1.8308767195899573E-4</v>
      </c>
      <c r="T15" s="18">
        <f t="shared" si="11"/>
        <v>1.4968054943403735E-4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38" t="s">
        <v>87</v>
      </c>
      <c r="B17" s="38"/>
      <c r="C17" s="38"/>
      <c r="D17" s="38"/>
      <c r="E17" s="38"/>
      <c r="F17" s="38"/>
      <c r="G17" s="38"/>
      <c r="H17" s="38"/>
      <c r="I17" s="38"/>
      <c r="J17" s="38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 t="s">
        <v>13</v>
      </c>
      <c r="B18" s="18" t="s">
        <v>38</v>
      </c>
      <c r="C18" s="18" t="s">
        <v>14</v>
      </c>
      <c r="D18" s="18" t="s">
        <v>88</v>
      </c>
      <c r="E18" s="18" t="s">
        <v>19</v>
      </c>
      <c r="F18" s="18" t="s">
        <v>89</v>
      </c>
      <c r="G18" s="18" t="s">
        <v>43</v>
      </c>
      <c r="H18" s="18" t="s">
        <v>62</v>
      </c>
      <c r="I18" s="18" t="s">
        <v>17</v>
      </c>
      <c r="J18" s="18" t="s">
        <v>21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38" t="s">
        <v>90</v>
      </c>
      <c r="B20" s="38"/>
      <c r="C20" s="38"/>
      <c r="D20" s="38"/>
      <c r="E20" s="38"/>
      <c r="F20" s="38"/>
      <c r="G20" s="38"/>
      <c r="H20" s="38"/>
      <c r="I20" s="38"/>
      <c r="J20" s="38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 t="s">
        <v>62</v>
      </c>
      <c r="B21" s="18" t="s">
        <v>68</v>
      </c>
      <c r="C21" s="18" t="s">
        <v>13</v>
      </c>
      <c r="D21" s="18" t="s">
        <v>17</v>
      </c>
      <c r="E21" s="18" t="s">
        <v>91</v>
      </c>
      <c r="F21" s="18" t="s">
        <v>92</v>
      </c>
      <c r="G21" s="18" t="s">
        <v>19</v>
      </c>
      <c r="H21" s="18" t="s">
        <v>43</v>
      </c>
      <c r="I21" s="18" t="s">
        <v>74</v>
      </c>
      <c r="J21" s="18" t="s">
        <v>37</v>
      </c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38" t="s">
        <v>93</v>
      </c>
      <c r="B23" s="38"/>
      <c r="C23" s="38"/>
      <c r="D23" s="38"/>
      <c r="E23" s="38"/>
      <c r="F23" s="38"/>
      <c r="G23" s="38"/>
      <c r="H23" s="38"/>
      <c r="I23" s="38"/>
      <c r="J23" s="38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 t="s">
        <v>13</v>
      </c>
      <c r="B24" s="18" t="s">
        <v>62</v>
      </c>
      <c r="C24" s="18" t="s">
        <v>43</v>
      </c>
      <c r="D24" s="18" t="s">
        <v>94</v>
      </c>
      <c r="E24" s="18" t="s">
        <v>60</v>
      </c>
      <c r="F24" s="18" t="s">
        <v>74</v>
      </c>
      <c r="G24" s="18" t="s">
        <v>11</v>
      </c>
      <c r="H24" s="18" t="s">
        <v>17</v>
      </c>
      <c r="I24" s="18" t="s">
        <v>41</v>
      </c>
      <c r="J24" s="18" t="s">
        <v>91</v>
      </c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</row>
    <row r="27" spans="1:20" x14ac:dyDescent="0.2">
      <c r="A27" s="37" t="s">
        <v>206</v>
      </c>
      <c r="B27" s="37"/>
      <c r="C27" s="37"/>
      <c r="D27" s="37"/>
      <c r="E27" s="37"/>
      <c r="F27" s="37"/>
      <c r="G27" s="37"/>
      <c r="H27" s="37"/>
      <c r="I27" s="37"/>
      <c r="J27" s="37"/>
    </row>
    <row r="28" spans="1:20" x14ac:dyDescent="0.2">
      <c r="A28" s="10" t="s">
        <v>24</v>
      </c>
      <c r="B28" s="11" t="s">
        <v>25</v>
      </c>
      <c r="C28" s="12" t="s">
        <v>26</v>
      </c>
      <c r="D28" s="2" t="s">
        <v>27</v>
      </c>
      <c r="E28" s="13" t="s">
        <v>28</v>
      </c>
      <c r="F28" s="14" t="s">
        <v>29</v>
      </c>
      <c r="G28" s="14" t="s">
        <v>30</v>
      </c>
      <c r="H28" s="14" t="s">
        <v>31</v>
      </c>
      <c r="I28" s="14" t="s">
        <v>32</v>
      </c>
      <c r="J28" s="14" t="s">
        <v>33</v>
      </c>
      <c r="K28" s="14" t="s">
        <v>10</v>
      </c>
      <c r="L28" s="14" t="s">
        <v>67</v>
      </c>
      <c r="M28" s="14" t="s">
        <v>68</v>
      </c>
      <c r="N28" s="14" t="s">
        <v>69</v>
      </c>
      <c r="O28" s="14" t="s">
        <v>6</v>
      </c>
      <c r="P28" s="14" t="s">
        <v>70</v>
      </c>
      <c r="Q28" s="14" t="s">
        <v>71</v>
      </c>
      <c r="R28" s="14" t="s">
        <v>72</v>
      </c>
      <c r="S28" s="14" t="s">
        <v>73</v>
      </c>
      <c r="T28" s="14" t="s">
        <v>74</v>
      </c>
    </row>
    <row r="29" spans="1:20" x14ac:dyDescent="0.2">
      <c r="A29" s="16">
        <v>-956073459293</v>
      </c>
      <c r="B29" s="16">
        <v>-790349870000</v>
      </c>
      <c r="C29" s="16">
        <v>-401260743862</v>
      </c>
      <c r="D29" s="16">
        <v>-378547190000</v>
      </c>
      <c r="E29" s="16">
        <v>-370536940000</v>
      </c>
      <c r="F29" s="16">
        <v>-312050819171</v>
      </c>
      <c r="G29" s="16">
        <v>-275955182845</v>
      </c>
      <c r="H29" s="16">
        <v>-243177580000</v>
      </c>
      <c r="I29" s="16">
        <v>-240329185624</v>
      </c>
      <c r="J29" s="16">
        <v>-222875431655</v>
      </c>
      <c r="K29" s="16">
        <v>-209872913405</v>
      </c>
      <c r="L29" s="16">
        <v>-179047931909</v>
      </c>
      <c r="M29" s="16">
        <v>-177021486358</v>
      </c>
      <c r="N29" s="16">
        <v>-158227510000</v>
      </c>
      <c r="O29" s="16">
        <v>-157646130000</v>
      </c>
      <c r="P29" s="16">
        <v>-155115890000</v>
      </c>
      <c r="Q29" s="16">
        <v>-148729067216</v>
      </c>
      <c r="R29" s="16">
        <v>-130111545140</v>
      </c>
      <c r="S29" s="16">
        <v>-88796990000</v>
      </c>
      <c r="T29" s="16">
        <v>-72195569880</v>
      </c>
    </row>
    <row r="30" spans="1:20" x14ac:dyDescent="0.2">
      <c r="A30" s="4">
        <f>VLOOKUP(A28,[1]PriceValue!A40:B194,2,FALSE)*VLOOKUP(A28,'[1]2023'!A41:F200,4,FALSE)</f>
        <v>135847103925000</v>
      </c>
      <c r="B30" s="4">
        <f>VLOOKUP(B28,[1]PriceValue!A40:B194,2,FALSE)*VLOOKUP(B28,'[1]2023'!A41:F200,4,FALSE)</f>
        <v>52281973080000</v>
      </c>
      <c r="C30" s="4">
        <f>VLOOKUP(C28,[1]PriceValue!A40:B194,2,FALSE)*VLOOKUP(C28,'[1]2023'!A41:F200,4,FALSE)</f>
        <v>96152676480000</v>
      </c>
      <c r="D30" s="4">
        <f>VLOOKUP(D28,[1]PriceValue!A40:B194,2,FALSE)*VLOOKUP(D28,'[1]2023'!A41:F200,4,FALSE)</f>
        <v>177658194000000</v>
      </c>
      <c r="E30" s="4">
        <f>VLOOKUP(E28,[1]PriceValue!A40:B194,2,FALSE)*VLOOKUP(E28,'[1]2023'!A41:F200,4,FALSE)</f>
        <v>45117779176800</v>
      </c>
      <c r="F30" s="4">
        <f>VLOOKUP(F28,[1]PriceValue!A40:B194,2,FALSE)*VLOOKUP(F28,'[1]2023'!A41:F200,4,FALSE)</f>
        <v>8148419812650</v>
      </c>
      <c r="G30" s="4">
        <f>VLOOKUP(G28,[1]PriceValue!A40:B194,2,FALSE)*VLOOKUP(G28,'[1]2023'!A41:F200,4,FALSE)</f>
        <v>53454182760000</v>
      </c>
      <c r="H30" s="4">
        <f>VLOOKUP(H28,[1]PriceValue!A40:B194,2,FALSE)*VLOOKUP(H28,'[1]2023'!A41:F200,4,FALSE)</f>
        <v>21935024629000</v>
      </c>
      <c r="I30" s="4">
        <f>VLOOKUP(I28,[1]PriceValue!A40:B194,2,FALSE)*VLOOKUP(I28,'[1]2023'!A41:F200,4,FALSE)</f>
        <v>18975261713000</v>
      </c>
      <c r="J30" s="4">
        <f>VLOOKUP(J28,[1]PriceValue!A40:B194,2,FALSE)*VLOOKUP(J28,'[1]2023'!A41:F200,4,FALSE)</f>
        <v>168810378754500</v>
      </c>
      <c r="K30" s="4">
        <f>VLOOKUP(K28,[1]PriceValue!A40:B194,2,FALSE)*VLOOKUP(K28,'[1]2023'!A41:F200,4,FALSE)</f>
        <v>14880768488400</v>
      </c>
      <c r="L30" s="4">
        <f>VLOOKUP(L28,[1]PriceValue!A40:B194,2,FALSE)*VLOOKUP(L28,'[1]2023'!A41:F200,4,FALSE)</f>
        <v>172403027685000</v>
      </c>
      <c r="M30" s="4">
        <f>VLOOKUP(M28,[1]PriceValue!A40:B194,2,FALSE)*VLOOKUP(M28,'[1]2023'!A41:F200,4,FALSE)</f>
        <v>39409266500000</v>
      </c>
      <c r="N30" s="4">
        <f>VLOOKUP(N28,[1]PriceValue!A40:B194,2,FALSE)*VLOOKUP(N28,'[1]2023'!A41:F200,4,FALSE)</f>
        <v>12368240000000</v>
      </c>
      <c r="O30" s="4">
        <f>VLOOKUP(O28,[1]PriceValue!A40:B194,2,FALSE)*VLOOKUP(O28,'[1]2023'!A41:F200,4,FALSE)</f>
        <v>25148478785850</v>
      </c>
      <c r="P30" s="4">
        <f>VLOOKUP(P28,[1]PriceValue!A40:B194,2,FALSE)*VLOOKUP(P28,'[1]2023'!A41:F200,4,FALSE)</f>
        <v>27975918985000</v>
      </c>
      <c r="Q30" s="4">
        <f>VLOOKUP(Q28,[1]PriceValue!A40:B194,2,FALSE)*VLOOKUP(Q28,'[1]2023'!A41:F200,4,FALSE)</f>
        <v>9328581017200</v>
      </c>
      <c r="R30" s="4">
        <f>VLOOKUP(R28,[1]PriceValue!A40:B194,2,FALSE)*VLOOKUP(R28,'[1]2023'!A41:F200,4,FALSE)</f>
        <v>16252580000000</v>
      </c>
      <c r="S30" s="4">
        <f>VLOOKUP(S28,[1]PriceValue!A40:B194,2,FALSE)*VLOOKUP(S28,'[1]2023'!A41:F200,4,FALSE)</f>
        <v>16549806178500</v>
      </c>
      <c r="T30" s="4">
        <f>VLOOKUP(T28,[1]PriceValue!A40:B194,2,FALSE)*VLOOKUP(T28,'[1]2023'!A41:F200,4,FALSE)</f>
        <v>6776052052000</v>
      </c>
    </row>
    <row r="31" spans="1:20" x14ac:dyDescent="0.2">
      <c r="A31" s="18">
        <f>-(A29/A30)</f>
        <v>7.0378641256926599E-3</v>
      </c>
      <c r="B31" s="18">
        <f t="shared" ref="B31:J31" si="12">-(B29/B30)</f>
        <v>1.5117062793147363E-2</v>
      </c>
      <c r="C31" s="18">
        <f t="shared" si="12"/>
        <v>4.1731625010507454E-3</v>
      </c>
      <c r="D31" s="18">
        <f t="shared" si="12"/>
        <v>2.1307612189280728E-3</v>
      </c>
      <c r="E31" s="18">
        <f t="shared" si="12"/>
        <v>8.2126591060256281E-3</v>
      </c>
      <c r="F31" s="18">
        <f t="shared" si="12"/>
        <v>3.8295869180249804E-2</v>
      </c>
      <c r="G31" s="18">
        <f t="shared" si="12"/>
        <v>5.1624619177883767E-3</v>
      </c>
      <c r="H31" s="18">
        <f t="shared" si="12"/>
        <v>1.1086268837760874E-2</v>
      </c>
      <c r="I31" s="18">
        <f t="shared" si="12"/>
        <v>1.2665395042185366E-2</v>
      </c>
      <c r="J31" s="18">
        <f t="shared" si="12"/>
        <v>1.3202709057310185E-3</v>
      </c>
      <c r="K31" s="18">
        <f t="shared" ref="K31" si="13">-(K29/K30)</f>
        <v>1.4103634067595511E-2</v>
      </c>
      <c r="L31" s="18">
        <f t="shared" ref="L31" si="14">-(L29/L30)</f>
        <v>1.0385428510927372E-3</v>
      </c>
      <c r="M31" s="18">
        <f t="shared" ref="M31" si="15">-(M29/M30)</f>
        <v>4.4918746802354217E-3</v>
      </c>
      <c r="N31" s="18">
        <f t="shared" ref="N31" si="16">-(N29/N30)</f>
        <v>1.279304977911166E-2</v>
      </c>
      <c r="O31" s="18">
        <f t="shared" ref="O31" si="17">-(O29/O30)</f>
        <v>6.2686149465509978E-3</v>
      </c>
      <c r="P31" s="18">
        <f t="shared" ref="P31" si="18">-(P29/P30)</f>
        <v>5.5446217900176698E-3</v>
      </c>
      <c r="Q31" s="18">
        <f t="shared" ref="Q31" si="19">-(Q29/Q30)</f>
        <v>1.5943375197339654E-2</v>
      </c>
      <c r="R31" s="18">
        <f t="shared" ref="R31" si="20">-(R29/R30)</f>
        <v>8.0055932744216608E-3</v>
      </c>
      <c r="S31" s="18">
        <f t="shared" ref="S31" si="21">-(S29/S30)</f>
        <v>5.3654398753839759E-3</v>
      </c>
      <c r="T31" s="18">
        <f t="shared" ref="T31" si="22">-(T29/T30)</f>
        <v>1.0654518195250724E-2</v>
      </c>
    </row>
    <row r="33" spans="1:20" x14ac:dyDescent="0.2">
      <c r="A33" s="35" t="s">
        <v>206</v>
      </c>
      <c r="B33" s="35"/>
      <c r="C33" s="35"/>
      <c r="D33" s="35"/>
      <c r="E33" s="35"/>
      <c r="F33" s="35"/>
      <c r="G33" s="35"/>
      <c r="H33" s="35"/>
      <c r="I33" s="35"/>
      <c r="J33" s="35"/>
    </row>
    <row r="34" spans="1:20" x14ac:dyDescent="0.2">
      <c r="A34" s="10" t="s">
        <v>19</v>
      </c>
      <c r="B34" s="11" t="s">
        <v>34</v>
      </c>
      <c r="C34" s="12" t="s">
        <v>35</v>
      </c>
      <c r="D34" s="2" t="s">
        <v>16</v>
      </c>
      <c r="E34" s="13" t="s">
        <v>36</v>
      </c>
      <c r="F34" s="14" t="s">
        <v>37</v>
      </c>
      <c r="G34" s="14" t="s">
        <v>38</v>
      </c>
      <c r="H34" s="14" t="s">
        <v>20</v>
      </c>
      <c r="I34" s="14" t="s">
        <v>39</v>
      </c>
      <c r="J34" s="14" t="s">
        <v>40</v>
      </c>
      <c r="K34" s="14" t="s">
        <v>75</v>
      </c>
      <c r="L34" s="14" t="s">
        <v>76</v>
      </c>
      <c r="M34" s="14" t="s">
        <v>18</v>
      </c>
      <c r="N34" s="14" t="s">
        <v>77</v>
      </c>
      <c r="O34" s="14" t="s">
        <v>64</v>
      </c>
      <c r="P34" s="14" t="s">
        <v>78</v>
      </c>
      <c r="Q34" s="14" t="s">
        <v>79</v>
      </c>
      <c r="R34" s="14" t="s">
        <v>62</v>
      </c>
      <c r="S34" s="14" t="s">
        <v>65</v>
      </c>
      <c r="T34" s="14" t="s">
        <v>68</v>
      </c>
    </row>
    <row r="35" spans="1:20" x14ac:dyDescent="0.2">
      <c r="A35" s="16">
        <v>-254022663000</v>
      </c>
      <c r="B35" s="16">
        <v>-139840000000</v>
      </c>
      <c r="C35" s="16">
        <v>-91489197000</v>
      </c>
      <c r="D35" s="16">
        <v>-87705560000</v>
      </c>
      <c r="E35" s="16">
        <v>-78952430000</v>
      </c>
      <c r="F35" s="16">
        <v>-75288077000</v>
      </c>
      <c r="G35" s="16">
        <v>-69099374000</v>
      </c>
      <c r="H35" s="16">
        <v>-49988695000</v>
      </c>
      <c r="I35" s="16">
        <v>-38185200000</v>
      </c>
      <c r="J35" s="16">
        <v>-32211512000</v>
      </c>
      <c r="K35" s="16">
        <v>-28250782000</v>
      </c>
      <c r="L35" s="17">
        <v>-26115100000</v>
      </c>
      <c r="M35" s="17">
        <v>-23192275000</v>
      </c>
      <c r="N35" s="17">
        <v>-19532268000</v>
      </c>
      <c r="O35" s="17">
        <v>-17594612000</v>
      </c>
      <c r="P35" s="17">
        <v>-15612673000</v>
      </c>
      <c r="Q35" s="17">
        <v>-14950785000</v>
      </c>
      <c r="R35" s="17">
        <v>-14269861000</v>
      </c>
      <c r="S35" s="17">
        <v>-11950419000</v>
      </c>
      <c r="T35" s="17">
        <v>-10323793000</v>
      </c>
    </row>
    <row r="36" spans="1:20" x14ac:dyDescent="0.2">
      <c r="A36" s="4">
        <f>VLOOKUP(A34,[1]PriceValue!A52:B206,2,FALSE)*VLOOKUP(A34,'[1]2023'!A53:F212,4,FALSE)</f>
        <v>176135727760000</v>
      </c>
      <c r="B36" s="4" t="e">
        <f>VLOOKUP(B34,[1]PriceValue!A52:B206,2,FALSE)*VLOOKUP(B34,'[1]2023'!A53:F212,4,FALSE)</f>
        <v>#N/A</v>
      </c>
      <c r="C36" s="4">
        <f>VLOOKUP(C34,[1]PriceValue!A52:B206,2,FALSE)*VLOOKUP(C34,'[1]2023'!A53:F212,4,FALSE)</f>
        <v>104286753240000</v>
      </c>
      <c r="D36" s="4">
        <f>VLOOKUP(D34,[1]PriceValue!A52:B206,2,FALSE)*VLOOKUP(D34,'[1]2023'!A53:F212,4,FALSE)</f>
        <v>147174282780000</v>
      </c>
      <c r="E36" s="4">
        <f>VLOOKUP(E34,[1]PriceValue!A52:B206,2,FALSE)*VLOOKUP(E34,'[1]2023'!A53:F212,4,FALSE)</f>
        <v>156460165400000</v>
      </c>
      <c r="F36" s="4">
        <f>VLOOKUP(F34,[1]PriceValue!A52:B206,2,FALSE)*VLOOKUP(F34,'[1]2023'!A53:F212,4,FALSE)</f>
        <v>53526638250000</v>
      </c>
      <c r="G36" s="4">
        <f>VLOOKUP(G34,[1]PriceValue!A52:B206,2,FALSE)*VLOOKUP(G34,'[1]2023'!A53:F212,4,FALSE)</f>
        <v>116013371225000</v>
      </c>
      <c r="H36" s="4">
        <f>VLOOKUP(H34,[1]PriceValue!A52:B206,2,FALSE)*VLOOKUP(H34,'[1]2023'!A53:F212,4,FALSE)</f>
        <v>31357861995000</v>
      </c>
      <c r="I36" s="4">
        <f>VLOOKUP(I34,[1]PriceValue!A52:B206,2,FALSE)*VLOOKUP(I34,'[1]2023'!A53:F212,4,FALSE)</f>
        <v>25756658499400</v>
      </c>
      <c r="J36" s="4" t="e">
        <f>VLOOKUP(J34,[1]PriceValue!A52:B250,2,FALSE)*VLOOKUP(J34,'[1]2023'!A53:F212,4,FALSE)</f>
        <v>#N/A</v>
      </c>
      <c r="K36" s="4">
        <f>VLOOKUP(K34,[1]PriceValue!A52:B206,2,FALSE)*VLOOKUP(K34,'[1]2023'!A53:F212,4,FALSE)</f>
        <v>29739094204500</v>
      </c>
      <c r="L36" s="4" t="e">
        <f>VLOOKUP(L34,[1]PriceValue!A52:B206,2,FALSE)*VLOOKUP(L34,'[1]2023'!A53:F212,4,FALSE)</f>
        <v>#N/A</v>
      </c>
      <c r="M36" s="4">
        <f>VLOOKUP(M34,[1]PriceValue!A52:B206,2,FALSE)*VLOOKUP(M34,'[1]2023'!A53:F212,4,FALSE)</f>
        <v>80339381708400</v>
      </c>
      <c r="N36" s="4">
        <f>VLOOKUP(N34,[1]PriceValue!A52:B206,2,FALSE)*VLOOKUP(N34,'[1]2023'!A53:F212,4,FALSE)</f>
        <v>4041685992960</v>
      </c>
      <c r="O36" s="4">
        <f>VLOOKUP(O34,[1]PriceValue!A52:B206,2,FALSE)*VLOOKUP(O34,'[1]2023'!A53:F212,4,FALSE)</f>
        <v>46191447491700</v>
      </c>
      <c r="P36" s="4" t="e">
        <f>VLOOKUP(P34,[1]PriceValue!A52:B206,2,FALSE)*VLOOKUP(P34,'[1]2023'!A53:F212,4,FALSE)</f>
        <v>#N/A</v>
      </c>
      <c r="Q36" s="4" t="e">
        <f>VLOOKUP(Q34,[1]PriceValue!A52:B206,2,FALSE)*VLOOKUP(Q34,'[1]2023'!A53:F212,4,FALSE)</f>
        <v>#N/A</v>
      </c>
      <c r="R36" s="4">
        <f>VLOOKUP(R34,[1]PriceValue!A52:B206,2,FALSE)*VLOOKUP(R34,'[1]2023'!A53:F212,4,FALSE)</f>
        <v>68620117560000</v>
      </c>
      <c r="S36" s="4">
        <f>VLOOKUP(S34,[1]PriceValue!A52:B206,2,FALSE)*VLOOKUP(S34,'[1]2023'!A53:F212,4,FALSE)</f>
        <v>27200000000000</v>
      </c>
      <c r="T36" s="4">
        <f>VLOOKUP(T34,[1]PriceValue!A52:B206,2,FALSE)*VLOOKUP(T34,'[1]2023'!A53:F212,4,FALSE)</f>
        <v>39409266500000</v>
      </c>
    </row>
    <row r="37" spans="1:20" x14ac:dyDescent="0.2">
      <c r="A37" s="18">
        <f>-(A35/A36)</f>
        <v>1.4421983900173145E-3</v>
      </c>
      <c r="B37" s="18" t="e">
        <f t="shared" ref="B37:T37" si="23">-(B35/B36)</f>
        <v>#N/A</v>
      </c>
      <c r="C37" s="18">
        <f t="shared" si="23"/>
        <v>8.7728492984580331E-4</v>
      </c>
      <c r="D37" s="18">
        <f t="shared" si="23"/>
        <v>5.9592992976296403E-4</v>
      </c>
      <c r="E37" s="18">
        <f t="shared" si="23"/>
        <v>5.0461681283637454E-4</v>
      </c>
      <c r="F37" s="18">
        <f t="shared" si="23"/>
        <v>1.4065534369702361E-3</v>
      </c>
      <c r="G37" s="18">
        <f t="shared" si="23"/>
        <v>5.9561560249797834E-4</v>
      </c>
      <c r="H37" s="18">
        <f t="shared" si="23"/>
        <v>1.5941359461295759E-3</v>
      </c>
      <c r="I37" s="18">
        <f t="shared" si="23"/>
        <v>1.4825370302164592E-3</v>
      </c>
      <c r="J37" s="18" t="e">
        <f t="shared" si="23"/>
        <v>#N/A</v>
      </c>
      <c r="K37" s="18">
        <f t="shared" si="23"/>
        <v>9.4995435320707267E-4</v>
      </c>
      <c r="L37" s="18" t="e">
        <f t="shared" si="23"/>
        <v>#N/A</v>
      </c>
      <c r="M37" s="18">
        <f t="shared" si="23"/>
        <v>2.8867878376483819E-4</v>
      </c>
      <c r="N37" s="18">
        <f t="shared" si="23"/>
        <v>4.832702994250971E-3</v>
      </c>
      <c r="O37" s="18">
        <f t="shared" si="23"/>
        <v>3.8090627065024367E-4</v>
      </c>
      <c r="P37" s="18" t="e">
        <f t="shared" si="23"/>
        <v>#N/A</v>
      </c>
      <c r="Q37" s="18" t="e">
        <f t="shared" si="23"/>
        <v>#N/A</v>
      </c>
      <c r="R37" s="18">
        <f t="shared" si="23"/>
        <v>2.0795448197130718E-4</v>
      </c>
      <c r="S37" s="18">
        <f t="shared" si="23"/>
        <v>4.3935363970588236E-4</v>
      </c>
      <c r="T37" s="18">
        <f t="shared" si="23"/>
        <v>2.6196359173546151E-4</v>
      </c>
    </row>
    <row r="39" spans="1:20" x14ac:dyDescent="0.2">
      <c r="A39" s="36" t="s">
        <v>95</v>
      </c>
      <c r="B39" s="36"/>
      <c r="C39" s="36"/>
      <c r="D39" s="36"/>
      <c r="E39" s="36"/>
      <c r="F39" s="36"/>
      <c r="G39" s="36"/>
      <c r="H39" s="36"/>
      <c r="I39" s="36"/>
      <c r="J39" s="36"/>
    </row>
    <row r="40" spans="1:20" x14ac:dyDescent="0.2">
      <c r="A40" s="18" t="s">
        <v>6</v>
      </c>
      <c r="B40" s="18" t="s">
        <v>98</v>
      </c>
      <c r="C40" s="18" t="s">
        <v>75</v>
      </c>
      <c r="D40" s="18" t="s">
        <v>99</v>
      </c>
      <c r="E40" s="18" t="s">
        <v>30</v>
      </c>
      <c r="F40" s="18" t="s">
        <v>45</v>
      </c>
      <c r="G40" s="18" t="s">
        <v>24</v>
      </c>
      <c r="H40" s="18" t="s">
        <v>100</v>
      </c>
      <c r="I40" s="18" t="s">
        <v>28</v>
      </c>
      <c r="J40" s="18" t="s">
        <v>27</v>
      </c>
    </row>
    <row r="41" spans="1:20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20" x14ac:dyDescent="0.2">
      <c r="A42" s="36" t="s">
        <v>96</v>
      </c>
      <c r="B42" s="36"/>
      <c r="C42" s="36"/>
      <c r="D42" s="36"/>
      <c r="E42" s="36"/>
      <c r="F42" s="36"/>
      <c r="G42" s="36"/>
      <c r="H42" s="36"/>
      <c r="I42" s="36"/>
      <c r="J42" s="36"/>
    </row>
    <row r="43" spans="1:20" x14ac:dyDescent="0.2">
      <c r="A43" s="18" t="s">
        <v>98</v>
      </c>
      <c r="B43" s="18" t="s">
        <v>6</v>
      </c>
      <c r="C43" s="18" t="s">
        <v>10</v>
      </c>
      <c r="D43" s="18" t="s">
        <v>75</v>
      </c>
      <c r="E43" s="18" t="s">
        <v>99</v>
      </c>
      <c r="F43" s="18" t="s">
        <v>45</v>
      </c>
      <c r="G43" s="18" t="s">
        <v>101</v>
      </c>
      <c r="H43" s="18" t="s">
        <v>15</v>
      </c>
      <c r="I43" s="18" t="s">
        <v>89</v>
      </c>
      <c r="J43" s="18" t="s">
        <v>100</v>
      </c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36" t="s">
        <v>97</v>
      </c>
      <c r="B45" s="36"/>
      <c r="C45" s="36"/>
      <c r="D45" s="36"/>
      <c r="E45" s="36"/>
      <c r="F45" s="36"/>
      <c r="G45" s="36"/>
      <c r="H45" s="36"/>
      <c r="I45" s="36"/>
      <c r="J45" s="36"/>
    </row>
    <row r="46" spans="1:20" x14ac:dyDescent="0.2">
      <c r="A46" s="18" t="s">
        <v>98</v>
      </c>
      <c r="B46" s="18" t="s">
        <v>6</v>
      </c>
      <c r="C46" s="18" t="s">
        <v>28</v>
      </c>
      <c r="D46" s="18" t="s">
        <v>99</v>
      </c>
      <c r="E46" s="18" t="s">
        <v>24</v>
      </c>
      <c r="F46" s="18" t="s">
        <v>45</v>
      </c>
      <c r="G46" s="18" t="s">
        <v>101</v>
      </c>
      <c r="H46" s="18" t="s">
        <v>26</v>
      </c>
      <c r="I46" s="18" t="s">
        <v>10</v>
      </c>
      <c r="J46" s="18" t="s">
        <v>35</v>
      </c>
    </row>
  </sheetData>
  <mergeCells count="10">
    <mergeCell ref="A39:J39"/>
    <mergeCell ref="A42:J42"/>
    <mergeCell ref="A45:J45"/>
    <mergeCell ref="A5:J5"/>
    <mergeCell ref="A27:J27"/>
    <mergeCell ref="A11:J11"/>
    <mergeCell ref="A33:J33"/>
    <mergeCell ref="A17:J17"/>
    <mergeCell ref="A20:J20"/>
    <mergeCell ref="A23:J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1F9A-84B6-C847-A693-E17FADF71D4D}">
  <sheetPr codeName="Sheet12"/>
  <dimension ref="A1:M4"/>
  <sheetViews>
    <sheetView workbookViewId="0">
      <selection activeCell="C4" sqref="C4"/>
    </sheetView>
  </sheetViews>
  <sheetFormatPr baseColWidth="10" defaultRowHeight="16" x14ac:dyDescent="0.2"/>
  <cols>
    <col min="2" max="2" width="17.6640625" bestFit="1" customWidth="1"/>
    <col min="3" max="3" width="19.6640625" customWidth="1"/>
    <col min="4" max="5" width="18.33203125" bestFit="1" customWidth="1"/>
  </cols>
  <sheetData>
    <row r="1" spans="1:13" x14ac:dyDescent="0.2">
      <c r="B1" s="39">
        <v>2024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</row>
    <row r="2" spans="1:13" x14ac:dyDescent="0.2">
      <c r="B2" t="s">
        <v>47</v>
      </c>
      <c r="C2" t="s">
        <v>48</v>
      </c>
      <c r="D2" t="s">
        <v>49</v>
      </c>
      <c r="E2" t="s">
        <v>51</v>
      </c>
      <c r="F2" t="s">
        <v>52</v>
      </c>
      <c r="G2" t="s">
        <v>53</v>
      </c>
      <c r="H2" t="s">
        <v>54</v>
      </c>
      <c r="I2" t="s">
        <v>55</v>
      </c>
      <c r="J2" t="s">
        <v>56</v>
      </c>
      <c r="K2" t="s">
        <v>57</v>
      </c>
      <c r="L2" t="s">
        <v>58</v>
      </c>
      <c r="M2" t="s">
        <v>59</v>
      </c>
    </row>
    <row r="3" spans="1:13" x14ac:dyDescent="0.2">
      <c r="A3" t="s">
        <v>46</v>
      </c>
      <c r="B3" s="15">
        <v>1132080794721</v>
      </c>
      <c r="C3" s="17">
        <v>-2366312217119</v>
      </c>
      <c r="D3" s="17">
        <v>-7722196199347</v>
      </c>
      <c r="E3" s="17">
        <v>-2260925083236</v>
      </c>
      <c r="F3" s="17"/>
      <c r="G3" s="17"/>
      <c r="H3" s="17"/>
      <c r="I3" s="17"/>
      <c r="J3" s="17"/>
      <c r="K3" s="17"/>
      <c r="L3" s="17"/>
      <c r="M3" s="17"/>
    </row>
    <row r="4" spans="1:13" x14ac:dyDescent="0.2">
      <c r="A4" t="s">
        <v>50</v>
      </c>
      <c r="B4" s="15">
        <v>535714594655</v>
      </c>
      <c r="C4" s="17">
        <v>-3294901162400</v>
      </c>
      <c r="D4" s="17">
        <v>-995761819500</v>
      </c>
      <c r="E4" s="15">
        <v>382058080300</v>
      </c>
      <c r="F4" s="15"/>
      <c r="G4" s="15"/>
      <c r="H4" s="15"/>
      <c r="I4" s="15"/>
      <c r="J4" s="15"/>
      <c r="K4" s="15"/>
      <c r="L4" s="15"/>
      <c r="M4" s="15"/>
    </row>
  </sheetData>
  <mergeCells count="1">
    <mergeCell ref="B1:M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A4CD8-FAF6-A144-ACB1-40FB662C0981}">
  <sheetPr codeName="Sheet11"/>
  <dimension ref="A1:T47"/>
  <sheetViews>
    <sheetView workbookViewId="0">
      <selection activeCell="A35" sqref="A35"/>
    </sheetView>
  </sheetViews>
  <sheetFormatPr baseColWidth="10" defaultRowHeight="16" x14ac:dyDescent="0.2"/>
  <cols>
    <col min="1" max="1" width="21.6640625" customWidth="1"/>
    <col min="2" max="2" width="21" customWidth="1"/>
    <col min="3" max="3" width="20.33203125" customWidth="1"/>
    <col min="4" max="10" width="16.83203125" bestFit="1" customWidth="1"/>
    <col min="12" max="12" width="17.6640625" bestFit="1" customWidth="1"/>
  </cols>
  <sheetData>
    <row r="1" spans="1:20" x14ac:dyDescent="0.2">
      <c r="A1" s="20" t="s">
        <v>84</v>
      </c>
      <c r="C1" s="21" t="s">
        <v>85</v>
      </c>
    </row>
    <row r="2" spans="1:20" x14ac:dyDescent="0.2">
      <c r="A2" t="s">
        <v>12</v>
      </c>
      <c r="C2" t="s">
        <v>12</v>
      </c>
    </row>
    <row r="3" spans="1:20" x14ac:dyDescent="0.2">
      <c r="A3" s="19"/>
      <c r="C3" s="19"/>
    </row>
    <row r="5" spans="1:20" x14ac:dyDescent="0.2">
      <c r="A5" s="37" t="s">
        <v>22</v>
      </c>
      <c r="B5" s="37"/>
      <c r="C5" s="37"/>
      <c r="D5" s="37"/>
      <c r="E5" s="37"/>
      <c r="F5" s="37"/>
      <c r="G5" s="37"/>
      <c r="H5" s="37"/>
      <c r="I5" s="37"/>
      <c r="J5" s="37"/>
    </row>
    <row r="6" spans="1:20" x14ac:dyDescent="0.2">
      <c r="A6" s="5"/>
      <c r="B6" s="6"/>
      <c r="C6" s="7"/>
      <c r="D6" s="8"/>
      <c r="E6" s="1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x14ac:dyDescent="0.2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5"/>
      <c r="M7" s="15"/>
      <c r="N7" s="15"/>
      <c r="O7" s="15"/>
      <c r="P7" s="15"/>
      <c r="Q7" s="15"/>
      <c r="R7" s="15"/>
      <c r="S7" s="15"/>
      <c r="T7" s="15"/>
    </row>
    <row r="8" spans="1:20" x14ac:dyDescent="0.2">
      <c r="A8" s="15" t="e">
        <f>VLOOKUP(A6,[1]PriceValue!A40:B194,2,FALSE)*VLOOKUP(A6,'[1]2023'!A41:F200,4,FALSE)</f>
        <v>#N/A</v>
      </c>
      <c r="B8" s="15" t="e">
        <f>VLOOKUP(B6,[1]PriceValue!A40:B194,2,FALSE)*VLOOKUP(B6,'[1]2023'!A41:F200,4,FALSE)</f>
        <v>#N/A</v>
      </c>
      <c r="C8" s="15" t="e">
        <f>VLOOKUP(C6,[1]PriceValue!A40:B194,2,FALSE)*VLOOKUP(C6,'[1]2023'!A41:F200,4,FALSE)</f>
        <v>#N/A</v>
      </c>
      <c r="D8" s="15" t="e">
        <f>VLOOKUP(D6,[1]PriceValue!A40:B194,2,FALSE)*VLOOKUP(D6,'[1]2023'!A41:F200,4,FALSE)</f>
        <v>#N/A</v>
      </c>
      <c r="E8" s="15" t="e">
        <f>VLOOKUP(E6,[1]PriceValue!A40:B194,2,FALSE)*VLOOKUP(E6,'[1]2023'!A41:F200,4,FALSE)</f>
        <v>#N/A</v>
      </c>
      <c r="F8" s="15" t="e">
        <f>VLOOKUP(F6,[1]PriceValue!A40:B194,2,FALSE)*VLOOKUP(F6,'[1]2023'!A41:F200,4,FALSE)</f>
        <v>#N/A</v>
      </c>
      <c r="G8" s="15" t="e">
        <f>VLOOKUP(G6,[1]PriceValue!A40:B194,2,FALSE)*VLOOKUP(G6,'[1]2023'!A41:F200,4,FALSE)</f>
        <v>#N/A</v>
      </c>
      <c r="H8" s="15" t="e">
        <f>VLOOKUP(H6,[1]PriceValue!A40:B194,2,FALSE)*VLOOKUP(H6,'[1]2023'!A41:F200,4,FALSE)</f>
        <v>#N/A</v>
      </c>
      <c r="I8" s="15" t="e">
        <f>VLOOKUP(I6,[1]PriceValue!A40:B194,2,FALSE)*VLOOKUP(I6,'[1]2023'!A41:F200,4,FALSE)</f>
        <v>#N/A</v>
      </c>
      <c r="J8" s="15" t="e">
        <f>VLOOKUP(J6,[1]PriceValue!A40:B194,2,FALSE)*VLOOKUP(J6,'[1]2023'!A41:F200,4,FALSE)</f>
        <v>#N/A</v>
      </c>
      <c r="K8" s="15" t="e">
        <f>VLOOKUP(K6,[1]PriceValue!A40:B194,2,FALSE)*VLOOKUP(K6,'[1]2023'!A41:F200,4,FALSE)</f>
        <v>#N/A</v>
      </c>
      <c r="L8" s="15" t="e">
        <f>VLOOKUP(L6,[1]PriceValue!A40:B194,2,FALSE)*VLOOKUP(L6,'[1]2023'!A41:F200,4,FALSE)</f>
        <v>#N/A</v>
      </c>
      <c r="M8" s="15" t="e">
        <f>VLOOKUP(M6,[1]PriceValue!A40:B194,2,FALSE)*VLOOKUP(M6,'[1]2023'!A41:F200,4,FALSE)</f>
        <v>#N/A</v>
      </c>
      <c r="N8" s="15" t="e">
        <f>VLOOKUP(N6,[1]PriceValue!A40:B194,2,FALSE)*VLOOKUP(N6,'[1]2023'!A41:F200,4,FALSE)</f>
        <v>#N/A</v>
      </c>
      <c r="O8" s="15" t="e">
        <f>VLOOKUP(O6,[1]PriceValue!A40:B194,2,FALSE)*VLOOKUP(O6,'[1]2023'!A41:F200,4,FALSE)</f>
        <v>#N/A</v>
      </c>
      <c r="P8" s="15" t="e">
        <f>VLOOKUP(P6,[1]PriceValue!A40:B194,2,FALSE)*VLOOKUP(P6,'[1]2023'!A41:F200,4,FALSE)</f>
        <v>#N/A</v>
      </c>
      <c r="Q8" s="15" t="e">
        <f>VLOOKUP(Q6,[1]PriceValue!A40:B194,2,FALSE)*VLOOKUP(Q6,'[1]2023'!A41:F200,4,FALSE)</f>
        <v>#N/A</v>
      </c>
      <c r="R8" s="15" t="e">
        <f>VLOOKUP(R6,[1]PriceValue!A40:B194,2,FALSE)*VLOOKUP(R6,'[1]2023'!A41:F200,4,FALSE)</f>
        <v>#N/A</v>
      </c>
      <c r="S8" s="15" t="e">
        <f>VLOOKUP(S6,[1]PriceValue!A40:B194,2,FALSE)*VLOOKUP(S6,'[1]2023'!A41:F200,4,FALSE)</f>
        <v>#N/A</v>
      </c>
      <c r="T8" s="15" t="e">
        <f>VLOOKUP(T6,[1]PriceValue!A40:B194,2,FALSE)*VLOOKUP(T6,'[1]2023'!A41:F200,4,FALSE)</f>
        <v>#N/A</v>
      </c>
    </row>
    <row r="9" spans="1:20" x14ac:dyDescent="0.2">
      <c r="A9" s="18" t="e">
        <f>A7/A8</f>
        <v>#N/A</v>
      </c>
      <c r="B9" s="18" t="e">
        <f>B7/B8</f>
        <v>#N/A</v>
      </c>
      <c r="C9" s="18" t="e">
        <f t="shared" ref="C9:T9" si="0">C7/C8</f>
        <v>#N/A</v>
      </c>
      <c r="D9" s="18" t="e">
        <f t="shared" si="0"/>
        <v>#N/A</v>
      </c>
      <c r="E9" s="18" t="e">
        <f t="shared" si="0"/>
        <v>#N/A</v>
      </c>
      <c r="F9" s="18" t="e">
        <f t="shared" si="0"/>
        <v>#N/A</v>
      </c>
      <c r="G9" s="18" t="e">
        <f t="shared" si="0"/>
        <v>#N/A</v>
      </c>
      <c r="H9" s="18" t="e">
        <f t="shared" si="0"/>
        <v>#N/A</v>
      </c>
      <c r="I9" s="18" t="e">
        <f t="shared" si="0"/>
        <v>#N/A</v>
      </c>
      <c r="J9" s="18" t="e">
        <f t="shared" si="0"/>
        <v>#N/A</v>
      </c>
      <c r="K9" s="18" t="e">
        <f t="shared" si="0"/>
        <v>#N/A</v>
      </c>
      <c r="L9" s="18" t="e">
        <f t="shared" si="0"/>
        <v>#N/A</v>
      </c>
      <c r="M9" s="18" t="e">
        <f t="shared" si="0"/>
        <v>#N/A</v>
      </c>
      <c r="N9" s="18" t="e">
        <f t="shared" si="0"/>
        <v>#N/A</v>
      </c>
      <c r="O9" s="18" t="e">
        <f t="shared" si="0"/>
        <v>#N/A</v>
      </c>
      <c r="P9" s="18" t="e">
        <f t="shared" si="0"/>
        <v>#N/A</v>
      </c>
      <c r="Q9" s="18" t="e">
        <f t="shared" si="0"/>
        <v>#N/A</v>
      </c>
      <c r="R9" s="18" t="e">
        <f t="shared" si="0"/>
        <v>#N/A</v>
      </c>
      <c r="S9" s="18" t="e">
        <f t="shared" si="0"/>
        <v>#N/A</v>
      </c>
      <c r="T9" s="18" t="e">
        <f t="shared" si="0"/>
        <v>#N/A</v>
      </c>
    </row>
    <row r="10" spans="1:20" x14ac:dyDescent="0.2">
      <c r="A10" s="18"/>
    </row>
    <row r="11" spans="1:20" x14ac:dyDescent="0.2">
      <c r="A11" s="35" t="s">
        <v>86</v>
      </c>
      <c r="B11" s="35"/>
      <c r="C11" s="35"/>
      <c r="D11" s="35"/>
      <c r="E11" s="35"/>
      <c r="F11" s="35"/>
      <c r="G11" s="35"/>
      <c r="H11" s="35"/>
      <c r="I11" s="35"/>
      <c r="J11" s="35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/>
      <c r="B12" s="6"/>
      <c r="C12" s="7"/>
      <c r="D12" s="8"/>
      <c r="E12" s="1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5"/>
      <c r="M13" s="15"/>
      <c r="N13" s="15"/>
      <c r="O13" s="15"/>
      <c r="P13" s="15"/>
      <c r="Q13" s="15"/>
      <c r="R13" s="15"/>
      <c r="S13" s="15"/>
      <c r="T13" s="15"/>
    </row>
    <row r="14" spans="1:20" x14ac:dyDescent="0.2">
      <c r="A14" s="4" t="e">
        <f>VLOOKUP(A12,[1]PriceValue!A46:B226,2,FALSE)*VLOOKUP(A12,'[1]2023'!A47:F206,4,FALSE)</f>
        <v>#N/A</v>
      </c>
      <c r="B14" s="4" t="e">
        <f>VLOOKUP(B12,[1]PriceValue!A46:B226,2,FALSE)*VLOOKUP(B12,'[1]2023'!A47:F206,4,FALSE)</f>
        <v>#N/A</v>
      </c>
      <c r="C14" s="4" t="e">
        <f>VLOOKUP(C12,[1]PriceValue!A41:B226,2,FALSE)*VLOOKUP(C12,'[1]2023'!A47:F206,4,FALSE)</f>
        <v>#N/A</v>
      </c>
      <c r="D14" s="4" t="e">
        <f>VLOOKUP(D12,[1]PriceValue!A46:B226,2,FALSE)*VLOOKUP(D12,'[1]2023'!A47:F206,4,FALSE)</f>
        <v>#N/A</v>
      </c>
      <c r="E14" s="4" t="e">
        <f>VLOOKUP(E12,[1]PriceValue!A46:B226,2,FALSE)*VLOOKUP(E12,'[1]2023'!A47:F206,4,FALSE)</f>
        <v>#N/A</v>
      </c>
      <c r="F14" s="4" t="e">
        <f>VLOOKUP(F12,[1]PriceValue!A41:B226,2,FALSE)*VLOOKUP(F12,'[1]2023'!A47:F206,4,FALSE)</f>
        <v>#N/A</v>
      </c>
      <c r="G14" s="4" t="e">
        <f>VLOOKUP(G12,[1]PriceValue!A46:B226,2,FALSE)*VLOOKUP(G12,'[1]2023'!A47:F206,4,FALSE)</f>
        <v>#N/A</v>
      </c>
      <c r="H14" s="4" t="e">
        <f>VLOOKUP(H12,[1]PriceValue!A46:B226,2,FALSE)*VLOOKUP(H12,'[1]2023'!A47:F206,4,FALSE)</f>
        <v>#N/A</v>
      </c>
      <c r="I14" s="4" t="e">
        <f>VLOOKUP(I12,[1]PriceValue!A46:B226,2,FALSE)*VLOOKUP(I12,'[1]2023'!A47:F206,4,FALSE)</f>
        <v>#N/A</v>
      </c>
      <c r="J14" s="4" t="e">
        <f>VLOOKUP(J12,[1]PriceValue!A46:B226,2,FALSE)*VLOOKUP(J12,'[1]2023'!A47:F206,4,FALSE)</f>
        <v>#N/A</v>
      </c>
      <c r="K14" s="4" t="e">
        <f>VLOOKUP(K12,[1]PriceValue!A46:B226,2,FALSE)*VLOOKUP(K12,'[1]2023'!A47:F206,4,FALSE)</f>
        <v>#N/A</v>
      </c>
      <c r="L14" s="4" t="e">
        <f>VLOOKUP(L12,[1]PriceValue!A46:B226,2,FALSE)*VLOOKUP(L12,'[1]2023'!A47:F206,4,FALSE)</f>
        <v>#N/A</v>
      </c>
      <c r="M14" s="4" t="e">
        <f>VLOOKUP(M12,[1]PriceValue!A46:B226,2,FALSE)*VLOOKUP(M12,'[1]2023'!A47:F206,4,FALSE)</f>
        <v>#N/A</v>
      </c>
      <c r="N14" s="4" t="e">
        <f>VLOOKUP(N12,[1]PriceValue!A46:B226,2,FALSE)*VLOOKUP(N12,'[1]2023'!A47:F206,4,FALSE)</f>
        <v>#N/A</v>
      </c>
      <c r="O14" s="4" t="e">
        <f>VLOOKUP(O12,[1]PriceValue!A46:B226,2,FALSE)*VLOOKUP(O12,'[1]2023'!A47:F206,4,FALSE)</f>
        <v>#N/A</v>
      </c>
      <c r="P14" s="4" t="e">
        <f>VLOOKUP(P12,[1]PriceValue!A46:B226,2,FALSE)*VLOOKUP(P12,'[1]2023'!A47:F206,4,FALSE)</f>
        <v>#N/A</v>
      </c>
      <c r="Q14" s="4" t="e">
        <f>VLOOKUP(Q12,[1]PriceValue!A46:B226,2,FALSE)*VLOOKUP(Q12,'[1]2023'!A47:F206,4,FALSE)</f>
        <v>#N/A</v>
      </c>
      <c r="R14" s="4" t="e">
        <f>VLOOKUP(R12,[1]PriceValue!A46:B226,2,FALSE)*VLOOKUP(R12,'[1]2023'!A47:F206,4,FALSE)</f>
        <v>#N/A</v>
      </c>
      <c r="S14" s="4" t="e">
        <f>VLOOKUP(S12,[1]PriceValue!A46:B226,2,FALSE)*VLOOKUP(S12,'[1]2023'!A47:F206,4,FALSE)</f>
        <v>#N/A</v>
      </c>
      <c r="T14" s="4" t="e">
        <f>VLOOKUP(T12,[1]PriceValue!A46:B226,2,FALSE)*VLOOKUP(T12,'[1]2023'!A47:F206,4,FALSE)</f>
        <v>#N/A</v>
      </c>
    </row>
    <row r="15" spans="1:20" x14ac:dyDescent="0.2">
      <c r="A15" s="18" t="e">
        <f>A13/A14</f>
        <v>#N/A</v>
      </c>
      <c r="B15" s="18" t="e">
        <f t="shared" ref="B15:T15" si="1">B13/B14</f>
        <v>#N/A</v>
      </c>
      <c r="C15" s="18" t="e">
        <f t="shared" si="1"/>
        <v>#N/A</v>
      </c>
      <c r="D15" s="18" t="e">
        <f t="shared" si="1"/>
        <v>#N/A</v>
      </c>
      <c r="E15" s="18" t="e">
        <f t="shared" si="1"/>
        <v>#N/A</v>
      </c>
      <c r="F15" s="18" t="e">
        <f t="shared" si="1"/>
        <v>#N/A</v>
      </c>
      <c r="G15" s="18" t="e">
        <f t="shared" si="1"/>
        <v>#N/A</v>
      </c>
      <c r="H15" s="18" t="e">
        <f t="shared" si="1"/>
        <v>#N/A</v>
      </c>
      <c r="I15" s="18" t="e">
        <f t="shared" si="1"/>
        <v>#N/A</v>
      </c>
      <c r="J15" s="18" t="e">
        <f t="shared" si="1"/>
        <v>#N/A</v>
      </c>
      <c r="K15" s="18" t="e">
        <f t="shared" si="1"/>
        <v>#N/A</v>
      </c>
      <c r="L15" s="18" t="e">
        <f t="shared" si="1"/>
        <v>#N/A</v>
      </c>
      <c r="M15" s="18" t="e">
        <f t="shared" si="1"/>
        <v>#N/A</v>
      </c>
      <c r="N15" s="18" t="e">
        <f t="shared" si="1"/>
        <v>#N/A</v>
      </c>
      <c r="O15" s="18" t="e">
        <f t="shared" si="1"/>
        <v>#N/A</v>
      </c>
      <c r="P15" s="18" t="e">
        <f t="shared" si="1"/>
        <v>#N/A</v>
      </c>
      <c r="Q15" s="18" t="e">
        <f t="shared" si="1"/>
        <v>#N/A</v>
      </c>
      <c r="R15" s="18" t="e">
        <f t="shared" si="1"/>
        <v>#N/A</v>
      </c>
      <c r="S15" s="18" t="e">
        <f t="shared" si="1"/>
        <v>#N/A</v>
      </c>
      <c r="T15" s="18" t="e">
        <f t="shared" si="1"/>
        <v>#N/A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38" t="s">
        <v>87</v>
      </c>
      <c r="B17" s="38"/>
      <c r="C17" s="38"/>
      <c r="D17" s="38"/>
      <c r="E17" s="38"/>
      <c r="F17" s="38"/>
      <c r="G17" s="38"/>
      <c r="H17" s="38"/>
      <c r="I17" s="38"/>
      <c r="J17" s="38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38" t="s">
        <v>90</v>
      </c>
      <c r="B20" s="38"/>
      <c r="C20" s="38"/>
      <c r="D20" s="38"/>
      <c r="E20" s="38"/>
      <c r="F20" s="38"/>
      <c r="G20" s="38"/>
      <c r="H20" s="38"/>
      <c r="I20" s="38"/>
      <c r="J20" s="38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38" t="s">
        <v>93</v>
      </c>
      <c r="B23" s="38"/>
      <c r="C23" s="38"/>
      <c r="D23" s="38"/>
      <c r="E23" s="38"/>
      <c r="F23" s="38"/>
      <c r="G23" s="38"/>
      <c r="H23" s="38"/>
      <c r="I23" s="38"/>
      <c r="J23" s="38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/>
    </row>
    <row r="28" spans="1:20" x14ac:dyDescent="0.2">
      <c r="A28" s="37" t="s">
        <v>23</v>
      </c>
      <c r="B28" s="37"/>
      <c r="C28" s="37"/>
      <c r="D28" s="37"/>
      <c r="E28" s="37"/>
      <c r="F28" s="37"/>
      <c r="G28" s="37"/>
      <c r="H28" s="37"/>
      <c r="I28" s="37"/>
      <c r="J28" s="37"/>
    </row>
    <row r="29" spans="1:20" x14ac:dyDescent="0.2">
      <c r="A29" s="10"/>
      <c r="B29" s="11"/>
      <c r="C29" s="12"/>
      <c r="D29" s="2"/>
      <c r="E29" s="13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</row>
    <row r="30" spans="1:20" x14ac:dyDescent="0.2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1:20" x14ac:dyDescent="0.2">
      <c r="A31" s="4" t="e">
        <f>VLOOKUP(A29,[1]PriceValue!A40:B194,2,FALSE)*VLOOKUP(A29,'[1]2023'!A41:F200,4,FALSE)</f>
        <v>#N/A</v>
      </c>
      <c r="B31" s="4" t="e">
        <f>VLOOKUP(B29,[1]PriceValue!A40:B194,2,FALSE)*VLOOKUP(B29,'[1]2023'!A41:F200,4,FALSE)</f>
        <v>#N/A</v>
      </c>
      <c r="C31" s="4" t="e">
        <f>VLOOKUP(C29,[1]PriceValue!A40:B194,2,FALSE)*VLOOKUP(C29,'[1]2023'!A41:F200,4,FALSE)</f>
        <v>#N/A</v>
      </c>
      <c r="D31" s="4" t="e">
        <f>VLOOKUP(D29,[1]PriceValue!A40:B194,2,FALSE)*VLOOKUP(D29,'[1]2023'!A41:F200,4,FALSE)</f>
        <v>#N/A</v>
      </c>
      <c r="E31" s="4" t="e">
        <f>VLOOKUP(E29,[1]PriceValue!A40:B194,2,FALSE)*VLOOKUP(E29,'[1]2023'!A41:F200,4,FALSE)</f>
        <v>#N/A</v>
      </c>
      <c r="F31" s="4" t="e">
        <f>VLOOKUP(F29,[1]PriceValue!A40:B194,2,FALSE)*VLOOKUP(F29,'[1]2023'!A41:F200,4,FALSE)</f>
        <v>#N/A</v>
      </c>
      <c r="G31" s="4" t="e">
        <f>VLOOKUP(G29,[1]PriceValue!A40:B194,2,FALSE)*VLOOKUP(G29,'[1]2023'!A41:F200,4,FALSE)</f>
        <v>#N/A</v>
      </c>
      <c r="H31" s="4" t="e">
        <f>VLOOKUP(H29,[1]PriceValue!A40:B194,2,FALSE)*VLOOKUP(H29,'[1]2023'!A41:F200,4,FALSE)</f>
        <v>#N/A</v>
      </c>
      <c r="I31" s="4" t="e">
        <f>VLOOKUP(I29,[1]PriceValue!A40:B194,2,FALSE)*VLOOKUP(I29,'[1]2023'!A41:F200,4,FALSE)</f>
        <v>#N/A</v>
      </c>
      <c r="J31" s="4" t="e">
        <f>VLOOKUP(J29,[1]PriceValue!A40:B194,2,FALSE)*VLOOKUP(J29,'[1]2023'!A41:F200,4,FALSE)</f>
        <v>#N/A</v>
      </c>
      <c r="K31" s="4" t="e">
        <f>VLOOKUP(K29,[1]PriceValue!A40:B194,2,FALSE)*VLOOKUP(K29,'[1]2023'!A41:F200,4,FALSE)</f>
        <v>#N/A</v>
      </c>
      <c r="L31" s="4" t="e">
        <f>VLOOKUP(L29,[1]PriceValue!A40:B194,2,FALSE)*VLOOKUP(L29,'[1]2023'!A41:F200,4,FALSE)</f>
        <v>#N/A</v>
      </c>
      <c r="M31" s="4" t="e">
        <f>VLOOKUP(M29,[1]PriceValue!A40:B194,2,FALSE)*VLOOKUP(M29,'[1]2023'!A41:F200,4,FALSE)</f>
        <v>#N/A</v>
      </c>
      <c r="N31" s="4" t="e">
        <f>VLOOKUP(N29,[1]PriceValue!A40:B194,2,FALSE)*VLOOKUP(N29,'[1]2023'!A41:F200,4,FALSE)</f>
        <v>#N/A</v>
      </c>
      <c r="O31" s="4" t="e">
        <f>VLOOKUP(O29,[1]PriceValue!A40:B194,2,FALSE)*VLOOKUP(O29,'[1]2023'!A41:F200,4,FALSE)</f>
        <v>#N/A</v>
      </c>
      <c r="P31" s="4" t="e">
        <f>VLOOKUP(P29,[1]PriceValue!A40:B194,2,FALSE)*VLOOKUP(P29,'[1]2023'!A41:F200,4,FALSE)</f>
        <v>#N/A</v>
      </c>
      <c r="Q31" s="4" t="e">
        <f>VLOOKUP(Q29,[1]PriceValue!A40:B194,2,FALSE)*VLOOKUP(Q29,'[1]2023'!A41:F200,4,FALSE)</f>
        <v>#N/A</v>
      </c>
      <c r="R31" s="4" t="e">
        <f>VLOOKUP(R29,[1]PriceValue!A40:B194,2,FALSE)*VLOOKUP(R29,'[1]2023'!A41:F200,4,FALSE)</f>
        <v>#N/A</v>
      </c>
      <c r="S31" s="4" t="e">
        <f>VLOOKUP(S29,[1]PriceValue!A40:B194,2,FALSE)*VLOOKUP(S29,'[1]2023'!A41:F200,4,FALSE)</f>
        <v>#N/A</v>
      </c>
      <c r="T31" s="4" t="e">
        <f>VLOOKUP(T29,[1]PriceValue!A40:B194,2,FALSE)*VLOOKUP(T29,'[1]2023'!A41:F200,4,FALSE)</f>
        <v>#N/A</v>
      </c>
    </row>
    <row r="32" spans="1:20" x14ac:dyDescent="0.2">
      <c r="A32" s="18" t="e">
        <f>-(A30/A31)</f>
        <v>#N/A</v>
      </c>
      <c r="B32" s="18" t="e">
        <f t="shared" ref="B32:T32" si="2">-(B30/B31)</f>
        <v>#N/A</v>
      </c>
      <c r="C32" s="18" t="e">
        <f t="shared" si="2"/>
        <v>#N/A</v>
      </c>
      <c r="D32" s="18" t="e">
        <f t="shared" si="2"/>
        <v>#N/A</v>
      </c>
      <c r="E32" s="18" t="e">
        <f t="shared" si="2"/>
        <v>#N/A</v>
      </c>
      <c r="F32" s="18" t="e">
        <f t="shared" si="2"/>
        <v>#N/A</v>
      </c>
      <c r="G32" s="18" t="e">
        <f t="shared" si="2"/>
        <v>#N/A</v>
      </c>
      <c r="H32" s="18" t="e">
        <f t="shared" si="2"/>
        <v>#N/A</v>
      </c>
      <c r="I32" s="18" t="e">
        <f t="shared" si="2"/>
        <v>#N/A</v>
      </c>
      <c r="J32" s="18" t="e">
        <f t="shared" si="2"/>
        <v>#N/A</v>
      </c>
      <c r="K32" s="18" t="e">
        <f t="shared" si="2"/>
        <v>#N/A</v>
      </c>
      <c r="L32" s="18" t="e">
        <f t="shared" si="2"/>
        <v>#N/A</v>
      </c>
      <c r="M32" s="18" t="e">
        <f t="shared" si="2"/>
        <v>#N/A</v>
      </c>
      <c r="N32" s="18" t="e">
        <f t="shared" si="2"/>
        <v>#N/A</v>
      </c>
      <c r="O32" s="18" t="e">
        <f t="shared" si="2"/>
        <v>#N/A</v>
      </c>
      <c r="P32" s="18" t="e">
        <f t="shared" si="2"/>
        <v>#N/A</v>
      </c>
      <c r="Q32" s="18" t="e">
        <f t="shared" si="2"/>
        <v>#N/A</v>
      </c>
      <c r="R32" s="18" t="e">
        <f t="shared" si="2"/>
        <v>#N/A</v>
      </c>
      <c r="S32" s="18" t="e">
        <f t="shared" si="2"/>
        <v>#N/A</v>
      </c>
      <c r="T32" s="18" t="e">
        <f t="shared" si="2"/>
        <v>#N/A</v>
      </c>
    </row>
    <row r="34" spans="1:20" x14ac:dyDescent="0.2">
      <c r="A34" s="35" t="s">
        <v>215</v>
      </c>
      <c r="B34" s="35"/>
      <c r="C34" s="35"/>
      <c r="D34" s="35"/>
      <c r="E34" s="35"/>
      <c r="F34" s="35"/>
      <c r="G34" s="35"/>
      <c r="H34" s="35"/>
      <c r="I34" s="35"/>
      <c r="J34" s="35"/>
    </row>
    <row r="35" spans="1:20" x14ac:dyDescent="0.2">
      <c r="A35" s="10"/>
      <c r="B35" s="11"/>
      <c r="C35" s="12"/>
      <c r="D35" s="2"/>
      <c r="E35" s="13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</row>
    <row r="36" spans="1:20" x14ac:dyDescent="0.2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7"/>
      <c r="M36" s="17"/>
      <c r="N36" s="17"/>
      <c r="O36" s="17"/>
      <c r="P36" s="17"/>
      <c r="Q36" s="17"/>
      <c r="R36" s="17"/>
      <c r="S36" s="17"/>
      <c r="T36" s="17"/>
    </row>
    <row r="37" spans="1:20" x14ac:dyDescent="0.2">
      <c r="A37" s="4" t="e">
        <f>VLOOKUP(A35,[1]PriceValue!A52:B206,2,FALSE)*VLOOKUP(A35,'[1]2023'!A53:F212,4,FALSE)</f>
        <v>#N/A</v>
      </c>
      <c r="B37" s="4" t="e">
        <f>VLOOKUP(B35,[1]PriceValue!A52:B206,2,FALSE)*VLOOKUP(B35,'[1]2023'!A53:F212,4,FALSE)</f>
        <v>#N/A</v>
      </c>
      <c r="C37" s="4" t="e">
        <f>VLOOKUP(C35,[1]PriceValue!A52:B206,2,FALSE)*VLOOKUP(C35,'[1]2023'!A53:F212,4,FALSE)</f>
        <v>#N/A</v>
      </c>
      <c r="D37" s="4" t="e">
        <f>VLOOKUP(D35,[1]PriceValue!A52:B206,2,FALSE)*VLOOKUP(D35,'[1]2023'!A53:F212,4,FALSE)</f>
        <v>#N/A</v>
      </c>
      <c r="E37" s="4" t="e">
        <f>VLOOKUP(E35,[1]PriceValue!A52:B206,2,FALSE)*VLOOKUP(E35,'[1]2023'!A53:F212,4,FALSE)</f>
        <v>#N/A</v>
      </c>
      <c r="F37" s="4" t="e">
        <f>VLOOKUP(F35,[1]PriceValue!A52:B206,2,FALSE)*VLOOKUP(F35,'[1]2023'!A53:F212,4,FALSE)</f>
        <v>#N/A</v>
      </c>
      <c r="G37" s="4" t="e">
        <f>VLOOKUP(G35,[1]PriceValue!A52:B206,2,FALSE)*VLOOKUP(G35,'[1]2023'!A53:F212,4,FALSE)</f>
        <v>#N/A</v>
      </c>
      <c r="H37" s="4" t="e">
        <f>VLOOKUP(H35,[1]PriceValue!A52:B206,2,FALSE)*VLOOKUP(H35,'[1]2023'!A53:F212,4,FALSE)</f>
        <v>#N/A</v>
      </c>
      <c r="I37" s="4" t="e">
        <f>VLOOKUP(I35,[1]PriceValue!A52:B206,2,FALSE)*VLOOKUP(I35,'[1]2023'!A53:F212,4,FALSE)</f>
        <v>#N/A</v>
      </c>
      <c r="J37" s="4" t="e">
        <f>VLOOKUP(J35,[1]PriceValue!A52:B250,2,FALSE)*VLOOKUP(J35,'[1]2023'!A53:F212,4,FALSE)</f>
        <v>#N/A</v>
      </c>
      <c r="K37" s="4" t="e">
        <f>VLOOKUP(K35,[1]PriceValue!A52:B206,2,FALSE)*VLOOKUP(K35,'[1]2023'!A53:F212,4,FALSE)</f>
        <v>#N/A</v>
      </c>
      <c r="L37" s="4" t="e">
        <f>VLOOKUP(L35,[1]PriceValue!A52:B206,2,FALSE)*VLOOKUP(L35,'[1]2023'!A53:F212,4,FALSE)</f>
        <v>#N/A</v>
      </c>
      <c r="M37" s="4" t="e">
        <f>VLOOKUP(M35,[1]PriceValue!A52:B206,2,FALSE)*VLOOKUP(M35,'[1]2023'!A53:F212,4,FALSE)</f>
        <v>#N/A</v>
      </c>
      <c r="N37" s="4" t="e">
        <f>VLOOKUP(N35,[1]PriceValue!A52:B206,2,FALSE)*VLOOKUP(N35,'[1]2023'!A53:F212,4,FALSE)</f>
        <v>#N/A</v>
      </c>
      <c r="O37" s="4" t="e">
        <f>VLOOKUP(O35,[1]PriceValue!A52:B206,2,FALSE)*VLOOKUP(O35,'[1]2023'!A53:F212,4,FALSE)</f>
        <v>#N/A</v>
      </c>
      <c r="P37" s="4" t="e">
        <f>VLOOKUP(P35,[1]PriceValue!A52:B206,2,FALSE)*VLOOKUP(P35,'[1]2023'!A53:F212,4,FALSE)</f>
        <v>#N/A</v>
      </c>
      <c r="Q37" s="4" t="e">
        <f>VLOOKUP(Q35,[1]PriceValue!A52:B206,2,FALSE)*VLOOKUP(Q35,'[1]2023'!A53:F212,4,FALSE)</f>
        <v>#N/A</v>
      </c>
      <c r="R37" s="4" t="e">
        <f>VLOOKUP(R35,[1]PriceValue!A52:B206,2,FALSE)*VLOOKUP(R35,'[1]2023'!A53:F212,4,FALSE)</f>
        <v>#N/A</v>
      </c>
      <c r="S37" s="4" t="e">
        <f>VLOOKUP(S35,[1]PriceValue!A52:B206,2,FALSE)*VLOOKUP(S35,'[1]2023'!A53:F212,4,FALSE)</f>
        <v>#N/A</v>
      </c>
      <c r="T37" s="4" t="e">
        <f>VLOOKUP(T35,[1]PriceValue!A52:B206,2,FALSE)*VLOOKUP(T35,'[1]2023'!A53:F212,4,FALSE)</f>
        <v>#N/A</v>
      </c>
    </row>
    <row r="38" spans="1:20" x14ac:dyDescent="0.2">
      <c r="A38" s="18" t="e">
        <f>-(A36/A37)</f>
        <v>#N/A</v>
      </c>
      <c r="B38" s="18" t="e">
        <f t="shared" ref="B38:T38" si="3">-(B36/B37)</f>
        <v>#N/A</v>
      </c>
      <c r="C38" s="18" t="e">
        <f t="shared" si="3"/>
        <v>#N/A</v>
      </c>
      <c r="D38" s="18" t="e">
        <f t="shared" si="3"/>
        <v>#N/A</v>
      </c>
      <c r="E38" s="18" t="e">
        <f t="shared" si="3"/>
        <v>#N/A</v>
      </c>
      <c r="F38" s="18" t="e">
        <f t="shared" si="3"/>
        <v>#N/A</v>
      </c>
      <c r="G38" s="18" t="e">
        <f t="shared" si="3"/>
        <v>#N/A</v>
      </c>
      <c r="H38" s="18" t="e">
        <f t="shared" si="3"/>
        <v>#N/A</v>
      </c>
      <c r="I38" s="18" t="e">
        <f t="shared" si="3"/>
        <v>#N/A</v>
      </c>
      <c r="J38" s="18" t="e">
        <f t="shared" si="3"/>
        <v>#N/A</v>
      </c>
      <c r="K38" s="18" t="e">
        <f t="shared" si="3"/>
        <v>#N/A</v>
      </c>
      <c r="L38" s="18" t="e">
        <f t="shared" si="3"/>
        <v>#N/A</v>
      </c>
      <c r="M38" s="18" t="e">
        <f t="shared" si="3"/>
        <v>#N/A</v>
      </c>
      <c r="N38" s="18" t="e">
        <f t="shared" si="3"/>
        <v>#N/A</v>
      </c>
      <c r="O38" s="18" t="e">
        <f t="shared" si="3"/>
        <v>#N/A</v>
      </c>
      <c r="P38" s="18" t="e">
        <f t="shared" si="3"/>
        <v>#N/A</v>
      </c>
      <c r="Q38" s="18" t="e">
        <f t="shared" si="3"/>
        <v>#N/A</v>
      </c>
      <c r="R38" s="18" t="e">
        <f t="shared" si="3"/>
        <v>#N/A</v>
      </c>
      <c r="S38" s="18" t="e">
        <f t="shared" si="3"/>
        <v>#N/A</v>
      </c>
      <c r="T38" s="18" t="e">
        <f t="shared" si="3"/>
        <v>#N/A</v>
      </c>
    </row>
    <row r="40" spans="1:20" x14ac:dyDescent="0.2">
      <c r="A40" s="36" t="s">
        <v>95</v>
      </c>
      <c r="B40" s="36"/>
      <c r="C40" s="36"/>
      <c r="D40" s="36"/>
      <c r="E40" s="36"/>
      <c r="F40" s="36"/>
      <c r="G40" s="36"/>
      <c r="H40" s="36"/>
      <c r="I40" s="36"/>
      <c r="J40" s="36"/>
    </row>
    <row r="41" spans="1:20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20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</row>
    <row r="43" spans="1:20" x14ac:dyDescent="0.2">
      <c r="A43" s="36" t="s">
        <v>96</v>
      </c>
      <c r="B43" s="36"/>
      <c r="C43" s="36"/>
      <c r="D43" s="36"/>
      <c r="E43" s="36"/>
      <c r="F43" s="36"/>
      <c r="G43" s="36"/>
      <c r="H43" s="36"/>
      <c r="I43" s="36"/>
      <c r="J43" s="36"/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</row>
    <row r="46" spans="1:20" x14ac:dyDescent="0.2">
      <c r="A46" s="36" t="s">
        <v>97</v>
      </c>
      <c r="B46" s="36"/>
      <c r="C46" s="36"/>
      <c r="D46" s="36"/>
      <c r="E46" s="36"/>
      <c r="F46" s="36"/>
      <c r="G46" s="36"/>
      <c r="H46" s="36"/>
      <c r="I46" s="36"/>
      <c r="J46" s="36"/>
    </row>
    <row r="47" spans="1:20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</row>
  </sheetData>
  <mergeCells count="10">
    <mergeCell ref="A34:J34"/>
    <mergeCell ref="A40:J40"/>
    <mergeCell ref="A43:J43"/>
    <mergeCell ref="A46:J46"/>
    <mergeCell ref="A5:J5"/>
    <mergeCell ref="A11:J11"/>
    <mergeCell ref="A17:J17"/>
    <mergeCell ref="A20:J20"/>
    <mergeCell ref="A23:J23"/>
    <mergeCell ref="A28:J2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8025B-155D-EA46-93A9-A993BE2C62B7}">
  <sheetPr codeName="Sheet1"/>
  <dimension ref="A1:X118"/>
  <sheetViews>
    <sheetView topLeftCell="D1" workbookViewId="0">
      <selection activeCell="Q3" sqref="Q3"/>
    </sheetView>
  </sheetViews>
  <sheetFormatPr baseColWidth="10" defaultRowHeight="16" x14ac:dyDescent="0.2"/>
  <cols>
    <col min="2" max="2" width="9.33203125" bestFit="1" customWidth="1"/>
    <col min="3" max="3" width="9.33203125" customWidth="1"/>
    <col min="4" max="6" width="10.83203125" customWidth="1"/>
    <col min="7" max="7" width="9.33203125" bestFit="1" customWidth="1"/>
    <col min="8" max="8" width="9.33203125" customWidth="1"/>
    <col min="9" max="13" width="10.83203125" customWidth="1"/>
    <col min="14" max="14" width="8.5" bestFit="1" customWidth="1"/>
    <col min="15" max="18" width="19.33203125" customWidth="1"/>
    <col min="19" max="19" width="10.83203125" customWidth="1"/>
    <col min="20" max="20" width="12" customWidth="1"/>
    <col min="21" max="21" width="10.83203125" customWidth="1"/>
    <col min="22" max="22" width="22.33203125" customWidth="1"/>
    <col min="23" max="23" width="17.83203125" customWidth="1"/>
  </cols>
  <sheetData>
    <row r="1" spans="1:24" x14ac:dyDescent="0.2">
      <c r="A1" s="3"/>
      <c r="B1" s="40" t="s">
        <v>0</v>
      </c>
      <c r="C1" s="40"/>
      <c r="D1" s="40"/>
      <c r="E1" s="40"/>
      <c r="F1" s="40"/>
      <c r="G1" s="41" t="s">
        <v>4</v>
      </c>
      <c r="H1" s="41"/>
      <c r="I1" s="41"/>
      <c r="J1" s="41"/>
      <c r="K1" s="41"/>
      <c r="L1" s="42" t="s">
        <v>84</v>
      </c>
      <c r="M1" s="42"/>
      <c r="N1" s="42"/>
      <c r="O1" s="42"/>
      <c r="P1" s="42"/>
      <c r="Q1" s="33"/>
      <c r="R1" s="33"/>
      <c r="S1" s="43" t="s">
        <v>85</v>
      </c>
      <c r="T1" s="43"/>
      <c r="U1" s="43"/>
      <c r="V1" s="43"/>
      <c r="W1" s="43"/>
    </row>
    <row r="2" spans="1:24" x14ac:dyDescent="0.2">
      <c r="A2" s="22" t="s">
        <v>120</v>
      </c>
      <c r="B2" s="22" t="s">
        <v>117</v>
      </c>
      <c r="C2" s="22" t="s">
        <v>121</v>
      </c>
      <c r="D2" t="s">
        <v>1</v>
      </c>
      <c r="E2" t="s">
        <v>2</v>
      </c>
      <c r="F2" t="s">
        <v>3</v>
      </c>
      <c r="G2" s="22" t="s">
        <v>117</v>
      </c>
      <c r="H2" s="22" t="s">
        <v>121</v>
      </c>
      <c r="I2" t="s">
        <v>1</v>
      </c>
      <c r="J2" t="s">
        <v>2</v>
      </c>
      <c r="K2" t="s">
        <v>3</v>
      </c>
      <c r="L2" t="s">
        <v>115</v>
      </c>
      <c r="M2" t="s">
        <v>2</v>
      </c>
      <c r="N2" t="s">
        <v>116</v>
      </c>
      <c r="O2" t="s">
        <v>118</v>
      </c>
      <c r="P2" s="34" t="s">
        <v>274</v>
      </c>
      <c r="Q2" s="34" t="s">
        <v>276</v>
      </c>
      <c r="R2" s="34" t="s">
        <v>275</v>
      </c>
      <c r="S2" t="s">
        <v>115</v>
      </c>
      <c r="T2" t="s">
        <v>2</v>
      </c>
      <c r="U2" t="s">
        <v>116</v>
      </c>
      <c r="V2" t="s">
        <v>118</v>
      </c>
      <c r="W2" t="s">
        <v>119</v>
      </c>
      <c r="X2" t="s">
        <v>369</v>
      </c>
    </row>
    <row r="3" spans="1:24" x14ac:dyDescent="0.2">
      <c r="A3" s="26" t="s">
        <v>375</v>
      </c>
      <c r="B3" s="27">
        <v>-3.5999999999999999E-3</v>
      </c>
      <c r="C3" s="24">
        <f t="shared" ref="C3:C11" si="0">B3+C4</f>
        <v>0.11370000000000004</v>
      </c>
      <c r="D3" s="17">
        <v>198</v>
      </c>
      <c r="E3" s="17">
        <v>71</v>
      </c>
      <c r="F3" s="17">
        <v>222</v>
      </c>
      <c r="G3" s="27">
        <v>-2.5999999999999999E-3</v>
      </c>
      <c r="H3" s="24">
        <f t="shared" ref="H3:H46" si="1">G3+H4</f>
        <v>0.12580000000000005</v>
      </c>
      <c r="I3" s="17">
        <v>9</v>
      </c>
      <c r="J3" s="17">
        <v>3</v>
      </c>
      <c r="K3" s="17">
        <v>18</v>
      </c>
      <c r="L3" s="17">
        <v>65</v>
      </c>
      <c r="M3" s="17">
        <v>1</v>
      </c>
      <c r="N3" s="17">
        <v>89</v>
      </c>
      <c r="O3" s="17">
        <v>-1468396534533</v>
      </c>
      <c r="P3" s="16">
        <f t="shared" ref="P3:P36" si="2">O3+P4</f>
        <v>-26939807387862</v>
      </c>
      <c r="Q3" s="17">
        <v>-764887564533</v>
      </c>
      <c r="R3" s="16">
        <f t="shared" ref="R3:R82" si="3">Q3+R4</f>
        <v>-15478165245683</v>
      </c>
      <c r="S3" s="17">
        <v>94</v>
      </c>
      <c r="T3" s="17">
        <v>0</v>
      </c>
      <c r="U3" s="17">
        <v>25</v>
      </c>
      <c r="V3" s="17">
        <v>220290953200</v>
      </c>
      <c r="W3" s="17">
        <f t="shared" ref="W3:W45" si="4">V3+W4</f>
        <v>-5377385600245</v>
      </c>
      <c r="X3" s="27">
        <v>0.24</v>
      </c>
    </row>
    <row r="4" spans="1:24" x14ac:dyDescent="0.2">
      <c r="A4" s="26" t="s">
        <v>370</v>
      </c>
      <c r="B4" s="27">
        <v>-5.0000000000000001E-3</v>
      </c>
      <c r="C4" s="24">
        <f t="shared" si="0"/>
        <v>0.11730000000000004</v>
      </c>
      <c r="D4" s="17">
        <v>156</v>
      </c>
      <c r="E4" s="17">
        <v>70</v>
      </c>
      <c r="F4" s="17">
        <v>277</v>
      </c>
      <c r="G4" s="27">
        <v>-3.7000000000000002E-3</v>
      </c>
      <c r="H4" s="24">
        <f t="shared" si="1"/>
        <v>0.12840000000000004</v>
      </c>
      <c r="I4" s="17">
        <v>8</v>
      </c>
      <c r="J4" s="17">
        <v>1</v>
      </c>
      <c r="K4" s="17">
        <v>21</v>
      </c>
      <c r="L4" s="17">
        <v>62</v>
      </c>
      <c r="M4" s="17">
        <v>0</v>
      </c>
      <c r="N4" s="17">
        <v>91</v>
      </c>
      <c r="O4" s="17">
        <v>-1289304741442</v>
      </c>
      <c r="P4" s="16">
        <f t="shared" si="2"/>
        <v>-25471410853329</v>
      </c>
      <c r="Q4" s="17">
        <v>-1228700591442</v>
      </c>
      <c r="R4" s="16">
        <f t="shared" si="3"/>
        <v>-14713277681150</v>
      </c>
      <c r="S4" s="17">
        <v>66</v>
      </c>
      <c r="T4" s="17">
        <v>0</v>
      </c>
      <c r="U4" s="17">
        <v>52</v>
      </c>
      <c r="V4" s="17">
        <v>-224818960200</v>
      </c>
      <c r="W4" s="17">
        <f t="shared" si="4"/>
        <v>-5597676553445</v>
      </c>
      <c r="X4" s="27">
        <v>0.27779999999999999</v>
      </c>
    </row>
    <row r="5" spans="1:24" x14ac:dyDescent="0.2">
      <c r="A5" s="26" t="s">
        <v>290</v>
      </c>
      <c r="B5" s="27">
        <v>-7.0999999999999995E-3</v>
      </c>
      <c r="C5" s="24">
        <f t="shared" si="0"/>
        <v>0.12230000000000005</v>
      </c>
      <c r="D5" s="17">
        <v>182</v>
      </c>
      <c r="E5" s="17">
        <v>61</v>
      </c>
      <c r="F5" s="17">
        <v>260</v>
      </c>
      <c r="G5" s="27">
        <v>-1.21E-2</v>
      </c>
      <c r="H5" s="24">
        <f t="shared" si="1"/>
        <v>0.13210000000000005</v>
      </c>
      <c r="I5" s="17">
        <v>2</v>
      </c>
      <c r="J5" s="17">
        <v>1</v>
      </c>
      <c r="K5" s="17">
        <v>27</v>
      </c>
      <c r="L5" s="17">
        <v>59</v>
      </c>
      <c r="M5" s="17">
        <v>1</v>
      </c>
      <c r="N5" s="17">
        <v>99</v>
      </c>
      <c r="O5" s="17">
        <v>-1571802171474</v>
      </c>
      <c r="P5" s="16">
        <f t="shared" si="2"/>
        <v>-24182106111887</v>
      </c>
      <c r="Q5" s="17">
        <v>-1474227231474</v>
      </c>
      <c r="R5" s="16">
        <f t="shared" si="3"/>
        <v>-13484577089708</v>
      </c>
      <c r="S5" s="17">
        <v>33</v>
      </c>
      <c r="T5" s="17">
        <v>0</v>
      </c>
      <c r="U5" s="17">
        <v>95</v>
      </c>
      <c r="V5" s="17">
        <v>-85770466500</v>
      </c>
      <c r="W5" s="17">
        <f t="shared" si="4"/>
        <v>-5372857593245</v>
      </c>
      <c r="X5" s="27">
        <v>0.27260000000000001</v>
      </c>
    </row>
    <row r="6" spans="1:24" x14ac:dyDescent="0.2">
      <c r="A6" s="32" t="s">
        <v>289</v>
      </c>
      <c r="B6" s="27">
        <v>1.11E-2</v>
      </c>
      <c r="C6" s="24">
        <f t="shared" si="0"/>
        <v>0.12940000000000004</v>
      </c>
      <c r="D6" s="17">
        <v>342</v>
      </c>
      <c r="E6" s="17">
        <v>69</v>
      </c>
      <c r="F6" s="17">
        <v>87</v>
      </c>
      <c r="G6" s="27">
        <v>1.1599999999999999E-2</v>
      </c>
      <c r="H6" s="24">
        <f t="shared" si="1"/>
        <v>0.14420000000000005</v>
      </c>
      <c r="I6" s="17">
        <v>27</v>
      </c>
      <c r="J6" s="17">
        <v>2</v>
      </c>
      <c r="K6" s="17">
        <v>1</v>
      </c>
      <c r="L6" s="17">
        <v>60</v>
      </c>
      <c r="M6" s="17">
        <v>0</v>
      </c>
      <c r="N6" s="17">
        <v>97</v>
      </c>
      <c r="O6" s="17">
        <v>-1123498507299</v>
      </c>
      <c r="P6" s="16">
        <f t="shared" si="2"/>
        <v>-22610303940413</v>
      </c>
      <c r="Q6" s="17">
        <v>-1028393237299</v>
      </c>
      <c r="R6" s="16">
        <f t="shared" si="3"/>
        <v>-12010349858234</v>
      </c>
      <c r="S6" s="17">
        <v>27</v>
      </c>
      <c r="T6" s="17">
        <v>0</v>
      </c>
      <c r="U6" s="17">
        <v>94</v>
      </c>
      <c r="V6" s="17">
        <v>-152435054300</v>
      </c>
      <c r="W6" s="17">
        <f t="shared" si="4"/>
        <v>-5287087126745</v>
      </c>
      <c r="X6" s="27">
        <v>0.31309999999999999</v>
      </c>
    </row>
    <row r="7" spans="1:24" x14ac:dyDescent="0.2">
      <c r="A7" s="26" t="s">
        <v>288</v>
      </c>
      <c r="B7" s="27">
        <v>4.5999999999999999E-3</v>
      </c>
      <c r="C7" s="24">
        <f t="shared" si="0"/>
        <v>0.11830000000000004</v>
      </c>
      <c r="D7" s="17">
        <v>233</v>
      </c>
      <c r="E7" s="17">
        <v>67</v>
      </c>
      <c r="F7" s="17">
        <v>198</v>
      </c>
      <c r="G7" s="27">
        <v>1.1000000000000001E-3</v>
      </c>
      <c r="H7" s="24">
        <f t="shared" si="1"/>
        <v>0.13260000000000005</v>
      </c>
      <c r="I7" s="17">
        <v>14</v>
      </c>
      <c r="J7" s="17">
        <v>9</v>
      </c>
      <c r="K7" s="17">
        <v>7</v>
      </c>
      <c r="L7" s="17">
        <v>76</v>
      </c>
      <c r="M7" s="17">
        <v>0</v>
      </c>
      <c r="N7" s="17">
        <v>79</v>
      </c>
      <c r="O7" s="17">
        <v>-541464853119</v>
      </c>
      <c r="P7" s="16">
        <f t="shared" si="2"/>
        <v>-21486805433114</v>
      </c>
      <c r="Q7" s="17">
        <v>-475012473119</v>
      </c>
      <c r="R7" s="16">
        <f t="shared" si="3"/>
        <v>-10981956620935</v>
      </c>
      <c r="S7" s="17">
        <v>31</v>
      </c>
      <c r="T7" s="17">
        <v>0</v>
      </c>
      <c r="U7" s="17">
        <v>43</v>
      </c>
      <c r="V7" s="17">
        <v>46192053100</v>
      </c>
      <c r="W7" s="17">
        <f t="shared" si="4"/>
        <v>-5134652072445</v>
      </c>
      <c r="X7" s="27">
        <v>0.35409999999999997</v>
      </c>
    </row>
    <row r="8" spans="1:24" x14ac:dyDescent="0.2">
      <c r="A8" s="26" t="s">
        <v>287</v>
      </c>
      <c r="B8" s="27">
        <v>-1.49E-2</v>
      </c>
      <c r="C8" s="24">
        <f t="shared" si="0"/>
        <v>0.11370000000000005</v>
      </c>
      <c r="D8" s="17">
        <v>93</v>
      </c>
      <c r="E8" s="17">
        <v>43</v>
      </c>
      <c r="F8" s="17">
        <v>364</v>
      </c>
      <c r="G8" s="27">
        <v>-1.6299999999999999E-2</v>
      </c>
      <c r="H8" s="24">
        <f t="shared" si="1"/>
        <v>0.13150000000000006</v>
      </c>
      <c r="I8" s="17">
        <v>4</v>
      </c>
      <c r="J8" s="17">
        <v>1</v>
      </c>
      <c r="K8" s="17">
        <v>25</v>
      </c>
      <c r="L8" s="17">
        <v>55</v>
      </c>
      <c r="M8" s="17">
        <v>1</v>
      </c>
      <c r="N8" s="17">
        <v>101</v>
      </c>
      <c r="O8" s="17">
        <v>-1544441754511</v>
      </c>
      <c r="P8" s="16">
        <f t="shared" si="2"/>
        <v>-20945340579995</v>
      </c>
      <c r="Q8" s="17">
        <v>-1400793274511</v>
      </c>
      <c r="R8" s="16">
        <f t="shared" si="3"/>
        <v>-10506944147816</v>
      </c>
      <c r="S8" s="17">
        <v>30</v>
      </c>
      <c r="T8" s="17">
        <v>0</v>
      </c>
      <c r="U8" s="17">
        <v>88</v>
      </c>
      <c r="V8" s="17">
        <v>-751920454600</v>
      </c>
      <c r="W8" s="17">
        <f t="shared" si="4"/>
        <v>-5180844125545</v>
      </c>
      <c r="X8" s="27">
        <v>0.31290000000000001</v>
      </c>
    </row>
    <row r="9" spans="1:24" x14ac:dyDescent="0.2">
      <c r="A9" s="26" t="s">
        <v>286</v>
      </c>
      <c r="B9" s="27">
        <v>1.11E-2</v>
      </c>
      <c r="C9" s="24">
        <f t="shared" si="0"/>
        <v>0.12860000000000005</v>
      </c>
      <c r="D9" s="17">
        <v>278</v>
      </c>
      <c r="E9" s="17">
        <v>65</v>
      </c>
      <c r="F9" s="17">
        <v>152</v>
      </c>
      <c r="G9" s="27">
        <v>1.03E-2</v>
      </c>
      <c r="H9" s="24">
        <f t="shared" si="1"/>
        <v>0.14780000000000007</v>
      </c>
      <c r="I9" s="17">
        <v>25</v>
      </c>
      <c r="J9" s="17">
        <v>0</v>
      </c>
      <c r="K9" s="17">
        <v>5</v>
      </c>
      <c r="L9" s="17">
        <v>75</v>
      </c>
      <c r="M9" s="17">
        <v>2</v>
      </c>
      <c r="N9" s="17">
        <v>79</v>
      </c>
      <c r="O9" s="17">
        <v>-17033728865</v>
      </c>
      <c r="P9" s="16">
        <f t="shared" si="2"/>
        <v>-19400898825484</v>
      </c>
      <c r="Q9" s="17">
        <v>90004741135</v>
      </c>
      <c r="R9" s="16">
        <f t="shared" si="3"/>
        <v>-9106150873305</v>
      </c>
      <c r="S9" s="17">
        <v>68</v>
      </c>
      <c r="T9" s="17">
        <v>0</v>
      </c>
      <c r="U9" s="17">
        <v>61</v>
      </c>
      <c r="V9" s="17">
        <v>138595436200</v>
      </c>
      <c r="W9" s="17">
        <f t="shared" si="4"/>
        <v>-4428923670945</v>
      </c>
      <c r="X9" s="27">
        <v>0.27429999999999999</v>
      </c>
    </row>
    <row r="10" spans="1:24" x14ac:dyDescent="0.2">
      <c r="A10" s="26" t="s">
        <v>285</v>
      </c>
      <c r="B10" s="27">
        <v>-8.0000000000000002E-3</v>
      </c>
      <c r="C10" s="24">
        <f t="shared" si="0"/>
        <v>0.11750000000000005</v>
      </c>
      <c r="D10" s="17">
        <v>173</v>
      </c>
      <c r="E10" s="17">
        <v>50</v>
      </c>
      <c r="F10" s="17">
        <v>291</v>
      </c>
      <c r="G10" s="27">
        <v>-1.3100000000000001E-2</v>
      </c>
      <c r="H10" s="24">
        <f t="shared" si="1"/>
        <v>0.13750000000000007</v>
      </c>
      <c r="I10" s="17">
        <v>5</v>
      </c>
      <c r="J10" s="17">
        <v>1</v>
      </c>
      <c r="K10" s="17">
        <v>24</v>
      </c>
      <c r="L10" s="17">
        <v>56</v>
      </c>
      <c r="M10" s="17">
        <v>1</v>
      </c>
      <c r="N10" s="17">
        <v>97</v>
      </c>
      <c r="O10" s="17">
        <v>-832906295905</v>
      </c>
      <c r="P10" s="16">
        <f t="shared" si="2"/>
        <v>-19383865096619</v>
      </c>
      <c r="Q10" s="17">
        <v>-591234435905</v>
      </c>
      <c r="R10" s="16">
        <f t="shared" si="3"/>
        <v>-9196155614440</v>
      </c>
      <c r="S10" s="17">
        <v>47</v>
      </c>
      <c r="T10" s="17">
        <v>0</v>
      </c>
      <c r="U10" s="17">
        <v>75</v>
      </c>
      <c r="V10" s="17">
        <v>-227506746400</v>
      </c>
      <c r="W10" s="17">
        <f t="shared" si="4"/>
        <v>-4567519107145</v>
      </c>
      <c r="X10" s="27">
        <v>0.32100000000000001</v>
      </c>
    </row>
    <row r="11" spans="1:24" x14ac:dyDescent="0.2">
      <c r="A11" s="26" t="s">
        <v>284</v>
      </c>
      <c r="B11" s="27">
        <v>-2.9999999999999997E-4</v>
      </c>
      <c r="C11" s="24">
        <f t="shared" si="0"/>
        <v>0.12550000000000006</v>
      </c>
      <c r="D11" s="17">
        <v>207</v>
      </c>
      <c r="E11" s="17">
        <v>66</v>
      </c>
      <c r="F11" s="17">
        <v>236</v>
      </c>
      <c r="G11" s="27">
        <v>-3.0000000000000001E-3</v>
      </c>
      <c r="H11" s="24">
        <f t="shared" si="1"/>
        <v>0.15060000000000007</v>
      </c>
      <c r="I11" s="17">
        <v>11</v>
      </c>
      <c r="J11" s="17">
        <v>3</v>
      </c>
      <c r="K11" s="17">
        <v>16</v>
      </c>
      <c r="L11" s="17">
        <v>56</v>
      </c>
      <c r="M11" s="17">
        <v>1</v>
      </c>
      <c r="N11" s="17">
        <v>99</v>
      </c>
      <c r="O11" s="17">
        <v>-1043894995967</v>
      </c>
      <c r="P11" s="16">
        <f t="shared" si="2"/>
        <v>-18550958800714</v>
      </c>
      <c r="Q11" s="17">
        <v>-849110955967</v>
      </c>
      <c r="R11" s="16">
        <f t="shared" si="3"/>
        <v>-8604921178535</v>
      </c>
      <c r="S11" s="17">
        <v>28</v>
      </c>
      <c r="T11" s="17">
        <v>0</v>
      </c>
      <c r="U11" s="17">
        <v>76</v>
      </c>
      <c r="V11" s="17">
        <v>-525099407000</v>
      </c>
      <c r="W11" s="17">
        <f t="shared" si="4"/>
        <v>-4340012360745</v>
      </c>
      <c r="X11" s="27">
        <v>0.28289999999999998</v>
      </c>
    </row>
    <row r="12" spans="1:24" x14ac:dyDescent="0.2">
      <c r="A12" s="26" t="s">
        <v>283</v>
      </c>
      <c r="B12" s="27">
        <v>3.4999999999999996E-3</v>
      </c>
      <c r="C12" s="24">
        <f t="shared" ref="C12:C46" si="5">B12+C13</f>
        <v>0.12580000000000005</v>
      </c>
      <c r="D12" s="17">
        <v>264</v>
      </c>
      <c r="E12" s="17">
        <v>69</v>
      </c>
      <c r="F12" s="17">
        <v>174</v>
      </c>
      <c r="G12" s="27">
        <v>1.8E-3</v>
      </c>
      <c r="H12" s="24">
        <f t="shared" si="1"/>
        <v>0.15360000000000007</v>
      </c>
      <c r="I12" s="17">
        <v>18</v>
      </c>
      <c r="J12" s="17">
        <v>2</v>
      </c>
      <c r="K12" s="17">
        <v>10</v>
      </c>
      <c r="L12" s="17">
        <v>57</v>
      </c>
      <c r="M12" s="17">
        <v>0</v>
      </c>
      <c r="N12" s="17">
        <v>104</v>
      </c>
      <c r="O12" s="17">
        <v>-1062064421941</v>
      </c>
      <c r="P12" s="16">
        <f t="shared" si="2"/>
        <v>-17507063804747</v>
      </c>
      <c r="Q12" s="17">
        <v>-830095141941</v>
      </c>
      <c r="R12" s="16">
        <f t="shared" si="3"/>
        <v>-7755810222568</v>
      </c>
      <c r="S12" s="17">
        <v>29</v>
      </c>
      <c r="T12" s="17">
        <v>0</v>
      </c>
      <c r="U12" s="17">
        <v>83</v>
      </c>
      <c r="V12" s="17">
        <v>-89900736600</v>
      </c>
      <c r="W12" s="17">
        <f t="shared" si="4"/>
        <v>-3814912953745</v>
      </c>
      <c r="X12" s="27">
        <v>0.35810000000000003</v>
      </c>
    </row>
    <row r="13" spans="1:24" x14ac:dyDescent="0.2">
      <c r="A13" s="26" t="s">
        <v>282</v>
      </c>
      <c r="B13" s="27">
        <v>3.4000000000000002E-3</v>
      </c>
      <c r="C13" s="24">
        <f t="shared" si="5"/>
        <v>0.12230000000000005</v>
      </c>
      <c r="D13" s="17">
        <v>234</v>
      </c>
      <c r="E13" s="17">
        <v>96</v>
      </c>
      <c r="F13" s="17">
        <v>176</v>
      </c>
      <c r="G13" s="27">
        <v>1.4000000000000002E-3</v>
      </c>
      <c r="H13" s="24">
        <f t="shared" si="1"/>
        <v>0.15180000000000007</v>
      </c>
      <c r="I13" s="17">
        <v>14</v>
      </c>
      <c r="J13" s="17">
        <v>4</v>
      </c>
      <c r="K13" s="17">
        <v>12</v>
      </c>
      <c r="L13" s="17">
        <v>58</v>
      </c>
      <c r="M13" s="17">
        <v>2</v>
      </c>
      <c r="N13" s="17">
        <v>91</v>
      </c>
      <c r="O13" s="17">
        <v>-729563407349</v>
      </c>
      <c r="P13" s="16">
        <f t="shared" si="2"/>
        <v>-16444999382806</v>
      </c>
      <c r="Q13" s="17">
        <v>-573908297349</v>
      </c>
      <c r="R13" s="16">
        <f t="shared" si="3"/>
        <v>-6925715080627</v>
      </c>
      <c r="S13" s="17">
        <v>80</v>
      </c>
      <c r="T13" s="17">
        <v>0</v>
      </c>
      <c r="U13" s="17">
        <v>49</v>
      </c>
      <c r="V13" s="17">
        <v>144090857400</v>
      </c>
      <c r="W13" s="17">
        <f t="shared" si="4"/>
        <v>-3725012217145</v>
      </c>
      <c r="X13" s="27">
        <v>0.32990000000000003</v>
      </c>
    </row>
    <row r="14" spans="1:24" x14ac:dyDescent="0.2">
      <c r="A14" s="26" t="s">
        <v>281</v>
      </c>
      <c r="B14" s="27">
        <v>1.15E-2</v>
      </c>
      <c r="C14" s="24">
        <f t="shared" si="5"/>
        <v>0.11890000000000005</v>
      </c>
      <c r="D14" s="17">
        <v>300</v>
      </c>
      <c r="E14" s="17">
        <v>80</v>
      </c>
      <c r="F14" s="17">
        <v>129</v>
      </c>
      <c r="G14" s="27">
        <v>1.4199999999999999E-2</v>
      </c>
      <c r="H14" s="24">
        <f t="shared" si="1"/>
        <v>0.15040000000000006</v>
      </c>
      <c r="I14" s="17">
        <v>24</v>
      </c>
      <c r="J14" s="17">
        <v>2</v>
      </c>
      <c r="K14" s="17">
        <v>4</v>
      </c>
      <c r="L14" s="17">
        <v>73</v>
      </c>
      <c r="M14" s="17">
        <v>0</v>
      </c>
      <c r="N14" s="17">
        <v>80</v>
      </c>
      <c r="O14" s="17">
        <v>32368370542</v>
      </c>
      <c r="P14" s="16">
        <f t="shared" si="2"/>
        <v>-15715435975457</v>
      </c>
      <c r="Q14" s="17">
        <v>231296034038</v>
      </c>
      <c r="R14" s="16">
        <f t="shared" si="3"/>
        <v>-6351806783278</v>
      </c>
      <c r="S14" s="17">
        <v>94</v>
      </c>
      <c r="T14" s="17">
        <v>0</v>
      </c>
      <c r="U14" s="17">
        <v>35</v>
      </c>
      <c r="V14" s="17">
        <v>981689584800</v>
      </c>
      <c r="W14" s="17">
        <f t="shared" si="4"/>
        <v>-3869103074545</v>
      </c>
      <c r="X14" s="27">
        <v>0.35920000000000002</v>
      </c>
    </row>
    <row r="15" spans="1:24" x14ac:dyDescent="0.2">
      <c r="A15" s="26" t="s">
        <v>280</v>
      </c>
      <c r="B15" s="27">
        <v>8.8999999999999999E-3</v>
      </c>
      <c r="C15" s="24">
        <f t="shared" si="5"/>
        <v>0.10740000000000005</v>
      </c>
      <c r="D15" s="17">
        <v>290</v>
      </c>
      <c r="E15" s="17">
        <v>94</v>
      </c>
      <c r="F15" s="17">
        <v>126</v>
      </c>
      <c r="G15" s="27">
        <v>9.8999999999999991E-3</v>
      </c>
      <c r="H15" s="24">
        <f t="shared" si="1"/>
        <v>0.13620000000000007</v>
      </c>
      <c r="I15" s="17">
        <v>26</v>
      </c>
      <c r="J15" s="17">
        <v>1</v>
      </c>
      <c r="K15" s="17">
        <v>3</v>
      </c>
      <c r="L15" s="17">
        <v>84</v>
      </c>
      <c r="M15" s="17">
        <v>0</v>
      </c>
      <c r="N15" s="17">
        <v>70</v>
      </c>
      <c r="O15" s="17">
        <v>362048739182</v>
      </c>
      <c r="P15" s="16">
        <f t="shared" si="2"/>
        <v>-15747804345999</v>
      </c>
      <c r="Q15" s="17">
        <v>510180639182</v>
      </c>
      <c r="R15" s="16">
        <f t="shared" si="3"/>
        <v>-6583102817316</v>
      </c>
      <c r="S15" s="17">
        <v>64</v>
      </c>
      <c r="T15" s="17">
        <v>0</v>
      </c>
      <c r="U15" s="17">
        <v>62</v>
      </c>
      <c r="V15" s="17">
        <v>334926546000</v>
      </c>
      <c r="W15" s="17">
        <f t="shared" si="4"/>
        <v>-4850792659345</v>
      </c>
      <c r="X15" s="27">
        <v>0.28309999999999996</v>
      </c>
    </row>
    <row r="16" spans="1:24" x14ac:dyDescent="0.2">
      <c r="A16" s="26" t="s">
        <v>279</v>
      </c>
      <c r="B16" s="27">
        <v>2.5000000000000001E-3</v>
      </c>
      <c r="C16" s="24">
        <f t="shared" si="5"/>
        <v>9.8500000000000046E-2</v>
      </c>
      <c r="D16" s="17">
        <v>226</v>
      </c>
      <c r="E16" s="17">
        <v>79</v>
      </c>
      <c r="F16" s="17">
        <v>201</v>
      </c>
      <c r="G16" s="27">
        <v>3.8E-3</v>
      </c>
      <c r="H16" s="24">
        <f t="shared" si="1"/>
        <v>0.12630000000000008</v>
      </c>
      <c r="I16" s="17">
        <v>13</v>
      </c>
      <c r="J16" s="17">
        <v>6</v>
      </c>
      <c r="K16" s="17">
        <v>11</v>
      </c>
      <c r="L16" s="17">
        <v>57</v>
      </c>
      <c r="M16" s="17">
        <v>1</v>
      </c>
      <c r="N16" s="17">
        <v>98</v>
      </c>
      <c r="O16" s="17">
        <v>-814936271811</v>
      </c>
      <c r="P16" s="16">
        <f t="shared" si="2"/>
        <v>-16109853085181</v>
      </c>
      <c r="Q16" s="17">
        <v>-615019763920</v>
      </c>
      <c r="R16" s="16">
        <f t="shared" si="3"/>
        <v>-7093283456498</v>
      </c>
      <c r="S16" s="17">
        <v>86</v>
      </c>
      <c r="T16" s="17">
        <v>0</v>
      </c>
      <c r="U16" s="17">
        <v>42</v>
      </c>
      <c r="V16" s="17">
        <v>44080789900</v>
      </c>
      <c r="W16" s="17">
        <f t="shared" si="4"/>
        <v>-5185719205345</v>
      </c>
      <c r="X16" s="27">
        <v>0.32780000000000004</v>
      </c>
    </row>
    <row r="17" spans="1:24" x14ac:dyDescent="0.2">
      <c r="A17" s="26" t="s">
        <v>278</v>
      </c>
      <c r="B17" s="27">
        <v>-3.5999999999999999E-3</v>
      </c>
      <c r="C17" s="24">
        <f t="shared" si="5"/>
        <v>9.6000000000000044E-2</v>
      </c>
      <c r="D17" s="17">
        <v>203</v>
      </c>
      <c r="E17" s="17">
        <v>72</v>
      </c>
      <c r="F17" s="17">
        <v>233</v>
      </c>
      <c r="G17" s="27">
        <v>-3.9000000000000003E-3</v>
      </c>
      <c r="H17" s="24">
        <f t="shared" si="1"/>
        <v>0.12250000000000007</v>
      </c>
      <c r="I17" s="17">
        <v>7</v>
      </c>
      <c r="J17" s="17">
        <v>4</v>
      </c>
      <c r="K17" s="17">
        <v>19</v>
      </c>
      <c r="L17" s="17">
        <v>37</v>
      </c>
      <c r="M17" s="17">
        <v>0</v>
      </c>
      <c r="N17" s="17">
        <v>115</v>
      </c>
      <c r="O17" s="17">
        <v>-953063368068</v>
      </c>
      <c r="P17" s="16">
        <f t="shared" si="2"/>
        <v>-15294916813370</v>
      </c>
      <c r="Q17" s="17">
        <v>-812420370682</v>
      </c>
      <c r="R17" s="16">
        <f t="shared" si="3"/>
        <v>-6478263692578</v>
      </c>
      <c r="S17" s="17">
        <v>88</v>
      </c>
      <c r="T17" s="17">
        <v>0</v>
      </c>
      <c r="U17" s="17">
        <v>47</v>
      </c>
      <c r="V17" s="17">
        <v>277642333800</v>
      </c>
      <c r="W17" s="17">
        <f t="shared" si="4"/>
        <v>-5229799995245</v>
      </c>
      <c r="X17" s="27">
        <v>0.26789999999999997</v>
      </c>
    </row>
    <row r="18" spans="1:24" x14ac:dyDescent="0.2">
      <c r="A18" s="26" t="s">
        <v>277</v>
      </c>
      <c r="B18" s="27">
        <v>-3.2000000000000002E-3</v>
      </c>
      <c r="C18" s="24">
        <f t="shared" si="5"/>
        <v>9.960000000000005E-2</v>
      </c>
      <c r="D18" s="17">
        <v>165</v>
      </c>
      <c r="E18" s="17">
        <v>75</v>
      </c>
      <c r="F18" s="17">
        <v>261</v>
      </c>
      <c r="G18" s="27">
        <v>-3.0999999999999999E-3</v>
      </c>
      <c r="H18" s="24">
        <f t="shared" si="1"/>
        <v>0.12640000000000007</v>
      </c>
      <c r="I18" s="17">
        <v>4</v>
      </c>
      <c r="J18" s="17">
        <v>4</v>
      </c>
      <c r="K18" s="17">
        <v>22</v>
      </c>
      <c r="L18" s="17">
        <v>54</v>
      </c>
      <c r="M18" s="17">
        <v>1</v>
      </c>
      <c r="N18" s="17">
        <v>97</v>
      </c>
      <c r="O18" s="17">
        <v>-451995489585</v>
      </c>
      <c r="P18" s="16">
        <f t="shared" si="2"/>
        <v>-14341853445302</v>
      </c>
      <c r="Q18" s="17">
        <v>-247199999585</v>
      </c>
      <c r="R18" s="16">
        <f t="shared" si="3"/>
        <v>-5665843321896</v>
      </c>
      <c r="S18" s="17">
        <v>46</v>
      </c>
      <c r="T18" s="17">
        <v>0</v>
      </c>
      <c r="U18" s="17">
        <v>78</v>
      </c>
      <c r="V18" s="17">
        <v>-140549666500</v>
      </c>
      <c r="W18" s="17">
        <f t="shared" si="4"/>
        <v>-5507442329045</v>
      </c>
      <c r="X18" s="27">
        <v>0.27310000000000001</v>
      </c>
    </row>
    <row r="19" spans="1:24" x14ac:dyDescent="0.2">
      <c r="A19" s="26" t="s">
        <v>273</v>
      </c>
      <c r="B19" s="27">
        <v>-1.5E-3</v>
      </c>
      <c r="C19" s="24">
        <f t="shared" si="5"/>
        <v>0.10280000000000004</v>
      </c>
      <c r="D19" s="17">
        <v>201</v>
      </c>
      <c r="E19" s="17">
        <v>67</v>
      </c>
      <c r="F19" s="17">
        <v>241</v>
      </c>
      <c r="G19" s="27">
        <v>-2.5999999999999999E-3</v>
      </c>
      <c r="H19" s="24">
        <f t="shared" si="1"/>
        <v>0.12950000000000006</v>
      </c>
      <c r="I19" s="17">
        <v>13</v>
      </c>
      <c r="J19" s="17">
        <v>1</v>
      </c>
      <c r="K19" s="17">
        <v>16</v>
      </c>
      <c r="L19" s="17">
        <v>47</v>
      </c>
      <c r="M19" s="17">
        <v>1</v>
      </c>
      <c r="N19" s="17">
        <v>107</v>
      </c>
      <c r="O19" s="17">
        <v>-1879599889815</v>
      </c>
      <c r="P19" s="16">
        <f t="shared" si="2"/>
        <v>-13889857955717</v>
      </c>
      <c r="Q19" s="17">
        <v>-625001169815</v>
      </c>
      <c r="R19" s="16">
        <f t="shared" si="3"/>
        <v>-5418643322311</v>
      </c>
      <c r="S19" s="17">
        <v>40</v>
      </c>
      <c r="T19" s="17">
        <v>0</v>
      </c>
      <c r="U19" s="17">
        <v>83</v>
      </c>
      <c r="V19" s="17">
        <v>-155288115500</v>
      </c>
      <c r="W19" s="17">
        <f t="shared" si="4"/>
        <v>-5366892662545</v>
      </c>
      <c r="X19" s="27">
        <v>0.32159999999999994</v>
      </c>
    </row>
    <row r="20" spans="1:24" x14ac:dyDescent="0.2">
      <c r="A20" s="26" t="s">
        <v>272</v>
      </c>
      <c r="B20" s="27">
        <v>1.5E-3</v>
      </c>
      <c r="C20" s="24">
        <f t="shared" si="5"/>
        <v>0.10430000000000005</v>
      </c>
      <c r="D20" s="17">
        <v>204</v>
      </c>
      <c r="E20" s="17">
        <v>68</v>
      </c>
      <c r="F20" s="17">
        <v>233</v>
      </c>
      <c r="G20" s="27">
        <v>0</v>
      </c>
      <c r="H20" s="24">
        <f t="shared" si="1"/>
        <v>0.13210000000000005</v>
      </c>
      <c r="I20" s="17">
        <v>12</v>
      </c>
      <c r="J20" s="17">
        <v>1</v>
      </c>
      <c r="K20" s="17">
        <v>17</v>
      </c>
      <c r="L20" s="17">
        <v>68</v>
      </c>
      <c r="M20" s="17">
        <v>3</v>
      </c>
      <c r="N20" s="17">
        <v>79</v>
      </c>
      <c r="O20" s="17">
        <v>-1210365193381</v>
      </c>
      <c r="P20" s="16">
        <f t="shared" si="2"/>
        <v>-12010258065902</v>
      </c>
      <c r="Q20" s="17">
        <v>-308603733381</v>
      </c>
      <c r="R20" s="16">
        <f t="shared" si="3"/>
        <v>-4793642152496</v>
      </c>
      <c r="S20" s="17">
        <v>23</v>
      </c>
      <c r="T20" s="17">
        <v>0</v>
      </c>
      <c r="U20" s="17">
        <v>73</v>
      </c>
      <c r="V20" s="17">
        <v>-855606034500</v>
      </c>
      <c r="W20" s="17">
        <f t="shared" si="4"/>
        <v>-5211604547045</v>
      </c>
      <c r="X20" s="27">
        <v>0.33340000000000003</v>
      </c>
    </row>
    <row r="21" spans="1:24" x14ac:dyDescent="0.2">
      <c r="A21" s="26" t="s">
        <v>271</v>
      </c>
      <c r="B21" s="27">
        <v>5.6999999999999993E-3</v>
      </c>
      <c r="C21" s="24">
        <f t="shared" si="5"/>
        <v>0.10280000000000004</v>
      </c>
      <c r="D21" s="17">
        <v>251</v>
      </c>
      <c r="E21" s="17">
        <v>75</v>
      </c>
      <c r="F21" s="17">
        <v>178</v>
      </c>
      <c r="G21" s="27">
        <v>8.0000000000000002E-3</v>
      </c>
      <c r="H21" s="24">
        <f t="shared" si="1"/>
        <v>0.13210000000000005</v>
      </c>
      <c r="I21" s="17">
        <v>16</v>
      </c>
      <c r="J21" s="17">
        <v>4</v>
      </c>
      <c r="K21" s="17">
        <v>10</v>
      </c>
      <c r="L21" s="17">
        <v>72</v>
      </c>
      <c r="M21" s="17">
        <v>1</v>
      </c>
      <c r="N21" s="17">
        <v>79</v>
      </c>
      <c r="O21" s="17">
        <v>173427725507</v>
      </c>
      <c r="P21" s="16">
        <f t="shared" si="2"/>
        <v>-10799892872521</v>
      </c>
      <c r="Q21" s="17">
        <v>235605145507</v>
      </c>
      <c r="R21" s="16">
        <f t="shared" si="3"/>
        <v>-4485038419115</v>
      </c>
      <c r="S21" s="17">
        <v>24</v>
      </c>
      <c r="T21" s="17">
        <v>0</v>
      </c>
      <c r="U21" s="17">
        <v>74</v>
      </c>
      <c r="V21" s="17">
        <v>-1102021564000</v>
      </c>
      <c r="W21" s="17">
        <f t="shared" si="4"/>
        <v>-4355998512545</v>
      </c>
      <c r="X21" s="27">
        <v>0.30199999999999999</v>
      </c>
    </row>
    <row r="22" spans="1:24" x14ac:dyDescent="0.2">
      <c r="A22" s="26" t="s">
        <v>270</v>
      </c>
      <c r="B22" s="27">
        <v>1.6799999999999999E-2</v>
      </c>
      <c r="C22" s="24">
        <f t="shared" si="5"/>
        <v>9.7100000000000047E-2</v>
      </c>
      <c r="D22" s="17">
        <v>390</v>
      </c>
      <c r="E22" s="17">
        <v>49</v>
      </c>
      <c r="F22" s="17">
        <v>76</v>
      </c>
      <c r="G22" s="27">
        <v>1.5100000000000001E-2</v>
      </c>
      <c r="H22" s="24">
        <f t="shared" si="1"/>
        <v>0.12410000000000004</v>
      </c>
      <c r="I22" s="17">
        <v>28</v>
      </c>
      <c r="J22" s="17">
        <v>0</v>
      </c>
      <c r="K22" s="17">
        <v>2</v>
      </c>
      <c r="L22" s="17">
        <v>106</v>
      </c>
      <c r="M22" s="17">
        <v>1</v>
      </c>
      <c r="N22" s="17">
        <v>47</v>
      </c>
      <c r="O22" s="17">
        <v>399132308544</v>
      </c>
      <c r="P22" s="16">
        <f t="shared" si="2"/>
        <v>-10973320598028</v>
      </c>
      <c r="Q22" s="17">
        <v>447126828544</v>
      </c>
      <c r="R22" s="16">
        <f t="shared" si="3"/>
        <v>-4720643564622</v>
      </c>
      <c r="S22" s="17">
        <v>63</v>
      </c>
      <c r="T22" s="17">
        <v>0</v>
      </c>
      <c r="U22" s="17">
        <v>59</v>
      </c>
      <c r="V22" s="17">
        <v>-189165222000</v>
      </c>
      <c r="W22" s="17">
        <f t="shared" si="4"/>
        <v>-3253976948545</v>
      </c>
      <c r="X22" s="27">
        <v>0.33860000000000001</v>
      </c>
    </row>
    <row r="23" spans="1:24" x14ac:dyDescent="0.2">
      <c r="A23" s="26" t="s">
        <v>269</v>
      </c>
      <c r="B23" s="27">
        <v>3.8E-3</v>
      </c>
      <c r="C23" s="24">
        <f t="shared" si="5"/>
        <v>8.0300000000000052E-2</v>
      </c>
      <c r="D23" s="17">
        <v>223</v>
      </c>
      <c r="E23" s="17">
        <v>80</v>
      </c>
      <c r="F23" s="17">
        <v>200</v>
      </c>
      <c r="G23" s="27">
        <v>6.7000000000000002E-3</v>
      </c>
      <c r="H23" s="24">
        <f t="shared" si="1"/>
        <v>0.10900000000000004</v>
      </c>
      <c r="I23" s="17">
        <v>16</v>
      </c>
      <c r="J23" s="17">
        <v>2</v>
      </c>
      <c r="K23" s="17">
        <v>12</v>
      </c>
      <c r="L23" s="17">
        <v>68</v>
      </c>
      <c r="M23" s="17">
        <v>1</v>
      </c>
      <c r="N23" s="17">
        <v>81</v>
      </c>
      <c r="O23" s="17">
        <v>669134180118</v>
      </c>
      <c r="P23" s="16">
        <f t="shared" si="2"/>
        <v>-11372452906572</v>
      </c>
      <c r="Q23" s="17">
        <v>718963090118</v>
      </c>
      <c r="R23" s="16">
        <f t="shared" si="3"/>
        <v>-5167770393166</v>
      </c>
      <c r="S23" s="17">
        <v>65</v>
      </c>
      <c r="T23" s="17">
        <v>0</v>
      </c>
      <c r="U23" s="17">
        <v>49</v>
      </c>
      <c r="V23" s="17">
        <v>829644265000</v>
      </c>
      <c r="W23" s="17">
        <f t="shared" si="4"/>
        <v>-3064811726545</v>
      </c>
      <c r="X23" s="27">
        <v>0.34420000000000001</v>
      </c>
    </row>
    <row r="24" spans="1:24" x14ac:dyDescent="0.2">
      <c r="A24" s="26" t="s">
        <v>268</v>
      </c>
      <c r="B24" s="27">
        <v>5.6999999999999993E-3</v>
      </c>
      <c r="C24" s="24">
        <f t="shared" si="5"/>
        <v>7.6500000000000054E-2</v>
      </c>
      <c r="D24" s="17">
        <v>268</v>
      </c>
      <c r="E24" s="17">
        <v>75</v>
      </c>
      <c r="F24" s="17">
        <v>194</v>
      </c>
      <c r="G24" s="27">
        <v>5.4000000000000003E-3</v>
      </c>
      <c r="H24" s="24">
        <f t="shared" si="1"/>
        <v>0.10230000000000004</v>
      </c>
      <c r="I24" s="17">
        <v>19</v>
      </c>
      <c r="J24" s="17">
        <v>2</v>
      </c>
      <c r="K24" s="17">
        <v>9</v>
      </c>
      <c r="L24" s="17">
        <v>51</v>
      </c>
      <c r="M24" s="17">
        <v>1</v>
      </c>
      <c r="N24" s="17">
        <v>100</v>
      </c>
      <c r="O24" s="17">
        <v>-765818575698</v>
      </c>
      <c r="P24" s="16">
        <f t="shared" si="2"/>
        <v>-12041587086690</v>
      </c>
      <c r="Q24" s="17">
        <v>-805029275698</v>
      </c>
      <c r="R24" s="16">
        <f t="shared" si="3"/>
        <v>-5886733483284</v>
      </c>
      <c r="S24" s="17">
        <v>24</v>
      </c>
      <c r="T24" s="17">
        <v>0</v>
      </c>
      <c r="U24" s="17">
        <v>84</v>
      </c>
      <c r="V24" s="17">
        <v>-50888896000</v>
      </c>
      <c r="W24" s="17">
        <f t="shared" si="4"/>
        <v>-3894455991545</v>
      </c>
      <c r="X24" s="27">
        <v>0.31579999999999997</v>
      </c>
    </row>
    <row r="25" spans="1:24" x14ac:dyDescent="0.2">
      <c r="A25" s="26" t="s">
        <v>267</v>
      </c>
      <c r="B25" s="27">
        <v>3.8E-3</v>
      </c>
      <c r="C25" s="24">
        <f t="shared" si="5"/>
        <v>7.0800000000000057E-2</v>
      </c>
      <c r="D25" s="17">
        <v>209</v>
      </c>
      <c r="E25" s="17">
        <v>97</v>
      </c>
      <c r="F25" s="17">
        <v>227</v>
      </c>
      <c r="G25" s="27">
        <v>5.5000000000000005E-3</v>
      </c>
      <c r="H25" s="24">
        <f t="shared" si="1"/>
        <v>9.6900000000000042E-2</v>
      </c>
      <c r="I25" s="17">
        <v>13</v>
      </c>
      <c r="J25" s="17">
        <v>4</v>
      </c>
      <c r="K25" s="17">
        <v>13</v>
      </c>
      <c r="L25" s="17">
        <v>65</v>
      </c>
      <c r="M25" s="17">
        <v>1</v>
      </c>
      <c r="N25" s="17">
        <v>86</v>
      </c>
      <c r="O25" s="17">
        <v>380910339440</v>
      </c>
      <c r="P25" s="16">
        <f t="shared" si="2"/>
        <v>-11275768510992</v>
      </c>
      <c r="Q25" s="17">
        <v>337636709440</v>
      </c>
      <c r="R25" s="16">
        <f t="shared" si="3"/>
        <v>-5081704207586</v>
      </c>
      <c r="S25" s="17">
        <v>60</v>
      </c>
      <c r="T25" s="17">
        <v>0</v>
      </c>
      <c r="U25" s="17">
        <v>54</v>
      </c>
      <c r="V25" s="17">
        <v>-273971747300</v>
      </c>
      <c r="W25" s="17">
        <f t="shared" si="4"/>
        <v>-3843567095545</v>
      </c>
      <c r="X25" s="27">
        <v>0.3306</v>
      </c>
    </row>
    <row r="26" spans="1:24" x14ac:dyDescent="0.2">
      <c r="A26" s="26" t="s">
        <v>266</v>
      </c>
      <c r="B26" s="27">
        <v>-5.0000000000000001E-4</v>
      </c>
      <c r="C26" s="24">
        <f t="shared" si="5"/>
        <v>6.700000000000006E-2</v>
      </c>
      <c r="D26" s="17">
        <v>166</v>
      </c>
      <c r="E26" s="17">
        <v>74</v>
      </c>
      <c r="F26" s="17">
        <v>293</v>
      </c>
      <c r="G26" s="27">
        <v>1.2999999999999999E-3</v>
      </c>
      <c r="H26" s="24">
        <f t="shared" si="1"/>
        <v>9.1400000000000037E-2</v>
      </c>
      <c r="I26" s="17">
        <v>11</v>
      </c>
      <c r="J26" s="17">
        <v>3</v>
      </c>
      <c r="K26" s="17">
        <v>16</v>
      </c>
      <c r="L26" s="17">
        <v>50</v>
      </c>
      <c r="M26" s="17">
        <v>4</v>
      </c>
      <c r="N26" s="17">
        <v>97</v>
      </c>
      <c r="O26" s="17">
        <v>-32986544486</v>
      </c>
      <c r="P26" s="16">
        <f t="shared" si="2"/>
        <v>-11656678850432</v>
      </c>
      <c r="Q26" s="17">
        <v>-1905444486</v>
      </c>
      <c r="R26" s="16">
        <f t="shared" si="3"/>
        <v>-5419340917026</v>
      </c>
      <c r="S26" s="17">
        <v>36</v>
      </c>
      <c r="T26" s="17">
        <v>0</v>
      </c>
      <c r="U26" s="17">
        <v>74</v>
      </c>
      <c r="V26" s="17">
        <v>-859350129000</v>
      </c>
      <c r="W26" s="17">
        <f t="shared" si="4"/>
        <v>-3569595348245</v>
      </c>
      <c r="X26" s="27">
        <v>0.30990000000000001</v>
      </c>
    </row>
    <row r="27" spans="1:24" x14ac:dyDescent="0.2">
      <c r="A27" s="26" t="s">
        <v>265</v>
      </c>
      <c r="B27" s="27">
        <v>2.4E-2</v>
      </c>
      <c r="C27" s="24">
        <f t="shared" si="5"/>
        <v>6.750000000000006E-2</v>
      </c>
      <c r="D27" s="17">
        <v>435</v>
      </c>
      <c r="E27" s="17">
        <v>39</v>
      </c>
      <c r="F27" s="17">
        <v>69</v>
      </c>
      <c r="G27" s="27">
        <v>2.6499999999999999E-2</v>
      </c>
      <c r="H27" s="24">
        <f t="shared" si="1"/>
        <v>9.0100000000000041E-2</v>
      </c>
      <c r="I27" s="17">
        <v>0</v>
      </c>
      <c r="J27" s="17">
        <v>0</v>
      </c>
      <c r="K27" s="17">
        <v>30</v>
      </c>
      <c r="L27" s="17">
        <v>95</v>
      </c>
      <c r="M27" s="17">
        <v>1</v>
      </c>
      <c r="N27" s="17">
        <v>60</v>
      </c>
      <c r="O27" s="17">
        <v>728228976764</v>
      </c>
      <c r="P27" s="16">
        <f t="shared" si="2"/>
        <v>-11623692305946</v>
      </c>
      <c r="Q27" s="17">
        <v>822308136764</v>
      </c>
      <c r="R27" s="16">
        <f t="shared" si="3"/>
        <v>-5417435472540</v>
      </c>
      <c r="S27" s="17">
        <v>85</v>
      </c>
      <c r="T27" s="17">
        <v>0</v>
      </c>
      <c r="U27" s="17">
        <v>41</v>
      </c>
      <c r="V27" s="17">
        <v>-189190713000</v>
      </c>
      <c r="W27" s="17">
        <f t="shared" si="4"/>
        <v>-2710245219245</v>
      </c>
      <c r="X27" s="27">
        <v>0.3422</v>
      </c>
    </row>
    <row r="28" spans="1:24" x14ac:dyDescent="0.2">
      <c r="A28" s="26" t="s">
        <v>264</v>
      </c>
      <c r="B28" s="27">
        <v>-1.0800000000000001E-2</v>
      </c>
      <c r="C28" s="24">
        <f t="shared" si="5"/>
        <v>4.3500000000000053E-2</v>
      </c>
      <c r="D28" s="17">
        <v>117</v>
      </c>
      <c r="E28" s="17">
        <v>57</v>
      </c>
      <c r="F28" s="17">
        <v>360</v>
      </c>
      <c r="G28" s="27">
        <v>-5.1999999999999998E-3</v>
      </c>
      <c r="H28" s="24">
        <f t="shared" si="1"/>
        <v>6.3600000000000045E-2</v>
      </c>
      <c r="I28" s="17">
        <v>6</v>
      </c>
      <c r="J28" s="17">
        <v>0</v>
      </c>
      <c r="K28" s="17">
        <v>24</v>
      </c>
      <c r="L28" s="17">
        <v>59</v>
      </c>
      <c r="M28" s="17">
        <v>3</v>
      </c>
      <c r="N28" s="17">
        <v>89</v>
      </c>
      <c r="O28" s="17">
        <v>-229636012587</v>
      </c>
      <c r="P28" s="16">
        <f t="shared" si="2"/>
        <v>-12351921282710</v>
      </c>
      <c r="Q28" s="17">
        <v>-36672632587</v>
      </c>
      <c r="R28" s="16">
        <f t="shared" si="3"/>
        <v>-6239743609304</v>
      </c>
      <c r="S28" s="17">
        <v>66</v>
      </c>
      <c r="T28" s="17">
        <v>0</v>
      </c>
      <c r="U28" s="17">
        <v>52</v>
      </c>
      <c r="V28" s="17">
        <v>-1108842967000</v>
      </c>
      <c r="W28" s="17">
        <f t="shared" si="4"/>
        <v>-2521054506245</v>
      </c>
      <c r="X28" s="27">
        <v>0.35149999999999998</v>
      </c>
    </row>
    <row r="29" spans="1:24" x14ac:dyDescent="0.2">
      <c r="A29" s="26" t="s">
        <v>263</v>
      </c>
      <c r="B29" s="27">
        <v>1.3100000000000001E-2</v>
      </c>
      <c r="C29" s="24">
        <f t="shared" si="5"/>
        <v>5.430000000000005E-2</v>
      </c>
      <c r="D29" s="17">
        <v>374</v>
      </c>
      <c r="E29" s="17">
        <v>59</v>
      </c>
      <c r="F29" s="17">
        <v>114</v>
      </c>
      <c r="G29" s="27">
        <v>1.06E-2</v>
      </c>
      <c r="H29" s="24">
        <f t="shared" si="1"/>
        <v>6.8800000000000042E-2</v>
      </c>
      <c r="I29" s="17">
        <v>23</v>
      </c>
      <c r="J29" s="17">
        <v>3</v>
      </c>
      <c r="K29" s="17">
        <v>4</v>
      </c>
      <c r="L29" s="17">
        <v>74</v>
      </c>
      <c r="M29" s="17">
        <v>1</v>
      </c>
      <c r="N29" s="17">
        <v>74</v>
      </c>
      <c r="O29" s="17">
        <v>195855790572</v>
      </c>
      <c r="P29" s="16">
        <f t="shared" si="2"/>
        <v>-12122285270123</v>
      </c>
      <c r="Q29" s="17">
        <v>320267840572</v>
      </c>
      <c r="R29" s="16">
        <f t="shared" si="3"/>
        <v>-6203070976717</v>
      </c>
      <c r="S29" s="17">
        <v>78</v>
      </c>
      <c r="T29" s="17">
        <v>0</v>
      </c>
      <c r="U29" s="17">
        <v>39</v>
      </c>
      <c r="V29" s="17">
        <v>301837864000</v>
      </c>
      <c r="W29" s="17">
        <f t="shared" si="4"/>
        <v>-1412211539245</v>
      </c>
      <c r="X29" s="27">
        <v>0.34460000000000002</v>
      </c>
    </row>
    <row r="30" spans="1:24" x14ac:dyDescent="0.2">
      <c r="A30" s="32" t="s">
        <v>261</v>
      </c>
      <c r="B30" s="27">
        <v>-1.52E-2</v>
      </c>
      <c r="C30" s="24">
        <f t="shared" si="5"/>
        <v>4.1200000000000049E-2</v>
      </c>
      <c r="D30" s="17">
        <v>90</v>
      </c>
      <c r="E30" s="17">
        <v>54</v>
      </c>
      <c r="F30" s="17">
        <v>405</v>
      </c>
      <c r="G30" s="27">
        <v>-1.38E-2</v>
      </c>
      <c r="H30" s="24">
        <f t="shared" si="1"/>
        <v>5.8200000000000036E-2</v>
      </c>
      <c r="I30" s="17">
        <v>2</v>
      </c>
      <c r="J30" s="17">
        <v>3</v>
      </c>
      <c r="K30" s="17">
        <v>25</v>
      </c>
      <c r="L30" s="17">
        <v>89</v>
      </c>
      <c r="M30" s="17">
        <v>1</v>
      </c>
      <c r="N30" s="17">
        <v>59</v>
      </c>
      <c r="O30" s="17">
        <v>662537876864</v>
      </c>
      <c r="P30" s="16">
        <f t="shared" si="2"/>
        <v>-12318141060695</v>
      </c>
      <c r="Q30" s="17">
        <v>767724136864</v>
      </c>
      <c r="R30" s="16">
        <f t="shared" si="3"/>
        <v>-6523338817289</v>
      </c>
      <c r="S30" s="17">
        <v>112</v>
      </c>
      <c r="T30" s="17">
        <v>0</v>
      </c>
      <c r="U30" s="17">
        <v>10</v>
      </c>
      <c r="V30" s="17">
        <v>723031588000</v>
      </c>
      <c r="W30" s="17">
        <f t="shared" si="4"/>
        <v>-1714049403245</v>
      </c>
      <c r="X30" s="27">
        <v>0.2959</v>
      </c>
    </row>
    <row r="31" spans="1:24" x14ac:dyDescent="0.2">
      <c r="A31" s="26" t="s">
        <v>260</v>
      </c>
      <c r="B31" s="27">
        <v>-1.8600000000000002E-2</v>
      </c>
      <c r="C31" s="24">
        <f t="shared" si="5"/>
        <v>5.6400000000000047E-2</v>
      </c>
      <c r="D31" s="17">
        <v>137</v>
      </c>
      <c r="E31" s="17">
        <v>57</v>
      </c>
      <c r="F31" s="17">
        <v>348</v>
      </c>
      <c r="G31" s="27">
        <v>-1.78E-2</v>
      </c>
      <c r="H31" s="24">
        <f t="shared" si="1"/>
        <v>7.2000000000000036E-2</v>
      </c>
      <c r="I31" s="17">
        <v>4</v>
      </c>
      <c r="J31" s="17">
        <v>0</v>
      </c>
      <c r="K31" s="17">
        <v>26</v>
      </c>
      <c r="L31" s="17">
        <v>50</v>
      </c>
      <c r="M31" s="17">
        <v>2</v>
      </c>
      <c r="N31" s="17">
        <v>95</v>
      </c>
      <c r="O31" s="17">
        <v>-565429370147</v>
      </c>
      <c r="P31" s="16">
        <f t="shared" si="2"/>
        <v>-12980678937559</v>
      </c>
      <c r="Q31" s="17">
        <v>-353583320147</v>
      </c>
      <c r="R31" s="16">
        <f t="shared" si="3"/>
        <v>-7291062954153</v>
      </c>
      <c r="S31" s="17">
        <v>94</v>
      </c>
      <c r="T31" s="17">
        <v>0</v>
      </c>
      <c r="U31" s="17">
        <v>37</v>
      </c>
      <c r="V31" s="17">
        <v>-128857744000</v>
      </c>
      <c r="W31" s="17">
        <f t="shared" si="4"/>
        <v>-2437080991245</v>
      </c>
      <c r="X31" s="27">
        <v>0.30099999999999999</v>
      </c>
    </row>
    <row r="32" spans="1:24" x14ac:dyDescent="0.2">
      <c r="A32" s="26" t="s">
        <v>259</v>
      </c>
      <c r="B32" s="27">
        <v>-8.0000000000000004E-4</v>
      </c>
      <c r="C32" s="24">
        <f t="shared" si="5"/>
        <v>7.5000000000000053E-2</v>
      </c>
      <c r="D32" s="17">
        <v>140</v>
      </c>
      <c r="E32" s="17">
        <v>58</v>
      </c>
      <c r="F32" s="17">
        <v>361</v>
      </c>
      <c r="G32" s="27">
        <v>3.9000000000000003E-3</v>
      </c>
      <c r="H32" s="24">
        <f t="shared" si="1"/>
        <v>8.9800000000000033E-2</v>
      </c>
      <c r="I32" s="17">
        <v>14</v>
      </c>
      <c r="J32" s="17">
        <v>3</v>
      </c>
      <c r="K32" s="17">
        <v>13</v>
      </c>
      <c r="L32" s="17">
        <v>95</v>
      </c>
      <c r="M32" s="17">
        <v>3</v>
      </c>
      <c r="N32" s="17">
        <v>57</v>
      </c>
      <c r="O32" s="17">
        <v>155661052869</v>
      </c>
      <c r="P32" s="16">
        <f t="shared" si="2"/>
        <v>-12415249567412</v>
      </c>
      <c r="Q32" s="17">
        <v>410746162869</v>
      </c>
      <c r="R32" s="16">
        <f t="shared" si="3"/>
        <v>-6937479634006</v>
      </c>
      <c r="S32" s="17">
        <v>116</v>
      </c>
      <c r="T32" s="17">
        <v>0</v>
      </c>
      <c r="U32" s="17">
        <v>11</v>
      </c>
      <c r="V32" s="17">
        <v>1543796540000</v>
      </c>
      <c r="W32" s="17">
        <f t="shared" si="4"/>
        <v>-2308223247245</v>
      </c>
      <c r="X32" s="27">
        <v>0.30790000000000001</v>
      </c>
    </row>
    <row r="33" spans="1:24" x14ac:dyDescent="0.2">
      <c r="A33" s="26" t="s">
        <v>258</v>
      </c>
      <c r="B33" s="27">
        <v>-4.7E-2</v>
      </c>
      <c r="C33" s="24">
        <f t="shared" si="5"/>
        <v>7.5800000000000048E-2</v>
      </c>
      <c r="D33" s="17">
        <v>40</v>
      </c>
      <c r="E33" s="17">
        <v>30</v>
      </c>
      <c r="F33" s="17">
        <v>475</v>
      </c>
      <c r="G33" s="27">
        <v>-4.4199999999999996E-2</v>
      </c>
      <c r="H33" s="24">
        <f t="shared" si="1"/>
        <v>8.5900000000000032E-2</v>
      </c>
      <c r="I33" s="17">
        <v>1</v>
      </c>
      <c r="J33" s="17">
        <v>0</v>
      </c>
      <c r="K33" s="17">
        <v>29</v>
      </c>
      <c r="L33" s="17">
        <v>58</v>
      </c>
      <c r="M33" s="17">
        <v>3</v>
      </c>
      <c r="N33" s="17">
        <v>91</v>
      </c>
      <c r="O33" s="17">
        <v>-1292132480945</v>
      </c>
      <c r="P33" s="16">
        <f t="shared" si="2"/>
        <v>-12570910620281</v>
      </c>
      <c r="Q33" s="17">
        <v>-970466060945</v>
      </c>
      <c r="R33" s="16">
        <f t="shared" si="3"/>
        <v>-7348225796875</v>
      </c>
      <c r="S33" s="17">
        <v>105</v>
      </c>
      <c r="T33" s="17">
        <v>0</v>
      </c>
      <c r="U33" s="17">
        <v>19</v>
      </c>
      <c r="V33" s="17">
        <v>837765841000</v>
      </c>
      <c r="W33" s="17">
        <f t="shared" si="4"/>
        <v>-3852019787245</v>
      </c>
      <c r="X33" s="27">
        <v>0.36979999999999996</v>
      </c>
    </row>
    <row r="34" spans="1:24" x14ac:dyDescent="0.2">
      <c r="A34" s="26" t="s">
        <v>257</v>
      </c>
      <c r="B34" s="27">
        <v>1.46E-2</v>
      </c>
      <c r="C34" s="24">
        <f t="shared" si="5"/>
        <v>0.12280000000000005</v>
      </c>
      <c r="D34" s="17">
        <v>317</v>
      </c>
      <c r="E34" s="17">
        <v>55</v>
      </c>
      <c r="F34" s="17">
        <v>143</v>
      </c>
      <c r="G34" s="27">
        <v>1.7299999999999999E-2</v>
      </c>
      <c r="H34" s="24">
        <f t="shared" si="1"/>
        <v>0.13010000000000002</v>
      </c>
      <c r="I34" s="17">
        <v>29</v>
      </c>
      <c r="J34" s="17">
        <v>0</v>
      </c>
      <c r="K34" s="17">
        <v>1</v>
      </c>
      <c r="L34" s="17">
        <v>48</v>
      </c>
      <c r="M34" s="17">
        <v>2</v>
      </c>
      <c r="N34" s="17">
        <v>96</v>
      </c>
      <c r="O34" s="17">
        <v>-723406590932</v>
      </c>
      <c r="P34" s="16">
        <f t="shared" si="2"/>
        <v>-11278778139336</v>
      </c>
      <c r="Q34" s="17">
        <v>-463017920932</v>
      </c>
      <c r="R34" s="16">
        <f t="shared" si="3"/>
        <v>-6377759735930</v>
      </c>
      <c r="S34" s="17">
        <v>50</v>
      </c>
      <c r="T34" s="17">
        <v>0</v>
      </c>
      <c r="U34" s="17">
        <v>74</v>
      </c>
      <c r="V34" s="17">
        <v>66128945000</v>
      </c>
      <c r="W34" s="17">
        <f t="shared" si="4"/>
        <v>-4689785628245</v>
      </c>
      <c r="X34" s="27">
        <v>0.49909999999999999</v>
      </c>
    </row>
    <row r="35" spans="1:24" x14ac:dyDescent="0.2">
      <c r="A35" s="26" t="s">
        <v>255</v>
      </c>
      <c r="B35" s="27">
        <v>-2.9999999999999997E-4</v>
      </c>
      <c r="C35" s="24">
        <f t="shared" si="5"/>
        <v>0.10820000000000005</v>
      </c>
      <c r="D35" s="17">
        <v>150</v>
      </c>
      <c r="E35" s="17">
        <v>84</v>
      </c>
      <c r="F35" s="17">
        <v>308</v>
      </c>
      <c r="G35" s="27">
        <v>-8.0000000000000004E-4</v>
      </c>
      <c r="H35" s="24">
        <f t="shared" si="1"/>
        <v>0.11280000000000003</v>
      </c>
      <c r="I35" s="17">
        <v>11</v>
      </c>
      <c r="J35" s="17">
        <v>3</v>
      </c>
      <c r="K35" s="17">
        <v>16</v>
      </c>
      <c r="L35" s="17">
        <v>75</v>
      </c>
      <c r="M35" s="17">
        <v>3</v>
      </c>
      <c r="N35" s="17">
        <v>72</v>
      </c>
      <c r="O35" s="17">
        <v>134160890989</v>
      </c>
      <c r="P35" s="16">
        <f t="shared" si="2"/>
        <v>-10555371548404</v>
      </c>
      <c r="Q35" s="17">
        <v>455426920989</v>
      </c>
      <c r="R35" s="16">
        <f t="shared" si="3"/>
        <v>-5914741814998</v>
      </c>
      <c r="S35" s="17">
        <v>45</v>
      </c>
      <c r="T35" s="17">
        <v>0</v>
      </c>
      <c r="U35" s="17">
        <v>80</v>
      </c>
      <c r="V35" s="17">
        <v>842785838000</v>
      </c>
      <c r="W35" s="17">
        <f t="shared" si="4"/>
        <v>-4755914573245</v>
      </c>
      <c r="X35" s="27">
        <v>0.26150000000000001</v>
      </c>
    </row>
    <row r="36" spans="1:24" x14ac:dyDescent="0.2">
      <c r="A36" s="26" t="s">
        <v>254</v>
      </c>
      <c r="B36" s="27">
        <v>-3.4000000000000002E-3</v>
      </c>
      <c r="C36" s="24">
        <f t="shared" si="5"/>
        <v>0.10850000000000004</v>
      </c>
      <c r="D36" s="17">
        <v>177</v>
      </c>
      <c r="E36" s="17">
        <v>85</v>
      </c>
      <c r="F36" s="17">
        <v>275</v>
      </c>
      <c r="G36" s="27">
        <v>-2.3999999999999998E-3</v>
      </c>
      <c r="H36" s="24">
        <f t="shared" si="1"/>
        <v>0.11360000000000002</v>
      </c>
      <c r="I36" s="17">
        <v>7</v>
      </c>
      <c r="J36" s="17">
        <v>5</v>
      </c>
      <c r="K36" s="17">
        <v>18</v>
      </c>
      <c r="L36" s="17">
        <v>55</v>
      </c>
      <c r="M36" s="17">
        <v>1</v>
      </c>
      <c r="N36" s="17">
        <v>90</v>
      </c>
      <c r="O36" s="17">
        <v>-473523929796</v>
      </c>
      <c r="P36" s="16">
        <f t="shared" si="2"/>
        <v>-10689532439393</v>
      </c>
      <c r="Q36" s="17">
        <v>-287058935221</v>
      </c>
      <c r="R36" s="16">
        <f t="shared" si="3"/>
        <v>-6370168735987</v>
      </c>
      <c r="S36" s="17">
        <v>64</v>
      </c>
      <c r="T36" s="17">
        <v>0</v>
      </c>
      <c r="U36" s="17">
        <v>60</v>
      </c>
      <c r="V36" s="17">
        <v>-618975607000</v>
      </c>
      <c r="W36" s="17">
        <f t="shared" si="4"/>
        <v>-5598700411245</v>
      </c>
      <c r="X36" s="27">
        <v>0.33770000000000006</v>
      </c>
    </row>
    <row r="37" spans="1:24" x14ac:dyDescent="0.2">
      <c r="A37" s="26" t="s">
        <v>253</v>
      </c>
      <c r="B37" s="27">
        <v>0.01</v>
      </c>
      <c r="C37" s="24">
        <f t="shared" si="5"/>
        <v>0.11190000000000004</v>
      </c>
      <c r="D37" s="17">
        <v>332</v>
      </c>
      <c r="E37" s="17">
        <v>71</v>
      </c>
      <c r="F37" s="17">
        <v>137</v>
      </c>
      <c r="G37" s="27">
        <v>9.7000000000000003E-3</v>
      </c>
      <c r="H37" s="24">
        <f t="shared" si="1"/>
        <v>0.11600000000000002</v>
      </c>
      <c r="I37" s="17">
        <v>22</v>
      </c>
      <c r="J37" s="17">
        <v>4</v>
      </c>
      <c r="K37" s="17">
        <v>4</v>
      </c>
      <c r="L37" s="17">
        <v>88</v>
      </c>
      <c r="M37" s="17">
        <v>2</v>
      </c>
      <c r="N37" s="17">
        <v>59</v>
      </c>
      <c r="O37" s="17">
        <v>409045284335</v>
      </c>
      <c r="P37" s="16">
        <f t="shared" ref="P37:P68" si="6">O37+P38</f>
        <v>-10216008509597</v>
      </c>
      <c r="Q37" s="17">
        <v>571982124335</v>
      </c>
      <c r="R37" s="16">
        <f t="shared" si="3"/>
        <v>-6083109800766</v>
      </c>
      <c r="S37" s="17">
        <v>72</v>
      </c>
      <c r="T37" s="17">
        <v>0</v>
      </c>
      <c r="U37" s="17">
        <v>54</v>
      </c>
      <c r="V37" s="17">
        <v>-301328645000</v>
      </c>
      <c r="W37" s="17">
        <f t="shared" si="4"/>
        <v>-4979724804245</v>
      </c>
      <c r="X37" s="27">
        <v>0.29260000000000003</v>
      </c>
    </row>
    <row r="38" spans="1:24" x14ac:dyDescent="0.2">
      <c r="A38" s="26" t="s">
        <v>252</v>
      </c>
      <c r="B38" s="27">
        <v>-3.8E-3</v>
      </c>
      <c r="C38" s="24">
        <f t="shared" si="5"/>
        <v>0.10190000000000005</v>
      </c>
      <c r="D38" s="17">
        <v>112</v>
      </c>
      <c r="E38" s="17">
        <v>81</v>
      </c>
      <c r="F38" s="17">
        <v>355</v>
      </c>
      <c r="G38" s="27">
        <v>-2.3999999999999998E-3</v>
      </c>
      <c r="H38" s="24">
        <f t="shared" si="1"/>
        <v>0.10630000000000002</v>
      </c>
      <c r="I38" s="17">
        <v>9</v>
      </c>
      <c r="J38" s="17">
        <v>4</v>
      </c>
      <c r="K38" s="17">
        <v>17</v>
      </c>
      <c r="L38" s="17">
        <v>82</v>
      </c>
      <c r="M38" s="17">
        <v>1</v>
      </c>
      <c r="N38" s="17">
        <v>67</v>
      </c>
      <c r="O38" s="17">
        <v>25844234540</v>
      </c>
      <c r="P38" s="16">
        <f t="shared" si="6"/>
        <v>-10625053793932</v>
      </c>
      <c r="Q38" s="17">
        <v>324329464540</v>
      </c>
      <c r="R38" s="16">
        <f t="shared" si="3"/>
        <v>-6655091925101</v>
      </c>
      <c r="S38" s="17">
        <v>98</v>
      </c>
      <c r="T38" s="17">
        <v>0</v>
      </c>
      <c r="U38" s="17">
        <v>35</v>
      </c>
      <c r="V38" s="17">
        <v>-466729035000</v>
      </c>
      <c r="W38" s="17">
        <f t="shared" si="4"/>
        <v>-4678396159245</v>
      </c>
      <c r="X38" s="27">
        <v>0.29359999999999997</v>
      </c>
    </row>
    <row r="39" spans="1:24" x14ac:dyDescent="0.2">
      <c r="A39" s="26" t="s">
        <v>251</v>
      </c>
      <c r="B39" s="27">
        <v>-1.04E-2</v>
      </c>
      <c r="C39" s="24">
        <f t="shared" si="5"/>
        <v>0.10570000000000004</v>
      </c>
      <c r="D39" s="17">
        <v>116</v>
      </c>
      <c r="E39" s="17">
        <v>57</v>
      </c>
      <c r="F39" s="17">
        <v>381</v>
      </c>
      <c r="G39" s="27">
        <v>-7.8000000000000005E-3</v>
      </c>
      <c r="H39" s="24">
        <f t="shared" si="1"/>
        <v>0.10870000000000002</v>
      </c>
      <c r="I39" s="17">
        <v>2</v>
      </c>
      <c r="J39" s="17">
        <v>2</v>
      </c>
      <c r="K39" s="17">
        <v>26</v>
      </c>
      <c r="L39" s="17">
        <v>63</v>
      </c>
      <c r="M39" s="17">
        <v>4</v>
      </c>
      <c r="N39" s="17">
        <v>86</v>
      </c>
      <c r="O39" s="17">
        <v>125283240952</v>
      </c>
      <c r="P39" s="16">
        <f t="shared" si="6"/>
        <v>-10650898028472</v>
      </c>
      <c r="Q39" s="17">
        <v>355705980952</v>
      </c>
      <c r="R39" s="16">
        <f t="shared" si="3"/>
        <v>-6979421389641</v>
      </c>
      <c r="S39" s="17">
        <v>89</v>
      </c>
      <c r="T39" s="17">
        <v>0</v>
      </c>
      <c r="U39" s="17">
        <v>38</v>
      </c>
      <c r="V39" s="17">
        <v>373696860000</v>
      </c>
      <c r="W39" s="17">
        <f t="shared" si="4"/>
        <v>-4211667124245</v>
      </c>
      <c r="X39" s="27">
        <v>0.2495</v>
      </c>
    </row>
    <row r="40" spans="1:24" x14ac:dyDescent="0.2">
      <c r="A40" s="26" t="s">
        <v>250</v>
      </c>
      <c r="B40" s="27">
        <v>-2.5000000000000001E-3</v>
      </c>
      <c r="C40" s="24">
        <f t="shared" si="5"/>
        <v>0.11610000000000004</v>
      </c>
      <c r="D40" s="17">
        <v>110</v>
      </c>
      <c r="E40" s="17">
        <v>62</v>
      </c>
      <c r="F40" s="17">
        <v>379</v>
      </c>
      <c r="G40" s="27">
        <v>-5.1999999999999998E-3</v>
      </c>
      <c r="H40" s="24">
        <f t="shared" si="1"/>
        <v>0.11650000000000002</v>
      </c>
      <c r="I40" s="17">
        <v>5</v>
      </c>
      <c r="J40" s="17">
        <v>4</v>
      </c>
      <c r="K40" s="17">
        <v>21</v>
      </c>
      <c r="L40" s="17">
        <v>90</v>
      </c>
      <c r="M40" s="17">
        <v>2</v>
      </c>
      <c r="N40" s="17">
        <v>63</v>
      </c>
      <c r="O40" s="17">
        <v>618077430130</v>
      </c>
      <c r="P40" s="16">
        <f t="shared" si="6"/>
        <v>-10776181269424</v>
      </c>
      <c r="Q40" s="17">
        <v>717692290130</v>
      </c>
      <c r="R40" s="16">
        <f t="shared" si="3"/>
        <v>-7335127370593</v>
      </c>
      <c r="S40" s="17">
        <v>101</v>
      </c>
      <c r="T40" s="17">
        <v>0</v>
      </c>
      <c r="U40" s="17">
        <v>25</v>
      </c>
      <c r="V40" s="17">
        <v>601768916000</v>
      </c>
      <c r="W40" s="17">
        <f t="shared" si="4"/>
        <v>-4585363984245</v>
      </c>
      <c r="X40" s="27">
        <v>0.27510000000000001</v>
      </c>
    </row>
    <row r="41" spans="1:24" x14ac:dyDescent="0.2">
      <c r="A41" s="26" t="s">
        <v>249</v>
      </c>
      <c r="B41" s="27">
        <v>-1.21E-2</v>
      </c>
      <c r="C41" s="24">
        <f t="shared" si="5"/>
        <v>0.11860000000000004</v>
      </c>
      <c r="D41" s="17">
        <v>130</v>
      </c>
      <c r="E41" s="17">
        <v>52</v>
      </c>
      <c r="F41" s="17">
        <v>368</v>
      </c>
      <c r="G41" s="27">
        <v>-1.3999999999999999E-2</v>
      </c>
      <c r="H41" s="24">
        <f t="shared" si="1"/>
        <v>0.12170000000000002</v>
      </c>
      <c r="I41" s="17">
        <v>0</v>
      </c>
      <c r="J41" s="17">
        <v>0</v>
      </c>
      <c r="K41" s="17">
        <v>30</v>
      </c>
      <c r="L41" s="17">
        <v>59</v>
      </c>
      <c r="M41" s="17">
        <v>4</v>
      </c>
      <c r="N41" s="17">
        <v>92</v>
      </c>
      <c r="O41" s="17">
        <v>-1130550440508</v>
      </c>
      <c r="P41" s="16">
        <f t="shared" si="6"/>
        <v>-11394258699554</v>
      </c>
      <c r="Q41" s="17">
        <v>-911446210508</v>
      </c>
      <c r="R41" s="16">
        <f t="shared" si="3"/>
        <v>-8052819660723</v>
      </c>
      <c r="S41" s="17">
        <v>24</v>
      </c>
      <c r="T41" s="17">
        <v>0</v>
      </c>
      <c r="U41" s="17">
        <v>99</v>
      </c>
      <c r="V41" s="17">
        <v>-1180320866400</v>
      </c>
      <c r="W41" s="17">
        <f t="shared" si="4"/>
        <v>-5187132900245</v>
      </c>
      <c r="X41" s="27">
        <v>0.27629999999999999</v>
      </c>
    </row>
    <row r="42" spans="1:24" x14ac:dyDescent="0.2">
      <c r="A42" s="26" t="s">
        <v>248</v>
      </c>
      <c r="B42" s="27">
        <v>4.3E-3</v>
      </c>
      <c r="C42" s="24">
        <f t="shared" si="5"/>
        <v>0.13070000000000004</v>
      </c>
      <c r="D42" s="17">
        <v>246</v>
      </c>
      <c r="E42" s="17">
        <v>66</v>
      </c>
      <c r="F42" s="17">
        <v>241</v>
      </c>
      <c r="G42" s="27">
        <v>-2.0000000000000001E-4</v>
      </c>
      <c r="H42" s="24">
        <f t="shared" si="1"/>
        <v>0.13570000000000002</v>
      </c>
      <c r="I42" s="17">
        <v>15</v>
      </c>
      <c r="J42" s="17">
        <v>2</v>
      </c>
      <c r="K42" s="17">
        <v>13</v>
      </c>
      <c r="L42" s="17">
        <v>75</v>
      </c>
      <c r="M42" s="17">
        <v>1</v>
      </c>
      <c r="N42" s="17">
        <v>78</v>
      </c>
      <c r="O42" s="17">
        <v>-592839624645</v>
      </c>
      <c r="P42" s="16">
        <f t="shared" si="6"/>
        <v>-10263708259046</v>
      </c>
      <c r="Q42" s="17">
        <v>-444645544645</v>
      </c>
      <c r="R42" s="16">
        <f t="shared" si="3"/>
        <v>-7141373450215</v>
      </c>
      <c r="S42" s="17">
        <v>41</v>
      </c>
      <c r="T42" s="17">
        <v>0</v>
      </c>
      <c r="U42" s="17">
        <v>72</v>
      </c>
      <c r="V42" s="17">
        <v>-72028787000</v>
      </c>
      <c r="W42" s="17">
        <f t="shared" si="4"/>
        <v>-4006812033845</v>
      </c>
      <c r="X42" s="27">
        <v>0.37459999999999999</v>
      </c>
    </row>
    <row r="43" spans="1:24" x14ac:dyDescent="0.2">
      <c r="A43" s="26" t="s">
        <v>247</v>
      </c>
      <c r="B43" s="27">
        <v>-2E-3</v>
      </c>
      <c r="C43" s="24">
        <f t="shared" si="5"/>
        <v>0.12640000000000004</v>
      </c>
      <c r="D43" s="17">
        <v>144</v>
      </c>
      <c r="E43" s="17">
        <v>77</v>
      </c>
      <c r="F43" s="17">
        <v>327</v>
      </c>
      <c r="G43" s="27">
        <v>-3.3E-3</v>
      </c>
      <c r="H43" s="24">
        <f t="shared" si="1"/>
        <v>0.13590000000000002</v>
      </c>
      <c r="I43" s="17">
        <v>10</v>
      </c>
      <c r="J43" s="17">
        <v>2</v>
      </c>
      <c r="K43" s="17">
        <v>18</v>
      </c>
      <c r="L43" s="17">
        <v>44</v>
      </c>
      <c r="M43" s="17">
        <v>1</v>
      </c>
      <c r="N43" s="17">
        <v>107</v>
      </c>
      <c r="O43" s="17">
        <v>-656025206645</v>
      </c>
      <c r="P43" s="16">
        <f t="shared" si="6"/>
        <v>-9670868634401</v>
      </c>
      <c r="Q43" s="17">
        <v>-611625336645</v>
      </c>
      <c r="R43" s="16">
        <f t="shared" si="3"/>
        <v>-6696727905570</v>
      </c>
      <c r="S43" s="17">
        <v>55</v>
      </c>
      <c r="T43" s="17">
        <v>0</v>
      </c>
      <c r="U43" s="17">
        <v>57</v>
      </c>
      <c r="V43" s="17">
        <v>290841929000</v>
      </c>
      <c r="W43" s="17">
        <f t="shared" si="4"/>
        <v>-3934783246845</v>
      </c>
      <c r="X43" s="27">
        <v>0.2646</v>
      </c>
    </row>
    <row r="44" spans="1:24" x14ac:dyDescent="0.2">
      <c r="A44" s="26" t="s">
        <v>245</v>
      </c>
      <c r="B44" s="27">
        <v>-4.6999999999999993E-3</v>
      </c>
      <c r="C44" s="24">
        <f t="shared" si="5"/>
        <v>0.12840000000000004</v>
      </c>
      <c r="D44" s="17">
        <v>159</v>
      </c>
      <c r="E44" s="17">
        <v>83</v>
      </c>
      <c r="F44" s="17">
        <v>296</v>
      </c>
      <c r="G44" s="27">
        <v>-4.7999999999999996E-3</v>
      </c>
      <c r="H44" s="24">
        <f t="shared" si="1"/>
        <v>0.13920000000000002</v>
      </c>
      <c r="I44" s="17">
        <v>7</v>
      </c>
      <c r="J44" s="17">
        <v>1</v>
      </c>
      <c r="K44" s="17">
        <v>22</v>
      </c>
      <c r="L44" s="17">
        <v>58</v>
      </c>
      <c r="M44" s="17">
        <v>1</v>
      </c>
      <c r="N44" s="17">
        <v>91</v>
      </c>
      <c r="O44" s="17">
        <v>-638487002361</v>
      </c>
      <c r="P44" s="16">
        <f t="shared" si="6"/>
        <v>-9014843427756</v>
      </c>
      <c r="Q44" s="17">
        <v>-478313422361</v>
      </c>
      <c r="R44" s="16">
        <f t="shared" si="3"/>
        <v>-6085102568925</v>
      </c>
      <c r="S44" s="17">
        <v>78</v>
      </c>
      <c r="T44" s="17">
        <v>0</v>
      </c>
      <c r="U44" s="17">
        <v>40</v>
      </c>
      <c r="V44" s="17">
        <v>109757386000</v>
      </c>
      <c r="W44" s="17">
        <f t="shared" si="4"/>
        <v>-4225625175845</v>
      </c>
      <c r="X44" s="27">
        <v>0.3125</v>
      </c>
    </row>
    <row r="45" spans="1:24" x14ac:dyDescent="0.2">
      <c r="A45" s="26" t="s">
        <v>244</v>
      </c>
      <c r="B45" s="27">
        <v>5.5000000000000005E-3</v>
      </c>
      <c r="C45" s="24">
        <f t="shared" si="5"/>
        <v>0.13310000000000005</v>
      </c>
      <c r="D45" s="17">
        <v>254</v>
      </c>
      <c r="E45" s="17">
        <v>80</v>
      </c>
      <c r="F45" s="17">
        <v>209</v>
      </c>
      <c r="G45" s="27">
        <v>1.1200000000000002E-2</v>
      </c>
      <c r="H45" s="24">
        <f t="shared" si="1"/>
        <v>0.14400000000000002</v>
      </c>
      <c r="I45" s="17">
        <v>18</v>
      </c>
      <c r="J45" s="17">
        <v>5</v>
      </c>
      <c r="K45" s="17">
        <v>7</v>
      </c>
      <c r="L45" s="17">
        <v>68</v>
      </c>
      <c r="M45" s="17">
        <v>1</v>
      </c>
      <c r="N45" s="17">
        <v>79</v>
      </c>
      <c r="O45" s="17">
        <v>-1207067968539</v>
      </c>
      <c r="P45" s="16">
        <f t="shared" si="6"/>
        <v>-8376356425395</v>
      </c>
      <c r="Q45" s="17">
        <v>-866140638539</v>
      </c>
      <c r="R45" s="16">
        <f t="shared" si="3"/>
        <v>-5606789146564</v>
      </c>
      <c r="S45" s="17">
        <v>2</v>
      </c>
      <c r="T45" s="17">
        <v>0</v>
      </c>
      <c r="U45" s="17">
        <v>2</v>
      </c>
      <c r="V45" s="17">
        <v>3712390000</v>
      </c>
      <c r="W45" s="17">
        <f t="shared" si="4"/>
        <v>-4335382561845</v>
      </c>
      <c r="X45" s="27">
        <v>0.33299999999999996</v>
      </c>
    </row>
    <row r="46" spans="1:24" x14ac:dyDescent="0.2">
      <c r="A46" s="32" t="s">
        <v>243</v>
      </c>
      <c r="B46" s="27">
        <v>7.000000000000001E-4</v>
      </c>
      <c r="C46" s="24">
        <f t="shared" si="5"/>
        <v>0.12760000000000005</v>
      </c>
      <c r="D46" s="17">
        <v>244</v>
      </c>
      <c r="E46" s="17">
        <v>95</v>
      </c>
      <c r="F46" s="17">
        <v>209</v>
      </c>
      <c r="G46" s="27">
        <v>2E-3</v>
      </c>
      <c r="H46" s="24">
        <f t="shared" si="1"/>
        <v>0.13280000000000003</v>
      </c>
      <c r="I46" s="17">
        <v>13</v>
      </c>
      <c r="J46" s="17">
        <v>6</v>
      </c>
      <c r="K46" s="17">
        <v>11</v>
      </c>
      <c r="L46" s="17">
        <v>66</v>
      </c>
      <c r="M46" s="17">
        <v>1</v>
      </c>
      <c r="N46" s="17">
        <v>84</v>
      </c>
      <c r="O46" s="17">
        <v>-1787224781819</v>
      </c>
      <c r="P46" s="16">
        <f t="shared" si="6"/>
        <v>-7169288456856</v>
      </c>
      <c r="Q46" s="17">
        <v>-1629478731819</v>
      </c>
      <c r="R46" s="16">
        <f t="shared" si="3"/>
        <v>-4740648508025</v>
      </c>
      <c r="S46" s="17">
        <v>21</v>
      </c>
      <c r="T46" s="17">
        <v>0</v>
      </c>
      <c r="U46" s="17">
        <v>98</v>
      </c>
      <c r="V46" s="17">
        <v>-274089387000</v>
      </c>
      <c r="W46" s="17">
        <f t="shared" ref="W46:W62" si="7">V46+W47</f>
        <v>-4339094951845</v>
      </c>
      <c r="X46" s="27">
        <v>0.27379999999999999</v>
      </c>
    </row>
    <row r="47" spans="1:24" x14ac:dyDescent="0.2">
      <c r="A47" s="26" t="s">
        <v>242</v>
      </c>
      <c r="B47" s="27">
        <v>1.1299999999999999E-2</v>
      </c>
      <c r="C47" s="24">
        <f t="shared" ref="C47:C62" si="8">B47+C48</f>
        <v>0.12690000000000004</v>
      </c>
      <c r="D47" s="17">
        <v>342</v>
      </c>
      <c r="E47" s="17">
        <v>61</v>
      </c>
      <c r="F47" s="17">
        <v>139</v>
      </c>
      <c r="G47" s="27">
        <v>1.2800000000000001E-2</v>
      </c>
      <c r="H47" s="24">
        <f t="shared" ref="H47:H63" si="9">G47+H48</f>
        <v>0.13080000000000003</v>
      </c>
      <c r="I47" s="17">
        <v>26</v>
      </c>
      <c r="J47" s="17">
        <v>2</v>
      </c>
      <c r="K47" s="17">
        <v>2</v>
      </c>
      <c r="L47" s="17">
        <v>69</v>
      </c>
      <c r="M47" s="17">
        <v>1</v>
      </c>
      <c r="N47" s="17">
        <v>74</v>
      </c>
      <c r="O47" s="17">
        <v>-159640789017</v>
      </c>
      <c r="P47" s="16">
        <f t="shared" si="6"/>
        <v>-5382063675037</v>
      </c>
      <c r="Q47" s="17">
        <v>-124805759017</v>
      </c>
      <c r="R47" s="16">
        <f t="shared" si="3"/>
        <v>-3111169776206</v>
      </c>
      <c r="S47" s="17">
        <v>95</v>
      </c>
      <c r="T47" s="17">
        <v>0</v>
      </c>
      <c r="U47" s="17">
        <v>31</v>
      </c>
      <c r="V47" s="17">
        <v>-96937090000</v>
      </c>
      <c r="W47" s="17">
        <f t="shared" si="7"/>
        <v>-4065005564845</v>
      </c>
      <c r="X47" s="27">
        <v>0.25700000000000001</v>
      </c>
    </row>
    <row r="48" spans="1:24" x14ac:dyDescent="0.2">
      <c r="A48" s="26" t="s">
        <v>241</v>
      </c>
      <c r="B48" s="27">
        <v>-1.09E-2</v>
      </c>
      <c r="C48" s="24">
        <f t="shared" si="8"/>
        <v>0.11560000000000004</v>
      </c>
      <c r="D48" s="17">
        <v>119</v>
      </c>
      <c r="E48" s="17">
        <v>71</v>
      </c>
      <c r="F48" s="17">
        <v>351</v>
      </c>
      <c r="G48" s="27">
        <v>-1.1000000000000001E-2</v>
      </c>
      <c r="H48" s="24">
        <f t="shared" si="9"/>
        <v>0.11800000000000004</v>
      </c>
      <c r="I48" s="17">
        <v>0</v>
      </c>
      <c r="J48" s="17">
        <v>4</v>
      </c>
      <c r="K48" s="17">
        <v>26</v>
      </c>
      <c r="L48" s="17">
        <v>62</v>
      </c>
      <c r="M48" s="17">
        <v>2</v>
      </c>
      <c r="N48" s="17">
        <v>85</v>
      </c>
      <c r="O48" s="17">
        <v>-396235907652</v>
      </c>
      <c r="P48" s="16">
        <f t="shared" si="6"/>
        <v>-5222422886020</v>
      </c>
      <c r="Q48" s="17">
        <v>-270358937652</v>
      </c>
      <c r="R48" s="16">
        <f t="shared" si="3"/>
        <v>-2986364017189</v>
      </c>
      <c r="S48" s="17">
        <v>69</v>
      </c>
      <c r="T48" s="17">
        <v>0</v>
      </c>
      <c r="U48" s="17">
        <v>55</v>
      </c>
      <c r="V48" s="17">
        <v>-326420546200</v>
      </c>
      <c r="W48" s="17">
        <f t="shared" si="7"/>
        <v>-3968068474845</v>
      </c>
      <c r="X48" s="27">
        <v>0.24379999999999999</v>
      </c>
    </row>
    <row r="49" spans="1:24" x14ac:dyDescent="0.2">
      <c r="A49" s="26" t="s">
        <v>239</v>
      </c>
      <c r="B49" s="27">
        <v>4.1999999999999997E-3</v>
      </c>
      <c r="C49" s="24">
        <f t="shared" si="8"/>
        <v>0.12650000000000003</v>
      </c>
      <c r="D49" s="17">
        <v>248</v>
      </c>
      <c r="E49" s="17">
        <v>77</v>
      </c>
      <c r="F49" s="17">
        <v>231</v>
      </c>
      <c r="G49" s="27">
        <v>2E-3</v>
      </c>
      <c r="H49" s="24">
        <f t="shared" si="9"/>
        <v>0.12900000000000003</v>
      </c>
      <c r="I49" s="17">
        <v>15</v>
      </c>
      <c r="J49" s="17">
        <v>3</v>
      </c>
      <c r="K49" s="17">
        <v>12</v>
      </c>
      <c r="L49" s="17">
        <v>55</v>
      </c>
      <c r="M49" s="17">
        <v>3</v>
      </c>
      <c r="N49" s="17">
        <v>98</v>
      </c>
      <c r="O49" s="17">
        <v>-436289689253</v>
      </c>
      <c r="P49" s="16">
        <f t="shared" si="6"/>
        <v>-4826186978368</v>
      </c>
      <c r="Q49" s="17">
        <v>-259214609253</v>
      </c>
      <c r="R49" s="16">
        <f t="shared" si="3"/>
        <v>-2716005079537</v>
      </c>
      <c r="S49" s="17">
        <v>69</v>
      </c>
      <c r="T49" s="17">
        <v>0</v>
      </c>
      <c r="U49" s="17">
        <v>53</v>
      </c>
      <c r="V49" s="17">
        <v>-382278056200</v>
      </c>
      <c r="W49" s="17">
        <f t="shared" si="7"/>
        <v>-3641647928645</v>
      </c>
      <c r="X49" s="27">
        <v>0.37119999999999997</v>
      </c>
    </row>
    <row r="50" spans="1:24" x14ac:dyDescent="0.2">
      <c r="A50" s="26" t="s">
        <v>236</v>
      </c>
      <c r="B50" s="27">
        <v>1.3000000000000001E-2</v>
      </c>
      <c r="C50" s="24">
        <f t="shared" si="8"/>
        <v>0.12230000000000002</v>
      </c>
      <c r="D50" s="17">
        <v>379</v>
      </c>
      <c r="E50" s="17">
        <v>69</v>
      </c>
      <c r="F50" s="17">
        <v>110</v>
      </c>
      <c r="G50" s="27">
        <v>1.7899999999999999E-2</v>
      </c>
      <c r="H50" s="24">
        <f t="shared" si="9"/>
        <v>0.12700000000000003</v>
      </c>
      <c r="I50" s="17">
        <v>25</v>
      </c>
      <c r="J50" s="17">
        <v>5</v>
      </c>
      <c r="K50" s="17">
        <v>0</v>
      </c>
      <c r="L50" s="17">
        <v>75</v>
      </c>
      <c r="M50" s="17">
        <v>1</v>
      </c>
      <c r="N50" s="17">
        <v>77</v>
      </c>
      <c r="O50" s="17">
        <v>-305671101098</v>
      </c>
      <c r="P50" s="16">
        <f t="shared" si="6"/>
        <v>-4389897289115</v>
      </c>
      <c r="Q50" s="17">
        <v>-122963371098</v>
      </c>
      <c r="R50" s="16">
        <f t="shared" si="3"/>
        <v>-2456790470284</v>
      </c>
      <c r="S50" s="17">
        <v>97</v>
      </c>
      <c r="T50" s="17">
        <v>0</v>
      </c>
      <c r="U50" s="17">
        <v>34</v>
      </c>
      <c r="V50" s="17">
        <v>718394358200</v>
      </c>
      <c r="W50" s="17">
        <f t="shared" si="7"/>
        <v>-3259369872445</v>
      </c>
      <c r="X50" s="27">
        <v>0.26329999999999998</v>
      </c>
    </row>
    <row r="51" spans="1:24" x14ac:dyDescent="0.2">
      <c r="A51" s="26" t="s">
        <v>235</v>
      </c>
      <c r="B51" s="27">
        <v>1.4199999999999999E-2</v>
      </c>
      <c r="C51" s="24">
        <f t="shared" si="8"/>
        <v>0.10930000000000002</v>
      </c>
      <c r="D51" s="17">
        <v>339</v>
      </c>
      <c r="E51" s="17">
        <v>70</v>
      </c>
      <c r="F51" s="17">
        <v>139</v>
      </c>
      <c r="G51" s="27">
        <v>1.9699999999999999E-2</v>
      </c>
      <c r="H51" s="24">
        <f t="shared" si="9"/>
        <v>0.10910000000000003</v>
      </c>
      <c r="I51" s="17">
        <v>24</v>
      </c>
      <c r="J51" s="17">
        <v>2</v>
      </c>
      <c r="K51" s="17">
        <v>4</v>
      </c>
      <c r="L51" s="17">
        <v>63</v>
      </c>
      <c r="M51" s="17">
        <v>4</v>
      </c>
      <c r="N51" s="17">
        <v>82</v>
      </c>
      <c r="O51" s="17">
        <v>-258835745851</v>
      </c>
      <c r="P51" s="16">
        <f t="shared" si="6"/>
        <v>-4084226188017</v>
      </c>
      <c r="Q51" s="17">
        <v>-37820435851</v>
      </c>
      <c r="R51" s="16">
        <f t="shared" si="3"/>
        <v>-2333827099186</v>
      </c>
      <c r="S51" s="17">
        <v>67</v>
      </c>
      <c r="T51" s="17">
        <v>0</v>
      </c>
      <c r="U51" s="17">
        <v>55</v>
      </c>
      <c r="V51" s="17">
        <v>-510915220000</v>
      </c>
      <c r="W51" s="17">
        <f t="shared" si="7"/>
        <v>-3977764230645</v>
      </c>
      <c r="X51" s="27">
        <v>0.34539999999999998</v>
      </c>
    </row>
    <row r="52" spans="1:24" x14ac:dyDescent="0.2">
      <c r="A52" s="26" t="s">
        <v>234</v>
      </c>
      <c r="B52" s="27">
        <v>-2.2000000000000001E-3</v>
      </c>
      <c r="C52" s="24">
        <f t="shared" si="8"/>
        <v>9.5100000000000018E-2</v>
      </c>
      <c r="D52" s="17">
        <v>216</v>
      </c>
      <c r="E52" s="17">
        <v>84</v>
      </c>
      <c r="F52" s="17">
        <v>242</v>
      </c>
      <c r="G52" s="27">
        <v>-8.0000000000000004E-4</v>
      </c>
      <c r="H52" s="24">
        <f t="shared" si="9"/>
        <v>8.9400000000000035E-2</v>
      </c>
      <c r="I52" s="17">
        <v>9</v>
      </c>
      <c r="J52" s="17">
        <v>5</v>
      </c>
      <c r="K52" s="17">
        <v>16</v>
      </c>
      <c r="L52" s="17">
        <v>61</v>
      </c>
      <c r="M52" s="17">
        <v>2</v>
      </c>
      <c r="N52" s="17">
        <v>85</v>
      </c>
      <c r="O52" s="17">
        <v>-378844961032</v>
      </c>
      <c r="P52" s="16">
        <f t="shared" si="6"/>
        <v>-3825390442166</v>
      </c>
      <c r="Q52" s="17">
        <v>-594101241032</v>
      </c>
      <c r="R52" s="16">
        <f t="shared" si="3"/>
        <v>-2296006663335</v>
      </c>
      <c r="S52" s="17">
        <v>55</v>
      </c>
      <c r="T52" s="17">
        <v>0</v>
      </c>
      <c r="U52" s="17">
        <v>68</v>
      </c>
      <c r="V52" s="17">
        <v>-1395116684100</v>
      </c>
      <c r="W52" s="17">
        <f t="shared" si="7"/>
        <v>-3466849010645</v>
      </c>
      <c r="X52" s="27">
        <v>0.28889999999999999</v>
      </c>
    </row>
    <row r="53" spans="1:24" x14ac:dyDescent="0.2">
      <c r="A53" s="26" t="s">
        <v>233</v>
      </c>
      <c r="B53" s="27">
        <v>-1.6E-2</v>
      </c>
      <c r="C53" s="24">
        <f t="shared" si="8"/>
        <v>9.7300000000000011E-2</v>
      </c>
      <c r="D53" s="17">
        <v>103</v>
      </c>
      <c r="E53" s="17">
        <v>49</v>
      </c>
      <c r="F53" s="17">
        <v>407</v>
      </c>
      <c r="G53" s="27">
        <v>-1.6500000000000001E-2</v>
      </c>
      <c r="H53" s="24">
        <f t="shared" si="9"/>
        <v>9.020000000000003E-2</v>
      </c>
      <c r="I53" s="17">
        <v>2</v>
      </c>
      <c r="J53" s="17">
        <v>0</v>
      </c>
      <c r="K53" s="17">
        <v>28</v>
      </c>
      <c r="L53" s="17">
        <v>69</v>
      </c>
      <c r="M53" s="17">
        <v>3</v>
      </c>
      <c r="N53" s="17">
        <v>84</v>
      </c>
      <c r="O53" s="17">
        <v>-21902643949</v>
      </c>
      <c r="P53" s="16">
        <f t="shared" si="6"/>
        <v>-3446545481134</v>
      </c>
      <c r="Q53" s="17">
        <v>90270966051</v>
      </c>
      <c r="R53" s="16">
        <f t="shared" si="3"/>
        <v>-1701905422303</v>
      </c>
      <c r="S53" s="17">
        <v>68</v>
      </c>
      <c r="T53" s="17">
        <v>0</v>
      </c>
      <c r="U53" s="17">
        <v>63</v>
      </c>
      <c r="V53" s="17">
        <v>518895175500</v>
      </c>
      <c r="W53" s="17">
        <f t="shared" si="7"/>
        <v>-2071732326545</v>
      </c>
      <c r="X53" s="27">
        <v>0.2626</v>
      </c>
    </row>
    <row r="54" spans="1:24" x14ac:dyDescent="0.2">
      <c r="A54" s="26" t="s">
        <v>231</v>
      </c>
      <c r="B54" s="27">
        <v>-4.0000000000000002E-4</v>
      </c>
      <c r="C54" s="24">
        <f t="shared" si="8"/>
        <v>0.11330000000000001</v>
      </c>
      <c r="D54" s="17">
        <v>217</v>
      </c>
      <c r="E54" s="17">
        <v>86</v>
      </c>
      <c r="F54" s="17">
        <v>249</v>
      </c>
      <c r="G54" s="27">
        <v>-3.0999999999999999E-3</v>
      </c>
      <c r="H54" s="24">
        <f t="shared" si="9"/>
        <v>0.10670000000000003</v>
      </c>
      <c r="I54" s="17">
        <v>13</v>
      </c>
      <c r="J54" s="17">
        <v>2</v>
      </c>
      <c r="K54" s="17">
        <v>15</v>
      </c>
      <c r="L54" s="17">
        <v>55</v>
      </c>
      <c r="M54" s="17">
        <v>0</v>
      </c>
      <c r="N54" s="17">
        <v>94</v>
      </c>
      <c r="O54" s="17">
        <v>-1166397960178</v>
      </c>
      <c r="P54" s="16">
        <f t="shared" si="6"/>
        <v>-3424642837185</v>
      </c>
      <c r="Q54" s="17">
        <v>-915164430178</v>
      </c>
      <c r="R54" s="16">
        <f t="shared" si="3"/>
        <v>-1792176388354</v>
      </c>
      <c r="S54" s="17">
        <v>47</v>
      </c>
      <c r="T54" s="17">
        <v>0</v>
      </c>
      <c r="U54" s="17">
        <v>108</v>
      </c>
      <c r="V54" s="17">
        <v>97793148400</v>
      </c>
      <c r="W54" s="17">
        <f t="shared" si="7"/>
        <v>-2590627502045</v>
      </c>
      <c r="X54" s="27">
        <v>0.26090000000000002</v>
      </c>
    </row>
    <row r="55" spans="1:24" x14ac:dyDescent="0.2">
      <c r="A55" s="26" t="s">
        <v>230</v>
      </c>
      <c r="B55" s="27">
        <v>-4.8999999999999998E-3</v>
      </c>
      <c r="C55" s="24">
        <f t="shared" si="8"/>
        <v>0.11370000000000001</v>
      </c>
      <c r="D55" s="17">
        <v>193</v>
      </c>
      <c r="E55" s="17">
        <v>69</v>
      </c>
      <c r="F55" s="17">
        <v>292</v>
      </c>
      <c r="G55" s="27">
        <v>-9.3999999999999986E-3</v>
      </c>
      <c r="H55" s="24">
        <f t="shared" si="9"/>
        <v>0.10980000000000004</v>
      </c>
      <c r="I55" s="17">
        <v>4</v>
      </c>
      <c r="J55" s="17">
        <v>4</v>
      </c>
      <c r="K55" s="17">
        <v>22</v>
      </c>
      <c r="L55" s="17">
        <v>64</v>
      </c>
      <c r="M55" s="17">
        <v>1</v>
      </c>
      <c r="N55" s="17">
        <v>84</v>
      </c>
      <c r="O55" s="17">
        <v>-754315258113</v>
      </c>
      <c r="P55" s="16">
        <f t="shared" si="6"/>
        <v>-2258244877007</v>
      </c>
      <c r="Q55" s="17">
        <v>-595130718113</v>
      </c>
      <c r="R55" s="16">
        <f t="shared" si="3"/>
        <v>-877011958176</v>
      </c>
      <c r="S55" s="17">
        <v>68</v>
      </c>
      <c r="T55" s="17">
        <v>0</v>
      </c>
      <c r="U55" s="17">
        <v>64</v>
      </c>
      <c r="V55" s="17">
        <v>260536907000</v>
      </c>
      <c r="W55" s="17">
        <f t="shared" si="7"/>
        <v>-2688420650445</v>
      </c>
      <c r="X55" s="27">
        <v>0.2576</v>
      </c>
    </row>
    <row r="56" spans="1:24" x14ac:dyDescent="0.2">
      <c r="A56" s="26" t="s">
        <v>229</v>
      </c>
      <c r="B56" s="27">
        <v>2.0499999999999997E-2</v>
      </c>
      <c r="C56" s="24">
        <f t="shared" si="8"/>
        <v>0.11860000000000001</v>
      </c>
      <c r="D56" s="17">
        <v>433</v>
      </c>
      <c r="E56" s="17">
        <v>61</v>
      </c>
      <c r="F56" s="17">
        <v>64</v>
      </c>
      <c r="G56" s="27">
        <v>2.4199999999999999E-2</v>
      </c>
      <c r="H56" s="24">
        <f t="shared" si="9"/>
        <v>0.11920000000000003</v>
      </c>
      <c r="I56" s="17">
        <v>29</v>
      </c>
      <c r="J56" s="17">
        <v>1</v>
      </c>
      <c r="K56" s="17">
        <v>0</v>
      </c>
      <c r="L56" s="17">
        <v>85</v>
      </c>
      <c r="M56" s="17">
        <v>2</v>
      </c>
      <c r="N56" s="17">
        <v>63</v>
      </c>
      <c r="O56" s="17">
        <v>-444454240606</v>
      </c>
      <c r="P56" s="16">
        <f t="shared" si="6"/>
        <v>-1503929618894</v>
      </c>
      <c r="Q56" s="17">
        <v>-329064890606</v>
      </c>
      <c r="R56" s="16">
        <f t="shared" si="3"/>
        <v>-281881240063</v>
      </c>
      <c r="S56" s="17">
        <v>67</v>
      </c>
      <c r="T56" s="17">
        <v>0</v>
      </c>
      <c r="U56" s="17">
        <v>58</v>
      </c>
      <c r="V56" s="17">
        <v>397095369000</v>
      </c>
      <c r="W56" s="17">
        <f t="shared" si="7"/>
        <v>-2948957557445</v>
      </c>
      <c r="X56" s="27">
        <v>0.26989999999999997</v>
      </c>
    </row>
    <row r="57" spans="1:24" x14ac:dyDescent="0.2">
      <c r="A57" s="26" t="s">
        <v>228</v>
      </c>
      <c r="B57" s="27">
        <v>7.7000000000000002E-3</v>
      </c>
      <c r="C57" s="24">
        <f t="shared" si="8"/>
        <v>9.8100000000000021E-2</v>
      </c>
      <c r="D57" s="17">
        <v>260</v>
      </c>
      <c r="E57" s="17">
        <v>95</v>
      </c>
      <c r="F57" s="17">
        <v>200</v>
      </c>
      <c r="G57" s="27">
        <v>5.7999999999999996E-3</v>
      </c>
      <c r="H57" s="24">
        <f t="shared" si="9"/>
        <v>9.5000000000000029E-2</v>
      </c>
      <c r="I57" s="17">
        <v>17</v>
      </c>
      <c r="J57" s="17">
        <v>5</v>
      </c>
      <c r="K57" s="17">
        <v>8</v>
      </c>
      <c r="L57" s="17">
        <v>77</v>
      </c>
      <c r="M57" s="17">
        <v>2</v>
      </c>
      <c r="N57" s="17">
        <v>70</v>
      </c>
      <c r="O57" s="17">
        <v>-151542604554</v>
      </c>
      <c r="P57" s="16">
        <f t="shared" si="6"/>
        <v>-1059475378288</v>
      </c>
      <c r="Q57" s="17">
        <v>-208085674554</v>
      </c>
      <c r="R57" s="16">
        <f t="shared" si="3"/>
        <v>47183650543</v>
      </c>
      <c r="S57" s="17">
        <v>80</v>
      </c>
      <c r="T57" s="17">
        <v>0</v>
      </c>
      <c r="U57" s="17">
        <v>45</v>
      </c>
      <c r="V57" s="17">
        <v>-96916685700</v>
      </c>
      <c r="W57" s="17">
        <f t="shared" si="7"/>
        <v>-3346052926445</v>
      </c>
      <c r="X57" s="27">
        <v>0.30030000000000001</v>
      </c>
    </row>
    <row r="58" spans="1:24" x14ac:dyDescent="0.2">
      <c r="A58" s="26" t="s">
        <v>226</v>
      </c>
      <c r="B58" s="27">
        <v>-9.4999999999999998E-3</v>
      </c>
      <c r="C58" s="24">
        <f t="shared" si="8"/>
        <v>9.0400000000000022E-2</v>
      </c>
      <c r="D58" s="17">
        <v>106</v>
      </c>
      <c r="E58" s="17">
        <v>57</v>
      </c>
      <c r="F58" s="17">
        <v>392</v>
      </c>
      <c r="G58" s="27">
        <v>-1.21E-2</v>
      </c>
      <c r="H58" s="24">
        <f t="shared" si="9"/>
        <v>8.9200000000000029E-2</v>
      </c>
      <c r="I58" s="17">
        <v>3</v>
      </c>
      <c r="J58" s="17">
        <v>2</v>
      </c>
      <c r="K58" s="17">
        <v>25</v>
      </c>
      <c r="L58" s="17">
        <v>63</v>
      </c>
      <c r="M58" s="17">
        <v>3</v>
      </c>
      <c r="N58" s="17">
        <v>82</v>
      </c>
      <c r="O58" s="17">
        <v>120857893842</v>
      </c>
      <c r="P58" s="16">
        <f t="shared" si="6"/>
        <v>-907932773734</v>
      </c>
      <c r="Q58" s="17">
        <v>33890693842</v>
      </c>
      <c r="R58" s="16">
        <f t="shared" si="3"/>
        <v>255269325097</v>
      </c>
      <c r="S58" s="17">
        <v>96</v>
      </c>
      <c r="T58" s="17">
        <v>0</v>
      </c>
      <c r="U58" s="17">
        <v>28</v>
      </c>
      <c r="V58" s="17">
        <v>365995728000</v>
      </c>
      <c r="W58" s="17">
        <f t="shared" si="7"/>
        <v>-3249136240745</v>
      </c>
      <c r="X58" s="27">
        <v>0.32390000000000002</v>
      </c>
    </row>
    <row r="59" spans="1:24" x14ac:dyDescent="0.2">
      <c r="A59" s="26" t="s">
        <v>225</v>
      </c>
      <c r="B59" s="27">
        <v>-1.66E-2</v>
      </c>
      <c r="C59" s="24">
        <f t="shared" si="8"/>
        <v>9.9900000000000017E-2</v>
      </c>
      <c r="D59" s="17">
        <v>89</v>
      </c>
      <c r="E59" s="17">
        <v>55</v>
      </c>
      <c r="F59" s="17">
        <v>408</v>
      </c>
      <c r="G59" s="27">
        <v>-2.06E-2</v>
      </c>
      <c r="H59" s="24">
        <f t="shared" si="9"/>
        <v>0.10130000000000003</v>
      </c>
      <c r="I59" s="17">
        <v>1</v>
      </c>
      <c r="J59" s="17">
        <v>0</v>
      </c>
      <c r="K59" s="17">
        <v>29</v>
      </c>
      <c r="L59" s="17">
        <v>59</v>
      </c>
      <c r="M59" s="17">
        <v>3</v>
      </c>
      <c r="N59" s="17">
        <v>88</v>
      </c>
      <c r="O59" s="17">
        <v>-524846354609</v>
      </c>
      <c r="P59" s="16">
        <f t="shared" si="6"/>
        <v>-1028790667576</v>
      </c>
      <c r="Q59" s="17">
        <v>-480464854609</v>
      </c>
      <c r="R59" s="16">
        <f t="shared" si="3"/>
        <v>221378631255</v>
      </c>
      <c r="S59" s="17">
        <v>29</v>
      </c>
      <c r="T59" s="17">
        <v>0</v>
      </c>
      <c r="U59" s="17">
        <v>15</v>
      </c>
      <c r="V59" s="17">
        <v>308522557000</v>
      </c>
      <c r="W59" s="17">
        <f t="shared" si="7"/>
        <v>-3615131968745</v>
      </c>
      <c r="X59" s="27">
        <v>0.32619999999999999</v>
      </c>
    </row>
    <row r="60" spans="1:24" x14ac:dyDescent="0.2">
      <c r="A60" s="26" t="s">
        <v>224</v>
      </c>
      <c r="B60" s="27">
        <v>4.5000000000000005E-3</v>
      </c>
      <c r="C60" s="24">
        <f t="shared" si="8"/>
        <v>0.11650000000000002</v>
      </c>
      <c r="D60" s="17">
        <v>253</v>
      </c>
      <c r="E60" s="17">
        <v>85</v>
      </c>
      <c r="F60" s="17">
        <v>219</v>
      </c>
      <c r="G60" s="27">
        <v>4.3E-3</v>
      </c>
      <c r="H60" s="24">
        <f t="shared" si="9"/>
        <v>0.12190000000000002</v>
      </c>
      <c r="I60" s="17">
        <v>18</v>
      </c>
      <c r="J60" s="17">
        <v>2</v>
      </c>
      <c r="K60" s="17">
        <v>10</v>
      </c>
      <c r="L60" s="17">
        <v>62</v>
      </c>
      <c r="M60" s="17">
        <v>1</v>
      </c>
      <c r="N60" s="17">
        <v>83</v>
      </c>
      <c r="O60" s="17">
        <v>144525221748</v>
      </c>
      <c r="P60" s="16">
        <f t="shared" si="6"/>
        <v>-503944312967</v>
      </c>
      <c r="Q60" s="17">
        <v>222054541748</v>
      </c>
      <c r="R60" s="16">
        <f t="shared" si="3"/>
        <v>701843485864</v>
      </c>
      <c r="S60" s="17">
        <v>51</v>
      </c>
      <c r="T60" s="17">
        <v>0</v>
      </c>
      <c r="U60" s="17">
        <v>79</v>
      </c>
      <c r="V60" s="17">
        <v>90006913000</v>
      </c>
      <c r="W60" s="17">
        <f t="shared" si="7"/>
        <v>-3923654525745</v>
      </c>
      <c r="X60" s="27">
        <v>0.26119999999999999</v>
      </c>
    </row>
    <row r="61" spans="1:24" x14ac:dyDescent="0.2">
      <c r="A61" s="26" t="s">
        <v>221</v>
      </c>
      <c r="B61" s="27">
        <v>-5.6999999999999993E-3</v>
      </c>
      <c r="C61" s="24">
        <f t="shared" si="8"/>
        <v>0.11200000000000002</v>
      </c>
      <c r="D61" s="17">
        <v>130</v>
      </c>
      <c r="E61" s="17">
        <v>67</v>
      </c>
      <c r="F61" s="17">
        <v>356</v>
      </c>
      <c r="G61" s="27">
        <v>-7.0999999999999995E-3</v>
      </c>
      <c r="H61" s="24">
        <f t="shared" si="9"/>
        <v>0.11760000000000002</v>
      </c>
      <c r="I61" s="17">
        <v>8</v>
      </c>
      <c r="J61" s="17">
        <v>4</v>
      </c>
      <c r="K61" s="17">
        <v>18</v>
      </c>
      <c r="L61" s="17">
        <v>68</v>
      </c>
      <c r="M61" s="17">
        <v>1</v>
      </c>
      <c r="N61" s="17">
        <v>79</v>
      </c>
      <c r="O61" s="17">
        <v>-196891375040</v>
      </c>
      <c r="P61" s="16">
        <f t="shared" si="6"/>
        <v>-648469534715</v>
      </c>
      <c r="Q61" s="17">
        <v>50293264960</v>
      </c>
      <c r="R61" s="16">
        <f t="shared" si="3"/>
        <v>479788944116</v>
      </c>
      <c r="S61" s="17">
        <v>62</v>
      </c>
      <c r="T61" s="17">
        <v>0</v>
      </c>
      <c r="U61" s="17">
        <v>65</v>
      </c>
      <c r="V61" s="17">
        <v>-551504761000</v>
      </c>
      <c r="W61" s="17">
        <f t="shared" si="7"/>
        <v>-4013661438745</v>
      </c>
      <c r="X61" s="27">
        <v>0.30380000000000001</v>
      </c>
    </row>
    <row r="62" spans="1:24" x14ac:dyDescent="0.2">
      <c r="A62" s="26" t="s">
        <v>220</v>
      </c>
      <c r="B62" s="27">
        <v>6.8000000000000005E-3</v>
      </c>
      <c r="C62" s="24">
        <f t="shared" si="8"/>
        <v>0.11770000000000001</v>
      </c>
      <c r="D62" s="17">
        <v>258</v>
      </c>
      <c r="E62" s="17">
        <v>80</v>
      </c>
      <c r="F62" s="17">
        <v>212</v>
      </c>
      <c r="G62" s="27">
        <v>9.1999999999999998E-3</v>
      </c>
      <c r="H62" s="24">
        <f t="shared" si="9"/>
        <v>0.12470000000000002</v>
      </c>
      <c r="I62" s="17">
        <v>20</v>
      </c>
      <c r="J62" s="17">
        <v>4</v>
      </c>
      <c r="K62" s="17">
        <v>6</v>
      </c>
      <c r="L62" s="17">
        <v>70</v>
      </c>
      <c r="M62" s="17">
        <v>2</v>
      </c>
      <c r="N62" s="17">
        <v>69</v>
      </c>
      <c r="O62" s="17">
        <v>192448049623</v>
      </c>
      <c r="P62" s="16">
        <f t="shared" si="6"/>
        <v>-451578159675</v>
      </c>
      <c r="Q62" s="17">
        <v>327435149623</v>
      </c>
      <c r="R62" s="16">
        <f t="shared" si="3"/>
        <v>429495679156</v>
      </c>
      <c r="S62" s="17">
        <v>63</v>
      </c>
      <c r="T62" s="17">
        <v>0</v>
      </c>
      <c r="U62" s="17">
        <v>45</v>
      </c>
      <c r="V62" s="17">
        <v>-362678957000</v>
      </c>
      <c r="W62" s="17">
        <f t="shared" si="7"/>
        <v>-3462156677745</v>
      </c>
      <c r="X62" s="27">
        <v>0.2873</v>
      </c>
    </row>
    <row r="63" spans="1:24" x14ac:dyDescent="0.2">
      <c r="A63" s="26" t="s">
        <v>218</v>
      </c>
      <c r="B63" s="27">
        <v>2.5000000000000001E-3</v>
      </c>
      <c r="C63" s="24">
        <f t="shared" ref="C63:C100" si="10">B63+C64</f>
        <v>0.11090000000000001</v>
      </c>
      <c r="D63" s="17">
        <v>276</v>
      </c>
      <c r="E63" s="17">
        <v>90</v>
      </c>
      <c r="F63" s="17">
        <v>190</v>
      </c>
      <c r="G63" s="27">
        <v>1.1999999999999999E-3</v>
      </c>
      <c r="H63" s="24">
        <f t="shared" si="9"/>
        <v>0.11550000000000002</v>
      </c>
      <c r="I63" s="17">
        <v>15</v>
      </c>
      <c r="J63" s="17">
        <v>6</v>
      </c>
      <c r="K63" s="17">
        <v>9</v>
      </c>
      <c r="L63" s="17">
        <v>62</v>
      </c>
      <c r="M63" s="17">
        <v>3</v>
      </c>
      <c r="N63" s="17">
        <v>86</v>
      </c>
      <c r="O63" s="17">
        <v>233287666818</v>
      </c>
      <c r="P63" s="16">
        <f t="shared" si="6"/>
        <v>-644026209298</v>
      </c>
      <c r="Q63" s="17">
        <v>324516996818</v>
      </c>
      <c r="R63" s="16">
        <f t="shared" si="3"/>
        <v>102060529533</v>
      </c>
      <c r="S63" s="17">
        <v>22</v>
      </c>
      <c r="T63" s="17">
        <v>0</v>
      </c>
      <c r="U63" s="17">
        <v>91</v>
      </c>
      <c r="V63" s="17">
        <v>-195967555000</v>
      </c>
      <c r="W63" s="17">
        <f t="shared" ref="W63:W100" si="11">V63+W64</f>
        <v>-3099477720745</v>
      </c>
      <c r="X63" s="27">
        <v>0.28220000000000001</v>
      </c>
    </row>
    <row r="64" spans="1:24" x14ac:dyDescent="0.2">
      <c r="A64" s="26" t="s">
        <v>211</v>
      </c>
      <c r="B64" s="27">
        <v>4.4000000000000003E-3</v>
      </c>
      <c r="C64" s="24">
        <f t="shared" si="10"/>
        <v>0.10840000000000001</v>
      </c>
      <c r="D64" s="17">
        <v>203</v>
      </c>
      <c r="E64" s="17">
        <v>82</v>
      </c>
      <c r="F64" s="17">
        <v>182</v>
      </c>
      <c r="G64" s="27">
        <v>1E-3</v>
      </c>
      <c r="H64" s="24">
        <f t="shared" ref="H64:H100" si="12">G64+H65</f>
        <v>0.11430000000000001</v>
      </c>
      <c r="I64" s="17">
        <v>19</v>
      </c>
      <c r="J64" s="17">
        <v>4</v>
      </c>
      <c r="K64" s="17">
        <v>7</v>
      </c>
      <c r="L64" s="17">
        <v>64</v>
      </c>
      <c r="M64" s="17">
        <v>3</v>
      </c>
      <c r="N64" s="17">
        <v>83</v>
      </c>
      <c r="O64" s="17">
        <v>415333352293</v>
      </c>
      <c r="P64" s="16">
        <f t="shared" si="6"/>
        <v>-877313876116</v>
      </c>
      <c r="Q64" s="17">
        <v>460294452293</v>
      </c>
      <c r="R64" s="16">
        <f t="shared" si="3"/>
        <v>-222456467285</v>
      </c>
      <c r="S64" s="17">
        <v>53</v>
      </c>
      <c r="T64" s="17">
        <v>0</v>
      </c>
      <c r="U64" s="17">
        <v>68</v>
      </c>
      <c r="V64" s="17">
        <v>85544066600</v>
      </c>
      <c r="W64" s="17">
        <f t="shared" si="11"/>
        <v>-2903510165745</v>
      </c>
      <c r="X64" s="27">
        <v>0.28870000000000001</v>
      </c>
    </row>
    <row r="65" spans="1:24" x14ac:dyDescent="0.2">
      <c r="A65" s="26" t="s">
        <v>207</v>
      </c>
      <c r="B65" s="27">
        <v>-1.5E-3</v>
      </c>
      <c r="C65" s="24">
        <f t="shared" si="10"/>
        <v>0.10400000000000001</v>
      </c>
      <c r="D65" s="17">
        <v>214</v>
      </c>
      <c r="E65" s="17">
        <v>80</v>
      </c>
      <c r="F65" s="17">
        <v>262</v>
      </c>
      <c r="G65" s="27">
        <v>2.9999999999999997E-4</v>
      </c>
      <c r="H65" s="24">
        <f t="shared" si="12"/>
        <v>0.11330000000000001</v>
      </c>
      <c r="I65" s="17">
        <v>9</v>
      </c>
      <c r="J65" s="17">
        <v>3</v>
      </c>
      <c r="K65" s="17">
        <v>18</v>
      </c>
      <c r="L65" s="17">
        <v>64</v>
      </c>
      <c r="M65" s="17">
        <v>1</v>
      </c>
      <c r="N65" s="17">
        <v>87</v>
      </c>
      <c r="O65" s="17">
        <v>-283682679192</v>
      </c>
      <c r="P65" s="16">
        <f t="shared" si="6"/>
        <v>-1292647228409</v>
      </c>
      <c r="Q65" s="17">
        <v>-50728209192</v>
      </c>
      <c r="R65" s="16">
        <f t="shared" si="3"/>
        <v>-682750919578</v>
      </c>
      <c r="S65" s="17">
        <v>48</v>
      </c>
      <c r="T65" s="17">
        <v>0</v>
      </c>
      <c r="U65" s="17">
        <v>65</v>
      </c>
      <c r="V65" s="17">
        <v>12773172000</v>
      </c>
      <c r="W65" s="17">
        <f t="shared" si="11"/>
        <v>-2989054232345</v>
      </c>
      <c r="X65" s="27">
        <v>0.32100000000000001</v>
      </c>
    </row>
    <row r="66" spans="1:24" x14ac:dyDescent="0.2">
      <c r="A66" s="26" t="s">
        <v>202</v>
      </c>
      <c r="B66" s="27">
        <v>1.38E-2</v>
      </c>
      <c r="C66" s="24">
        <f t="shared" si="10"/>
        <v>0.10550000000000001</v>
      </c>
      <c r="D66" s="17">
        <v>309</v>
      </c>
      <c r="E66" s="17">
        <v>67</v>
      </c>
      <c r="F66" s="17">
        <v>180</v>
      </c>
      <c r="G66" s="27">
        <v>1.3999999999999999E-2</v>
      </c>
      <c r="H66" s="24">
        <f t="shared" si="12"/>
        <v>0.11300000000000002</v>
      </c>
      <c r="I66" s="17">
        <v>25</v>
      </c>
      <c r="J66" s="17">
        <v>3</v>
      </c>
      <c r="K66" s="17">
        <v>2</v>
      </c>
      <c r="L66" s="17">
        <v>65</v>
      </c>
      <c r="M66" s="17">
        <v>2</v>
      </c>
      <c r="N66" s="17">
        <v>86</v>
      </c>
      <c r="O66" s="17">
        <v>188033541882</v>
      </c>
      <c r="P66" s="16">
        <f t="shared" si="6"/>
        <v>-1008964549217</v>
      </c>
      <c r="Q66" s="17">
        <v>212373271882</v>
      </c>
      <c r="R66" s="16">
        <f t="shared" si="3"/>
        <v>-632022710386</v>
      </c>
      <c r="S66" s="17">
        <v>29</v>
      </c>
      <c r="T66" s="17">
        <v>0</v>
      </c>
      <c r="U66" s="17">
        <v>104</v>
      </c>
      <c r="V66" s="17">
        <v>-240537106200</v>
      </c>
      <c r="W66" s="17">
        <f t="shared" si="11"/>
        <v>-3001827404345</v>
      </c>
      <c r="X66" s="27">
        <v>0.3221</v>
      </c>
    </row>
    <row r="67" spans="1:24" x14ac:dyDescent="0.2">
      <c r="A67" s="26" t="s">
        <v>199</v>
      </c>
      <c r="B67" s="27">
        <v>1.09E-2</v>
      </c>
      <c r="C67" s="24">
        <f t="shared" si="10"/>
        <v>9.1700000000000004E-2</v>
      </c>
      <c r="D67" s="17">
        <v>380</v>
      </c>
      <c r="E67" s="17">
        <v>86</v>
      </c>
      <c r="F67" s="17">
        <v>98</v>
      </c>
      <c r="G67" s="27">
        <v>1.18E-2</v>
      </c>
      <c r="H67" s="24">
        <f t="shared" si="12"/>
        <v>9.9000000000000019E-2</v>
      </c>
      <c r="I67" s="17">
        <v>21</v>
      </c>
      <c r="J67" s="17">
        <v>5</v>
      </c>
      <c r="K67" s="17">
        <v>4</v>
      </c>
      <c r="L67" s="17">
        <v>59</v>
      </c>
      <c r="M67" s="17">
        <v>1</v>
      </c>
      <c r="N67" s="17">
        <v>94</v>
      </c>
      <c r="O67" s="17">
        <v>221541319150</v>
      </c>
      <c r="P67" s="16">
        <f t="shared" si="6"/>
        <v>-1196998091099</v>
      </c>
      <c r="Q67" s="17">
        <v>252228459150</v>
      </c>
      <c r="R67" s="16">
        <f t="shared" si="3"/>
        <v>-844395982268</v>
      </c>
      <c r="S67" s="17">
        <v>22</v>
      </c>
      <c r="T67" s="17">
        <v>0</v>
      </c>
      <c r="U67" s="17">
        <v>113</v>
      </c>
      <c r="V67" s="17">
        <v>-605445427200</v>
      </c>
      <c r="W67" s="17">
        <f t="shared" si="11"/>
        <v>-2761290298145</v>
      </c>
      <c r="X67" s="27">
        <v>0.3639</v>
      </c>
    </row>
    <row r="68" spans="1:24" x14ac:dyDescent="0.2">
      <c r="A68" s="26" t="s">
        <v>196</v>
      </c>
      <c r="B68" s="27">
        <v>0.01</v>
      </c>
      <c r="C68" s="24">
        <f t="shared" si="10"/>
        <v>8.0800000000000011E-2</v>
      </c>
      <c r="D68" s="17"/>
      <c r="E68" s="17"/>
      <c r="F68" s="17"/>
      <c r="G68" s="27">
        <v>8.3999999999999995E-3</v>
      </c>
      <c r="H68" s="24">
        <f t="shared" si="12"/>
        <v>8.7200000000000014E-2</v>
      </c>
      <c r="I68" s="17"/>
      <c r="J68" s="17"/>
      <c r="K68" s="17"/>
      <c r="L68" s="17">
        <v>80</v>
      </c>
      <c r="M68" s="17">
        <v>2</v>
      </c>
      <c r="N68" s="17">
        <v>70</v>
      </c>
      <c r="O68" s="17">
        <v>135599952356</v>
      </c>
      <c r="P68" s="16">
        <f t="shared" si="6"/>
        <v>-1418539410249</v>
      </c>
      <c r="Q68" s="17">
        <v>161086072356</v>
      </c>
      <c r="R68" s="16">
        <f t="shared" si="3"/>
        <v>-1096624441418</v>
      </c>
      <c r="S68" s="17">
        <v>37</v>
      </c>
      <c r="T68" s="17">
        <v>0</v>
      </c>
      <c r="U68" s="17">
        <v>66</v>
      </c>
      <c r="V68" s="17">
        <v>69732196000</v>
      </c>
      <c r="W68" s="17">
        <f t="shared" si="11"/>
        <v>-2155844870945</v>
      </c>
      <c r="X68" s="27">
        <v>0.314</v>
      </c>
    </row>
    <row r="69" spans="1:24" x14ac:dyDescent="0.2">
      <c r="A69" s="26" t="s">
        <v>126</v>
      </c>
      <c r="B69" s="27">
        <v>-1.2500000000000001E-2</v>
      </c>
      <c r="C69" s="24">
        <f t="shared" si="10"/>
        <v>7.0800000000000016E-2</v>
      </c>
      <c r="D69" s="17">
        <v>98</v>
      </c>
      <c r="E69" s="17">
        <v>45</v>
      </c>
      <c r="F69" s="17">
        <v>414</v>
      </c>
      <c r="G69" s="27">
        <v>-1.3600000000000001E-2</v>
      </c>
      <c r="H69" s="24">
        <f t="shared" si="12"/>
        <v>7.8800000000000009E-2</v>
      </c>
      <c r="I69" s="17">
        <v>2</v>
      </c>
      <c r="J69" s="17">
        <v>1</v>
      </c>
      <c r="K69" s="17">
        <v>27</v>
      </c>
      <c r="L69" s="17">
        <v>57</v>
      </c>
      <c r="M69" s="17">
        <v>15</v>
      </c>
      <c r="N69" s="17">
        <v>96</v>
      </c>
      <c r="O69" s="17">
        <v>-746396579742</v>
      </c>
      <c r="P69" s="16">
        <f t="shared" ref="P69:P100" si="13">O69+P70</f>
        <v>-1554139362605</v>
      </c>
      <c r="Q69" s="17">
        <v>-733677849742</v>
      </c>
      <c r="R69" s="16">
        <f t="shared" si="3"/>
        <v>-1257710513774</v>
      </c>
      <c r="S69" s="17">
        <v>71</v>
      </c>
      <c r="T69" s="17">
        <v>0</v>
      </c>
      <c r="U69" s="17">
        <v>35</v>
      </c>
      <c r="V69" s="17">
        <v>70546609000</v>
      </c>
      <c r="W69" s="17">
        <f t="shared" si="11"/>
        <v>-2225577066945</v>
      </c>
      <c r="X69" s="27">
        <v>0.3569</v>
      </c>
    </row>
    <row r="70" spans="1:24" x14ac:dyDescent="0.2">
      <c r="A70" s="26" t="s">
        <v>125</v>
      </c>
      <c r="B70" s="27">
        <v>-2.2000000000000001E-3</v>
      </c>
      <c r="C70" s="24">
        <f t="shared" si="10"/>
        <v>8.3300000000000013E-2</v>
      </c>
      <c r="D70" s="17">
        <v>217</v>
      </c>
      <c r="E70" s="17">
        <v>77</v>
      </c>
      <c r="F70" s="17">
        <v>263</v>
      </c>
      <c r="G70" s="27">
        <v>-1.8E-3</v>
      </c>
      <c r="H70" s="24">
        <f t="shared" si="12"/>
        <v>9.240000000000001E-2</v>
      </c>
      <c r="I70" s="17">
        <v>13</v>
      </c>
      <c r="J70" s="17">
        <v>1</v>
      </c>
      <c r="K70" s="17">
        <v>16</v>
      </c>
      <c r="L70" s="17">
        <v>59</v>
      </c>
      <c r="M70" s="17">
        <v>17</v>
      </c>
      <c r="N70" s="17">
        <v>79</v>
      </c>
      <c r="O70" s="17">
        <v>-964850421523</v>
      </c>
      <c r="P70" s="16">
        <f t="shared" si="13"/>
        <v>-807742782863</v>
      </c>
      <c r="Q70" s="17">
        <v>-933482230857</v>
      </c>
      <c r="R70" s="16">
        <f t="shared" si="3"/>
        <v>-524032664032</v>
      </c>
      <c r="S70" s="17">
        <v>24</v>
      </c>
      <c r="T70" s="17">
        <v>0</v>
      </c>
      <c r="U70" s="17">
        <v>91</v>
      </c>
      <c r="V70" s="17">
        <v>-332818912600</v>
      </c>
      <c r="W70" s="17">
        <f t="shared" si="11"/>
        <v>-2296123675945</v>
      </c>
      <c r="X70" s="27">
        <v>0.30159999999999998</v>
      </c>
    </row>
    <row r="71" spans="1:24" x14ac:dyDescent="0.2">
      <c r="A71" s="26" t="s">
        <v>124</v>
      </c>
      <c r="B71" s="27">
        <v>0</v>
      </c>
      <c r="C71" s="24">
        <f t="shared" si="10"/>
        <v>8.5500000000000007E-2</v>
      </c>
      <c r="D71" s="17">
        <v>239</v>
      </c>
      <c r="E71" s="17">
        <v>60</v>
      </c>
      <c r="F71" s="17">
        <v>262</v>
      </c>
      <c r="G71" s="27">
        <v>2.9999999999999997E-4</v>
      </c>
      <c r="H71" s="24">
        <f t="shared" si="12"/>
        <v>9.4200000000000006E-2</v>
      </c>
      <c r="I71" s="17">
        <v>13</v>
      </c>
      <c r="J71" s="17">
        <v>0</v>
      </c>
      <c r="K71" s="17">
        <v>17</v>
      </c>
      <c r="L71" s="17">
        <v>56</v>
      </c>
      <c r="M71" s="17">
        <v>18</v>
      </c>
      <c r="N71" s="17">
        <v>94</v>
      </c>
      <c r="O71" s="17">
        <v>61064252954</v>
      </c>
      <c r="P71" s="16">
        <f t="shared" si="13"/>
        <v>157107638660</v>
      </c>
      <c r="Q71" s="17">
        <v>29482332954</v>
      </c>
      <c r="R71" s="16">
        <f t="shared" si="3"/>
        <v>409449566825</v>
      </c>
      <c r="S71" s="17">
        <v>46</v>
      </c>
      <c r="T71" s="17">
        <v>0</v>
      </c>
      <c r="U71" s="17">
        <v>68</v>
      </c>
      <c r="V71" s="17">
        <v>-614818417000</v>
      </c>
      <c r="W71" s="17">
        <f t="shared" si="11"/>
        <v>-1963304763345</v>
      </c>
      <c r="X71" s="27">
        <v>0.36170000000000002</v>
      </c>
    </row>
    <row r="72" spans="1:24" x14ac:dyDescent="0.2">
      <c r="A72" s="26" t="s">
        <v>123</v>
      </c>
      <c r="B72" s="27">
        <v>4.1999999999999997E-3</v>
      </c>
      <c r="C72" s="24">
        <f t="shared" si="10"/>
        <v>8.5500000000000007E-2</v>
      </c>
      <c r="D72" s="17">
        <v>245</v>
      </c>
      <c r="E72" s="17">
        <v>95</v>
      </c>
      <c r="F72" s="17">
        <v>231</v>
      </c>
      <c r="G72" s="27">
        <v>1.1999999999999999E-3</v>
      </c>
      <c r="H72" s="24">
        <f t="shared" si="12"/>
        <v>9.3900000000000011E-2</v>
      </c>
      <c r="I72" s="17">
        <v>10</v>
      </c>
      <c r="J72" s="17">
        <v>4</v>
      </c>
      <c r="K72" s="17">
        <v>16</v>
      </c>
      <c r="L72" s="17">
        <v>60</v>
      </c>
      <c r="M72" s="17">
        <v>18</v>
      </c>
      <c r="N72" s="17">
        <v>90</v>
      </c>
      <c r="O72" s="17">
        <v>204994329241</v>
      </c>
      <c r="P72" s="16">
        <f t="shared" si="13"/>
        <v>96043385706</v>
      </c>
      <c r="Q72" s="17">
        <v>-26991950759</v>
      </c>
      <c r="R72" s="16">
        <f t="shared" si="3"/>
        <v>379967233871</v>
      </c>
      <c r="S72" s="17">
        <v>32</v>
      </c>
      <c r="T72" s="17">
        <v>0</v>
      </c>
      <c r="U72" s="17">
        <v>46</v>
      </c>
      <c r="V72" s="17">
        <v>-470868857000</v>
      </c>
      <c r="W72" s="17">
        <f t="shared" si="11"/>
        <v>-1348486346345</v>
      </c>
      <c r="X72" s="27">
        <v>0.30879999999999996</v>
      </c>
    </row>
    <row r="73" spans="1:24" x14ac:dyDescent="0.2">
      <c r="A73" s="26" t="s">
        <v>122</v>
      </c>
      <c r="B73" s="27">
        <v>1.26E-2</v>
      </c>
      <c r="C73" s="24">
        <f t="shared" si="10"/>
        <v>8.1300000000000011E-2</v>
      </c>
      <c r="D73" s="17">
        <v>298</v>
      </c>
      <c r="E73" s="17">
        <v>52</v>
      </c>
      <c r="F73" s="17">
        <v>217</v>
      </c>
      <c r="G73" s="27">
        <v>1.2800000000000001E-2</v>
      </c>
      <c r="H73" s="24">
        <f t="shared" si="12"/>
        <v>9.2700000000000005E-2</v>
      </c>
      <c r="I73" s="17">
        <v>21</v>
      </c>
      <c r="J73" s="17">
        <v>0</v>
      </c>
      <c r="K73" s="17">
        <v>9</v>
      </c>
      <c r="L73" s="17">
        <v>78</v>
      </c>
      <c r="M73" s="17">
        <v>19</v>
      </c>
      <c r="N73" s="17">
        <v>71</v>
      </c>
      <c r="O73" s="17">
        <v>188930474831</v>
      </c>
      <c r="P73" s="16">
        <f t="shared" si="13"/>
        <v>-108950943535</v>
      </c>
      <c r="Q73" s="17">
        <v>-115546725169</v>
      </c>
      <c r="R73" s="16">
        <f t="shared" si="3"/>
        <v>406959184630</v>
      </c>
      <c r="S73" s="17">
        <v>58</v>
      </c>
      <c r="T73" s="17">
        <v>0</v>
      </c>
      <c r="U73" s="17">
        <v>51</v>
      </c>
      <c r="V73" s="17">
        <v>-623379316400</v>
      </c>
      <c r="W73" s="17">
        <f t="shared" si="11"/>
        <v>-877617489345</v>
      </c>
      <c r="X73" s="27">
        <v>0.34990000000000004</v>
      </c>
    </row>
    <row r="74" spans="1:24" x14ac:dyDescent="0.2">
      <c r="A74" s="23">
        <v>45338</v>
      </c>
      <c r="B74" s="24">
        <v>6.0000000000000001E-3</v>
      </c>
      <c r="C74" s="24">
        <f t="shared" si="10"/>
        <v>6.8700000000000011E-2</v>
      </c>
      <c r="D74" s="17">
        <v>288</v>
      </c>
      <c r="E74">
        <v>77</v>
      </c>
      <c r="F74" s="17">
        <v>201</v>
      </c>
      <c r="G74" s="24">
        <v>6.1000000000000004E-3</v>
      </c>
      <c r="H74" s="24">
        <f t="shared" si="12"/>
        <v>7.9899999999999999E-2</v>
      </c>
      <c r="I74" s="17">
        <v>17</v>
      </c>
      <c r="J74">
        <v>4</v>
      </c>
      <c r="K74" s="17">
        <v>9</v>
      </c>
      <c r="L74" s="17">
        <v>74</v>
      </c>
      <c r="M74">
        <v>24</v>
      </c>
      <c r="N74" s="17">
        <v>70</v>
      </c>
      <c r="O74" s="17">
        <v>-442481451217</v>
      </c>
      <c r="P74" s="16">
        <f t="shared" si="13"/>
        <v>-297881418366</v>
      </c>
      <c r="Q74" s="17">
        <v>-497474861217</v>
      </c>
      <c r="R74" s="16">
        <f t="shared" si="3"/>
        <v>522505909799</v>
      </c>
      <c r="S74" s="17">
        <v>80</v>
      </c>
      <c r="T74">
        <v>0</v>
      </c>
      <c r="U74" s="17">
        <v>29</v>
      </c>
      <c r="V74" s="17">
        <v>-83714826000</v>
      </c>
      <c r="W74" s="17">
        <f t="shared" si="11"/>
        <v>-254238172945</v>
      </c>
      <c r="X74" s="27">
        <v>0.2712</v>
      </c>
    </row>
    <row r="75" spans="1:24" x14ac:dyDescent="0.2">
      <c r="A75" s="23">
        <v>45337</v>
      </c>
      <c r="B75" s="24">
        <v>3.3E-3</v>
      </c>
      <c r="C75" s="24">
        <f t="shared" si="10"/>
        <v>6.2700000000000006E-2</v>
      </c>
      <c r="D75" s="17">
        <v>321</v>
      </c>
      <c r="E75">
        <v>81</v>
      </c>
      <c r="F75" s="17">
        <v>153</v>
      </c>
      <c r="G75" s="24">
        <v>3.5999999999999999E-3</v>
      </c>
      <c r="H75" s="24">
        <f t="shared" si="12"/>
        <v>7.3800000000000004E-2</v>
      </c>
      <c r="I75" s="17">
        <v>17</v>
      </c>
      <c r="J75">
        <v>5</v>
      </c>
      <c r="K75" s="17">
        <v>8</v>
      </c>
      <c r="L75" s="17">
        <v>71</v>
      </c>
      <c r="M75">
        <v>14</v>
      </c>
      <c r="N75" s="17">
        <v>83</v>
      </c>
      <c r="O75" s="17">
        <v>-389907696192</v>
      </c>
      <c r="P75" s="16">
        <f t="shared" si="13"/>
        <v>144600032851</v>
      </c>
      <c r="Q75" s="17">
        <v>-387969726192</v>
      </c>
      <c r="R75" s="16">
        <f t="shared" si="3"/>
        <v>1019980771016</v>
      </c>
      <c r="S75" s="17">
        <v>67</v>
      </c>
      <c r="T75">
        <v>0</v>
      </c>
      <c r="U75" s="17">
        <v>41</v>
      </c>
      <c r="V75" s="17">
        <v>-431362028000</v>
      </c>
      <c r="W75" s="17">
        <f t="shared" si="11"/>
        <v>-170523346945</v>
      </c>
      <c r="X75" s="27">
        <v>0.34570000000000001</v>
      </c>
    </row>
    <row r="76" spans="1:24" x14ac:dyDescent="0.2">
      <c r="A76" s="23">
        <v>45329</v>
      </c>
      <c r="B76" s="24">
        <v>8.5000000000000006E-3</v>
      </c>
      <c r="C76" s="24">
        <f t="shared" si="10"/>
        <v>5.9400000000000001E-2</v>
      </c>
      <c r="D76" s="17">
        <v>356</v>
      </c>
      <c r="E76">
        <v>81</v>
      </c>
      <c r="F76" s="17">
        <v>110</v>
      </c>
      <c r="G76" s="24">
        <v>1.1299999999999999E-2</v>
      </c>
      <c r="H76" s="24">
        <f t="shared" si="12"/>
        <v>7.0199999999999999E-2</v>
      </c>
      <c r="I76" s="17">
        <v>26</v>
      </c>
      <c r="J76">
        <v>3</v>
      </c>
      <c r="K76" s="17">
        <v>1</v>
      </c>
      <c r="L76" s="17">
        <v>66</v>
      </c>
      <c r="M76">
        <v>1</v>
      </c>
      <c r="N76" s="17">
        <v>77</v>
      </c>
      <c r="O76" s="17">
        <v>-20426078171</v>
      </c>
      <c r="P76" s="16">
        <f t="shared" si="13"/>
        <v>534507729043</v>
      </c>
      <c r="Q76" s="17">
        <v>-21260328171</v>
      </c>
      <c r="R76" s="16">
        <f t="shared" si="3"/>
        <v>1407950497208</v>
      </c>
      <c r="S76" s="17">
        <v>69</v>
      </c>
      <c r="T76">
        <v>0</v>
      </c>
      <c r="U76" s="17">
        <v>39</v>
      </c>
      <c r="V76" s="17">
        <v>55430821000</v>
      </c>
      <c r="W76" s="17">
        <f t="shared" si="11"/>
        <v>260838681055</v>
      </c>
      <c r="X76" s="27">
        <v>0.30380000000000001</v>
      </c>
    </row>
    <row r="77" spans="1:24" x14ac:dyDescent="0.2">
      <c r="A77" s="23">
        <v>45328</v>
      </c>
      <c r="B77" s="24">
        <v>2E-3</v>
      </c>
      <c r="C77" s="24">
        <f t="shared" si="10"/>
        <v>5.0900000000000001E-2</v>
      </c>
      <c r="D77" s="17">
        <v>244</v>
      </c>
      <c r="E77">
        <v>107</v>
      </c>
      <c r="F77" s="17">
        <v>212</v>
      </c>
      <c r="G77" s="24">
        <v>1.5E-3</v>
      </c>
      <c r="H77" s="24">
        <f t="shared" si="12"/>
        <v>5.8899999999999994E-2</v>
      </c>
      <c r="I77" s="17"/>
      <c r="J77" s="3"/>
      <c r="K77" s="17"/>
      <c r="L77" s="17">
        <v>65</v>
      </c>
      <c r="M77">
        <v>1</v>
      </c>
      <c r="N77" s="17">
        <v>78</v>
      </c>
      <c r="O77" s="17">
        <v>-454044753347</v>
      </c>
      <c r="P77" s="16">
        <f t="shared" si="13"/>
        <v>554933807214</v>
      </c>
      <c r="Q77" s="17">
        <v>-346290533347</v>
      </c>
      <c r="R77" s="16">
        <f t="shared" si="3"/>
        <v>1429210825379</v>
      </c>
      <c r="S77" s="17">
        <v>62</v>
      </c>
      <c r="T77">
        <v>0</v>
      </c>
      <c r="U77" s="17">
        <v>50</v>
      </c>
      <c r="V77" s="17">
        <v>-718184911000</v>
      </c>
      <c r="W77" s="17">
        <f t="shared" si="11"/>
        <v>205407860055</v>
      </c>
      <c r="X77" s="27">
        <v>0.30079999999999996</v>
      </c>
    </row>
    <row r="78" spans="1:24" x14ac:dyDescent="0.2">
      <c r="A78" s="23">
        <v>45327</v>
      </c>
      <c r="B78" s="24">
        <v>1.15E-2</v>
      </c>
      <c r="C78" s="24">
        <f t="shared" si="10"/>
        <v>4.8899999999999999E-2</v>
      </c>
      <c r="D78" s="17">
        <v>270</v>
      </c>
      <c r="E78">
        <v>72</v>
      </c>
      <c r="F78" s="17">
        <v>212</v>
      </c>
      <c r="G78" s="24">
        <v>1.9199999999999998E-2</v>
      </c>
      <c r="H78" s="24">
        <f t="shared" si="12"/>
        <v>5.7399999999999993E-2</v>
      </c>
      <c r="I78" s="17"/>
      <c r="K78" s="17"/>
      <c r="L78" s="17">
        <v>71</v>
      </c>
      <c r="M78">
        <v>1</v>
      </c>
      <c r="N78" s="17">
        <v>72</v>
      </c>
      <c r="O78" s="17">
        <v>-47724190106</v>
      </c>
      <c r="P78" s="16">
        <f t="shared" si="13"/>
        <v>1008978560561</v>
      </c>
      <c r="Q78" s="17">
        <v>-30220750106</v>
      </c>
      <c r="R78" s="16">
        <f t="shared" si="3"/>
        <v>1775501358726</v>
      </c>
      <c r="S78" s="17">
        <v>84</v>
      </c>
      <c r="T78">
        <v>0</v>
      </c>
      <c r="U78" s="17">
        <v>22</v>
      </c>
      <c r="V78" s="17">
        <v>17971390000</v>
      </c>
      <c r="W78" s="17">
        <f t="shared" si="11"/>
        <v>923592771055</v>
      </c>
      <c r="X78" s="27">
        <v>0.3856</v>
      </c>
    </row>
    <row r="79" spans="1:24" x14ac:dyDescent="0.2">
      <c r="A79" s="23">
        <v>45324</v>
      </c>
      <c r="B79" s="24">
        <v>-4.0000000000000002E-4</v>
      </c>
      <c r="C79" s="24">
        <f t="shared" si="10"/>
        <v>3.7400000000000003E-2</v>
      </c>
      <c r="D79" s="17">
        <v>199</v>
      </c>
      <c r="E79">
        <v>89</v>
      </c>
      <c r="F79" s="17">
        <v>267</v>
      </c>
      <c r="G79" s="24">
        <v>1.1999999999999999E-3</v>
      </c>
      <c r="H79" s="24">
        <f t="shared" si="12"/>
        <v>3.8199999999999998E-2</v>
      </c>
      <c r="I79" s="17"/>
      <c r="K79" s="17"/>
      <c r="L79" s="17">
        <v>44</v>
      </c>
      <c r="M79">
        <v>1</v>
      </c>
      <c r="N79" s="17">
        <v>90</v>
      </c>
      <c r="O79" s="17">
        <v>-235298007611</v>
      </c>
      <c r="P79" s="16">
        <f t="shared" si="13"/>
        <v>1056702750667</v>
      </c>
      <c r="Q79" s="17">
        <v>-171811917611</v>
      </c>
      <c r="R79" s="16">
        <f t="shared" si="3"/>
        <v>1805722108832</v>
      </c>
      <c r="S79" s="17">
        <v>55</v>
      </c>
      <c r="T79">
        <v>0</v>
      </c>
      <c r="U79" s="17">
        <v>53</v>
      </c>
      <c r="V79" s="17">
        <v>499951149000</v>
      </c>
      <c r="W79" s="17">
        <f t="shared" si="11"/>
        <v>905621381055</v>
      </c>
      <c r="X79" s="27">
        <v>0.2697</v>
      </c>
    </row>
    <row r="80" spans="1:24" x14ac:dyDescent="0.2">
      <c r="A80" s="23">
        <v>45323</v>
      </c>
      <c r="B80" s="24">
        <v>7.4999999999999997E-3</v>
      </c>
      <c r="C80" s="24">
        <f t="shared" si="10"/>
        <v>3.78E-2</v>
      </c>
      <c r="D80" s="17">
        <v>270</v>
      </c>
      <c r="E80">
        <v>111</v>
      </c>
      <c r="F80" s="17">
        <v>177</v>
      </c>
      <c r="G80" s="24">
        <v>6.0000000000000001E-3</v>
      </c>
      <c r="H80" s="24">
        <f t="shared" si="12"/>
        <v>3.6999999999999998E-2</v>
      </c>
      <c r="I80" s="17">
        <v>17</v>
      </c>
      <c r="J80">
        <v>5</v>
      </c>
      <c r="K80" s="17">
        <v>8</v>
      </c>
      <c r="L80" s="17">
        <v>65</v>
      </c>
      <c r="M80">
        <v>1</v>
      </c>
      <c r="N80" s="17">
        <v>62</v>
      </c>
      <c r="O80" s="17">
        <v>167317808902</v>
      </c>
      <c r="P80" s="16">
        <f t="shared" si="13"/>
        <v>1292000758278</v>
      </c>
      <c r="Q80" s="17">
        <v>287858109813</v>
      </c>
      <c r="R80" s="16">
        <f t="shared" si="3"/>
        <v>1977534026443</v>
      </c>
      <c r="S80" s="17">
        <v>46</v>
      </c>
      <c r="T80">
        <v>0</v>
      </c>
      <c r="U80" s="17">
        <v>76</v>
      </c>
      <c r="V80" s="17">
        <v>99823302000</v>
      </c>
      <c r="W80" s="17">
        <f t="shared" si="11"/>
        <v>405670232055</v>
      </c>
      <c r="X80" s="27">
        <v>0.27279999999999999</v>
      </c>
    </row>
    <row r="81" spans="1:24" x14ac:dyDescent="0.2">
      <c r="A81" s="23">
        <v>45322</v>
      </c>
      <c r="B81" s="24">
        <v>-1.3000000000000001E-2</v>
      </c>
      <c r="C81" s="24">
        <f t="shared" si="10"/>
        <v>3.0299999999999997E-2</v>
      </c>
      <c r="D81" s="17">
        <v>101</v>
      </c>
      <c r="E81">
        <v>62</v>
      </c>
      <c r="F81" s="17">
        <v>393</v>
      </c>
      <c r="G81" s="24">
        <v>-1.2999999999999999E-2</v>
      </c>
      <c r="H81" s="24">
        <f t="shared" si="12"/>
        <v>3.1E-2</v>
      </c>
      <c r="I81" s="17">
        <v>3</v>
      </c>
      <c r="J81">
        <v>1</v>
      </c>
      <c r="K81" s="17">
        <v>26</v>
      </c>
      <c r="L81" s="17">
        <v>58</v>
      </c>
      <c r="M81">
        <v>1</v>
      </c>
      <c r="N81" s="17">
        <v>81</v>
      </c>
      <c r="O81" s="17">
        <v>39184647355</v>
      </c>
      <c r="P81" s="16">
        <f t="shared" si="13"/>
        <v>1124682949376</v>
      </c>
      <c r="Q81" s="17">
        <v>85895034609</v>
      </c>
      <c r="R81" s="16">
        <f t="shared" si="3"/>
        <v>1689675916630</v>
      </c>
      <c r="S81" s="17">
        <v>38</v>
      </c>
      <c r="T81">
        <v>0</v>
      </c>
      <c r="U81" s="17">
        <v>108</v>
      </c>
      <c r="V81" s="17">
        <v>69620718500</v>
      </c>
      <c r="W81" s="17">
        <f t="shared" si="11"/>
        <v>305846930055</v>
      </c>
      <c r="X81" s="27">
        <v>0.37990000000000002</v>
      </c>
    </row>
    <row r="82" spans="1:24" x14ac:dyDescent="0.2">
      <c r="A82" s="23">
        <v>45321</v>
      </c>
      <c r="B82" s="24">
        <v>3.3999999999999998E-3</v>
      </c>
      <c r="C82" s="24">
        <f t="shared" si="10"/>
        <v>4.3299999999999998E-2</v>
      </c>
      <c r="D82" s="17">
        <v>266</v>
      </c>
      <c r="E82">
        <v>112</v>
      </c>
      <c r="F82" s="17">
        <v>174</v>
      </c>
      <c r="G82" s="24">
        <v>2.2000000000000001E-3</v>
      </c>
      <c r="H82" s="24">
        <f t="shared" si="12"/>
        <v>4.3999999999999997E-2</v>
      </c>
      <c r="I82" s="17">
        <v>14</v>
      </c>
      <c r="J82">
        <v>4</v>
      </c>
      <c r="K82" s="17">
        <v>12</v>
      </c>
      <c r="L82" s="17">
        <v>81</v>
      </c>
      <c r="M82">
        <v>2</v>
      </c>
      <c r="N82" s="17">
        <v>56</v>
      </c>
      <c r="O82" s="17">
        <v>396711927017</v>
      </c>
      <c r="P82" s="16">
        <f t="shared" si="13"/>
        <v>1085498302021</v>
      </c>
      <c r="Q82" s="17">
        <v>429155407017</v>
      </c>
      <c r="R82" s="16">
        <f t="shared" si="3"/>
        <v>1603780882021</v>
      </c>
      <c r="S82" s="17">
        <v>41</v>
      </c>
      <c r="T82">
        <v>0</v>
      </c>
      <c r="U82" s="17">
        <v>103</v>
      </c>
      <c r="V82" s="17">
        <v>80613287900</v>
      </c>
      <c r="W82" s="17">
        <f t="shared" si="11"/>
        <v>236226211555</v>
      </c>
      <c r="X82" s="27">
        <v>0.30130000000000001</v>
      </c>
    </row>
    <row r="83" spans="1:24" x14ac:dyDescent="0.2">
      <c r="A83" s="23">
        <v>45320</v>
      </c>
      <c r="B83" s="24">
        <v>0</v>
      </c>
      <c r="C83" s="24">
        <f t="shared" si="10"/>
        <v>3.9899999999999998E-2</v>
      </c>
      <c r="D83" s="17">
        <v>187</v>
      </c>
      <c r="E83">
        <v>106</v>
      </c>
      <c r="F83" s="17">
        <v>283</v>
      </c>
      <c r="G83" s="24">
        <v>-3.0999999999999999E-3</v>
      </c>
      <c r="H83" s="24">
        <f t="shared" si="12"/>
        <v>4.1799999999999997E-2</v>
      </c>
      <c r="I83" s="17">
        <v>14</v>
      </c>
      <c r="J83">
        <v>5</v>
      </c>
      <c r="K83" s="17">
        <v>11</v>
      </c>
      <c r="L83" s="17">
        <v>60</v>
      </c>
      <c r="M83">
        <v>2</v>
      </c>
      <c r="N83" s="17">
        <v>77</v>
      </c>
      <c r="O83" s="17">
        <v>-137908844181</v>
      </c>
      <c r="P83" s="16">
        <f t="shared" si="13"/>
        <v>688786375004</v>
      </c>
      <c r="Q83" s="17">
        <v>-118968274181</v>
      </c>
      <c r="R83" s="16">
        <f t="shared" ref="R83:R100" si="14">Q83+R84</f>
        <v>1174625475004</v>
      </c>
      <c r="S83" s="17">
        <v>42</v>
      </c>
      <c r="T83">
        <v>0</v>
      </c>
      <c r="U83" s="17">
        <v>62</v>
      </c>
      <c r="V83" s="17">
        <v>80072901000</v>
      </c>
      <c r="W83" s="17">
        <f t="shared" si="11"/>
        <v>155612923655</v>
      </c>
      <c r="X83" s="27">
        <v>0.26079999999999998</v>
      </c>
    </row>
    <row r="84" spans="1:24" x14ac:dyDescent="0.2">
      <c r="A84" s="23">
        <v>45317</v>
      </c>
      <c r="B84" s="24">
        <v>4.4999999999999997E-3</v>
      </c>
      <c r="C84" s="24">
        <f t="shared" si="10"/>
        <v>3.9899999999999998E-2</v>
      </c>
      <c r="D84" s="17">
        <v>253</v>
      </c>
      <c r="E84">
        <v>129</v>
      </c>
      <c r="F84" s="17">
        <v>193</v>
      </c>
      <c r="G84" s="24">
        <v>4.4999999999999997E-3</v>
      </c>
      <c r="H84" s="24">
        <f t="shared" si="12"/>
        <v>4.4899999999999995E-2</v>
      </c>
      <c r="I84" s="17">
        <v>19</v>
      </c>
      <c r="J84">
        <v>3</v>
      </c>
      <c r="K84" s="17">
        <v>8</v>
      </c>
      <c r="L84" s="17">
        <v>77</v>
      </c>
      <c r="M84">
        <v>0</v>
      </c>
      <c r="N84" s="17">
        <v>58</v>
      </c>
      <c r="O84" s="17">
        <v>361099360028</v>
      </c>
      <c r="P84" s="16">
        <f t="shared" si="13"/>
        <v>826695219185</v>
      </c>
      <c r="Q84" s="17">
        <v>497211060028</v>
      </c>
      <c r="R84" s="16">
        <f t="shared" si="14"/>
        <v>1293593749185</v>
      </c>
      <c r="S84" s="17">
        <v>96</v>
      </c>
      <c r="T84">
        <v>0</v>
      </c>
      <c r="U84" s="17">
        <v>11</v>
      </c>
      <c r="V84" s="17">
        <v>554819954000</v>
      </c>
      <c r="W84" s="17">
        <f t="shared" si="11"/>
        <v>75540022655</v>
      </c>
      <c r="X84" s="27">
        <v>0.31219999999999998</v>
      </c>
    </row>
    <row r="85" spans="1:24" x14ac:dyDescent="0.2">
      <c r="A85" s="23">
        <v>45316</v>
      </c>
      <c r="B85" s="24">
        <v>-2.2000000000000001E-3</v>
      </c>
      <c r="C85" s="24">
        <f t="shared" si="10"/>
        <v>3.5400000000000001E-2</v>
      </c>
      <c r="G85" s="24">
        <v>-1.6000000000000001E-3</v>
      </c>
      <c r="H85" s="24">
        <f t="shared" si="12"/>
        <v>4.0399999999999998E-2</v>
      </c>
      <c r="L85" s="17">
        <v>59</v>
      </c>
      <c r="M85">
        <v>2</v>
      </c>
      <c r="N85" s="17">
        <v>76</v>
      </c>
      <c r="O85" s="17">
        <v>-40176974807</v>
      </c>
      <c r="P85" s="16">
        <f t="shared" si="13"/>
        <v>465595859157</v>
      </c>
      <c r="Q85" s="17">
        <v>-30196054807</v>
      </c>
      <c r="R85" s="16">
        <f t="shared" si="14"/>
        <v>796382689157</v>
      </c>
      <c r="S85" s="17">
        <v>36</v>
      </c>
      <c r="T85">
        <v>0</v>
      </c>
      <c r="U85" s="17">
        <v>27</v>
      </c>
      <c r="V85" s="17">
        <v>-100337454345</v>
      </c>
      <c r="W85" s="17">
        <f t="shared" si="11"/>
        <v>-479279931345</v>
      </c>
      <c r="X85" s="27">
        <v>0.3085</v>
      </c>
    </row>
    <row r="86" spans="1:24" x14ac:dyDescent="0.2">
      <c r="A86" s="23">
        <v>45315</v>
      </c>
      <c r="B86" s="24">
        <v>-3.8E-3</v>
      </c>
      <c r="C86" s="24">
        <f t="shared" si="10"/>
        <v>3.7600000000000001E-2</v>
      </c>
      <c r="G86" s="24">
        <v>-3.7000000000000002E-3</v>
      </c>
      <c r="H86" s="24">
        <f t="shared" si="12"/>
        <v>4.1999999999999996E-2</v>
      </c>
      <c r="L86" s="17">
        <v>62</v>
      </c>
      <c r="M86">
        <v>4</v>
      </c>
      <c r="N86" s="17">
        <v>78</v>
      </c>
      <c r="O86" s="17">
        <v>153335591842</v>
      </c>
      <c r="P86" s="16">
        <f t="shared" si="13"/>
        <v>505772833964</v>
      </c>
      <c r="Q86" s="17">
        <v>147716341842</v>
      </c>
      <c r="R86" s="16">
        <f t="shared" si="14"/>
        <v>826578743964</v>
      </c>
      <c r="S86" s="17">
        <v>37</v>
      </c>
      <c r="T86">
        <v>0</v>
      </c>
      <c r="U86" s="17">
        <v>71</v>
      </c>
      <c r="V86" s="17">
        <v>-60937057000</v>
      </c>
      <c r="W86" s="17">
        <f t="shared" si="11"/>
        <v>-378942477000</v>
      </c>
      <c r="X86" s="27">
        <v>0.33909999999999996</v>
      </c>
    </row>
    <row r="87" spans="1:24" x14ac:dyDescent="0.2">
      <c r="A87" s="23">
        <v>45314</v>
      </c>
      <c r="B87" s="24">
        <v>-4.4999999999999997E-3</v>
      </c>
      <c r="C87" s="24">
        <f t="shared" si="10"/>
        <v>4.1399999999999999E-2</v>
      </c>
      <c r="G87" s="24">
        <v>-4.7999999999999996E-3</v>
      </c>
      <c r="H87" s="24">
        <f t="shared" si="12"/>
        <v>4.5699999999999998E-2</v>
      </c>
      <c r="L87" s="17">
        <v>65</v>
      </c>
      <c r="M87">
        <v>2</v>
      </c>
      <c r="N87" s="17">
        <v>71</v>
      </c>
      <c r="O87" s="17">
        <v>249996770975</v>
      </c>
      <c r="P87" s="16">
        <f t="shared" si="13"/>
        <v>352437242122</v>
      </c>
      <c r="Q87" s="17">
        <v>271621330975</v>
      </c>
      <c r="R87" s="16">
        <f t="shared" si="14"/>
        <v>678862402122</v>
      </c>
      <c r="S87" s="17">
        <v>21</v>
      </c>
      <c r="T87">
        <v>0</v>
      </c>
      <c r="U87" s="17">
        <v>85</v>
      </c>
      <c r="V87" s="17">
        <v>-926262619000</v>
      </c>
      <c r="W87" s="17">
        <f t="shared" si="11"/>
        <v>-318005420000</v>
      </c>
      <c r="X87" s="27">
        <v>0.34369999999999995</v>
      </c>
    </row>
    <row r="88" spans="1:24" x14ac:dyDescent="0.2">
      <c r="A88" s="23">
        <v>45313</v>
      </c>
      <c r="B88" s="24">
        <v>1.1999999999999999E-3</v>
      </c>
      <c r="C88" s="24">
        <f t="shared" si="10"/>
        <v>4.5899999999999996E-2</v>
      </c>
      <c r="G88" s="24">
        <v>3.7000000000000002E-3</v>
      </c>
      <c r="H88" s="24">
        <f t="shared" si="12"/>
        <v>5.0499999999999996E-2</v>
      </c>
      <c r="L88" s="17">
        <v>75</v>
      </c>
      <c r="M88">
        <v>0</v>
      </c>
      <c r="N88" s="17">
        <v>66</v>
      </c>
      <c r="O88" s="17">
        <v>502684290838</v>
      </c>
      <c r="P88" s="16">
        <f t="shared" si="13"/>
        <v>102440471147</v>
      </c>
      <c r="Q88" s="17">
        <v>532984060838</v>
      </c>
      <c r="R88" s="16">
        <f t="shared" si="14"/>
        <v>407241071147</v>
      </c>
      <c r="S88" s="17">
        <v>88</v>
      </c>
      <c r="T88">
        <v>0</v>
      </c>
      <c r="U88" s="17">
        <v>19</v>
      </c>
      <c r="V88" s="17">
        <v>466385605000</v>
      </c>
      <c r="W88" s="17">
        <f t="shared" si="11"/>
        <v>608257199000</v>
      </c>
      <c r="X88" s="27">
        <v>0.32479999999999998</v>
      </c>
    </row>
    <row r="89" spans="1:24" x14ac:dyDescent="0.2">
      <c r="A89" s="23">
        <v>45310</v>
      </c>
      <c r="B89" s="24">
        <v>1.06E-2</v>
      </c>
      <c r="C89" s="24">
        <f t="shared" si="10"/>
        <v>4.4699999999999997E-2</v>
      </c>
      <c r="G89" s="24">
        <v>9.5999999999999992E-3</v>
      </c>
      <c r="H89" s="24">
        <f t="shared" si="12"/>
        <v>4.6799999999999994E-2</v>
      </c>
      <c r="L89" s="17">
        <v>64</v>
      </c>
      <c r="M89">
        <v>1</v>
      </c>
      <c r="N89" s="17">
        <v>69</v>
      </c>
      <c r="O89" s="17">
        <v>187659123156</v>
      </c>
      <c r="P89" s="16">
        <f t="shared" si="13"/>
        <v>-400243819691</v>
      </c>
      <c r="Q89" s="17">
        <v>152052323156</v>
      </c>
      <c r="R89" s="16">
        <f t="shared" si="14"/>
        <v>-125742989691</v>
      </c>
      <c r="S89" s="17">
        <v>27</v>
      </c>
      <c r="T89">
        <v>0</v>
      </c>
      <c r="U89" s="17">
        <v>6</v>
      </c>
      <c r="V89" s="17">
        <v>209791725000</v>
      </c>
      <c r="W89" s="17">
        <f t="shared" si="11"/>
        <v>141871594000</v>
      </c>
      <c r="X89" s="27">
        <v>0.35840000000000005</v>
      </c>
    </row>
    <row r="90" spans="1:24" x14ac:dyDescent="0.2">
      <c r="A90" s="23">
        <v>45309</v>
      </c>
      <c r="B90" s="24">
        <v>5.5999999999999999E-3</v>
      </c>
      <c r="C90" s="24">
        <f t="shared" si="10"/>
        <v>3.4099999999999998E-2</v>
      </c>
      <c r="G90" s="24">
        <v>6.3E-3</v>
      </c>
      <c r="H90" s="24">
        <f t="shared" si="12"/>
        <v>3.7199999999999997E-2</v>
      </c>
      <c r="L90" s="17">
        <v>71</v>
      </c>
      <c r="M90">
        <v>2</v>
      </c>
      <c r="N90" s="17">
        <v>64</v>
      </c>
      <c r="O90" s="17">
        <v>69651700055</v>
      </c>
      <c r="P90" s="16">
        <f t="shared" si="13"/>
        <v>-587902942847</v>
      </c>
      <c r="Q90" s="17">
        <v>-11970039945</v>
      </c>
      <c r="R90" s="16">
        <f t="shared" si="14"/>
        <v>-277795312847</v>
      </c>
      <c r="S90" s="17">
        <v>51</v>
      </c>
      <c r="T90">
        <v>0</v>
      </c>
      <c r="U90" s="17">
        <v>68</v>
      </c>
      <c r="V90" s="17">
        <v>472627000000</v>
      </c>
      <c r="W90" s="17">
        <f t="shared" si="11"/>
        <v>-67920131000</v>
      </c>
      <c r="X90" s="27">
        <v>0.32030000000000003</v>
      </c>
    </row>
    <row r="91" spans="1:24" x14ac:dyDescent="0.2">
      <c r="A91" s="23">
        <v>45308</v>
      </c>
      <c r="B91" s="24">
        <v>-5.0000000000000001E-4</v>
      </c>
      <c r="C91" s="24">
        <f t="shared" si="10"/>
        <v>2.8499999999999998E-2</v>
      </c>
      <c r="G91" s="24">
        <v>-3.0999999999999999E-3</v>
      </c>
      <c r="H91" s="24">
        <f t="shared" si="12"/>
        <v>3.0899999999999997E-2</v>
      </c>
      <c r="L91" s="17">
        <v>66</v>
      </c>
      <c r="M91">
        <v>3</v>
      </c>
      <c r="N91" s="17">
        <v>65</v>
      </c>
      <c r="O91" s="17">
        <v>191412433815</v>
      </c>
      <c r="P91" s="16">
        <f t="shared" si="13"/>
        <v>-657554642902</v>
      </c>
      <c r="Q91" s="17">
        <v>216232863815</v>
      </c>
      <c r="R91" s="16">
        <f t="shared" si="14"/>
        <v>-265825272902</v>
      </c>
      <c r="S91" s="17">
        <v>19</v>
      </c>
      <c r="T91">
        <v>0</v>
      </c>
      <c r="U91" s="17">
        <v>92</v>
      </c>
      <c r="V91" s="17">
        <v>-526950647000</v>
      </c>
      <c r="W91" s="17">
        <f t="shared" si="11"/>
        <v>-540547131000</v>
      </c>
      <c r="X91" s="27">
        <v>0.33529999999999999</v>
      </c>
    </row>
    <row r="92" spans="1:24" x14ac:dyDescent="0.2">
      <c r="A92" s="23">
        <v>45307</v>
      </c>
      <c r="B92" s="24">
        <v>7.7999999999999996E-3</v>
      </c>
      <c r="C92" s="24">
        <f t="shared" si="10"/>
        <v>2.8999999999999998E-2</v>
      </c>
      <c r="G92" s="24">
        <v>7.7000000000000002E-3</v>
      </c>
      <c r="H92" s="24">
        <f t="shared" si="12"/>
        <v>3.3999999999999996E-2</v>
      </c>
      <c r="L92" s="17">
        <v>63</v>
      </c>
      <c r="M92">
        <v>2</v>
      </c>
      <c r="N92" s="17">
        <v>63</v>
      </c>
      <c r="O92" s="17">
        <v>52772819266</v>
      </c>
      <c r="P92" s="16">
        <f t="shared" si="13"/>
        <v>-848967076717</v>
      </c>
      <c r="Q92" s="17">
        <v>53484789266</v>
      </c>
      <c r="R92" s="16">
        <f t="shared" si="14"/>
        <v>-482058136717</v>
      </c>
      <c r="S92" s="17">
        <v>36</v>
      </c>
      <c r="T92">
        <v>0</v>
      </c>
      <c r="U92" s="17">
        <v>29</v>
      </c>
      <c r="V92" s="17">
        <v>46573173000</v>
      </c>
      <c r="W92" s="17">
        <f t="shared" si="11"/>
        <v>-13596484000</v>
      </c>
      <c r="X92" s="27">
        <v>0.36820000000000003</v>
      </c>
    </row>
    <row r="93" spans="1:24" x14ac:dyDescent="0.2">
      <c r="A93" s="23">
        <v>45306</v>
      </c>
      <c r="B93" s="24">
        <v>-5.0000000000000001E-4</v>
      </c>
      <c r="C93" s="24">
        <f t="shared" si="10"/>
        <v>2.12E-2</v>
      </c>
      <c r="G93" s="24">
        <v>-2E-3</v>
      </c>
      <c r="H93" s="24">
        <f t="shared" si="12"/>
        <v>2.6299999999999997E-2</v>
      </c>
      <c r="L93" s="17">
        <v>56</v>
      </c>
      <c r="M93">
        <v>2</v>
      </c>
      <c r="N93" s="17">
        <v>71</v>
      </c>
      <c r="O93" s="17">
        <v>24392645189</v>
      </c>
      <c r="P93" s="16">
        <f t="shared" si="13"/>
        <v>-901739895983</v>
      </c>
      <c r="Q93" s="17">
        <v>19178735189</v>
      </c>
      <c r="R93" s="16">
        <f t="shared" si="14"/>
        <v>-535542925983</v>
      </c>
      <c r="S93" s="17">
        <v>36</v>
      </c>
      <c r="T93">
        <v>0</v>
      </c>
      <c r="U93" s="17">
        <v>16</v>
      </c>
      <c r="V93" s="17">
        <v>219533725000</v>
      </c>
      <c r="W93" s="17">
        <f t="shared" si="11"/>
        <v>-60169657000</v>
      </c>
      <c r="X93" s="27">
        <v>0.36749999999999999</v>
      </c>
    </row>
    <row r="94" spans="1:24" x14ac:dyDescent="0.2">
      <c r="A94" s="25">
        <v>45303</v>
      </c>
      <c r="B94" s="24">
        <v>-6.4999999999999997E-3</v>
      </c>
      <c r="C94" s="24">
        <f t="shared" si="10"/>
        <v>2.1700000000000001E-2</v>
      </c>
      <c r="G94" s="24">
        <v>1E-4</v>
      </c>
      <c r="H94" s="24">
        <f t="shared" si="12"/>
        <v>2.8299999999999999E-2</v>
      </c>
      <c r="L94" s="17">
        <v>68</v>
      </c>
      <c r="M94">
        <v>5</v>
      </c>
      <c r="N94" s="17">
        <v>61</v>
      </c>
      <c r="O94" s="17">
        <v>-51248750301</v>
      </c>
      <c r="P94" s="16">
        <f t="shared" si="13"/>
        <v>-926132541172</v>
      </c>
      <c r="Q94" s="17">
        <v>-55169520301</v>
      </c>
      <c r="R94" s="16">
        <f t="shared" si="14"/>
        <v>-554721661172</v>
      </c>
      <c r="S94" s="17">
        <v>30</v>
      </c>
      <c r="T94">
        <v>0</v>
      </c>
      <c r="U94" s="17">
        <v>81</v>
      </c>
      <c r="V94" s="17">
        <v>-384937181000</v>
      </c>
      <c r="W94" s="17">
        <f t="shared" si="11"/>
        <v>-279703382000</v>
      </c>
      <c r="X94" s="27">
        <v>0.35460000000000003</v>
      </c>
    </row>
    <row r="95" spans="1:24" x14ac:dyDescent="0.2">
      <c r="A95" s="25">
        <v>45302</v>
      </c>
      <c r="B95" s="24">
        <v>5.9999999999999995E-4</v>
      </c>
      <c r="C95" s="24">
        <f t="shared" si="10"/>
        <v>2.8199999999999999E-2</v>
      </c>
      <c r="G95" s="24">
        <v>8.0000000000000004E-4</v>
      </c>
      <c r="H95" s="24">
        <f t="shared" si="12"/>
        <v>2.8199999999999999E-2</v>
      </c>
      <c r="L95" s="17">
        <v>66</v>
      </c>
      <c r="M95">
        <v>2</v>
      </c>
      <c r="N95" s="17">
        <v>62</v>
      </c>
      <c r="O95" s="17">
        <v>104027723444</v>
      </c>
      <c r="P95" s="16">
        <f t="shared" si="13"/>
        <v>-874883790871</v>
      </c>
      <c r="Q95" s="17">
        <v>136926013444</v>
      </c>
      <c r="R95" s="16">
        <f t="shared" si="14"/>
        <v>-499552140871</v>
      </c>
      <c r="S95" s="17">
        <v>19</v>
      </c>
      <c r="T95">
        <v>0</v>
      </c>
      <c r="U95" s="17">
        <v>5</v>
      </c>
      <c r="V95" s="17">
        <v>-134937700000</v>
      </c>
      <c r="W95" s="17">
        <f t="shared" si="11"/>
        <v>105233799000</v>
      </c>
      <c r="X95" s="27">
        <v>0.33390000000000003</v>
      </c>
    </row>
    <row r="96" spans="1:24" x14ac:dyDescent="0.2">
      <c r="A96" s="25">
        <v>45301</v>
      </c>
      <c r="B96" s="24">
        <v>2.5000000000000001E-3</v>
      </c>
      <c r="C96" s="24">
        <f t="shared" si="10"/>
        <v>2.76E-2</v>
      </c>
      <c r="G96" s="24">
        <v>2.0999999999999999E-3</v>
      </c>
      <c r="H96" s="24">
        <f t="shared" si="12"/>
        <v>2.7400000000000001E-2</v>
      </c>
      <c r="L96" s="17">
        <v>74</v>
      </c>
      <c r="M96">
        <v>2</v>
      </c>
      <c r="N96" s="17">
        <v>62</v>
      </c>
      <c r="O96" s="17">
        <v>-199155060394</v>
      </c>
      <c r="P96" s="16">
        <f t="shared" si="13"/>
        <v>-978911514315</v>
      </c>
      <c r="Q96" s="17">
        <v>-138054660394</v>
      </c>
      <c r="R96" s="16">
        <f t="shared" si="14"/>
        <v>-636478154315</v>
      </c>
      <c r="S96" s="17">
        <v>12</v>
      </c>
      <c r="T96">
        <v>0</v>
      </c>
      <c r="U96" s="17">
        <v>19</v>
      </c>
      <c r="V96" s="17">
        <v>-198205025000</v>
      </c>
      <c r="W96" s="17">
        <f t="shared" si="11"/>
        <v>240171499000</v>
      </c>
      <c r="X96" s="27">
        <v>0.37070000000000003</v>
      </c>
    </row>
    <row r="97" spans="1:24" x14ac:dyDescent="0.2">
      <c r="A97" s="25">
        <v>45300</v>
      </c>
      <c r="B97" s="24">
        <v>-1.4E-3</v>
      </c>
      <c r="C97" s="24">
        <f t="shared" si="10"/>
        <v>2.5100000000000001E-2</v>
      </c>
      <c r="G97" s="24">
        <v>-2.8E-3</v>
      </c>
      <c r="H97" s="24">
        <f t="shared" si="12"/>
        <v>2.53E-2</v>
      </c>
      <c r="L97" s="17">
        <v>74</v>
      </c>
      <c r="M97">
        <v>3</v>
      </c>
      <c r="N97" s="17">
        <v>60</v>
      </c>
      <c r="O97" s="17">
        <v>-106567673803</v>
      </c>
      <c r="P97" s="16">
        <f t="shared" si="13"/>
        <v>-779756453921</v>
      </c>
      <c r="Q97" s="17">
        <v>-81755563803</v>
      </c>
      <c r="R97" s="16">
        <f t="shared" si="14"/>
        <v>-498423493921</v>
      </c>
      <c r="S97" s="17">
        <v>19</v>
      </c>
      <c r="T97">
        <v>0</v>
      </c>
      <c r="U97" s="17">
        <v>9</v>
      </c>
      <c r="V97" s="17">
        <v>80559826000</v>
      </c>
      <c r="W97" s="17">
        <f t="shared" si="11"/>
        <v>438376524000</v>
      </c>
      <c r="X97" s="27">
        <v>0.27960000000000002</v>
      </c>
    </row>
    <row r="98" spans="1:24" x14ac:dyDescent="0.2">
      <c r="A98" s="25">
        <v>45299</v>
      </c>
      <c r="B98" s="24">
        <v>4.7999999999999996E-3</v>
      </c>
      <c r="C98" s="24">
        <f t="shared" si="10"/>
        <v>2.6499999999999999E-2</v>
      </c>
      <c r="G98" s="24">
        <v>2E-3</v>
      </c>
      <c r="H98" s="24">
        <f t="shared" si="12"/>
        <v>2.81E-2</v>
      </c>
      <c r="L98" s="17">
        <v>66</v>
      </c>
      <c r="M98">
        <v>2</v>
      </c>
      <c r="N98" s="17">
        <v>66</v>
      </c>
      <c r="O98" s="17">
        <v>-204815712671</v>
      </c>
      <c r="P98" s="16">
        <f t="shared" si="13"/>
        <v>-673188780118</v>
      </c>
      <c r="Q98" s="17">
        <v>-165534832671</v>
      </c>
      <c r="R98" s="16">
        <f t="shared" si="14"/>
        <v>-416667930118</v>
      </c>
      <c r="S98" s="17">
        <v>16</v>
      </c>
      <c r="T98">
        <v>0</v>
      </c>
      <c r="U98" s="17">
        <v>8</v>
      </c>
      <c r="V98" s="17">
        <v>81748371000</v>
      </c>
      <c r="W98" s="17">
        <f t="shared" si="11"/>
        <v>357816698000</v>
      </c>
      <c r="X98" s="27">
        <v>0.30609999999999998</v>
      </c>
    </row>
    <row r="99" spans="1:24" x14ac:dyDescent="0.2">
      <c r="A99" s="25">
        <v>45296</v>
      </c>
      <c r="B99" s="24">
        <v>3.3999999999999998E-3</v>
      </c>
      <c r="C99" s="24">
        <f t="shared" si="10"/>
        <v>2.1700000000000001E-2</v>
      </c>
      <c r="G99" s="24">
        <v>4.1000000000000003E-3</v>
      </c>
      <c r="H99" s="24">
        <f t="shared" si="12"/>
        <v>2.6099999999999998E-2</v>
      </c>
      <c r="L99" s="17">
        <v>42</v>
      </c>
      <c r="M99">
        <v>2</v>
      </c>
      <c r="N99" s="17">
        <v>67</v>
      </c>
      <c r="O99" s="17">
        <v>-321896722031</v>
      </c>
      <c r="P99" s="16">
        <f t="shared" si="13"/>
        <v>-468373067447</v>
      </c>
      <c r="Q99" s="17">
        <v>-221051302031</v>
      </c>
      <c r="R99" s="16">
        <f t="shared" si="14"/>
        <v>-251133097447</v>
      </c>
      <c r="S99" s="17">
        <v>22</v>
      </c>
      <c r="T99">
        <v>0</v>
      </c>
      <c r="U99" s="17">
        <v>7</v>
      </c>
      <c r="V99" s="17">
        <v>93428911000</v>
      </c>
      <c r="W99" s="17">
        <f t="shared" si="11"/>
        <v>276068327000</v>
      </c>
      <c r="X99" s="27">
        <v>0.29699999999999999</v>
      </c>
    </row>
    <row r="100" spans="1:24" x14ac:dyDescent="0.2">
      <c r="A100" s="25">
        <v>45295</v>
      </c>
      <c r="B100" s="24">
        <v>5.7000000000000002E-3</v>
      </c>
      <c r="C100" s="24">
        <f t="shared" si="10"/>
        <v>1.83E-2</v>
      </c>
      <c r="G100" s="24">
        <v>1.01E-2</v>
      </c>
      <c r="H100" s="24">
        <f t="shared" si="12"/>
        <v>2.1999999999999999E-2</v>
      </c>
      <c r="L100" s="17">
        <v>53</v>
      </c>
      <c r="M100">
        <v>1</v>
      </c>
      <c r="N100" s="17">
        <v>56</v>
      </c>
      <c r="O100" s="17">
        <v>14473737182</v>
      </c>
      <c r="P100" s="16">
        <f t="shared" si="13"/>
        <v>-146476345416</v>
      </c>
      <c r="Q100" s="17">
        <v>108853917182</v>
      </c>
      <c r="R100" s="16">
        <f t="shared" si="14"/>
        <v>-30081795416</v>
      </c>
      <c r="S100" s="17">
        <v>31</v>
      </c>
      <c r="T100">
        <v>0</v>
      </c>
      <c r="U100" s="17">
        <v>4</v>
      </c>
      <c r="V100" s="17">
        <v>543935814000</v>
      </c>
      <c r="W100" s="17">
        <f t="shared" si="11"/>
        <v>182639416000</v>
      </c>
      <c r="X100" s="27">
        <v>0.36979999999999996</v>
      </c>
    </row>
    <row r="101" spans="1:24" x14ac:dyDescent="0.2">
      <c r="A101" s="25">
        <v>45294</v>
      </c>
      <c r="B101" s="24">
        <v>1.0999999999999999E-2</v>
      </c>
      <c r="C101" s="24">
        <f>B101+C102</f>
        <v>1.26E-2</v>
      </c>
      <c r="G101" s="24">
        <v>1.17E-2</v>
      </c>
      <c r="H101" s="24">
        <f>G101+H102</f>
        <v>1.1900000000000001E-2</v>
      </c>
      <c r="L101" s="17">
        <v>42</v>
      </c>
      <c r="M101">
        <v>4</v>
      </c>
      <c r="N101" s="17">
        <v>65</v>
      </c>
      <c r="O101" s="17">
        <v>3414941691</v>
      </c>
      <c r="P101" s="16">
        <f t="shared" ref="P101" si="15">O101+P102</f>
        <v>-160950082598</v>
      </c>
      <c r="Q101" s="17">
        <v>2072011691</v>
      </c>
      <c r="R101" s="16">
        <f>Q101+R102</f>
        <v>-138935712598</v>
      </c>
      <c r="S101" s="17">
        <v>9</v>
      </c>
      <c r="T101">
        <v>0</v>
      </c>
      <c r="U101" s="17">
        <v>16</v>
      </c>
      <c r="V101" s="17">
        <v>-317844600000</v>
      </c>
      <c r="W101" s="17">
        <f>V101+W102</f>
        <v>-361296398000</v>
      </c>
      <c r="X101" s="27">
        <v>0.27639999999999998</v>
      </c>
    </row>
    <row r="102" spans="1:24" x14ac:dyDescent="0.2">
      <c r="A102" s="25">
        <v>45293</v>
      </c>
      <c r="B102" s="24">
        <v>1.6000000000000001E-3</v>
      </c>
      <c r="C102" s="24">
        <f>B102</f>
        <v>1.6000000000000001E-3</v>
      </c>
      <c r="G102" s="24">
        <v>2.0000000000000001E-4</v>
      </c>
      <c r="H102" s="24">
        <f>G102</f>
        <v>2.0000000000000001E-4</v>
      </c>
      <c r="L102" s="17">
        <v>54</v>
      </c>
      <c r="M102">
        <v>0</v>
      </c>
      <c r="N102" s="17">
        <v>57</v>
      </c>
      <c r="O102" s="17">
        <v>-164365024289</v>
      </c>
      <c r="P102" s="16">
        <f>O102</f>
        <v>-164365024289</v>
      </c>
      <c r="Q102" s="17">
        <v>-141007724289</v>
      </c>
      <c r="R102" s="16">
        <f>Q102</f>
        <v>-141007724289</v>
      </c>
      <c r="S102" s="17">
        <v>14</v>
      </c>
      <c r="T102">
        <v>0</v>
      </c>
      <c r="U102" s="17">
        <v>17</v>
      </c>
      <c r="V102" s="17">
        <v>-43451798000</v>
      </c>
      <c r="W102" s="17">
        <f>V102</f>
        <v>-43451798000</v>
      </c>
      <c r="X102" s="27">
        <v>0.25540000000000002</v>
      </c>
    </row>
    <row r="103" spans="1:24" x14ac:dyDescent="0.2">
      <c r="O103" s="16"/>
      <c r="P103" s="16"/>
      <c r="Q103" s="16"/>
      <c r="R103" s="16"/>
      <c r="V103" s="16"/>
    </row>
    <row r="109" spans="1:24" x14ac:dyDescent="0.2">
      <c r="A109" s="25"/>
    </row>
    <row r="110" spans="1:24" x14ac:dyDescent="0.2">
      <c r="A110" s="25"/>
    </row>
    <row r="111" spans="1:24" x14ac:dyDescent="0.2">
      <c r="A111" s="25"/>
    </row>
    <row r="112" spans="1:24" x14ac:dyDescent="0.2">
      <c r="A112" s="25"/>
    </row>
    <row r="113" spans="1:1" x14ac:dyDescent="0.2">
      <c r="A113" s="25"/>
    </row>
    <row r="114" spans="1:1" x14ac:dyDescent="0.2">
      <c r="A114" s="25"/>
    </row>
    <row r="115" spans="1:1" x14ac:dyDescent="0.2">
      <c r="A115" s="25"/>
    </row>
    <row r="116" spans="1:1" x14ac:dyDescent="0.2">
      <c r="A116" s="25"/>
    </row>
    <row r="117" spans="1:1" x14ac:dyDescent="0.2">
      <c r="A117" s="25"/>
    </row>
    <row r="118" spans="1:1" x14ac:dyDescent="0.2">
      <c r="A118" s="25"/>
    </row>
  </sheetData>
  <mergeCells count="4">
    <mergeCell ref="B1:F1"/>
    <mergeCell ref="G1:K1"/>
    <mergeCell ref="L1:P1"/>
    <mergeCell ref="S1:W1"/>
  </mergeCells>
  <conditionalFormatting sqref="S9:S102">
    <cfRule type="cellIs" dxfId="108" priority="31" operator="greaterThan">
      <formula>$U9</formula>
    </cfRule>
  </conditionalFormatting>
  <conditionalFormatting sqref="L15:L102">
    <cfRule type="cellIs" dxfId="107" priority="29" operator="greaterThan">
      <formula>$N15</formula>
    </cfRule>
  </conditionalFormatting>
  <conditionalFormatting sqref="O3:O102">
    <cfRule type="cellIs" dxfId="106" priority="26" operator="lessThan">
      <formula>0</formula>
    </cfRule>
    <cfRule type="cellIs" dxfId="105" priority="27" operator="greaterThan">
      <formula>0</formula>
    </cfRule>
  </conditionalFormatting>
  <conditionalFormatting sqref="V3:V102">
    <cfRule type="cellIs" dxfId="104" priority="24" operator="lessThan">
      <formula>0</formula>
    </cfRule>
    <cfRule type="cellIs" dxfId="103" priority="25" operator="greaterThan">
      <formula>0</formula>
    </cfRule>
  </conditionalFormatting>
  <conditionalFormatting sqref="D6:D84">
    <cfRule type="cellIs" dxfId="102" priority="23" operator="greaterThan">
      <formula>$E6+$F6</formula>
    </cfRule>
  </conditionalFormatting>
  <conditionalFormatting sqref="F10:F84">
    <cfRule type="cellIs" dxfId="101" priority="22" operator="greaterThan">
      <formula>$D10+$E10</formula>
    </cfRule>
  </conditionalFormatting>
  <conditionalFormatting sqref="I6:I84">
    <cfRule type="cellIs" dxfId="100" priority="21" operator="greaterThan">
      <formula>$J6+$K6+2</formula>
    </cfRule>
  </conditionalFormatting>
  <conditionalFormatting sqref="K10:K84">
    <cfRule type="cellIs" dxfId="99" priority="20" operator="greaterThan">
      <formula>$J10+$I10</formula>
    </cfRule>
  </conditionalFormatting>
  <conditionalFormatting sqref="U23:U102">
    <cfRule type="cellIs" dxfId="98" priority="19" operator="greaterThan">
      <formula>$S23</formula>
    </cfRule>
  </conditionalFormatting>
  <conditionalFormatting sqref="N3:N102">
    <cfRule type="cellIs" dxfId="97" priority="18" operator="greaterThan">
      <formula>$L3</formula>
    </cfRule>
  </conditionalFormatting>
  <conditionalFormatting sqref="U10:U21">
    <cfRule type="cellIs" dxfId="96" priority="17" operator="greaterThan">
      <formula>$S10</formula>
    </cfRule>
  </conditionalFormatting>
  <conditionalFormatting sqref="Q3:Q102">
    <cfRule type="cellIs" dxfId="95" priority="13" operator="lessThan">
      <formula>0</formula>
    </cfRule>
    <cfRule type="cellIs" dxfId="94" priority="14" operator="greaterThan">
      <formula>0</formula>
    </cfRule>
  </conditionalFormatting>
  <conditionalFormatting sqref="F8">
    <cfRule type="cellIs" dxfId="93" priority="12" operator="greaterThan">
      <formula>$D8+$E8</formula>
    </cfRule>
  </conditionalFormatting>
  <conditionalFormatting sqref="K8">
    <cfRule type="cellIs" dxfId="92" priority="11" operator="greaterThan">
      <formula>$J8+$I8</formula>
    </cfRule>
  </conditionalFormatting>
  <conditionalFormatting sqref="U5:U8">
    <cfRule type="cellIs" dxfId="91" priority="10" operator="greaterThan">
      <formula>$S5</formula>
    </cfRule>
  </conditionalFormatting>
  <conditionalFormatting sqref="K3:K5">
    <cfRule type="cellIs" dxfId="90" priority="9" operator="greaterThan">
      <formula>$J3+$I3</formula>
    </cfRule>
  </conditionalFormatting>
  <conditionalFormatting sqref="F3:F5">
    <cfRule type="cellIs" dxfId="89" priority="8" operator="greaterThan">
      <formula>$D3+$E3</formula>
    </cfRule>
  </conditionalFormatting>
  <conditionalFormatting sqref="X3:X102">
    <cfRule type="cellIs" dxfId="88" priority="2" operator="lessThan">
      <formula>0.25</formula>
    </cfRule>
    <cfRule type="cellIs" dxfId="87" priority="3" operator="greaterThan">
      <formula>0.32</formula>
    </cfRule>
  </conditionalFormatting>
  <conditionalFormatting sqref="S3:S4">
    <cfRule type="cellIs" dxfId="86" priority="1" operator="greaterThan">
      <formula>$U3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C35C-E741-8049-A1B3-6C067E29AE63}">
  <sheetPr codeName="Sheet6"/>
  <dimension ref="A1:W102"/>
  <sheetViews>
    <sheetView workbookViewId="0">
      <selection activeCell="H13" sqref="H13"/>
    </sheetView>
  </sheetViews>
  <sheetFormatPr baseColWidth="10" defaultRowHeight="16" x14ac:dyDescent="0.2"/>
  <cols>
    <col min="14" max="14" width="12.83203125" customWidth="1"/>
  </cols>
  <sheetData>
    <row r="1" spans="1:23" x14ac:dyDescent="0.2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</row>
    <row r="2" spans="1:23" x14ac:dyDescent="0.2">
      <c r="A2" s="3" t="s">
        <v>120</v>
      </c>
      <c r="B2" s="3" t="s">
        <v>4</v>
      </c>
      <c r="C2" s="3" t="s">
        <v>127</v>
      </c>
      <c r="D2" s="3" t="s">
        <v>128</v>
      </c>
      <c r="E2" s="3" t="s">
        <v>129</v>
      </c>
      <c r="F2" s="3" t="s">
        <v>130</v>
      </c>
      <c r="G2" s="3" t="s">
        <v>131</v>
      </c>
      <c r="H2" s="3" t="s">
        <v>132</v>
      </c>
      <c r="I2" s="3" t="s">
        <v>133</v>
      </c>
      <c r="J2" s="3" t="s">
        <v>134</v>
      </c>
      <c r="K2" s="3" t="s">
        <v>135</v>
      </c>
      <c r="L2" s="3" t="s">
        <v>136</v>
      </c>
      <c r="M2" s="3" t="s">
        <v>137</v>
      </c>
      <c r="N2" s="3" t="s">
        <v>138</v>
      </c>
      <c r="O2" s="3" t="s">
        <v>139</v>
      </c>
      <c r="P2" s="3" t="s">
        <v>140</v>
      </c>
      <c r="Q2" s="3" t="s">
        <v>141</v>
      </c>
      <c r="R2" s="3" t="s">
        <v>142</v>
      </c>
      <c r="S2" s="3" t="s">
        <v>143</v>
      </c>
      <c r="T2" s="3" t="s">
        <v>144</v>
      </c>
      <c r="U2" s="3" t="s">
        <v>372</v>
      </c>
      <c r="V2" s="3" t="s">
        <v>373</v>
      </c>
      <c r="W2" s="3" t="s">
        <v>374</v>
      </c>
    </row>
    <row r="3" spans="1:23" x14ac:dyDescent="0.2">
      <c r="A3" s="26" t="s">
        <v>375</v>
      </c>
      <c r="B3" s="27">
        <v>0.24</v>
      </c>
      <c r="C3" s="27">
        <v>0.32429999999999998</v>
      </c>
      <c r="D3" s="27">
        <v>0.34710000000000002</v>
      </c>
      <c r="E3" s="27">
        <v>0.12279999999999999</v>
      </c>
      <c r="F3" s="27">
        <v>0.2311</v>
      </c>
      <c r="G3" s="27">
        <v>7.46E-2</v>
      </c>
      <c r="H3" s="27">
        <v>9.3299999999999994E-2</v>
      </c>
      <c r="I3" s="27">
        <v>1.9799999999999998E-2</v>
      </c>
      <c r="J3" s="27">
        <v>4.1299999999999996E-2</v>
      </c>
      <c r="K3" s="27">
        <v>4.6300000000000001E-2</v>
      </c>
      <c r="L3" s="27">
        <v>2.6499999999999999E-2</v>
      </c>
      <c r="M3" s="27">
        <v>2.76E-2</v>
      </c>
      <c r="N3" s="27">
        <v>3.8300000000000001E-2</v>
      </c>
      <c r="O3" s="27">
        <v>3.4700000000000002E-2</v>
      </c>
      <c r="P3" s="27">
        <v>1.11E-2</v>
      </c>
      <c r="Q3" s="27">
        <v>2.3E-3</v>
      </c>
      <c r="R3" s="27">
        <v>2.8999999999999998E-3</v>
      </c>
      <c r="S3" s="27">
        <v>4.9500000000000002E-2</v>
      </c>
      <c r="T3" s="27">
        <v>2.4199999999999999E-2</v>
      </c>
      <c r="U3" s="27">
        <v>2.1600000000000001E-2</v>
      </c>
      <c r="V3" s="27">
        <v>1.6000000000000001E-3</v>
      </c>
      <c r="W3" s="27">
        <v>6.0000000000000001E-3</v>
      </c>
    </row>
    <row r="4" spans="1:23" x14ac:dyDescent="0.2">
      <c r="A4" s="26" t="s">
        <v>370</v>
      </c>
      <c r="B4" s="27">
        <v>0.27779999999999999</v>
      </c>
      <c r="C4" s="27">
        <v>0.24329999999999999</v>
      </c>
      <c r="D4" s="27">
        <v>0.47539999999999999</v>
      </c>
      <c r="E4" s="27">
        <v>0.1084</v>
      </c>
      <c r="F4" s="27">
        <v>0.13339999999999999</v>
      </c>
      <c r="G4" s="27">
        <v>0.11599999999999999</v>
      </c>
      <c r="H4" s="27">
        <v>0.1074</v>
      </c>
      <c r="I4" s="27">
        <v>3.04E-2</v>
      </c>
      <c r="J4" s="27">
        <v>4.41E-2</v>
      </c>
      <c r="K4" s="27">
        <v>3.8699999999999998E-2</v>
      </c>
      <c r="L4" s="27">
        <v>3.9100000000000003E-2</v>
      </c>
      <c r="M4" s="27">
        <v>4.41E-2</v>
      </c>
      <c r="N4" s="27">
        <v>7.0599999999999996E-2</v>
      </c>
      <c r="O4" s="27">
        <v>1.5300000000000001E-2</v>
      </c>
      <c r="P4" s="27">
        <v>4.6999999999999993E-3</v>
      </c>
      <c r="Q4" s="27">
        <v>3.4999999999999996E-3</v>
      </c>
      <c r="R4" s="27">
        <v>3.4999999999999996E-3</v>
      </c>
      <c r="S4" s="27">
        <v>3.2599999999999997E-2</v>
      </c>
      <c r="T4" s="27">
        <v>2.7999999999999997E-2</v>
      </c>
      <c r="U4" s="27">
        <v>3.6900000000000002E-2</v>
      </c>
      <c r="V4" s="27">
        <v>2.5000000000000001E-3</v>
      </c>
    </row>
    <row r="5" spans="1:23" x14ac:dyDescent="0.2">
      <c r="A5" s="26" t="s">
        <v>290</v>
      </c>
      <c r="B5" s="27">
        <v>0.27260000000000001</v>
      </c>
      <c r="C5" s="27">
        <v>0.24030000000000001</v>
      </c>
      <c r="D5" s="27">
        <v>0.39299999999999996</v>
      </c>
      <c r="E5" s="27">
        <v>0.14319999999999999</v>
      </c>
      <c r="F5" s="27">
        <v>0.1522</v>
      </c>
      <c r="G5" s="27">
        <v>8.5800000000000001E-2</v>
      </c>
      <c r="H5" s="27">
        <v>0.1168</v>
      </c>
      <c r="I5" s="27">
        <v>2.4300000000000002E-2</v>
      </c>
      <c r="J5" s="27">
        <v>4.2199999999999994E-2</v>
      </c>
      <c r="K5" s="27">
        <v>2.76E-2</v>
      </c>
      <c r="L5" s="27">
        <v>3.8800000000000001E-2</v>
      </c>
      <c r="M5" s="27">
        <v>3.6499999999999998E-2</v>
      </c>
      <c r="N5" s="27">
        <v>2.7400000000000001E-2</v>
      </c>
      <c r="O5" s="27">
        <v>1.1899999999999999E-2</v>
      </c>
      <c r="P5" s="27">
        <v>1.01E-2</v>
      </c>
      <c r="Q5" s="27">
        <v>6.3E-3</v>
      </c>
      <c r="R5" s="27">
        <v>4.7999999999999996E-3</v>
      </c>
      <c r="S5" s="27">
        <v>4.41E-2</v>
      </c>
      <c r="T5" s="27">
        <v>4.1700000000000001E-2</v>
      </c>
      <c r="U5" s="27">
        <v>3.49E-2</v>
      </c>
    </row>
    <row r="6" spans="1:23" x14ac:dyDescent="0.2">
      <c r="A6" s="26" t="s">
        <v>289</v>
      </c>
      <c r="B6" s="27">
        <v>0.31309999999999999</v>
      </c>
      <c r="C6" s="27">
        <v>0.28350000000000003</v>
      </c>
      <c r="D6" s="27">
        <v>0.40720000000000001</v>
      </c>
      <c r="E6" s="27">
        <v>8.2799999999999999E-2</v>
      </c>
      <c r="F6" s="27">
        <v>0.19870000000000002</v>
      </c>
      <c r="G6" s="27">
        <v>0.11509999999999999</v>
      </c>
      <c r="H6" s="27">
        <v>9.0500000000000011E-2</v>
      </c>
      <c r="I6" s="27">
        <v>3.5299999999999998E-2</v>
      </c>
      <c r="J6" s="27">
        <v>3.78E-2</v>
      </c>
      <c r="K6" s="27">
        <v>3.7000000000000005E-2</v>
      </c>
      <c r="L6" s="27">
        <v>3.4599999999999999E-2</v>
      </c>
      <c r="M6" s="27">
        <v>4.1200000000000001E-2</v>
      </c>
      <c r="N6" s="27">
        <v>2.12E-2</v>
      </c>
      <c r="O6" s="27">
        <v>1.6200000000000003E-2</v>
      </c>
      <c r="P6" s="27">
        <v>3.3E-3</v>
      </c>
      <c r="Q6" s="27">
        <v>2.2000000000000001E-3</v>
      </c>
      <c r="R6" s="27">
        <v>3.0999999999999999E-3</v>
      </c>
      <c r="S6" s="27">
        <v>4.1700000000000001E-2</v>
      </c>
      <c r="T6" s="27">
        <v>2.6600000000000002E-2</v>
      </c>
      <c r="U6" s="27">
        <v>3.4700000000000002E-2</v>
      </c>
    </row>
    <row r="7" spans="1:23" x14ac:dyDescent="0.2">
      <c r="A7" s="26" t="s">
        <v>288</v>
      </c>
      <c r="B7" s="27">
        <v>0.35409999999999997</v>
      </c>
      <c r="C7" s="27">
        <v>0.30769999999999997</v>
      </c>
      <c r="D7" s="27">
        <v>0.38100000000000001</v>
      </c>
      <c r="E7" s="27">
        <v>6.4100000000000004E-2</v>
      </c>
      <c r="F7" s="27">
        <v>0.16769999999999999</v>
      </c>
      <c r="G7" s="27">
        <v>9.4700000000000006E-2</v>
      </c>
      <c r="H7" s="27">
        <v>9.74E-2</v>
      </c>
      <c r="I7" s="27">
        <v>2.8300000000000002E-2</v>
      </c>
      <c r="J7" s="27">
        <v>4.1599999999999998E-2</v>
      </c>
      <c r="K7" s="27">
        <v>2.5099999999999997E-2</v>
      </c>
      <c r="L7" s="27">
        <v>3.5099999999999999E-2</v>
      </c>
      <c r="M7" s="27">
        <v>3.3399999999999999E-2</v>
      </c>
      <c r="N7" s="27">
        <v>2.75E-2</v>
      </c>
      <c r="O7" s="27">
        <v>9.8999999999999991E-3</v>
      </c>
      <c r="P7" s="27">
        <v>3.2000000000000002E-3</v>
      </c>
      <c r="Q7" s="27">
        <v>1.9E-3</v>
      </c>
      <c r="R7" s="27">
        <v>2.3E-3</v>
      </c>
      <c r="S7" s="27">
        <v>5.2600000000000001E-2</v>
      </c>
      <c r="T7" s="27">
        <v>2.0400000000000001E-2</v>
      </c>
      <c r="U7" s="27">
        <v>2.23E-2</v>
      </c>
    </row>
    <row r="8" spans="1:23" x14ac:dyDescent="0.2">
      <c r="A8" s="26" t="s">
        <v>287</v>
      </c>
      <c r="B8" s="27">
        <v>0.31290000000000001</v>
      </c>
      <c r="C8" s="27">
        <v>0.2989</v>
      </c>
      <c r="D8" s="27">
        <v>0.47340000000000004</v>
      </c>
      <c r="E8" s="27">
        <v>8.5199999999999998E-2</v>
      </c>
      <c r="F8" s="27">
        <v>0.1686</v>
      </c>
      <c r="G8" s="27">
        <v>0.12470000000000001</v>
      </c>
      <c r="H8" s="27">
        <v>0.1323</v>
      </c>
      <c r="I8" s="27">
        <v>3.1600000000000003E-2</v>
      </c>
      <c r="J8" s="27">
        <v>4.5499999999999999E-2</v>
      </c>
      <c r="K8" s="27">
        <v>2.9600000000000001E-2</v>
      </c>
      <c r="L8" s="27">
        <v>4.41E-2</v>
      </c>
      <c r="M8" s="27">
        <v>3.7900000000000003E-2</v>
      </c>
      <c r="N8" s="27">
        <v>2.9600000000000001E-2</v>
      </c>
      <c r="O8" s="27">
        <v>1.4199999999999999E-2</v>
      </c>
      <c r="P8" s="27">
        <v>5.1999999999999998E-3</v>
      </c>
      <c r="Q8" s="27">
        <v>2.8000000000000004E-3</v>
      </c>
      <c r="R8" s="27">
        <v>3.0999999999999999E-3</v>
      </c>
      <c r="S8" s="27">
        <v>3.1E-2</v>
      </c>
      <c r="T8" s="27">
        <v>3.44E-2</v>
      </c>
      <c r="U8" s="27">
        <v>3.0300000000000001E-2</v>
      </c>
    </row>
    <row r="9" spans="1:23" x14ac:dyDescent="0.2">
      <c r="A9" s="26" t="s">
        <v>286</v>
      </c>
      <c r="B9" s="27">
        <v>0.27429999999999999</v>
      </c>
      <c r="C9" s="27">
        <v>0.22690000000000002</v>
      </c>
      <c r="D9" s="27">
        <v>0.47499999999999998</v>
      </c>
      <c r="E9" s="27">
        <v>9.3299999999999994E-2</v>
      </c>
      <c r="F9" s="27">
        <v>0.1191</v>
      </c>
      <c r="G9" s="27">
        <v>0.1416</v>
      </c>
      <c r="H9" s="27">
        <v>9.8900000000000002E-2</v>
      </c>
      <c r="I9" s="27">
        <v>2.4399999999999998E-2</v>
      </c>
      <c r="J9" s="27">
        <v>6.7199999999999996E-2</v>
      </c>
      <c r="K9" s="27">
        <v>2.8500000000000001E-2</v>
      </c>
      <c r="L9" s="27">
        <v>4.99E-2</v>
      </c>
      <c r="M9" s="27">
        <v>4.8499999999999995E-2</v>
      </c>
      <c r="N9" s="27">
        <v>3.0699999999999998E-2</v>
      </c>
      <c r="O9" s="27">
        <v>1.2500000000000001E-2</v>
      </c>
      <c r="P9" s="27">
        <v>4.4000000000000003E-3</v>
      </c>
      <c r="Q9" s="27">
        <v>3.4000000000000002E-3</v>
      </c>
      <c r="R9" s="27">
        <v>2.5000000000000001E-3</v>
      </c>
      <c r="S9" s="27">
        <v>4.5199999999999997E-2</v>
      </c>
      <c r="T9" s="27">
        <v>2.3199999999999998E-2</v>
      </c>
      <c r="U9" s="27">
        <v>3.8600000000000002E-2</v>
      </c>
    </row>
    <row r="10" spans="1:23" x14ac:dyDescent="0.2">
      <c r="A10" s="26" t="s">
        <v>285</v>
      </c>
      <c r="B10" s="27">
        <v>0.32100000000000001</v>
      </c>
      <c r="C10" s="27">
        <v>0.27399999999999997</v>
      </c>
      <c r="D10" s="27">
        <v>0.47820000000000001</v>
      </c>
      <c r="E10" s="27">
        <v>7.6700000000000004E-2</v>
      </c>
      <c r="F10" s="27">
        <v>0.12590000000000001</v>
      </c>
      <c r="G10" s="27">
        <v>0.12390000000000001</v>
      </c>
      <c r="H10" s="27">
        <v>0.12520000000000001</v>
      </c>
      <c r="I10" s="27">
        <v>2.52E-2</v>
      </c>
      <c r="J10" s="27">
        <v>5.9699999999999996E-2</v>
      </c>
      <c r="K10" s="27">
        <v>1.54E-2</v>
      </c>
      <c r="L10" s="27">
        <v>4.5700000000000005E-2</v>
      </c>
      <c r="M10" s="27">
        <v>3.5799999999999998E-2</v>
      </c>
      <c r="N10" s="27">
        <v>2.6600000000000002E-2</v>
      </c>
      <c r="O10" s="27">
        <v>1.18E-2</v>
      </c>
      <c r="P10" s="27">
        <v>6.6E-3</v>
      </c>
      <c r="Q10" s="27">
        <v>2.5000000000000001E-3</v>
      </c>
      <c r="R10" s="27">
        <v>2.8999999999999998E-3</v>
      </c>
      <c r="S10" s="27">
        <v>1.61E-2</v>
      </c>
      <c r="T10" s="27">
        <v>1.8600000000000002E-2</v>
      </c>
      <c r="U10" s="27">
        <v>4.8399999999999999E-2</v>
      </c>
    </row>
    <row r="11" spans="1:23" x14ac:dyDescent="0.2">
      <c r="A11" s="26" t="s">
        <v>284</v>
      </c>
      <c r="B11" s="27">
        <v>0.28289999999999998</v>
      </c>
      <c r="C11" s="27">
        <v>0.26400000000000001</v>
      </c>
      <c r="D11" s="27">
        <v>0.44439999999999996</v>
      </c>
      <c r="E11" s="27">
        <v>0.1014</v>
      </c>
      <c r="F11" s="27">
        <v>0.1497</v>
      </c>
      <c r="G11" s="27">
        <v>0.1043</v>
      </c>
      <c r="H11" s="27">
        <v>0.1096</v>
      </c>
      <c r="I11" s="27">
        <v>3.2099999999999997E-2</v>
      </c>
      <c r="J11" s="27">
        <v>4.0300000000000002E-2</v>
      </c>
      <c r="K11" s="27">
        <v>1.9599999999999999E-2</v>
      </c>
      <c r="L11" s="27">
        <v>2.75E-2</v>
      </c>
      <c r="M11" s="27">
        <v>4.24E-2</v>
      </c>
      <c r="N11" s="27">
        <v>2.7799999999999998E-2</v>
      </c>
      <c r="O11" s="27">
        <v>2.2599999999999999E-2</v>
      </c>
      <c r="P11" s="27">
        <v>6.5000000000000006E-3</v>
      </c>
      <c r="Q11" s="27">
        <v>2.8999999999999998E-3</v>
      </c>
      <c r="R11" s="27">
        <v>2.5000000000000001E-3</v>
      </c>
      <c r="S11" s="27">
        <v>1.67E-2</v>
      </c>
      <c r="T11" s="27">
        <v>3.5099999999999999E-2</v>
      </c>
      <c r="U11" s="27">
        <v>4.9399999999999999E-2</v>
      </c>
    </row>
    <row r="12" spans="1:23" x14ac:dyDescent="0.2">
      <c r="A12" s="26" t="s">
        <v>283</v>
      </c>
      <c r="B12" s="27">
        <v>0.35810000000000003</v>
      </c>
      <c r="C12" s="27">
        <v>0.2858</v>
      </c>
      <c r="D12" s="27">
        <v>0.40560000000000002</v>
      </c>
      <c r="E12" s="27">
        <v>7.5199999999999989E-2</v>
      </c>
      <c r="F12" s="27">
        <v>0.15060000000000001</v>
      </c>
      <c r="G12" s="27">
        <v>9.1799999999999993E-2</v>
      </c>
      <c r="H12" s="27">
        <v>8.7499999999999994E-2</v>
      </c>
      <c r="I12" s="27">
        <v>2.69E-2</v>
      </c>
      <c r="J12" s="27">
        <v>6.3600000000000004E-2</v>
      </c>
      <c r="K12" s="27">
        <v>1.5700000000000002E-2</v>
      </c>
      <c r="L12" s="27">
        <v>2.3099999999999999E-2</v>
      </c>
      <c r="M12" s="27">
        <v>3.9E-2</v>
      </c>
      <c r="N12" s="27">
        <v>2.4300000000000002E-2</v>
      </c>
      <c r="O12" s="27">
        <v>1.21E-2</v>
      </c>
      <c r="P12" s="27">
        <v>6.7000000000000002E-3</v>
      </c>
      <c r="Q12" s="27">
        <v>3.3E-3</v>
      </c>
      <c r="R12" s="27">
        <v>3.4000000000000002E-3</v>
      </c>
      <c r="S12" s="27">
        <v>1.9099999999999999E-2</v>
      </c>
      <c r="T12" s="27">
        <v>1.8799999999999997E-2</v>
      </c>
      <c r="U12" s="27">
        <v>4.0500000000000001E-2</v>
      </c>
    </row>
    <row r="13" spans="1:23" x14ac:dyDescent="0.2">
      <c r="A13" s="26" t="s">
        <v>282</v>
      </c>
      <c r="B13" s="27">
        <v>0.32990000000000003</v>
      </c>
      <c r="C13" s="27">
        <v>0.22760000000000002</v>
      </c>
      <c r="D13" s="27">
        <v>0.44229999999999997</v>
      </c>
      <c r="E13" s="27">
        <v>8.14E-2</v>
      </c>
      <c r="F13" s="27">
        <v>0.13019999999999998</v>
      </c>
      <c r="G13" s="27">
        <v>0.1153</v>
      </c>
      <c r="H13" s="27">
        <v>9.8299999999999998E-2</v>
      </c>
      <c r="I13" s="27">
        <v>2.6800000000000001E-2</v>
      </c>
      <c r="J13" s="27">
        <v>5.1100000000000007E-2</v>
      </c>
      <c r="K13" s="27">
        <v>2.7999999999999997E-2</v>
      </c>
      <c r="L13" s="27">
        <v>2.4500000000000001E-2</v>
      </c>
      <c r="M13" s="27">
        <v>3.1800000000000002E-2</v>
      </c>
      <c r="N13" s="27">
        <v>3.39E-2</v>
      </c>
      <c r="O13" s="27">
        <v>1.49E-2</v>
      </c>
      <c r="P13" s="27">
        <v>5.3E-3</v>
      </c>
      <c r="Q13" s="27">
        <v>3.0999999999999999E-3</v>
      </c>
      <c r="R13" s="27">
        <v>3.4000000000000002E-3</v>
      </c>
      <c r="S13" s="27">
        <v>1.78E-2</v>
      </c>
      <c r="T13" s="27">
        <v>2.6600000000000002E-2</v>
      </c>
      <c r="U13" s="27">
        <v>6.7400000000000002E-2</v>
      </c>
    </row>
    <row r="14" spans="1:23" x14ac:dyDescent="0.2">
      <c r="A14" s="26" t="s">
        <v>281</v>
      </c>
      <c r="B14" s="27">
        <v>0.35920000000000002</v>
      </c>
      <c r="C14" s="27">
        <v>0.30890000000000001</v>
      </c>
      <c r="D14" s="27">
        <v>0.43369999999999997</v>
      </c>
      <c r="E14" s="27">
        <v>6.4699999999999994E-2</v>
      </c>
      <c r="F14" s="27">
        <v>0.2243</v>
      </c>
      <c r="G14" s="27">
        <v>0.10490000000000001</v>
      </c>
      <c r="H14" s="27">
        <v>0.10199999999999999</v>
      </c>
      <c r="I14" s="27">
        <v>2.53E-2</v>
      </c>
      <c r="J14" s="27">
        <v>5.4000000000000006E-2</v>
      </c>
      <c r="K14" s="27">
        <v>1.5800000000000002E-2</v>
      </c>
      <c r="L14" s="27">
        <v>4.24E-2</v>
      </c>
      <c r="M14" s="27">
        <v>3.9900000000000005E-2</v>
      </c>
      <c r="N14" s="27">
        <v>2.2099999999999998E-2</v>
      </c>
      <c r="O14" s="27">
        <v>1.34E-2</v>
      </c>
      <c r="P14" s="27">
        <v>4.5000000000000005E-3</v>
      </c>
      <c r="Q14" s="27">
        <v>2.3999999999999998E-3</v>
      </c>
      <c r="R14" s="27">
        <v>2.5000000000000001E-3</v>
      </c>
      <c r="S14" s="27">
        <v>2.06E-2</v>
      </c>
      <c r="T14" s="27">
        <v>2.87E-2</v>
      </c>
      <c r="U14" s="27">
        <v>4.3999999999999997E-2</v>
      </c>
    </row>
    <row r="15" spans="1:23" x14ac:dyDescent="0.2">
      <c r="A15" s="26" t="s">
        <v>280</v>
      </c>
      <c r="B15" s="27">
        <v>0.28309999999999996</v>
      </c>
      <c r="C15" s="27">
        <v>0.26769999999999999</v>
      </c>
      <c r="D15" s="27">
        <v>0.4536</v>
      </c>
      <c r="E15" s="27">
        <v>0.10060000000000001</v>
      </c>
      <c r="F15" s="27">
        <v>0.13369999999999999</v>
      </c>
      <c r="G15" s="27">
        <v>0.14960000000000001</v>
      </c>
      <c r="H15" s="27">
        <v>0.1186</v>
      </c>
      <c r="I15" s="27">
        <v>2.0899999999999998E-2</v>
      </c>
      <c r="J15" s="27">
        <v>7.690000000000001E-2</v>
      </c>
      <c r="K15" s="27">
        <v>2.06E-2</v>
      </c>
      <c r="L15" s="27">
        <v>1.78E-2</v>
      </c>
      <c r="M15" s="27">
        <v>3.1899999999999998E-2</v>
      </c>
      <c r="N15" s="27">
        <v>3.39E-2</v>
      </c>
      <c r="O15" s="27">
        <v>2.2400000000000003E-2</v>
      </c>
      <c r="P15" s="27">
        <v>4.0999999999999995E-3</v>
      </c>
      <c r="Q15" s="27">
        <v>2.5000000000000001E-3</v>
      </c>
      <c r="R15" s="27">
        <v>3.0999999999999999E-3</v>
      </c>
      <c r="S15" s="27">
        <v>2.0899999999999998E-2</v>
      </c>
      <c r="T15" s="27">
        <v>3.1200000000000002E-2</v>
      </c>
      <c r="U15" s="27">
        <v>3.7600000000000001E-2</v>
      </c>
    </row>
    <row r="16" spans="1:23" x14ac:dyDescent="0.2">
      <c r="A16" s="26" t="s">
        <v>279</v>
      </c>
      <c r="B16" s="27">
        <v>0.32780000000000004</v>
      </c>
      <c r="C16" s="27">
        <v>0.27979999999999999</v>
      </c>
      <c r="D16" s="27">
        <v>0.35509999999999997</v>
      </c>
      <c r="E16" s="27">
        <v>6.6500000000000004E-2</v>
      </c>
      <c r="F16" s="27">
        <v>0.17219999999999999</v>
      </c>
      <c r="G16" s="27">
        <v>9.0299999999999991E-2</v>
      </c>
      <c r="H16" s="27">
        <v>9.4499999999999987E-2</v>
      </c>
      <c r="I16" s="27">
        <v>3.32E-2</v>
      </c>
      <c r="J16" s="27">
        <v>4.2300000000000004E-2</v>
      </c>
      <c r="K16" s="27">
        <v>1.6200000000000003E-2</v>
      </c>
      <c r="L16" s="27">
        <v>2.23E-2</v>
      </c>
      <c r="M16" s="27">
        <v>2.92E-2</v>
      </c>
      <c r="N16" s="27">
        <v>2.29E-2</v>
      </c>
      <c r="O16" s="27">
        <v>1.1000000000000001E-2</v>
      </c>
      <c r="P16" s="27">
        <v>5.4000000000000003E-3</v>
      </c>
      <c r="Q16" s="27">
        <v>1.8E-3</v>
      </c>
      <c r="R16" s="27">
        <v>2.3999999999999998E-3</v>
      </c>
      <c r="S16" s="27">
        <v>1.9599999999999999E-2</v>
      </c>
      <c r="T16" s="27">
        <v>2.3199999999999998E-2</v>
      </c>
      <c r="U16" s="27">
        <v>3.09E-2</v>
      </c>
    </row>
    <row r="17" spans="1:21" x14ac:dyDescent="0.2">
      <c r="A17" s="26" t="s">
        <v>278</v>
      </c>
      <c r="B17" s="27">
        <v>0.26789999999999997</v>
      </c>
      <c r="C17" s="27">
        <v>0.215</v>
      </c>
      <c r="D17" s="27">
        <v>0.42210000000000003</v>
      </c>
      <c r="E17" s="27">
        <v>0.1119</v>
      </c>
      <c r="F17" s="27">
        <v>0.14510000000000001</v>
      </c>
      <c r="G17" s="27">
        <v>9.9600000000000008E-2</v>
      </c>
      <c r="H17" s="27">
        <v>0.1157</v>
      </c>
      <c r="I17" s="27">
        <v>2.1000000000000001E-2</v>
      </c>
      <c r="J17" s="27">
        <v>4.7400000000000005E-2</v>
      </c>
      <c r="K17" s="27">
        <v>1.49E-2</v>
      </c>
      <c r="L17" s="27">
        <v>3.1200000000000002E-2</v>
      </c>
      <c r="M17" s="27">
        <v>2.8999999999999998E-2</v>
      </c>
      <c r="N17" s="27">
        <v>3.7900000000000003E-2</v>
      </c>
      <c r="O17" s="27">
        <v>1.15E-2</v>
      </c>
      <c r="P17" s="27">
        <v>5.4000000000000003E-3</v>
      </c>
      <c r="Q17" s="27">
        <v>2.7000000000000001E-3</v>
      </c>
      <c r="R17" s="27">
        <v>2.5000000000000001E-3</v>
      </c>
      <c r="S17" s="27">
        <v>2.64E-2</v>
      </c>
      <c r="T17" s="27">
        <v>2.4500000000000001E-2</v>
      </c>
      <c r="U17" s="27">
        <v>6.8099999999999994E-2</v>
      </c>
    </row>
    <row r="18" spans="1:21" x14ac:dyDescent="0.2">
      <c r="A18" s="26" t="s">
        <v>277</v>
      </c>
      <c r="B18" s="27">
        <v>0.27310000000000001</v>
      </c>
      <c r="C18" s="27">
        <v>0.25579999999999997</v>
      </c>
      <c r="D18" s="27">
        <v>0.46630000000000005</v>
      </c>
      <c r="E18" s="27">
        <v>8.2299999999999998E-2</v>
      </c>
      <c r="F18" s="27">
        <v>0.14199999999999999</v>
      </c>
      <c r="G18" s="27">
        <v>0.1157</v>
      </c>
      <c r="H18" s="27">
        <v>0.14550000000000002</v>
      </c>
      <c r="I18" s="27">
        <v>2.1099999999999997E-2</v>
      </c>
      <c r="J18" s="27">
        <v>5.0300000000000004E-2</v>
      </c>
      <c r="K18" s="27">
        <v>1.77E-2</v>
      </c>
      <c r="L18" s="27">
        <v>4.1399999999999999E-2</v>
      </c>
      <c r="M18" s="27">
        <v>3.1899999999999998E-2</v>
      </c>
      <c r="N18" s="27">
        <v>2.8999999999999998E-2</v>
      </c>
      <c r="O18" s="27">
        <v>1.5300000000000001E-2</v>
      </c>
      <c r="P18" s="27">
        <v>5.0000000000000001E-3</v>
      </c>
      <c r="Q18" s="27">
        <v>2.5000000000000001E-3</v>
      </c>
      <c r="R18" s="27">
        <v>4.3E-3</v>
      </c>
      <c r="S18" s="27">
        <v>1.7000000000000001E-2</v>
      </c>
      <c r="T18" s="27">
        <v>0.03</v>
      </c>
      <c r="U18" s="27">
        <v>4.4600000000000001E-2</v>
      </c>
    </row>
    <row r="19" spans="1:21" x14ac:dyDescent="0.2">
      <c r="A19" s="26" t="s">
        <v>273</v>
      </c>
      <c r="B19" s="27">
        <v>0.32159999999999994</v>
      </c>
      <c r="C19" s="27">
        <v>0.2676</v>
      </c>
      <c r="D19" s="27">
        <v>0.42560000000000003</v>
      </c>
      <c r="E19" s="27">
        <v>7.2499999999999995E-2</v>
      </c>
      <c r="F19" s="27">
        <v>0.1479</v>
      </c>
      <c r="G19" s="27">
        <v>0.10310000000000001</v>
      </c>
      <c r="H19" s="27">
        <v>0.1206</v>
      </c>
      <c r="I19" s="27">
        <v>2.69E-2</v>
      </c>
      <c r="J19" s="27">
        <v>4.5499999999999999E-2</v>
      </c>
      <c r="K19" s="27">
        <v>1.9799999999999998E-2</v>
      </c>
      <c r="L19" s="27">
        <v>2.1400000000000002E-2</v>
      </c>
      <c r="M19" s="27">
        <v>3.7499999999999999E-2</v>
      </c>
      <c r="N19" s="27">
        <v>3.3700000000000001E-2</v>
      </c>
      <c r="O19" s="27">
        <v>1.09E-2</v>
      </c>
      <c r="P19" s="27">
        <v>1.43E-2</v>
      </c>
      <c r="Q19" s="27">
        <v>3.7000000000000002E-3</v>
      </c>
      <c r="R19" s="27">
        <v>2.8000000000000004E-3</v>
      </c>
      <c r="S19" s="27">
        <v>1.4499999999999999E-2</v>
      </c>
      <c r="T19" s="27">
        <v>3.0299999999999997E-2</v>
      </c>
      <c r="U19" s="27">
        <v>2.7699999999999999E-2</v>
      </c>
    </row>
    <row r="20" spans="1:21" x14ac:dyDescent="0.2">
      <c r="A20" s="26" t="s">
        <v>272</v>
      </c>
      <c r="B20" s="27">
        <v>0.33340000000000003</v>
      </c>
      <c r="C20" s="27">
        <v>0.25879999999999997</v>
      </c>
      <c r="D20" s="27">
        <v>0.46189999999999998</v>
      </c>
      <c r="E20" s="27">
        <v>6.8199999999999997E-2</v>
      </c>
      <c r="F20" s="27">
        <v>0.1515</v>
      </c>
      <c r="G20" s="27">
        <v>9.9100000000000008E-2</v>
      </c>
      <c r="H20" s="27">
        <v>0.17079999999999998</v>
      </c>
      <c r="I20" s="27">
        <v>2.0400000000000001E-2</v>
      </c>
      <c r="J20" s="27">
        <v>5.6500000000000002E-2</v>
      </c>
      <c r="K20" s="27">
        <v>1.43E-2</v>
      </c>
      <c r="L20" s="27">
        <v>4.2000000000000003E-2</v>
      </c>
      <c r="M20" s="27">
        <v>2.8900000000000002E-2</v>
      </c>
      <c r="N20" s="27">
        <v>2.9900000000000003E-2</v>
      </c>
      <c r="O20" s="27">
        <v>1.6200000000000003E-2</v>
      </c>
      <c r="P20" s="27">
        <v>5.5000000000000005E-3</v>
      </c>
      <c r="Q20" s="27">
        <v>1.8E-3</v>
      </c>
      <c r="R20" s="27">
        <v>5.1999999999999998E-3</v>
      </c>
      <c r="S20" s="27">
        <v>1.9E-2</v>
      </c>
      <c r="T20" s="27">
        <v>2.2000000000000002E-2</v>
      </c>
      <c r="U20" s="27">
        <v>3.27E-2</v>
      </c>
    </row>
    <row r="21" spans="1:21" x14ac:dyDescent="0.2">
      <c r="A21" s="26" t="s">
        <v>271</v>
      </c>
      <c r="B21" s="27">
        <v>0.30199999999999999</v>
      </c>
      <c r="C21" s="27">
        <v>0.25940000000000002</v>
      </c>
      <c r="D21" s="27">
        <v>0.42950000000000005</v>
      </c>
      <c r="E21" s="27">
        <v>7.2000000000000008E-2</v>
      </c>
      <c r="F21" s="27">
        <v>0.13769999999999999</v>
      </c>
      <c r="G21" s="27">
        <v>8.5999999999999993E-2</v>
      </c>
      <c r="H21" s="27">
        <v>0.13570000000000002</v>
      </c>
      <c r="I21" s="27">
        <v>2.0299999999999999E-2</v>
      </c>
      <c r="J21" s="27">
        <v>6.5199999999999994E-2</v>
      </c>
      <c r="K21" s="27">
        <v>2.8999999999999998E-2</v>
      </c>
      <c r="L21" s="27">
        <v>2.7400000000000001E-2</v>
      </c>
      <c r="M21" s="27">
        <v>3.0499999999999999E-2</v>
      </c>
      <c r="N21" s="27">
        <v>2.29E-2</v>
      </c>
      <c r="O21" s="27">
        <v>1.3000000000000001E-2</v>
      </c>
      <c r="P21" s="27">
        <v>4.5000000000000005E-3</v>
      </c>
      <c r="Q21" s="27">
        <v>2.5000000000000001E-3</v>
      </c>
      <c r="R21" s="27">
        <v>3.2000000000000002E-3</v>
      </c>
      <c r="S21" s="27">
        <v>3.1300000000000001E-2</v>
      </c>
      <c r="T21" s="27">
        <v>2.9300000000000003E-2</v>
      </c>
      <c r="U21" s="27">
        <v>3.2099999999999997E-2</v>
      </c>
    </row>
    <row r="22" spans="1:21" x14ac:dyDescent="0.2">
      <c r="A22" s="26" t="s">
        <v>270</v>
      </c>
      <c r="B22" s="27">
        <v>0.33860000000000001</v>
      </c>
      <c r="C22" s="27">
        <v>0.30210000000000004</v>
      </c>
      <c r="D22" s="27">
        <v>0.43130000000000002</v>
      </c>
      <c r="E22" s="27">
        <v>6.4199999999999993E-2</v>
      </c>
      <c r="F22" s="27">
        <v>0.15529999999999999</v>
      </c>
      <c r="G22" s="27">
        <v>0.1341</v>
      </c>
      <c r="H22" s="27">
        <v>0.11539999999999999</v>
      </c>
      <c r="I22" s="27">
        <v>2.6800000000000001E-2</v>
      </c>
      <c r="J22" s="27">
        <v>5.4299999999999994E-2</v>
      </c>
      <c r="K22" s="27">
        <v>1.6899999999999998E-2</v>
      </c>
      <c r="L22" s="27">
        <v>2.6099999999999998E-2</v>
      </c>
      <c r="M22" s="27">
        <v>3.4099999999999998E-2</v>
      </c>
      <c r="N22" s="27">
        <v>2.3099999999999999E-2</v>
      </c>
      <c r="O22" s="27">
        <v>6.1999999999999998E-3</v>
      </c>
      <c r="P22" s="27">
        <v>4.1999999999999997E-3</v>
      </c>
      <c r="Q22" s="27">
        <v>2.5000000000000001E-3</v>
      </c>
      <c r="R22" s="27">
        <v>2E-3</v>
      </c>
      <c r="S22" s="27">
        <v>1.47E-2</v>
      </c>
      <c r="T22" s="27">
        <v>2.4900000000000002E-2</v>
      </c>
      <c r="U22" s="27">
        <v>3.49E-2</v>
      </c>
    </row>
    <row r="23" spans="1:21" x14ac:dyDescent="0.2">
      <c r="A23" s="26" t="s">
        <v>269</v>
      </c>
      <c r="B23" s="27">
        <v>0.34420000000000001</v>
      </c>
      <c r="C23" s="27">
        <v>0.29699999999999999</v>
      </c>
      <c r="D23" s="27">
        <v>0.42149999999999999</v>
      </c>
      <c r="E23" s="27">
        <v>5.0199999999999995E-2</v>
      </c>
      <c r="F23" s="27">
        <v>0.18429999999999999</v>
      </c>
      <c r="G23" s="27">
        <v>9.2499999999999999E-2</v>
      </c>
      <c r="H23" s="27">
        <v>0.13650000000000001</v>
      </c>
      <c r="I23" s="27">
        <v>2.5000000000000001E-2</v>
      </c>
      <c r="J23" s="27">
        <v>4.9800000000000004E-2</v>
      </c>
      <c r="K23" s="27">
        <v>2.35E-2</v>
      </c>
      <c r="L23" s="27">
        <v>2.7099999999999999E-2</v>
      </c>
      <c r="M23" s="27">
        <v>2.8900000000000002E-2</v>
      </c>
      <c r="N23" s="27">
        <v>1.9799999999999998E-2</v>
      </c>
      <c r="O23" s="27">
        <v>5.6000000000000008E-3</v>
      </c>
      <c r="P23" s="27">
        <v>3.8E-3</v>
      </c>
      <c r="Q23" s="27">
        <v>4.0000000000000001E-3</v>
      </c>
      <c r="R23" s="27">
        <v>2E-3</v>
      </c>
      <c r="S23" s="27">
        <v>2.6699999999999998E-2</v>
      </c>
      <c r="T23" s="27">
        <v>1.55E-2</v>
      </c>
      <c r="U23" s="27">
        <v>2.53E-2</v>
      </c>
    </row>
    <row r="24" spans="1:21" x14ac:dyDescent="0.2">
      <c r="A24" s="26" t="s">
        <v>268</v>
      </c>
      <c r="B24" s="27">
        <v>0.31579999999999997</v>
      </c>
      <c r="C24" s="27">
        <v>0.2437</v>
      </c>
      <c r="D24" s="27">
        <v>0.46159999999999995</v>
      </c>
      <c r="E24" s="27">
        <v>5.5E-2</v>
      </c>
      <c r="F24" s="27">
        <v>9.3599999999999989E-2</v>
      </c>
      <c r="G24" s="27">
        <v>0.1014</v>
      </c>
      <c r="H24" s="27">
        <v>0.16070000000000001</v>
      </c>
      <c r="I24" s="27">
        <v>2.9700000000000001E-2</v>
      </c>
      <c r="J24" s="27">
        <v>3.0299999999999997E-2</v>
      </c>
      <c r="K24" s="27">
        <v>1.54E-2</v>
      </c>
      <c r="L24" s="27">
        <v>2.0499999999999997E-2</v>
      </c>
      <c r="M24" s="27">
        <v>4.7100000000000003E-2</v>
      </c>
      <c r="N24" s="27">
        <v>2.0099999999999996E-2</v>
      </c>
      <c r="O24" s="27">
        <v>5.1000000000000004E-3</v>
      </c>
      <c r="P24" s="27">
        <v>3.9000000000000003E-3</v>
      </c>
      <c r="Q24" s="27">
        <v>1.9E-3</v>
      </c>
      <c r="R24" s="27">
        <v>3.0999999999999999E-3</v>
      </c>
      <c r="S24" s="27">
        <v>2.7799999999999998E-2</v>
      </c>
      <c r="T24" s="27">
        <v>2.3799999999999998E-2</v>
      </c>
      <c r="U24" s="27">
        <v>2.4E-2</v>
      </c>
    </row>
    <row r="25" spans="1:21" x14ac:dyDescent="0.2">
      <c r="A25" s="26" t="s">
        <v>267</v>
      </c>
      <c r="B25" s="27">
        <v>0.3306</v>
      </c>
      <c r="C25" s="27">
        <v>0.27960000000000002</v>
      </c>
      <c r="D25" s="27">
        <v>0.43680000000000002</v>
      </c>
      <c r="E25" s="27">
        <v>5.28E-2</v>
      </c>
      <c r="F25" s="27">
        <v>0.1273</v>
      </c>
      <c r="G25" s="27">
        <v>0.122</v>
      </c>
      <c r="H25" s="27">
        <v>0.1424</v>
      </c>
      <c r="I25" s="27">
        <v>2.1499999999999998E-2</v>
      </c>
      <c r="J25" s="27">
        <v>4.7300000000000002E-2</v>
      </c>
      <c r="K25" s="27">
        <v>2.2099999999999998E-2</v>
      </c>
      <c r="L25" s="27">
        <v>2.8399999999999998E-2</v>
      </c>
      <c r="M25" s="27">
        <v>3.2199999999999999E-2</v>
      </c>
      <c r="N25" s="27">
        <v>2.3300000000000001E-2</v>
      </c>
      <c r="O25" s="27">
        <v>5.6000000000000008E-3</v>
      </c>
      <c r="P25" s="27">
        <v>3.9000000000000003E-3</v>
      </c>
      <c r="Q25" s="27">
        <v>2.0999999999999999E-3</v>
      </c>
      <c r="R25" s="27">
        <v>2.2000000000000001E-3</v>
      </c>
      <c r="S25" s="27">
        <v>2.0199999999999999E-2</v>
      </c>
      <c r="T25" s="27">
        <v>2.06E-2</v>
      </c>
      <c r="U25" s="27">
        <v>2.76E-2</v>
      </c>
    </row>
    <row r="26" spans="1:21" x14ac:dyDescent="0.2">
      <c r="A26" s="26" t="s">
        <v>266</v>
      </c>
      <c r="B26" s="27">
        <v>0.30990000000000001</v>
      </c>
      <c r="C26" s="27">
        <v>0.33390000000000003</v>
      </c>
      <c r="D26" s="27">
        <v>0.40850000000000003</v>
      </c>
      <c r="E26" s="27">
        <v>5.0199999999999995E-2</v>
      </c>
      <c r="F26" s="27">
        <v>0.1273</v>
      </c>
      <c r="G26" s="27">
        <v>0.1198</v>
      </c>
      <c r="H26" s="27">
        <v>0.12890000000000001</v>
      </c>
      <c r="I26" s="27">
        <v>2.1400000000000002E-2</v>
      </c>
      <c r="J26" s="27">
        <v>3.7699999999999997E-2</v>
      </c>
      <c r="K26" s="27">
        <v>0.02</v>
      </c>
      <c r="L26" s="27">
        <v>2.7200000000000002E-2</v>
      </c>
      <c r="M26" s="27">
        <v>3.8800000000000001E-2</v>
      </c>
      <c r="N26" s="27">
        <v>1.2699999999999999E-2</v>
      </c>
      <c r="O26" s="27">
        <v>5.0000000000000001E-3</v>
      </c>
      <c r="P26" s="27">
        <v>3.0000000000000001E-3</v>
      </c>
      <c r="Q26" s="27">
        <v>1.1999999999999999E-3</v>
      </c>
      <c r="R26" s="27">
        <v>4.1999999999999997E-3</v>
      </c>
      <c r="S26" s="27">
        <v>2.4E-2</v>
      </c>
      <c r="T26" s="27">
        <v>1.7100000000000001E-2</v>
      </c>
      <c r="U26" s="27">
        <v>2.52E-2</v>
      </c>
    </row>
    <row r="27" spans="1:21" x14ac:dyDescent="0.2">
      <c r="A27" s="26" t="s">
        <v>265</v>
      </c>
      <c r="B27" s="27">
        <v>0.3422</v>
      </c>
      <c r="C27" s="27">
        <v>0.28550000000000003</v>
      </c>
      <c r="D27" s="27">
        <v>0.42499999999999999</v>
      </c>
      <c r="E27" s="27">
        <v>5.6500000000000002E-2</v>
      </c>
      <c r="F27" s="27">
        <v>0.14480000000000001</v>
      </c>
      <c r="G27" s="27">
        <v>0.14050000000000001</v>
      </c>
      <c r="H27" s="27">
        <v>0.15479999999999999</v>
      </c>
      <c r="I27" s="27">
        <v>2.4199999999999999E-2</v>
      </c>
      <c r="J27" s="27">
        <v>4.8300000000000003E-2</v>
      </c>
      <c r="K27" s="27">
        <v>1.49E-2</v>
      </c>
      <c r="L27" s="27">
        <v>2.3399999999999997E-2</v>
      </c>
      <c r="M27" s="27">
        <v>2.9600000000000001E-2</v>
      </c>
      <c r="N27" s="27">
        <v>1.38E-2</v>
      </c>
      <c r="O27" s="27">
        <v>5.6000000000000008E-3</v>
      </c>
      <c r="P27" s="27">
        <v>3.0999999999999999E-3</v>
      </c>
      <c r="Q27" s="27">
        <v>2.2000000000000001E-3</v>
      </c>
      <c r="R27" s="27">
        <v>2.8999999999999998E-3</v>
      </c>
      <c r="S27" s="27">
        <v>1.6299999999999999E-2</v>
      </c>
      <c r="T27" s="27">
        <v>1.5700000000000002E-2</v>
      </c>
      <c r="U27" s="27">
        <v>2.58E-2</v>
      </c>
    </row>
    <row r="28" spans="1:21" x14ac:dyDescent="0.2">
      <c r="A28" s="26" t="s">
        <v>264</v>
      </c>
      <c r="B28" s="27">
        <v>0.35149999999999998</v>
      </c>
      <c r="C28" s="27">
        <v>0.38009999999999999</v>
      </c>
      <c r="D28" s="27">
        <v>0.37240000000000001</v>
      </c>
      <c r="E28" s="27">
        <v>4.7699999999999992E-2</v>
      </c>
      <c r="F28" s="27">
        <v>0.15679999999999999</v>
      </c>
      <c r="G28" s="27">
        <v>0.1208</v>
      </c>
      <c r="H28" s="27">
        <v>0.12369999999999999</v>
      </c>
      <c r="I28" s="27">
        <v>1.9299999999999998E-2</v>
      </c>
      <c r="J28" s="27">
        <v>4.4600000000000001E-2</v>
      </c>
      <c r="K28" s="27">
        <v>1.44E-2</v>
      </c>
      <c r="L28" s="27">
        <v>2.52E-2</v>
      </c>
      <c r="M28" s="27">
        <v>2.9700000000000001E-2</v>
      </c>
      <c r="N28" s="27">
        <v>1.1899999999999999E-2</v>
      </c>
      <c r="O28" s="27">
        <v>4.5999999999999999E-3</v>
      </c>
      <c r="P28" s="27">
        <v>3.2000000000000002E-3</v>
      </c>
      <c r="Q28" s="27">
        <v>1.8E-3</v>
      </c>
      <c r="R28" s="27">
        <v>2.2000000000000001E-3</v>
      </c>
      <c r="S28" s="27">
        <v>1.55E-2</v>
      </c>
      <c r="T28" s="27">
        <v>1.15E-2</v>
      </c>
      <c r="U28" s="27">
        <v>2.4799999999999999E-2</v>
      </c>
    </row>
    <row r="29" spans="1:21" x14ac:dyDescent="0.2">
      <c r="A29" s="26" t="s">
        <v>263</v>
      </c>
      <c r="B29" s="27">
        <v>0.34460000000000002</v>
      </c>
      <c r="C29" s="27">
        <v>0.31290000000000001</v>
      </c>
      <c r="D29" s="27">
        <v>0.4456</v>
      </c>
      <c r="E29" s="27">
        <v>6.2100000000000002E-2</v>
      </c>
      <c r="F29" s="27">
        <v>0.1545</v>
      </c>
      <c r="G29" s="27">
        <v>0.16969999999999999</v>
      </c>
      <c r="H29" s="27">
        <v>0.1401</v>
      </c>
      <c r="I29" s="27">
        <v>1.7899999999999999E-2</v>
      </c>
      <c r="J29" s="27">
        <v>3.7900000000000003E-2</v>
      </c>
      <c r="K29" s="27">
        <v>1.3300000000000001E-2</v>
      </c>
      <c r="L29" s="27">
        <v>3.1699999999999999E-2</v>
      </c>
      <c r="M29" s="27">
        <v>3.27E-2</v>
      </c>
      <c r="N29" s="27">
        <v>1.1599999999999999E-2</v>
      </c>
      <c r="O29" s="27">
        <v>5.0000000000000001E-3</v>
      </c>
      <c r="P29" s="27">
        <v>3.4999999999999996E-3</v>
      </c>
      <c r="Q29" s="27">
        <v>2.0999999999999999E-3</v>
      </c>
      <c r="R29" s="27">
        <v>4.0999999999999995E-3</v>
      </c>
      <c r="S29" s="27">
        <v>1.78E-2</v>
      </c>
      <c r="T29" s="27">
        <v>1.49E-2</v>
      </c>
      <c r="U29" s="27">
        <v>3.4700000000000002E-2</v>
      </c>
    </row>
    <row r="30" spans="1:21" x14ac:dyDescent="0.2">
      <c r="A30" s="26" t="s">
        <v>261</v>
      </c>
      <c r="B30" s="27">
        <v>0.2959</v>
      </c>
      <c r="C30" s="27">
        <v>0.24850000000000003</v>
      </c>
      <c r="D30" s="27">
        <v>0.52429999999999999</v>
      </c>
      <c r="E30" s="27">
        <v>6.1799999999999994E-2</v>
      </c>
      <c r="F30" s="27">
        <v>0.13849999999999998</v>
      </c>
      <c r="G30" s="27">
        <v>0.17980000000000002</v>
      </c>
      <c r="H30" s="27">
        <v>0.16879999999999998</v>
      </c>
      <c r="I30" s="27">
        <v>2.5099999999999997E-2</v>
      </c>
      <c r="J30" s="27">
        <v>5.3099999999999994E-2</v>
      </c>
      <c r="K30" s="27">
        <v>1.47E-2</v>
      </c>
      <c r="L30" s="27">
        <v>2.86E-2</v>
      </c>
      <c r="M30" s="27">
        <v>4.8000000000000001E-2</v>
      </c>
      <c r="N30" s="27">
        <v>1.32E-2</v>
      </c>
      <c r="O30" s="27">
        <v>6.6E-3</v>
      </c>
      <c r="P30" s="27">
        <v>4.1999999999999997E-3</v>
      </c>
      <c r="Q30" s="27">
        <v>2.2000000000000001E-3</v>
      </c>
      <c r="R30" s="27">
        <v>4.3E-3</v>
      </c>
      <c r="S30" s="27">
        <v>2.3700000000000002E-2</v>
      </c>
      <c r="T30" s="27">
        <v>1.84E-2</v>
      </c>
      <c r="U30" s="27">
        <v>3.4700000000000002E-2</v>
      </c>
    </row>
    <row r="31" spans="1:21" x14ac:dyDescent="0.2">
      <c r="A31" s="26" t="s">
        <v>260</v>
      </c>
      <c r="B31" s="27">
        <v>0.30099999999999999</v>
      </c>
      <c r="C31" s="27">
        <v>0.2747</v>
      </c>
      <c r="D31" s="27">
        <v>0.46860000000000002</v>
      </c>
      <c r="E31" s="27">
        <v>7.4299999999999991E-2</v>
      </c>
      <c r="F31" s="27">
        <v>0.1565</v>
      </c>
      <c r="G31" s="27">
        <v>0.1217</v>
      </c>
      <c r="H31" s="27">
        <v>0.15049999999999999</v>
      </c>
      <c r="I31" s="27">
        <v>2.18E-2</v>
      </c>
      <c r="J31" s="27">
        <v>4.3499999999999997E-2</v>
      </c>
      <c r="K31" s="27">
        <v>2.53E-2</v>
      </c>
      <c r="L31" s="27">
        <v>4.7300000000000002E-2</v>
      </c>
      <c r="M31" s="27">
        <v>3.2899999999999999E-2</v>
      </c>
      <c r="N31" s="27">
        <v>1.43E-2</v>
      </c>
      <c r="O31" s="27">
        <v>4.0999999999999995E-3</v>
      </c>
      <c r="P31" s="27">
        <v>3.5999999999999999E-3</v>
      </c>
      <c r="Q31" s="27">
        <v>1.8E-3</v>
      </c>
      <c r="R31" s="27">
        <v>3.5999999999999999E-3</v>
      </c>
      <c r="S31" s="27">
        <v>1.9900000000000001E-2</v>
      </c>
      <c r="T31" s="27">
        <v>1.1299999999999999E-2</v>
      </c>
      <c r="U31" s="27">
        <v>3.9399999999999998E-2</v>
      </c>
    </row>
    <row r="32" spans="1:21" x14ac:dyDescent="0.2">
      <c r="A32" s="26" t="s">
        <v>259</v>
      </c>
      <c r="B32" s="27">
        <v>0.30790000000000001</v>
      </c>
      <c r="C32" s="27">
        <v>0.313</v>
      </c>
      <c r="D32" s="27">
        <v>0.4728</v>
      </c>
      <c r="E32" s="27">
        <v>6.5199999999999994E-2</v>
      </c>
      <c r="F32" s="27">
        <v>0.1326</v>
      </c>
      <c r="G32" s="27">
        <v>0.14660000000000001</v>
      </c>
      <c r="H32" s="27">
        <v>0.16719999999999999</v>
      </c>
      <c r="I32" s="27">
        <v>2.2099999999999998E-2</v>
      </c>
      <c r="J32" s="27">
        <v>4.6799999999999994E-2</v>
      </c>
      <c r="K32" s="27">
        <v>1.6899999999999998E-2</v>
      </c>
      <c r="L32" s="27">
        <v>2.23E-2</v>
      </c>
      <c r="M32" s="27">
        <v>4.4299999999999999E-2</v>
      </c>
      <c r="N32" s="27">
        <v>1.46E-2</v>
      </c>
      <c r="O32" s="27">
        <v>5.4000000000000003E-3</v>
      </c>
      <c r="P32" s="27">
        <v>5.1000000000000004E-3</v>
      </c>
      <c r="Q32" s="27">
        <v>2.7000000000000001E-3</v>
      </c>
      <c r="R32" s="27">
        <v>2.7000000000000001E-3</v>
      </c>
      <c r="S32" s="27">
        <v>2.5899999999999999E-2</v>
      </c>
      <c r="T32" s="27">
        <v>1.4800000000000001E-2</v>
      </c>
      <c r="U32" s="27">
        <v>2.4400000000000002E-2</v>
      </c>
    </row>
    <row r="33" spans="1:21" x14ac:dyDescent="0.2">
      <c r="A33" s="26" t="s">
        <v>258</v>
      </c>
      <c r="B33" s="27">
        <v>0.36979999999999996</v>
      </c>
      <c r="C33" s="27">
        <v>0.2898</v>
      </c>
      <c r="D33" s="27">
        <v>0.47090000000000004</v>
      </c>
      <c r="E33" s="27">
        <v>6.3299999999999995E-2</v>
      </c>
      <c r="F33" s="27">
        <v>0.1419</v>
      </c>
      <c r="G33" s="27">
        <v>0.13039999999999999</v>
      </c>
      <c r="H33" s="27">
        <v>0.15670000000000001</v>
      </c>
      <c r="I33" s="27">
        <v>2.5000000000000001E-2</v>
      </c>
      <c r="J33" s="27">
        <v>5.16E-2</v>
      </c>
      <c r="K33" s="27">
        <v>1.6E-2</v>
      </c>
      <c r="L33" s="27">
        <v>3.6000000000000004E-2</v>
      </c>
      <c r="M33" s="27">
        <v>4.7199999999999999E-2</v>
      </c>
      <c r="N33" s="27">
        <v>1.3000000000000001E-2</v>
      </c>
      <c r="O33" s="27">
        <v>5.0000000000000001E-3</v>
      </c>
      <c r="P33" s="27">
        <v>5.0000000000000001E-3</v>
      </c>
      <c r="Q33" s="27">
        <v>3.0999999999999999E-3</v>
      </c>
      <c r="R33" s="27">
        <v>2.2000000000000001E-3</v>
      </c>
      <c r="S33" s="27">
        <v>2.2099999999999998E-2</v>
      </c>
      <c r="T33" s="27">
        <v>1.46E-2</v>
      </c>
      <c r="U33" s="27">
        <v>3.39E-2</v>
      </c>
    </row>
    <row r="34" spans="1:21" x14ac:dyDescent="0.2">
      <c r="A34" s="26" t="s">
        <v>257</v>
      </c>
      <c r="B34" s="27">
        <v>0.49909999999999999</v>
      </c>
      <c r="C34" s="27">
        <v>0.4597</v>
      </c>
      <c r="D34" s="27">
        <v>0.33979999999999999</v>
      </c>
      <c r="E34" s="27">
        <v>4.3499999999999997E-2</v>
      </c>
      <c r="F34" s="27">
        <v>0.36770000000000003</v>
      </c>
      <c r="G34" s="27">
        <v>0.11359999999999999</v>
      </c>
      <c r="H34" s="27">
        <v>0.10779999999999999</v>
      </c>
      <c r="I34" s="27">
        <v>1.47E-2</v>
      </c>
      <c r="J34" s="27">
        <v>3.2799999999999996E-2</v>
      </c>
      <c r="K34" s="27">
        <v>0.01</v>
      </c>
      <c r="L34" s="27">
        <v>1.6399999999999998E-2</v>
      </c>
      <c r="M34" s="27">
        <v>2.69E-2</v>
      </c>
      <c r="N34" s="27">
        <v>9.8999999999999991E-3</v>
      </c>
      <c r="O34" s="27">
        <v>4.4000000000000003E-3</v>
      </c>
      <c r="P34" s="27">
        <v>2.8999999999999998E-3</v>
      </c>
      <c r="Q34" s="27">
        <v>2.7000000000000001E-3</v>
      </c>
      <c r="R34" s="27">
        <v>1.5E-3</v>
      </c>
      <c r="S34" s="27">
        <v>1.49E-2</v>
      </c>
      <c r="T34" s="27">
        <v>1.2500000000000001E-2</v>
      </c>
      <c r="U34" s="27">
        <v>2.2700000000000001E-2</v>
      </c>
    </row>
    <row r="35" spans="1:21" x14ac:dyDescent="0.2">
      <c r="A35" s="26" t="s">
        <v>255</v>
      </c>
      <c r="B35" s="27">
        <v>0.26150000000000001</v>
      </c>
      <c r="C35" s="27">
        <v>0.24079999999999999</v>
      </c>
      <c r="D35" s="27">
        <v>0.51159999999999994</v>
      </c>
      <c r="E35" s="27">
        <v>7.9600000000000004E-2</v>
      </c>
      <c r="F35" s="27">
        <v>0.1173</v>
      </c>
      <c r="G35" s="27">
        <v>0.12659999999999999</v>
      </c>
      <c r="H35" s="27">
        <v>0.19120000000000001</v>
      </c>
      <c r="I35" s="27">
        <v>2.46E-2</v>
      </c>
      <c r="J35" s="27">
        <v>6.480000000000001E-2</v>
      </c>
      <c r="K35" s="27">
        <v>1.49E-2</v>
      </c>
      <c r="L35" s="27">
        <v>3.3099999999999997E-2</v>
      </c>
      <c r="M35" s="27">
        <v>4.3299999999999998E-2</v>
      </c>
      <c r="N35" s="27">
        <v>1.8200000000000001E-2</v>
      </c>
      <c r="O35" s="27">
        <v>5.8999999999999999E-3</v>
      </c>
      <c r="P35" s="27">
        <v>5.5000000000000005E-3</v>
      </c>
      <c r="Q35" s="27">
        <v>2.5999999999999999E-3</v>
      </c>
      <c r="R35" s="27">
        <v>2.8999999999999998E-3</v>
      </c>
      <c r="S35" s="27">
        <v>2.7900000000000001E-2</v>
      </c>
      <c r="T35" s="27">
        <v>1.9199999999999998E-2</v>
      </c>
      <c r="U35" s="27">
        <v>2.8000000000000001E-2</v>
      </c>
    </row>
    <row r="36" spans="1:21" x14ac:dyDescent="0.2">
      <c r="A36" s="26" t="s">
        <v>254</v>
      </c>
      <c r="B36" s="27">
        <v>0.33770000000000006</v>
      </c>
      <c r="C36" s="27">
        <v>0.31480000000000002</v>
      </c>
      <c r="D36" s="27">
        <v>0.44069999999999998</v>
      </c>
      <c r="E36" s="27">
        <v>5.7300000000000004E-2</v>
      </c>
      <c r="F36" s="27">
        <v>0.15590000000000001</v>
      </c>
      <c r="G36" s="27">
        <v>9.3100000000000002E-2</v>
      </c>
      <c r="H36" s="27">
        <v>0.15509999999999999</v>
      </c>
      <c r="I36" s="27">
        <v>1.8000000000000002E-2</v>
      </c>
      <c r="J36" s="27">
        <v>2.9600000000000001E-2</v>
      </c>
      <c r="K36" s="27">
        <v>2.1000000000000001E-2</v>
      </c>
      <c r="L36" s="27">
        <v>3.9800000000000002E-2</v>
      </c>
      <c r="M36" s="27">
        <v>3.5400000000000001E-2</v>
      </c>
      <c r="N36" s="27">
        <v>1.3999999999999999E-2</v>
      </c>
      <c r="O36" s="27">
        <v>5.0000000000000001E-3</v>
      </c>
      <c r="P36" s="27">
        <v>6.0000000000000001E-3</v>
      </c>
      <c r="Q36" s="27">
        <v>1.6000000000000001E-3</v>
      </c>
      <c r="R36" s="27">
        <v>2.3999999999999998E-3</v>
      </c>
      <c r="S36" s="27">
        <v>2.1000000000000001E-2</v>
      </c>
      <c r="T36" s="27">
        <v>1.44E-2</v>
      </c>
      <c r="U36" s="27">
        <v>5.0700000000000002E-2</v>
      </c>
    </row>
    <row r="37" spans="1:21" x14ac:dyDescent="0.2">
      <c r="A37" s="26" t="s">
        <v>253</v>
      </c>
      <c r="B37" s="27">
        <v>0.29260000000000003</v>
      </c>
      <c r="C37" s="27">
        <v>0.26369999999999999</v>
      </c>
      <c r="D37" s="27">
        <v>0.4894</v>
      </c>
      <c r="E37" s="27">
        <v>6.5299999999999997E-2</v>
      </c>
      <c r="F37" s="27">
        <v>0.15359999999999999</v>
      </c>
      <c r="G37" s="27">
        <v>0.1381</v>
      </c>
      <c r="H37" s="27">
        <v>0.16510000000000002</v>
      </c>
      <c r="I37" s="27">
        <v>2.6499999999999999E-2</v>
      </c>
      <c r="J37" s="27">
        <v>2.7300000000000001E-2</v>
      </c>
      <c r="K37" s="27">
        <v>1.8000000000000002E-2</v>
      </c>
      <c r="L37" s="27">
        <v>3.0699999999999998E-2</v>
      </c>
      <c r="M37" s="27">
        <v>3.8599999999999995E-2</v>
      </c>
      <c r="N37" s="27">
        <v>1.7100000000000001E-2</v>
      </c>
      <c r="O37" s="27">
        <v>7.3000000000000001E-3</v>
      </c>
      <c r="P37" s="27">
        <v>7.1999999999999998E-3</v>
      </c>
      <c r="Q37" s="27">
        <v>2.8999999999999998E-3</v>
      </c>
      <c r="R37" s="27">
        <v>2.5999999999999999E-3</v>
      </c>
      <c r="S37" s="27">
        <v>2.0799999999999999E-2</v>
      </c>
      <c r="T37" s="27">
        <v>1.66E-2</v>
      </c>
      <c r="U37" s="27">
        <v>2.98E-2</v>
      </c>
    </row>
    <row r="38" spans="1:21" x14ac:dyDescent="0.2">
      <c r="A38" s="26" t="s">
        <v>252</v>
      </c>
      <c r="B38" s="27">
        <v>0.29359999999999997</v>
      </c>
      <c r="C38" s="27">
        <v>0.24789999999999998</v>
      </c>
      <c r="D38" s="27">
        <v>0.51259999999999994</v>
      </c>
      <c r="E38" s="27">
        <v>6.3700000000000007E-2</v>
      </c>
      <c r="F38" s="27">
        <v>0.14480000000000001</v>
      </c>
      <c r="G38" s="27">
        <v>0.1263</v>
      </c>
      <c r="H38" s="27">
        <v>0.1484</v>
      </c>
      <c r="I38" s="27">
        <v>2.5899999999999999E-2</v>
      </c>
      <c r="J38" s="27">
        <v>3.3500000000000002E-2</v>
      </c>
      <c r="K38" s="27">
        <v>1.7100000000000001E-2</v>
      </c>
      <c r="L38" s="27">
        <v>2.6499999999999999E-2</v>
      </c>
      <c r="M38" s="27">
        <v>4.0599999999999997E-2</v>
      </c>
      <c r="N38" s="27">
        <v>1.7399999999999999E-2</v>
      </c>
      <c r="O38" s="27">
        <v>6.9999999999999993E-3</v>
      </c>
      <c r="P38" s="27">
        <v>6.7000000000000002E-3</v>
      </c>
      <c r="Q38" s="27">
        <v>1.9E-3</v>
      </c>
      <c r="R38" s="27">
        <v>2.5999999999999999E-3</v>
      </c>
      <c r="S38" s="27">
        <v>2.6600000000000002E-2</v>
      </c>
      <c r="T38" s="27">
        <v>2.12E-2</v>
      </c>
      <c r="U38" s="27">
        <v>4.4299999999999999E-2</v>
      </c>
    </row>
    <row r="39" spans="1:21" x14ac:dyDescent="0.2">
      <c r="A39" s="26" t="s">
        <v>251</v>
      </c>
      <c r="B39" s="27">
        <v>0.2495</v>
      </c>
      <c r="C39" s="27">
        <v>0.23699999999999999</v>
      </c>
      <c r="D39" s="27">
        <v>0.58050000000000002</v>
      </c>
      <c r="E39" s="27">
        <v>8.0299999999999996E-2</v>
      </c>
      <c r="F39" s="27">
        <v>0.10970000000000001</v>
      </c>
      <c r="G39" s="27">
        <v>0.15659999999999999</v>
      </c>
      <c r="H39" s="27">
        <v>0.21640000000000001</v>
      </c>
      <c r="I39" s="27">
        <v>2.9500000000000002E-2</v>
      </c>
      <c r="J39" s="27">
        <v>4.9800000000000004E-2</v>
      </c>
      <c r="K39" s="27">
        <v>1.34E-2</v>
      </c>
      <c r="L39" s="27">
        <v>5.21E-2</v>
      </c>
      <c r="M39" s="27">
        <v>5.2000000000000005E-2</v>
      </c>
      <c r="N39" s="27">
        <v>1.7399999999999999E-2</v>
      </c>
      <c r="O39" s="27">
        <v>5.6999999999999993E-3</v>
      </c>
      <c r="P39" s="27">
        <v>5.8999999999999999E-3</v>
      </c>
      <c r="Q39" s="27">
        <v>3.2000000000000002E-3</v>
      </c>
      <c r="R39" s="27">
        <v>2.3E-3</v>
      </c>
      <c r="S39" s="27">
        <v>2.8300000000000002E-2</v>
      </c>
      <c r="T39" s="27">
        <v>2.0199999999999999E-2</v>
      </c>
      <c r="U39" s="27">
        <v>2.9000000000000001E-2</v>
      </c>
    </row>
    <row r="40" spans="1:21" x14ac:dyDescent="0.2">
      <c r="A40" s="26" t="s">
        <v>250</v>
      </c>
      <c r="B40" s="27">
        <v>0.27510000000000001</v>
      </c>
      <c r="C40" s="27">
        <v>0.25650000000000001</v>
      </c>
      <c r="D40" s="27">
        <v>0.52689999999999992</v>
      </c>
      <c r="E40" s="27">
        <v>7.1199999999999999E-2</v>
      </c>
      <c r="F40" s="27">
        <v>0.12789999999999999</v>
      </c>
      <c r="G40" s="27">
        <v>0.12359999999999999</v>
      </c>
      <c r="H40" s="27">
        <v>0.19260000000000002</v>
      </c>
      <c r="I40" s="27">
        <v>2.8500000000000001E-2</v>
      </c>
      <c r="J40" s="27">
        <v>4.9000000000000002E-2</v>
      </c>
      <c r="K40" s="27">
        <v>1.8100000000000002E-2</v>
      </c>
      <c r="L40" s="27">
        <v>2.9700000000000001E-2</v>
      </c>
      <c r="M40" s="27">
        <v>5.2400000000000002E-2</v>
      </c>
      <c r="N40" s="27">
        <v>1.6200000000000003E-2</v>
      </c>
      <c r="O40" s="27">
        <v>6.0999999999999995E-3</v>
      </c>
      <c r="P40" s="27">
        <v>4.8999999999999998E-3</v>
      </c>
      <c r="Q40" s="27">
        <v>2.5999999999999999E-3</v>
      </c>
      <c r="R40" s="27">
        <v>2.8999999999999998E-3</v>
      </c>
      <c r="S40" s="27">
        <v>3.3000000000000002E-2</v>
      </c>
      <c r="T40" s="27">
        <v>1.7299999999999999E-2</v>
      </c>
      <c r="U40" s="27">
        <v>3.2599999999999997E-2</v>
      </c>
    </row>
    <row r="41" spans="1:21" x14ac:dyDescent="0.2">
      <c r="A41" s="26" t="s">
        <v>249</v>
      </c>
      <c r="B41" s="27">
        <v>0.27629999999999999</v>
      </c>
      <c r="C41" s="27">
        <v>0.25109999999999999</v>
      </c>
      <c r="D41" s="27">
        <v>0.53749999999999998</v>
      </c>
      <c r="E41" s="27">
        <v>9.5000000000000001E-2</v>
      </c>
      <c r="F41" s="27">
        <v>0.1232</v>
      </c>
      <c r="G41" s="27">
        <v>0.1389</v>
      </c>
      <c r="H41" s="27">
        <v>0.15710000000000002</v>
      </c>
      <c r="I41" s="27">
        <v>3.0600000000000002E-2</v>
      </c>
      <c r="J41" s="27">
        <v>3.95E-2</v>
      </c>
      <c r="K41" s="27">
        <v>1.55E-2</v>
      </c>
      <c r="L41" s="27">
        <v>3.3000000000000002E-2</v>
      </c>
      <c r="M41" s="27">
        <v>8.3800000000000013E-2</v>
      </c>
      <c r="N41" s="27">
        <v>2.3E-2</v>
      </c>
      <c r="O41" s="27">
        <v>7.1999999999999998E-3</v>
      </c>
      <c r="P41" s="27">
        <v>1.3000000000000001E-2</v>
      </c>
      <c r="Q41" s="27">
        <v>3.0000000000000001E-3</v>
      </c>
      <c r="R41" s="27">
        <v>2.8000000000000004E-3</v>
      </c>
      <c r="S41" s="27">
        <v>3.0499999999999999E-2</v>
      </c>
      <c r="T41" s="27">
        <v>3.95E-2</v>
      </c>
      <c r="U41" s="27">
        <v>2.2499999999999999E-2</v>
      </c>
    </row>
    <row r="42" spans="1:21" x14ac:dyDescent="0.2">
      <c r="A42" s="26" t="s">
        <v>248</v>
      </c>
      <c r="B42" s="27">
        <v>0.37459999999999999</v>
      </c>
      <c r="C42" s="27">
        <v>0.3453</v>
      </c>
      <c r="D42" s="27">
        <v>0.45779999999999998</v>
      </c>
      <c r="E42" s="27">
        <v>7.6999999999999999E-2</v>
      </c>
      <c r="F42" s="27">
        <v>0.21230000000000002</v>
      </c>
      <c r="G42" s="27">
        <v>0.12740000000000001</v>
      </c>
      <c r="H42" s="27">
        <v>0.12909999999999999</v>
      </c>
      <c r="I42" s="27">
        <v>2.8799999999999999E-2</v>
      </c>
      <c r="J42" s="27">
        <v>5.4199999999999998E-2</v>
      </c>
      <c r="K42" s="27">
        <v>1.3999999999999999E-2</v>
      </c>
      <c r="L42" s="27">
        <v>4.3299999999999998E-2</v>
      </c>
      <c r="M42" s="27">
        <v>4.4400000000000002E-2</v>
      </c>
      <c r="N42" s="27">
        <v>1.6500000000000001E-2</v>
      </c>
      <c r="O42" s="27">
        <v>7.6E-3</v>
      </c>
      <c r="P42" s="27">
        <v>5.4000000000000003E-3</v>
      </c>
      <c r="Q42" s="27">
        <v>7.1999999999999998E-3</v>
      </c>
      <c r="R42" s="27">
        <v>3.9000000000000003E-3</v>
      </c>
      <c r="S42" s="27">
        <v>3.2199999999999999E-2</v>
      </c>
      <c r="T42" s="27">
        <v>1.38E-2</v>
      </c>
      <c r="U42" s="27">
        <v>2.2599999999999999E-2</v>
      </c>
    </row>
    <row r="43" spans="1:21" x14ac:dyDescent="0.2">
      <c r="A43" s="26" t="s">
        <v>247</v>
      </c>
      <c r="B43" s="27">
        <v>0.2646</v>
      </c>
      <c r="C43" s="27">
        <v>0.26489999999999997</v>
      </c>
      <c r="D43" s="27">
        <v>0.48180000000000001</v>
      </c>
      <c r="E43" s="27">
        <v>8.1199999999999994E-2</v>
      </c>
      <c r="F43" s="27">
        <v>0.11939999999999999</v>
      </c>
      <c r="G43" s="27">
        <v>0.15340000000000001</v>
      </c>
      <c r="H43" s="27">
        <v>0.16699999999999998</v>
      </c>
      <c r="I43" s="27">
        <v>2.7799999999999998E-2</v>
      </c>
      <c r="J43" s="27">
        <v>4.53E-2</v>
      </c>
      <c r="K43" s="27">
        <v>1.77E-2</v>
      </c>
      <c r="L43" s="27">
        <v>3.0200000000000001E-2</v>
      </c>
      <c r="M43" s="27">
        <v>5.6900000000000006E-2</v>
      </c>
      <c r="N43" s="27">
        <v>1.54E-2</v>
      </c>
      <c r="O43" s="27">
        <v>4.6999999999999993E-3</v>
      </c>
      <c r="P43" s="27">
        <v>6.0000000000000001E-3</v>
      </c>
      <c r="Q43" s="27">
        <v>5.0000000000000001E-3</v>
      </c>
      <c r="R43" s="27">
        <v>3.0999999999999999E-3</v>
      </c>
      <c r="S43" s="27">
        <v>2.2700000000000001E-2</v>
      </c>
      <c r="T43" s="27">
        <v>1.6299999999999999E-2</v>
      </c>
      <c r="U43" s="27">
        <v>2.5499999999999998E-2</v>
      </c>
    </row>
    <row r="44" spans="1:21" x14ac:dyDescent="0.2">
      <c r="A44" s="26" t="s">
        <v>245</v>
      </c>
      <c r="B44" s="27">
        <v>0.3125</v>
      </c>
      <c r="C44" s="27">
        <v>0.28949999999999998</v>
      </c>
      <c r="D44" s="27">
        <v>0.47889999999999999</v>
      </c>
      <c r="E44" s="27">
        <v>6.6000000000000003E-2</v>
      </c>
      <c r="F44" s="27">
        <v>0.1226</v>
      </c>
      <c r="G44" s="27">
        <v>0.129</v>
      </c>
      <c r="H44" s="27">
        <v>0.1472</v>
      </c>
      <c r="I44" s="27">
        <v>2.8500000000000001E-2</v>
      </c>
      <c r="J44" s="27">
        <v>3.9199999999999999E-2</v>
      </c>
      <c r="K44" s="27">
        <v>3.5200000000000002E-2</v>
      </c>
      <c r="L44" s="27">
        <v>2.3099999999999999E-2</v>
      </c>
      <c r="M44" s="27">
        <v>4.07E-2</v>
      </c>
      <c r="N44" s="27">
        <v>3.0899999999999997E-2</v>
      </c>
      <c r="O44" s="27">
        <v>5.5000000000000005E-3</v>
      </c>
      <c r="P44" s="27">
        <v>4.5000000000000005E-3</v>
      </c>
      <c r="Q44" s="27">
        <v>2.3E-3</v>
      </c>
      <c r="R44" s="27">
        <v>2.0999999999999999E-3</v>
      </c>
      <c r="S44" s="27">
        <v>2.6000000000000002E-2</v>
      </c>
      <c r="T44" s="27">
        <v>0.02</v>
      </c>
      <c r="U44" s="27">
        <v>3.1899999999999998E-2</v>
      </c>
    </row>
    <row r="45" spans="1:21" x14ac:dyDescent="0.2">
      <c r="A45" s="26" t="s">
        <v>244</v>
      </c>
      <c r="B45" s="27">
        <v>0.33299999999999996</v>
      </c>
      <c r="C45" s="27">
        <v>0.35920000000000002</v>
      </c>
      <c r="D45" s="27">
        <v>0.44369999999999998</v>
      </c>
      <c r="E45" s="27">
        <v>6.3099999999999989E-2</v>
      </c>
      <c r="F45" s="27">
        <v>0.17899999999999999</v>
      </c>
      <c r="G45" s="27">
        <v>0.16120000000000001</v>
      </c>
      <c r="H45" s="27">
        <v>0.12529999999999999</v>
      </c>
      <c r="I45" s="27">
        <v>2.46E-2</v>
      </c>
      <c r="J45" s="27">
        <v>4.2800000000000005E-2</v>
      </c>
      <c r="K45" s="27">
        <v>1.61E-2</v>
      </c>
      <c r="L45" s="27">
        <v>1.6799999999999999E-2</v>
      </c>
      <c r="M45" s="27">
        <v>3.5900000000000001E-2</v>
      </c>
      <c r="N45" s="27">
        <v>1.7100000000000001E-2</v>
      </c>
      <c r="O45" s="27">
        <v>5.1999999999999998E-3</v>
      </c>
      <c r="P45" s="27">
        <v>0.01</v>
      </c>
      <c r="Q45" s="27">
        <v>2.0999999999999999E-3</v>
      </c>
      <c r="R45" s="27">
        <v>2.5999999999999999E-3</v>
      </c>
      <c r="S45" s="27">
        <v>1.8600000000000002E-2</v>
      </c>
      <c r="T45" s="27">
        <v>1.7399999999999999E-2</v>
      </c>
      <c r="U45" s="27">
        <v>3.7100000000000001E-2</v>
      </c>
    </row>
    <row r="46" spans="1:21" x14ac:dyDescent="0.2">
      <c r="A46" s="26" t="s">
        <v>243</v>
      </c>
      <c r="B46" s="27">
        <v>0.27379999999999999</v>
      </c>
      <c r="C46" s="27">
        <v>0.2838</v>
      </c>
      <c r="D46" s="27">
        <v>0.50970000000000004</v>
      </c>
      <c r="E46" s="27">
        <v>7.8299999999999995E-2</v>
      </c>
      <c r="F46" s="27">
        <v>8.1300000000000011E-2</v>
      </c>
      <c r="G46" s="27">
        <v>0.1384</v>
      </c>
      <c r="H46" s="27">
        <v>0.16309999999999999</v>
      </c>
      <c r="I46" s="27">
        <v>1.9099999999999999E-2</v>
      </c>
      <c r="J46" s="27">
        <v>7.6999999999999999E-2</v>
      </c>
      <c r="K46" s="27">
        <v>5.9200000000000003E-2</v>
      </c>
      <c r="L46" s="27">
        <v>2.1700000000000001E-2</v>
      </c>
      <c r="M46" s="27">
        <v>5.8099999999999999E-2</v>
      </c>
      <c r="N46" s="27">
        <v>2.7999999999999997E-2</v>
      </c>
      <c r="O46" s="27">
        <v>1.0500000000000001E-2</v>
      </c>
      <c r="P46" s="27">
        <v>5.1999999999999998E-3</v>
      </c>
      <c r="Q46" s="27">
        <v>2E-3</v>
      </c>
      <c r="R46" s="27">
        <v>3.2000000000000002E-3</v>
      </c>
      <c r="S46" s="27">
        <v>2.5600000000000001E-2</v>
      </c>
      <c r="T46" s="27">
        <v>1.5800000000000002E-2</v>
      </c>
      <c r="U46" s="27">
        <v>1.8100000000000002E-2</v>
      </c>
    </row>
    <row r="47" spans="1:21" x14ac:dyDescent="0.2">
      <c r="A47" s="26" t="s">
        <v>242</v>
      </c>
      <c r="B47" s="27">
        <v>0.25700000000000001</v>
      </c>
      <c r="C47" s="27">
        <v>0.25700000000000001</v>
      </c>
      <c r="D47" s="27">
        <v>0.52759999999999996</v>
      </c>
      <c r="E47" s="27">
        <v>7.3099999999999998E-2</v>
      </c>
      <c r="F47" s="27">
        <v>0.1002</v>
      </c>
      <c r="G47" s="27">
        <v>0.19059999999999999</v>
      </c>
      <c r="H47" s="27">
        <v>0.1641</v>
      </c>
      <c r="I47" s="27">
        <v>3.0899999999999997E-2</v>
      </c>
      <c r="J47" s="27">
        <v>3.6200000000000003E-2</v>
      </c>
      <c r="K47" s="27">
        <v>1.41E-2</v>
      </c>
      <c r="L47" s="27">
        <v>1.8700000000000001E-2</v>
      </c>
      <c r="M47" s="27">
        <v>4.0800000000000003E-2</v>
      </c>
      <c r="N47" s="27">
        <v>1.1699999999999999E-2</v>
      </c>
      <c r="O47" s="27">
        <v>4.8999999999999998E-3</v>
      </c>
      <c r="P47" s="27">
        <v>6.3E-3</v>
      </c>
      <c r="Q47" s="27">
        <v>3.3E-3</v>
      </c>
      <c r="R47" s="27">
        <v>2.3E-3</v>
      </c>
      <c r="S47" s="27">
        <v>3.3500000000000002E-2</v>
      </c>
      <c r="T47" s="27">
        <v>1.55E-2</v>
      </c>
      <c r="U47" s="27">
        <v>2.1499999999999998E-2</v>
      </c>
    </row>
    <row r="48" spans="1:21" x14ac:dyDescent="0.2">
      <c r="A48" s="26" t="s">
        <v>241</v>
      </c>
      <c r="B48" s="27">
        <v>0.24379999999999999</v>
      </c>
      <c r="C48" s="27">
        <v>0.22839999999999999</v>
      </c>
      <c r="D48" s="27">
        <v>0.57279999999999998</v>
      </c>
      <c r="E48" s="27">
        <v>0.08</v>
      </c>
      <c r="F48" s="27">
        <v>0.1076</v>
      </c>
      <c r="G48" s="27">
        <v>0.1789</v>
      </c>
      <c r="H48" s="27">
        <v>0.2087</v>
      </c>
      <c r="I48" s="27">
        <v>3.2300000000000002E-2</v>
      </c>
      <c r="J48" s="27">
        <v>4.8000000000000001E-2</v>
      </c>
      <c r="K48" s="27">
        <v>1.7500000000000002E-2</v>
      </c>
      <c r="L48" s="27">
        <v>2.63E-2</v>
      </c>
      <c r="M48" s="27">
        <v>6.3700000000000007E-2</v>
      </c>
      <c r="N48" s="27">
        <v>1.6500000000000001E-2</v>
      </c>
      <c r="O48" s="27">
        <v>5.1999999999999998E-3</v>
      </c>
      <c r="P48" s="27">
        <v>5.8999999999999999E-3</v>
      </c>
      <c r="Q48" s="27">
        <v>2.2000000000000001E-3</v>
      </c>
      <c r="R48" s="27">
        <v>3.4000000000000002E-3</v>
      </c>
      <c r="S48" s="27">
        <v>3.0600000000000002E-2</v>
      </c>
      <c r="T48" s="27">
        <v>1.4800000000000001E-2</v>
      </c>
      <c r="U48" s="27">
        <v>0.02</v>
      </c>
    </row>
    <row r="49" spans="1:21" x14ac:dyDescent="0.2">
      <c r="A49" s="26" t="s">
        <v>239</v>
      </c>
      <c r="B49" s="27">
        <v>0.37119999999999997</v>
      </c>
      <c r="C49" s="27">
        <v>0.37119999999999997</v>
      </c>
      <c r="D49" s="27">
        <v>0.47299999999999998</v>
      </c>
      <c r="E49" s="27">
        <v>5.9800000000000006E-2</v>
      </c>
      <c r="F49" s="27">
        <v>0.23329999999999998</v>
      </c>
      <c r="G49" s="27">
        <v>0.12670000000000001</v>
      </c>
      <c r="H49" s="27">
        <v>0.13100000000000001</v>
      </c>
      <c r="I49" s="27">
        <v>3.1400000000000004E-2</v>
      </c>
      <c r="J49" s="27">
        <v>6.5799999999999997E-2</v>
      </c>
      <c r="K49" s="27">
        <v>1.34E-2</v>
      </c>
      <c r="L49" s="27">
        <v>1.8500000000000003E-2</v>
      </c>
      <c r="M49" s="27">
        <v>5.45E-2</v>
      </c>
      <c r="N49" s="27">
        <v>1.2800000000000001E-2</v>
      </c>
      <c r="O49" s="27">
        <v>4.4000000000000003E-3</v>
      </c>
      <c r="P49" s="27">
        <v>5.3E-3</v>
      </c>
      <c r="Q49" s="27">
        <v>2.3E-3</v>
      </c>
      <c r="R49" s="27">
        <v>3.7000000000000002E-3</v>
      </c>
      <c r="S49" s="27">
        <v>5.7099999999999998E-2</v>
      </c>
      <c r="T49" s="27">
        <v>1.37E-2</v>
      </c>
      <c r="U49" s="27">
        <v>2.3099999999999999E-2</v>
      </c>
    </row>
    <row r="50" spans="1:21" x14ac:dyDescent="0.2">
      <c r="A50" s="26" t="s">
        <v>236</v>
      </c>
      <c r="B50" s="27">
        <v>0.26329999999999998</v>
      </c>
      <c r="C50" s="27">
        <v>0.2455</v>
      </c>
      <c r="D50" s="27">
        <v>0.56679999999999997</v>
      </c>
      <c r="E50" s="27">
        <v>8.09E-2</v>
      </c>
      <c r="F50" s="27">
        <v>0.1079</v>
      </c>
      <c r="G50" s="27">
        <v>0.16980000000000001</v>
      </c>
      <c r="H50" s="27">
        <v>0.20610000000000001</v>
      </c>
      <c r="I50" s="27">
        <v>3.6600000000000001E-2</v>
      </c>
      <c r="J50" s="27">
        <v>4.4500000000000005E-2</v>
      </c>
      <c r="K50" s="27">
        <v>1.38E-2</v>
      </c>
      <c r="L50" s="27">
        <v>2.63E-2</v>
      </c>
      <c r="M50" s="27">
        <v>6.4600000000000005E-2</v>
      </c>
      <c r="N50" s="27">
        <v>1.6299999999999999E-2</v>
      </c>
      <c r="O50" s="27">
        <v>6.0000000000000001E-3</v>
      </c>
      <c r="P50" s="27">
        <v>6.4000000000000003E-3</v>
      </c>
      <c r="Q50" s="27">
        <v>1.6000000000000001E-3</v>
      </c>
      <c r="R50" s="27">
        <v>3.2000000000000002E-3</v>
      </c>
      <c r="S50" s="27">
        <v>2.2799999999999997E-2</v>
      </c>
      <c r="T50" s="27">
        <v>1.7100000000000001E-2</v>
      </c>
      <c r="U50" s="27">
        <v>2.0799999999999999E-2</v>
      </c>
    </row>
    <row r="51" spans="1:21" x14ac:dyDescent="0.2">
      <c r="A51" s="26" t="s">
        <v>235</v>
      </c>
      <c r="B51" s="27">
        <v>0.34539999999999998</v>
      </c>
      <c r="C51" s="27">
        <v>0.3322</v>
      </c>
      <c r="D51" s="27">
        <v>0.4526</v>
      </c>
      <c r="E51" s="27">
        <v>5.5500000000000001E-2</v>
      </c>
      <c r="F51" s="27">
        <v>0.19079999999999997</v>
      </c>
      <c r="G51" s="27">
        <v>0.12920000000000001</v>
      </c>
      <c r="H51" s="27">
        <v>0.13739999999999999</v>
      </c>
      <c r="I51" s="27">
        <v>2.4500000000000001E-2</v>
      </c>
      <c r="J51" s="27">
        <v>3.3500000000000002E-2</v>
      </c>
      <c r="K51" s="27">
        <v>1.78E-2</v>
      </c>
      <c r="L51" s="27">
        <v>1.8700000000000001E-2</v>
      </c>
      <c r="M51" s="27">
        <v>4.7899999999999998E-2</v>
      </c>
      <c r="N51" s="27">
        <v>1.6899999999999998E-2</v>
      </c>
      <c r="O51" s="27">
        <v>6.5000000000000006E-3</v>
      </c>
      <c r="P51" s="27">
        <v>4.8999999999999998E-3</v>
      </c>
      <c r="Q51" s="27">
        <v>1.6000000000000001E-3</v>
      </c>
      <c r="R51" s="27">
        <v>2.5999999999999999E-3</v>
      </c>
      <c r="S51" s="27">
        <v>2.6699999999999998E-2</v>
      </c>
      <c r="T51" s="27">
        <v>1.49E-2</v>
      </c>
      <c r="U51" s="27">
        <v>4.4900000000000002E-2</v>
      </c>
    </row>
    <row r="52" spans="1:21" x14ac:dyDescent="0.2">
      <c r="A52" s="26" t="s">
        <v>234</v>
      </c>
      <c r="B52" s="27">
        <v>0.28889999999999999</v>
      </c>
      <c r="C52" s="27">
        <v>0.2848</v>
      </c>
      <c r="D52" s="27">
        <v>0.46500000000000002</v>
      </c>
      <c r="E52" s="27">
        <v>8.0299999999999996E-2</v>
      </c>
      <c r="F52" s="27">
        <v>8.8499999999999995E-2</v>
      </c>
      <c r="G52" s="27">
        <v>0.11460000000000001</v>
      </c>
      <c r="H52" s="27">
        <v>0.13449999999999998</v>
      </c>
      <c r="I52" s="27">
        <v>3.04E-2</v>
      </c>
      <c r="J52" s="27">
        <v>8.4199999999999997E-2</v>
      </c>
      <c r="K52" s="27">
        <v>1.3899999999999999E-2</v>
      </c>
      <c r="L52" s="27">
        <v>2.2599999999999999E-2</v>
      </c>
      <c r="M52" s="27">
        <v>7.46E-2</v>
      </c>
      <c r="N52" s="27">
        <v>1.47E-2</v>
      </c>
      <c r="O52" s="27">
        <v>4.5999999999999999E-3</v>
      </c>
      <c r="P52" s="27">
        <v>4.4000000000000003E-3</v>
      </c>
      <c r="Q52" s="27">
        <v>2E-3</v>
      </c>
      <c r="R52" s="27">
        <v>3.0999999999999999E-3</v>
      </c>
      <c r="S52" s="27">
        <v>1.3300000000000001E-2</v>
      </c>
      <c r="T52" s="27">
        <v>1.5700000000000002E-2</v>
      </c>
      <c r="U52" s="27">
        <v>2.1000000000000001E-2</v>
      </c>
    </row>
    <row r="53" spans="1:21" x14ac:dyDescent="0.2">
      <c r="A53" s="26" t="s">
        <v>233</v>
      </c>
      <c r="B53" s="27">
        <v>0.2626</v>
      </c>
      <c r="C53" s="27">
        <v>0.25219999999999998</v>
      </c>
      <c r="D53" s="27">
        <v>0.54079999999999995</v>
      </c>
      <c r="E53" s="27">
        <v>9.06E-2</v>
      </c>
      <c r="F53" s="27">
        <v>8.2200000000000009E-2</v>
      </c>
      <c r="G53" s="27">
        <v>0.16190000000000002</v>
      </c>
      <c r="H53" s="27">
        <v>0.20319999999999999</v>
      </c>
      <c r="I53" s="27">
        <v>3.7599999999999995E-2</v>
      </c>
      <c r="J53" s="27">
        <v>4.8399999999999999E-2</v>
      </c>
      <c r="K53" s="27">
        <v>1.83E-2</v>
      </c>
      <c r="L53" s="27">
        <v>2.3799999999999998E-2</v>
      </c>
      <c r="M53" s="27">
        <v>0.06</v>
      </c>
      <c r="N53" s="27">
        <v>1.8100000000000002E-2</v>
      </c>
      <c r="O53" s="27">
        <v>6.8999999999999999E-3</v>
      </c>
      <c r="P53" s="27">
        <v>8.3000000000000001E-3</v>
      </c>
      <c r="Q53" s="27">
        <v>3.5999999999999999E-3</v>
      </c>
      <c r="R53" s="27">
        <v>2.8000000000000004E-3</v>
      </c>
      <c r="S53" s="27">
        <v>1.9699999999999999E-2</v>
      </c>
      <c r="T53" s="27">
        <v>2.7099999999999999E-2</v>
      </c>
      <c r="U53" s="27">
        <v>3.0599999999999999E-2</v>
      </c>
    </row>
    <row r="54" spans="1:21" x14ac:dyDescent="0.2">
      <c r="A54" s="26" t="s">
        <v>231</v>
      </c>
      <c r="B54" s="27">
        <v>0.26090000000000002</v>
      </c>
      <c r="C54" s="27">
        <v>0.27029999999999998</v>
      </c>
      <c r="D54" s="27">
        <v>0.54949999999999999</v>
      </c>
      <c r="E54" s="27">
        <v>7.6100000000000001E-2</v>
      </c>
      <c r="F54" s="27">
        <v>9.6300000000000011E-2</v>
      </c>
      <c r="G54" s="27">
        <v>0.1457</v>
      </c>
      <c r="H54" s="27">
        <v>0.20710000000000001</v>
      </c>
      <c r="I54" s="27">
        <v>3.3500000000000002E-2</v>
      </c>
      <c r="J54" s="27">
        <v>5.8400000000000001E-2</v>
      </c>
      <c r="K54" s="27">
        <v>2.3599999999999999E-2</v>
      </c>
      <c r="L54" s="27">
        <v>2.0099999999999996E-2</v>
      </c>
      <c r="M54" s="27">
        <v>5.5399999999999998E-2</v>
      </c>
      <c r="N54" s="27">
        <v>1.77E-2</v>
      </c>
      <c r="O54" s="27">
        <v>8.6999999999999994E-3</v>
      </c>
      <c r="P54" s="27">
        <v>7.9000000000000008E-3</v>
      </c>
      <c r="Q54" s="27">
        <v>2.3999999999999998E-3</v>
      </c>
      <c r="R54" s="27">
        <v>5.4000000000000003E-3</v>
      </c>
      <c r="S54" s="27">
        <v>2.41E-2</v>
      </c>
      <c r="T54" s="27">
        <v>1.7000000000000001E-2</v>
      </c>
      <c r="U54" s="27">
        <v>2.1299999999999999E-2</v>
      </c>
    </row>
    <row r="55" spans="1:21" x14ac:dyDescent="0.2">
      <c r="A55" s="26" t="s">
        <v>230</v>
      </c>
      <c r="B55" s="27">
        <v>0.2576</v>
      </c>
      <c r="C55" s="27">
        <v>0.24590000000000001</v>
      </c>
      <c r="D55" s="27">
        <v>0.60520000000000007</v>
      </c>
      <c r="E55" s="27">
        <v>8.6800000000000002E-2</v>
      </c>
      <c r="F55" s="27">
        <v>8.1699999999999995E-2</v>
      </c>
      <c r="G55" s="27">
        <v>0.22739999999999999</v>
      </c>
      <c r="H55" s="27">
        <v>0.1298</v>
      </c>
      <c r="I55" s="27">
        <v>5.1500000000000004E-2</v>
      </c>
      <c r="J55" s="27">
        <v>4.8600000000000004E-2</v>
      </c>
      <c r="K55" s="27">
        <v>0.02</v>
      </c>
      <c r="L55" s="27">
        <v>4.9200000000000001E-2</v>
      </c>
      <c r="M55" s="27">
        <v>5.7500000000000002E-2</v>
      </c>
      <c r="N55" s="27">
        <v>3.7699999999999997E-2</v>
      </c>
      <c r="O55" s="27">
        <v>7.7000000000000002E-3</v>
      </c>
      <c r="P55" s="27">
        <v>8.8999999999999999E-3</v>
      </c>
      <c r="Q55" s="27">
        <v>3.3E-3</v>
      </c>
      <c r="R55" s="27">
        <v>5.1999999999999998E-3</v>
      </c>
      <c r="S55" s="27">
        <v>2.87E-2</v>
      </c>
      <c r="T55" s="27">
        <v>2.29E-2</v>
      </c>
      <c r="U55" s="27">
        <v>3.39E-2</v>
      </c>
    </row>
    <row r="56" spans="1:21" x14ac:dyDescent="0.2">
      <c r="A56" s="26" t="s">
        <v>229</v>
      </c>
      <c r="B56" s="27">
        <v>0.26989999999999997</v>
      </c>
      <c r="C56" s="27">
        <v>0.25840000000000002</v>
      </c>
      <c r="D56" s="27">
        <v>0.53049999999999997</v>
      </c>
      <c r="E56" s="27">
        <v>7.6999999999999999E-2</v>
      </c>
      <c r="F56" s="27">
        <v>0.1008</v>
      </c>
      <c r="G56" s="27">
        <v>0.21760000000000002</v>
      </c>
      <c r="H56" s="27">
        <v>0.1048</v>
      </c>
      <c r="I56" s="27">
        <v>3.8199999999999998E-2</v>
      </c>
      <c r="J56" s="27">
        <v>5.7300000000000004E-2</v>
      </c>
      <c r="K56" s="27">
        <v>2.7799999999999998E-2</v>
      </c>
      <c r="L56" s="27">
        <v>2.2499999999999999E-2</v>
      </c>
      <c r="M56" s="27">
        <v>6.25E-2</v>
      </c>
      <c r="N56" s="27">
        <v>1.77E-2</v>
      </c>
      <c r="O56" s="27">
        <v>1.26E-2</v>
      </c>
      <c r="P56" s="27">
        <v>9.5999999999999992E-3</v>
      </c>
      <c r="Q56" s="27">
        <v>3.2000000000000002E-3</v>
      </c>
      <c r="R56" s="27">
        <v>2.5000000000000001E-3</v>
      </c>
      <c r="S56" s="27">
        <v>2.35E-2</v>
      </c>
      <c r="T56" s="27">
        <v>2.9500000000000002E-2</v>
      </c>
      <c r="U56" s="27">
        <v>3.0099999999999998E-2</v>
      </c>
    </row>
    <row r="57" spans="1:21" x14ac:dyDescent="0.2">
      <c r="A57" s="26" t="s">
        <v>228</v>
      </c>
      <c r="B57" s="27">
        <v>0.30030000000000001</v>
      </c>
      <c r="C57" s="27">
        <v>0.26469999999999999</v>
      </c>
      <c r="D57" s="27">
        <v>0.50460000000000005</v>
      </c>
      <c r="E57" s="27">
        <v>7.1599999999999997E-2</v>
      </c>
      <c r="F57" s="27">
        <v>0.1047</v>
      </c>
      <c r="G57" s="27">
        <v>0.16339999999999999</v>
      </c>
      <c r="H57" s="27">
        <v>0.10710000000000001</v>
      </c>
      <c r="I57" s="27">
        <v>4.7100000000000003E-2</v>
      </c>
      <c r="J57" s="27">
        <v>6.25E-2</v>
      </c>
      <c r="K57" s="27">
        <v>2.5099999999999997E-2</v>
      </c>
      <c r="L57" s="27">
        <v>2.4399999999999998E-2</v>
      </c>
      <c r="M57" s="27">
        <v>5.3899999999999997E-2</v>
      </c>
      <c r="N57" s="27">
        <v>2.1600000000000001E-2</v>
      </c>
      <c r="O57" s="27">
        <v>7.1999999999999998E-3</v>
      </c>
      <c r="P57" s="27">
        <v>8.8000000000000005E-3</v>
      </c>
      <c r="Q57" s="27">
        <v>5.3E-3</v>
      </c>
      <c r="R57" s="27">
        <v>2.5000000000000001E-3</v>
      </c>
      <c r="S57" s="27">
        <v>1.67E-2</v>
      </c>
      <c r="T57" s="27">
        <v>2.4799999999999999E-2</v>
      </c>
      <c r="U57" s="27">
        <v>3.9800000000000002E-2</v>
      </c>
    </row>
    <row r="58" spans="1:21" x14ac:dyDescent="0.2">
      <c r="A58" s="26" t="s">
        <v>226</v>
      </c>
      <c r="B58" s="27">
        <v>0.32390000000000002</v>
      </c>
      <c r="C58" s="27">
        <v>0.29249999999999998</v>
      </c>
      <c r="D58" s="27">
        <v>0.46729999999999999</v>
      </c>
      <c r="E58" s="27">
        <v>7.3300000000000004E-2</v>
      </c>
      <c r="F58" s="27">
        <v>0.1298</v>
      </c>
      <c r="G58" s="27">
        <v>0.15179999999999999</v>
      </c>
      <c r="H58" s="27">
        <v>0.1085</v>
      </c>
      <c r="I58" s="27">
        <v>3.4200000000000001E-2</v>
      </c>
      <c r="J58" s="27">
        <v>5.2499999999999998E-2</v>
      </c>
      <c r="K58" s="27">
        <v>2.1700000000000001E-2</v>
      </c>
      <c r="L58" s="27">
        <v>2.6499999999999999E-2</v>
      </c>
      <c r="M58" s="27">
        <v>4.4900000000000002E-2</v>
      </c>
      <c r="N58" s="27">
        <v>1.6200000000000003E-2</v>
      </c>
      <c r="O58" s="27">
        <v>6.6E-3</v>
      </c>
      <c r="P58" s="27">
        <v>1.3500000000000002E-2</v>
      </c>
      <c r="Q58" s="27">
        <v>6.0000000000000001E-3</v>
      </c>
      <c r="R58" s="27">
        <v>2E-3</v>
      </c>
      <c r="S58" s="27">
        <v>1.9599999999999999E-2</v>
      </c>
      <c r="T58" s="27">
        <v>2.2400000000000003E-2</v>
      </c>
      <c r="U58" s="27">
        <v>4.9500000000000002E-2</v>
      </c>
    </row>
    <row r="59" spans="1:21" x14ac:dyDescent="0.2">
      <c r="A59" s="26" t="s">
        <v>225</v>
      </c>
      <c r="B59" s="27">
        <v>0.32619999999999999</v>
      </c>
      <c r="C59" s="27">
        <v>0.32090000000000002</v>
      </c>
      <c r="D59" s="27">
        <v>0.48100000000000004</v>
      </c>
      <c r="E59" s="27">
        <v>6.88E-2</v>
      </c>
      <c r="F59" s="27">
        <v>0.15039999999999998</v>
      </c>
      <c r="G59" s="27">
        <v>0.1646</v>
      </c>
      <c r="H59" s="27">
        <v>0.11699999999999999</v>
      </c>
      <c r="I59" s="27">
        <v>3.4200000000000001E-2</v>
      </c>
      <c r="J59" s="27">
        <v>6.4299999999999996E-2</v>
      </c>
      <c r="K59" s="27">
        <v>2.0499999999999997E-2</v>
      </c>
      <c r="L59" s="27">
        <v>1.83E-2</v>
      </c>
      <c r="M59" s="27">
        <v>5.4100000000000002E-2</v>
      </c>
      <c r="N59" s="27">
        <v>1.26E-2</v>
      </c>
      <c r="O59" s="27">
        <v>4.7999999999999996E-3</v>
      </c>
      <c r="P59" s="27">
        <v>6.5000000000000006E-3</v>
      </c>
      <c r="Q59" s="27">
        <v>3.9000000000000003E-3</v>
      </c>
      <c r="R59" s="27">
        <v>2.3999999999999998E-3</v>
      </c>
      <c r="S59" s="27">
        <v>1.7399999999999999E-2</v>
      </c>
      <c r="T59" s="27">
        <v>2.2099999999999998E-2</v>
      </c>
      <c r="U59" s="27">
        <v>3.09E-2</v>
      </c>
    </row>
    <row r="60" spans="1:21" x14ac:dyDescent="0.2">
      <c r="A60" s="26" t="s">
        <v>224</v>
      </c>
      <c r="B60" s="27">
        <v>0.26119999999999999</v>
      </c>
      <c r="C60" s="27">
        <v>0.25609999999999999</v>
      </c>
      <c r="D60" s="27">
        <v>0.53539999999999999</v>
      </c>
      <c r="E60" s="27">
        <v>7.85E-2</v>
      </c>
      <c r="F60" s="27">
        <v>0.11550000000000001</v>
      </c>
      <c r="G60" s="27">
        <v>0.24909999999999999</v>
      </c>
      <c r="H60" s="27">
        <v>0.11840000000000001</v>
      </c>
      <c r="I60" s="27">
        <v>3.0800000000000001E-2</v>
      </c>
      <c r="J60" s="27">
        <v>5.3099999999999994E-2</v>
      </c>
      <c r="K60" s="27">
        <v>1.9599999999999999E-2</v>
      </c>
      <c r="L60" s="27">
        <v>2.8999999999999998E-2</v>
      </c>
      <c r="M60" s="27">
        <v>4.4000000000000004E-2</v>
      </c>
      <c r="N60" s="27">
        <v>1.7399999999999999E-2</v>
      </c>
      <c r="O60" s="27">
        <v>8.6E-3</v>
      </c>
      <c r="P60" s="27">
        <v>6.1999999999999998E-3</v>
      </c>
      <c r="Q60" s="27">
        <v>3.3E-3</v>
      </c>
      <c r="R60" s="27">
        <v>2.3E-3</v>
      </c>
      <c r="S60" s="27">
        <v>2.4199999999999999E-2</v>
      </c>
      <c r="T60" s="27">
        <v>2.7799999999999998E-2</v>
      </c>
      <c r="U60" s="27">
        <v>2.6599999999999999E-2</v>
      </c>
    </row>
    <row r="61" spans="1:21" x14ac:dyDescent="0.2">
      <c r="A61" s="26" t="s">
        <v>221</v>
      </c>
      <c r="B61" s="27">
        <v>0.30380000000000001</v>
      </c>
      <c r="C61" s="27">
        <v>0.27129999999999999</v>
      </c>
      <c r="D61" s="27">
        <v>0.45039999999999997</v>
      </c>
      <c r="E61" s="27">
        <v>0.1114</v>
      </c>
      <c r="F61" s="27">
        <v>0.11609999999999999</v>
      </c>
      <c r="G61" s="27">
        <v>0.13159999999999999</v>
      </c>
      <c r="H61" s="27">
        <v>0.16519999999999999</v>
      </c>
      <c r="I61" s="27">
        <v>2.46E-2</v>
      </c>
      <c r="J61" s="27">
        <v>5.0799999999999998E-2</v>
      </c>
      <c r="K61" s="27">
        <v>1.9199999999999998E-2</v>
      </c>
      <c r="L61" s="27">
        <v>2.8799999999999999E-2</v>
      </c>
      <c r="M61" s="27">
        <v>5.7300000000000004E-2</v>
      </c>
      <c r="N61" s="27">
        <v>2.0499999999999997E-2</v>
      </c>
      <c r="O61" s="27">
        <v>4.6999999999999993E-3</v>
      </c>
      <c r="P61" s="27">
        <v>6.5000000000000006E-3</v>
      </c>
      <c r="Q61" s="27">
        <v>4.3E-3</v>
      </c>
      <c r="R61" s="27">
        <v>2.5000000000000001E-3</v>
      </c>
      <c r="S61" s="27">
        <v>3.7200000000000004E-2</v>
      </c>
      <c r="T61" s="27">
        <v>1.6500000000000001E-2</v>
      </c>
      <c r="U61" s="27">
        <v>2.0899999999999998E-2</v>
      </c>
    </row>
    <row r="62" spans="1:21" x14ac:dyDescent="0.2">
      <c r="A62" s="26" t="s">
        <v>220</v>
      </c>
      <c r="B62" s="27">
        <v>0.2873</v>
      </c>
      <c r="C62" s="27">
        <v>0.2611</v>
      </c>
      <c r="D62" s="27">
        <v>0.4531</v>
      </c>
      <c r="E62" s="27">
        <v>6.9900000000000004E-2</v>
      </c>
      <c r="F62" s="27">
        <v>0.1216</v>
      </c>
      <c r="G62" s="27">
        <v>0.14510000000000001</v>
      </c>
      <c r="H62" s="27">
        <v>0.1143</v>
      </c>
      <c r="I62" s="27">
        <v>2.3099999999999999E-2</v>
      </c>
      <c r="J62" s="27">
        <v>5.4900000000000004E-2</v>
      </c>
      <c r="K62" s="27">
        <v>2.63E-2</v>
      </c>
      <c r="L62" s="27">
        <v>1.8200000000000001E-2</v>
      </c>
      <c r="M62" s="27">
        <v>7.2999999999999995E-2</v>
      </c>
      <c r="N62" s="27">
        <v>1.3100000000000001E-2</v>
      </c>
      <c r="O62" s="27">
        <v>5.0000000000000001E-3</v>
      </c>
      <c r="P62" s="27">
        <v>7.4999999999999997E-3</v>
      </c>
      <c r="Q62" s="27">
        <v>6.3E-3</v>
      </c>
      <c r="R62" s="27">
        <v>2.7000000000000001E-3</v>
      </c>
      <c r="S62" s="27">
        <v>2.1499999999999998E-2</v>
      </c>
      <c r="T62" s="27">
        <v>2.0199999999999999E-2</v>
      </c>
      <c r="U62" s="27">
        <v>4.4499999999999998E-2</v>
      </c>
    </row>
    <row r="63" spans="1:21" x14ac:dyDescent="0.2">
      <c r="A63" s="26" t="s">
        <v>218</v>
      </c>
      <c r="B63" s="27">
        <v>0.28220000000000001</v>
      </c>
      <c r="C63" s="27">
        <v>0.25730000000000003</v>
      </c>
      <c r="D63" s="27">
        <v>0.49020000000000002</v>
      </c>
      <c r="E63" s="27">
        <v>8.900000000000001E-2</v>
      </c>
      <c r="F63" s="27">
        <v>0.13350000000000001</v>
      </c>
      <c r="G63" s="27">
        <v>0.1229</v>
      </c>
      <c r="H63" s="27">
        <v>0.17219999999999999</v>
      </c>
      <c r="I63" s="27">
        <v>4.6699999999999998E-2</v>
      </c>
      <c r="J63" s="27">
        <v>5.7599999999999998E-2</v>
      </c>
      <c r="K63" s="27">
        <v>1.5800000000000002E-2</v>
      </c>
      <c r="L63" s="27">
        <v>2.2400000000000003E-2</v>
      </c>
      <c r="M63" s="27">
        <v>4.8399999999999999E-2</v>
      </c>
      <c r="N63" s="27">
        <v>1.5100000000000001E-2</v>
      </c>
      <c r="O63" s="27">
        <v>8.3000000000000001E-3</v>
      </c>
      <c r="P63" s="27">
        <v>7.6E-3</v>
      </c>
      <c r="Q63" s="27">
        <v>5.0000000000000001E-3</v>
      </c>
      <c r="R63" s="27">
        <v>1.8E-3</v>
      </c>
      <c r="S63" s="27">
        <v>2.4500000000000001E-2</v>
      </c>
      <c r="T63" s="27">
        <v>1.8700000000000001E-2</v>
      </c>
      <c r="U63" s="27">
        <v>2.6599999999999999E-2</v>
      </c>
    </row>
    <row r="64" spans="1:21" x14ac:dyDescent="0.2">
      <c r="A64" s="26" t="s">
        <v>211</v>
      </c>
      <c r="B64" s="27">
        <v>0.28870000000000001</v>
      </c>
      <c r="C64" s="27">
        <v>0.2717</v>
      </c>
      <c r="D64" s="27">
        <v>0.50979999999999992</v>
      </c>
      <c r="E64" s="27">
        <v>7.7300000000000008E-2</v>
      </c>
      <c r="F64" s="27">
        <v>0.14649999999999999</v>
      </c>
      <c r="G64" s="27">
        <v>0.18079999999999999</v>
      </c>
      <c r="H64" s="27">
        <v>0.10710000000000001</v>
      </c>
      <c r="I64" s="27">
        <v>2.4799999999999999E-2</v>
      </c>
      <c r="J64" s="27">
        <v>4.9200000000000001E-2</v>
      </c>
      <c r="K64" s="27">
        <v>2.3799999999999998E-2</v>
      </c>
      <c r="L64" s="27">
        <v>2.3E-2</v>
      </c>
      <c r="M64" s="27">
        <v>8.0700000000000008E-2</v>
      </c>
      <c r="N64" s="27">
        <v>2.4700000000000003E-2</v>
      </c>
      <c r="O64" s="27">
        <v>4.8999999999999998E-3</v>
      </c>
      <c r="P64" s="27">
        <v>5.8999999999999999E-3</v>
      </c>
      <c r="Q64" s="27">
        <v>4.4000000000000003E-3</v>
      </c>
      <c r="R64" s="27">
        <v>5.1999999999999998E-3</v>
      </c>
      <c r="S64" s="27">
        <v>4.0899999999999999E-2</v>
      </c>
      <c r="T64" s="27">
        <v>1.9E-2</v>
      </c>
      <c r="U64" s="27">
        <v>2.2200000000000001E-2</v>
      </c>
    </row>
    <row r="65" spans="1:21" x14ac:dyDescent="0.2">
      <c r="A65" s="26" t="s">
        <v>207</v>
      </c>
      <c r="B65" s="27">
        <v>0.32100000000000001</v>
      </c>
      <c r="C65" s="27">
        <v>0.32170000000000004</v>
      </c>
      <c r="D65" s="27">
        <v>0.45990000000000003</v>
      </c>
      <c r="E65" s="27">
        <v>6.4100000000000004E-2</v>
      </c>
      <c r="F65" s="27">
        <v>0.14510000000000001</v>
      </c>
      <c r="G65" s="27">
        <v>0.17430000000000001</v>
      </c>
      <c r="H65" s="27">
        <v>0.13470000000000001</v>
      </c>
      <c r="I65" s="27">
        <v>2.41E-2</v>
      </c>
      <c r="J65" s="27">
        <v>5.0499999999999996E-2</v>
      </c>
      <c r="K65" s="27">
        <v>1.7399999999999999E-2</v>
      </c>
      <c r="L65" s="27">
        <v>0.02</v>
      </c>
      <c r="M65" s="27">
        <v>4.0500000000000001E-2</v>
      </c>
      <c r="N65" s="27">
        <v>1.9E-2</v>
      </c>
      <c r="O65" s="27">
        <v>5.1999999999999998E-3</v>
      </c>
      <c r="P65" s="27">
        <v>9.5999999999999992E-3</v>
      </c>
      <c r="Q65" s="27">
        <v>5.3E-3</v>
      </c>
      <c r="R65" s="27">
        <v>2.5999999999999999E-3</v>
      </c>
      <c r="S65" s="27">
        <v>1.8500000000000003E-2</v>
      </c>
      <c r="T65" s="27">
        <v>2.06E-2</v>
      </c>
      <c r="U65" s="27">
        <v>2.8000000000000001E-2</v>
      </c>
    </row>
    <row r="66" spans="1:21" x14ac:dyDescent="0.2">
      <c r="A66" s="26" t="s">
        <v>202</v>
      </c>
      <c r="B66" s="27">
        <v>0.3221</v>
      </c>
      <c r="C66" s="27">
        <v>0.34960000000000002</v>
      </c>
      <c r="D66" s="27">
        <v>0.42799999999999999</v>
      </c>
      <c r="E66" s="27">
        <v>7.6499999999999999E-2</v>
      </c>
      <c r="F66" s="27">
        <v>0.13</v>
      </c>
      <c r="G66" s="27">
        <v>0.13140000000000002</v>
      </c>
      <c r="H66" s="27">
        <v>7.2700000000000001E-2</v>
      </c>
      <c r="I66" s="27">
        <v>2.3799999999999998E-2</v>
      </c>
      <c r="J66" s="27">
        <v>5.5999999999999994E-2</v>
      </c>
      <c r="K66" s="27">
        <v>1.11E-2</v>
      </c>
      <c r="L66" s="27">
        <v>5.9299999999999999E-2</v>
      </c>
      <c r="M66" s="27">
        <v>4.1299999999999996E-2</v>
      </c>
      <c r="N66" s="27">
        <v>2.1400000000000002E-2</v>
      </c>
      <c r="O66" s="27">
        <v>5.3E-3</v>
      </c>
      <c r="P66" s="27">
        <v>1.0200000000000001E-2</v>
      </c>
      <c r="Q66" s="27">
        <v>8.5000000000000006E-3</v>
      </c>
      <c r="R66" s="27">
        <v>2.2000000000000001E-3</v>
      </c>
      <c r="S66" s="27">
        <v>3.73E-2</v>
      </c>
      <c r="T66" s="27">
        <v>2.5000000000000001E-2</v>
      </c>
      <c r="U66" s="27">
        <v>2.9899999999999999E-2</v>
      </c>
    </row>
    <row r="67" spans="1:21" x14ac:dyDescent="0.2">
      <c r="A67" s="26" t="s">
        <v>199</v>
      </c>
      <c r="B67" s="27">
        <v>0.3639</v>
      </c>
      <c r="C67" s="27">
        <v>0.35299999999999998</v>
      </c>
      <c r="D67" s="27">
        <v>0.4022</v>
      </c>
      <c r="E67" s="27">
        <v>6.6600000000000006E-2</v>
      </c>
      <c r="F67" s="27">
        <v>0.1125</v>
      </c>
      <c r="G67" s="27">
        <v>0.13390000000000002</v>
      </c>
      <c r="H67" s="27">
        <v>0.11599999999999999</v>
      </c>
      <c r="I67" s="27">
        <v>2.5600000000000001E-2</v>
      </c>
      <c r="J67" s="27">
        <v>0.12130000000000001</v>
      </c>
      <c r="K67" s="27">
        <v>1.3100000000000001E-2</v>
      </c>
      <c r="L67" s="27">
        <v>2.7999999999999997E-2</v>
      </c>
      <c r="M67" s="27">
        <v>4.4999999999999998E-2</v>
      </c>
      <c r="N67" s="27">
        <v>1.2699999999999999E-2</v>
      </c>
      <c r="O67" s="27">
        <v>7.0999999999999995E-3</v>
      </c>
      <c r="P67" s="27">
        <v>9.7999999999999997E-3</v>
      </c>
      <c r="Q67" s="27">
        <v>3.4000000000000002E-3</v>
      </c>
      <c r="R67" s="27">
        <v>2.8000000000000004E-3</v>
      </c>
      <c r="S67" s="27">
        <v>1.3899999999999999E-2</v>
      </c>
      <c r="T67" s="27">
        <v>1.7100000000000001E-2</v>
      </c>
      <c r="U67" s="27">
        <v>2.3300000000000001E-2</v>
      </c>
    </row>
    <row r="68" spans="1:21" x14ac:dyDescent="0.2">
      <c r="A68" s="26" t="s">
        <v>196</v>
      </c>
      <c r="B68" s="27">
        <v>0.314</v>
      </c>
      <c r="C68" s="27">
        <v>0.28850000000000003</v>
      </c>
      <c r="D68" s="27">
        <v>0.44420000000000004</v>
      </c>
      <c r="E68" s="27">
        <v>8.1000000000000003E-2</v>
      </c>
      <c r="F68" s="27">
        <v>0.11599999999999999</v>
      </c>
      <c r="G68" s="27">
        <v>0.17800000000000002</v>
      </c>
      <c r="H68" s="27">
        <v>9.0800000000000006E-2</v>
      </c>
      <c r="I68" s="27">
        <v>2.69E-2</v>
      </c>
      <c r="J68" s="27">
        <v>4.3099999999999999E-2</v>
      </c>
      <c r="K68" s="27">
        <v>1.2800000000000001E-2</v>
      </c>
      <c r="L68" s="27">
        <v>2.1000000000000001E-2</v>
      </c>
      <c r="M68" s="27">
        <v>5.0900000000000001E-2</v>
      </c>
      <c r="N68" s="27">
        <v>2.0499999999999997E-2</v>
      </c>
      <c r="O68" s="27">
        <v>8.3000000000000001E-3</v>
      </c>
      <c r="P68" s="27">
        <v>2.18E-2</v>
      </c>
      <c r="Q68" s="27">
        <v>4.3E-3</v>
      </c>
      <c r="R68" s="27">
        <v>2.2000000000000001E-3</v>
      </c>
      <c r="S68" s="27">
        <v>1.1200000000000002E-2</v>
      </c>
      <c r="T68" s="27">
        <v>2.7900000000000001E-2</v>
      </c>
      <c r="U68" s="27">
        <v>2.8299999999999999E-2</v>
      </c>
    </row>
    <row r="69" spans="1:21" x14ac:dyDescent="0.2">
      <c r="A69" s="26" t="s">
        <v>126</v>
      </c>
      <c r="B69" s="27">
        <v>0.3569</v>
      </c>
      <c r="C69" s="27">
        <v>0.35820000000000002</v>
      </c>
      <c r="D69" s="27">
        <v>0.42159999999999997</v>
      </c>
      <c r="E69" s="27">
        <v>6.6699999999999995E-2</v>
      </c>
      <c r="F69" s="27">
        <v>0.1802</v>
      </c>
      <c r="G69" s="27">
        <v>0.1134</v>
      </c>
      <c r="H69" s="27">
        <v>0.1134</v>
      </c>
      <c r="I69" s="27">
        <v>2.5899999999999999E-2</v>
      </c>
      <c r="J69" s="27">
        <v>3.95E-2</v>
      </c>
      <c r="K69" s="27">
        <v>1.2699999999999999E-2</v>
      </c>
      <c r="L69" s="27">
        <v>1.9099999999999999E-2</v>
      </c>
      <c r="M69" s="27">
        <v>5.6100000000000004E-2</v>
      </c>
      <c r="N69" s="27">
        <v>1.46E-2</v>
      </c>
      <c r="O69" s="27">
        <v>5.1999999999999998E-3</v>
      </c>
      <c r="P69" s="27">
        <v>1.0200000000000001E-2</v>
      </c>
      <c r="Q69" s="27">
        <v>3.8E-3</v>
      </c>
      <c r="R69" s="27">
        <v>2E-3</v>
      </c>
      <c r="S69" s="27">
        <v>1.77E-2</v>
      </c>
      <c r="T69" s="27">
        <v>2.3599999999999999E-2</v>
      </c>
      <c r="U69" s="27">
        <v>2.12E-2</v>
      </c>
    </row>
    <row r="70" spans="1:21" x14ac:dyDescent="0.2">
      <c r="A70" s="26" t="s">
        <v>125</v>
      </c>
      <c r="B70" s="27">
        <v>0.30159999999999998</v>
      </c>
      <c r="C70" s="27">
        <v>0.25370000000000004</v>
      </c>
      <c r="D70" s="27">
        <v>0.41840000000000005</v>
      </c>
      <c r="E70" s="27">
        <v>0.11699999999999999</v>
      </c>
      <c r="F70" s="27">
        <v>0.1174</v>
      </c>
      <c r="G70" s="27">
        <v>9.4499999999999987E-2</v>
      </c>
      <c r="H70" s="27">
        <v>0.1047</v>
      </c>
      <c r="I70" s="27">
        <v>2.64E-2</v>
      </c>
      <c r="J70" s="27">
        <v>4.9500000000000002E-2</v>
      </c>
      <c r="K70" s="27">
        <v>1.4800000000000001E-2</v>
      </c>
      <c r="L70" s="27">
        <v>3.0299999999999997E-2</v>
      </c>
      <c r="M70" s="27">
        <v>7.51E-2</v>
      </c>
      <c r="N70" s="27">
        <v>2.3199999999999998E-2</v>
      </c>
      <c r="O70" s="27">
        <v>8.0000000000000002E-3</v>
      </c>
      <c r="P70" s="27">
        <v>5.3E-3</v>
      </c>
      <c r="Q70" s="27">
        <v>5.1999999999999998E-3</v>
      </c>
      <c r="R70" s="27">
        <v>2.3999999999999998E-3</v>
      </c>
      <c r="S70" s="27">
        <v>1.5600000000000001E-2</v>
      </c>
      <c r="T70" s="27">
        <v>2.0199999999999999E-2</v>
      </c>
      <c r="U70" s="27">
        <v>3.27E-2</v>
      </c>
    </row>
    <row r="71" spans="1:21" x14ac:dyDescent="0.2">
      <c r="A71" s="26" t="s">
        <v>124</v>
      </c>
      <c r="B71" s="27">
        <v>0.36170000000000002</v>
      </c>
      <c r="C71" s="27">
        <v>0.35920000000000002</v>
      </c>
      <c r="D71" s="27">
        <v>0.3962</v>
      </c>
      <c r="E71" s="27">
        <v>6.8000000000000005E-2</v>
      </c>
      <c r="F71" s="27">
        <v>0.16239999999999999</v>
      </c>
      <c r="G71" s="27">
        <v>0.12210000000000001</v>
      </c>
      <c r="H71" s="27">
        <v>0.1023</v>
      </c>
      <c r="I71" s="27">
        <v>2.64E-2</v>
      </c>
      <c r="J71" s="27">
        <v>5.8200000000000002E-2</v>
      </c>
      <c r="K71" s="27">
        <v>1.1200000000000002E-2</v>
      </c>
      <c r="L71" s="27">
        <v>1.7899999999999999E-2</v>
      </c>
      <c r="M71" s="27">
        <v>4.8300000000000003E-2</v>
      </c>
      <c r="N71" s="27">
        <v>1.66E-2</v>
      </c>
      <c r="O71" s="27">
        <v>4.0000000000000001E-3</v>
      </c>
      <c r="P71" s="27">
        <v>4.5999999999999999E-3</v>
      </c>
      <c r="Q71" s="27">
        <v>3.0999999999999999E-3</v>
      </c>
      <c r="R71" s="27">
        <v>2.3999999999999998E-3</v>
      </c>
      <c r="S71" s="27">
        <v>1.5900000000000001E-2</v>
      </c>
      <c r="T71" s="27">
        <v>3.7499999999999999E-2</v>
      </c>
      <c r="U71" s="27">
        <v>2.1399999999999999E-2</v>
      </c>
    </row>
    <row r="72" spans="1:21" x14ac:dyDescent="0.2">
      <c r="A72" s="26" t="s">
        <v>123</v>
      </c>
      <c r="B72" s="27">
        <v>0.30879999999999996</v>
      </c>
      <c r="C72" s="27">
        <v>0.31</v>
      </c>
      <c r="D72" s="27">
        <v>0.4592</v>
      </c>
      <c r="E72" s="27">
        <v>6.4600000000000005E-2</v>
      </c>
      <c r="F72" s="27">
        <v>0.11320000000000001</v>
      </c>
      <c r="G72" s="27">
        <v>0.14760000000000001</v>
      </c>
      <c r="H72" s="27">
        <v>0.12759999999999999</v>
      </c>
      <c r="I72" s="27">
        <v>2.1000000000000001E-2</v>
      </c>
      <c r="J72" s="27">
        <v>4.1399999999999999E-2</v>
      </c>
      <c r="K72" s="27">
        <v>1.4199999999999999E-2</v>
      </c>
      <c r="L72" s="27">
        <v>1.8799999999999997E-2</v>
      </c>
      <c r="M72" s="27">
        <v>6.3200000000000006E-2</v>
      </c>
      <c r="N72" s="27">
        <v>1.8100000000000002E-2</v>
      </c>
      <c r="O72" s="27">
        <v>4.6999999999999993E-3</v>
      </c>
      <c r="P72" s="27">
        <v>4.1999999999999997E-3</v>
      </c>
      <c r="Q72" s="27">
        <v>3.0000000000000001E-3</v>
      </c>
      <c r="R72" s="27">
        <v>3.0999999999999999E-3</v>
      </c>
      <c r="S72" s="27">
        <v>2.7300000000000001E-2</v>
      </c>
      <c r="T72" s="27">
        <v>1.78E-2</v>
      </c>
      <c r="U72" s="27">
        <v>2.4799999999999999E-2</v>
      </c>
    </row>
    <row r="73" spans="1:21" x14ac:dyDescent="0.2">
      <c r="A73" s="26" t="s">
        <v>122</v>
      </c>
      <c r="B73" s="27">
        <v>0.34990000000000004</v>
      </c>
      <c r="C73" s="27">
        <v>0.32369999999999999</v>
      </c>
      <c r="D73" s="27">
        <v>0.45140000000000002</v>
      </c>
      <c r="E73" s="27">
        <v>6.3299999999999995E-2</v>
      </c>
      <c r="F73" s="27">
        <v>0.10980000000000001</v>
      </c>
      <c r="G73" s="27">
        <v>0.14730000000000001</v>
      </c>
      <c r="H73" s="27">
        <v>9.9900000000000003E-2</v>
      </c>
      <c r="I73" s="27">
        <v>2.7300000000000001E-2</v>
      </c>
      <c r="J73" s="27">
        <v>7.3399999999999993E-2</v>
      </c>
      <c r="K73" s="27">
        <v>1.9599999999999999E-2</v>
      </c>
      <c r="L73" s="27">
        <v>0.04</v>
      </c>
      <c r="M73" s="27">
        <v>5.2400000000000002E-2</v>
      </c>
      <c r="N73" s="27">
        <v>1.5300000000000001E-2</v>
      </c>
      <c r="O73" s="27">
        <v>3.8E-3</v>
      </c>
      <c r="P73" s="27">
        <v>4.4000000000000003E-3</v>
      </c>
      <c r="Q73" s="27">
        <v>4.5999999999999999E-3</v>
      </c>
      <c r="R73" s="27">
        <v>3.7000000000000002E-3</v>
      </c>
      <c r="S73" s="27">
        <v>1.9299999999999998E-2</v>
      </c>
      <c r="T73" s="27">
        <v>2.6000000000000002E-2</v>
      </c>
      <c r="U73" s="27">
        <v>3.4599999999999999E-2</v>
      </c>
    </row>
    <row r="74" spans="1:21" x14ac:dyDescent="0.2">
      <c r="A74" s="26" t="s">
        <v>145</v>
      </c>
      <c r="B74" s="27">
        <v>0.2712</v>
      </c>
      <c r="C74" s="27">
        <v>0.26640000000000003</v>
      </c>
      <c r="D74" s="27">
        <v>0.48020000000000002</v>
      </c>
      <c r="E74" s="27">
        <v>9.1799999999999993E-2</v>
      </c>
      <c r="F74" s="27">
        <v>0.11720000000000001</v>
      </c>
      <c r="G74" s="27">
        <v>0.1283</v>
      </c>
      <c r="H74" s="27">
        <v>0.16440000000000002</v>
      </c>
      <c r="I74" s="27">
        <v>3.0299999999999997E-2</v>
      </c>
      <c r="J74" s="27">
        <v>3.9399999999999998E-2</v>
      </c>
      <c r="K74" s="27">
        <v>2.1099999999999997E-2</v>
      </c>
      <c r="L74" s="27">
        <v>1.7299999999999999E-2</v>
      </c>
      <c r="M74" s="27">
        <v>5.3899999999999997E-2</v>
      </c>
      <c r="N74" s="27">
        <v>2.1099999999999997E-2</v>
      </c>
      <c r="O74" s="27">
        <v>4.3E-3</v>
      </c>
      <c r="P74" s="27">
        <v>4.3E-3</v>
      </c>
      <c r="Q74" s="27">
        <v>3.2000000000000002E-3</v>
      </c>
      <c r="R74" s="27">
        <v>6.8000000000000005E-3</v>
      </c>
      <c r="S74" s="27">
        <v>2.5600000000000001E-2</v>
      </c>
      <c r="T74" s="27">
        <v>2.1099999999999997E-2</v>
      </c>
      <c r="U74" s="27">
        <v>5.3900000000000003E-2</v>
      </c>
    </row>
    <row r="75" spans="1:21" x14ac:dyDescent="0.2">
      <c r="A75" s="26" t="s">
        <v>146</v>
      </c>
      <c r="B75" s="27">
        <v>0.34570000000000001</v>
      </c>
      <c r="C75" s="27">
        <v>0.34049999999999997</v>
      </c>
      <c r="D75" s="27">
        <v>0.435</v>
      </c>
      <c r="E75" s="27">
        <v>5.7000000000000002E-2</v>
      </c>
      <c r="F75" s="27">
        <v>0.15810000000000002</v>
      </c>
      <c r="G75" s="27">
        <v>0.10949999999999999</v>
      </c>
      <c r="H75" s="27">
        <v>0.106</v>
      </c>
      <c r="I75" s="27">
        <v>2.6000000000000002E-2</v>
      </c>
      <c r="J75" s="27">
        <v>6.9500000000000006E-2</v>
      </c>
      <c r="K75" s="27">
        <v>1.34E-2</v>
      </c>
      <c r="L75" s="27">
        <v>1.95E-2</v>
      </c>
      <c r="M75" s="27">
        <v>7.9000000000000001E-2</v>
      </c>
      <c r="N75" s="27">
        <v>1.72E-2</v>
      </c>
      <c r="O75" s="27">
        <v>6.3E-3</v>
      </c>
      <c r="P75" s="27">
        <v>7.0999999999999995E-3</v>
      </c>
      <c r="Q75" s="27">
        <v>1.9E-3</v>
      </c>
      <c r="R75" s="27">
        <v>6.6E-3</v>
      </c>
      <c r="S75" s="27">
        <v>2.87E-2</v>
      </c>
      <c r="T75" s="27">
        <v>1.7500000000000002E-2</v>
      </c>
      <c r="U75" s="27">
        <v>3.1E-2</v>
      </c>
    </row>
    <row r="76" spans="1:21" x14ac:dyDescent="0.2">
      <c r="A76" s="26" t="s">
        <v>147</v>
      </c>
      <c r="B76" s="27">
        <v>0.30380000000000001</v>
      </c>
      <c r="C76" s="27">
        <v>0.27960000000000002</v>
      </c>
      <c r="D76" s="27">
        <v>0.50649999999999995</v>
      </c>
      <c r="E76" s="27">
        <v>5.33E-2</v>
      </c>
      <c r="F76" s="27">
        <v>0.2072</v>
      </c>
      <c r="G76" s="27">
        <v>0.161</v>
      </c>
      <c r="H76" s="27">
        <v>0.13339999999999999</v>
      </c>
      <c r="I76" s="27">
        <v>1.8100000000000002E-2</v>
      </c>
      <c r="J76" s="27">
        <v>4.0399999999999998E-2</v>
      </c>
      <c r="K76" s="27">
        <v>2.0199999999999999E-2</v>
      </c>
      <c r="L76" s="27">
        <v>1.84E-2</v>
      </c>
      <c r="M76" s="27">
        <v>6.0599999999999994E-2</v>
      </c>
      <c r="N76" s="27">
        <v>1.9299999999999998E-2</v>
      </c>
      <c r="O76" s="27">
        <v>5.4000000000000003E-3</v>
      </c>
      <c r="P76" s="27">
        <v>3.4999999999999996E-3</v>
      </c>
      <c r="Q76" s="27">
        <v>2.3E-3</v>
      </c>
      <c r="R76" s="27">
        <v>5.3E-3</v>
      </c>
      <c r="S76" s="27">
        <v>1.6399999999999998E-2</v>
      </c>
      <c r="T76" s="27">
        <v>2.3199999999999998E-2</v>
      </c>
      <c r="U76" s="27"/>
    </row>
    <row r="77" spans="1:21" x14ac:dyDescent="0.2">
      <c r="A77" s="26" t="s">
        <v>148</v>
      </c>
      <c r="B77" s="27">
        <v>0.30079999999999996</v>
      </c>
      <c r="C77" s="27">
        <v>0.2732</v>
      </c>
      <c r="D77" s="27">
        <v>0.54239999999999999</v>
      </c>
      <c r="E77" s="27">
        <v>5.5E-2</v>
      </c>
      <c r="F77" s="27">
        <v>0.18079999999999999</v>
      </c>
      <c r="G77" s="27">
        <v>0.19640000000000002</v>
      </c>
      <c r="H77" s="27">
        <v>0.1457</v>
      </c>
      <c r="I77" s="27">
        <v>2.2200000000000001E-2</v>
      </c>
      <c r="J77" s="27">
        <v>4.9599999999999998E-2</v>
      </c>
      <c r="K77" s="27">
        <v>3.2400000000000005E-2</v>
      </c>
      <c r="L77" s="27">
        <v>3.1300000000000001E-2</v>
      </c>
      <c r="M77" s="27">
        <v>5.45E-2</v>
      </c>
      <c r="N77" s="27">
        <v>1.9699999999999999E-2</v>
      </c>
      <c r="O77" s="27">
        <v>4.5000000000000005E-3</v>
      </c>
      <c r="P77" s="27">
        <v>4.3E-3</v>
      </c>
      <c r="Q77" s="27">
        <v>2.7000000000000001E-3</v>
      </c>
      <c r="R77" s="27">
        <v>3.2000000000000002E-3</v>
      </c>
      <c r="S77" s="27">
        <v>1.8799999999999997E-2</v>
      </c>
      <c r="T77" s="27">
        <v>2.1600000000000001E-2</v>
      </c>
      <c r="U77" s="27"/>
    </row>
    <row r="78" spans="1:21" x14ac:dyDescent="0.2">
      <c r="A78" s="26" t="s">
        <v>149</v>
      </c>
      <c r="B78" s="27">
        <v>0.3856</v>
      </c>
      <c r="C78" s="27">
        <v>0.3579</v>
      </c>
      <c r="D78" s="27">
        <v>0.37409999999999999</v>
      </c>
      <c r="E78" s="27">
        <v>6.5599999999999992E-2</v>
      </c>
      <c r="F78" s="27">
        <v>0.27649999999999997</v>
      </c>
      <c r="G78" s="27">
        <v>0.11710000000000001</v>
      </c>
      <c r="H78" s="27">
        <v>9.6099999999999991E-2</v>
      </c>
      <c r="I78" s="27">
        <v>2.0499999999999997E-2</v>
      </c>
      <c r="J78" s="27">
        <v>4.0999999999999995E-2</v>
      </c>
      <c r="K78" s="27">
        <v>1.9799999999999998E-2</v>
      </c>
      <c r="L78" s="27">
        <v>2.0199999999999999E-2</v>
      </c>
      <c r="M78" s="27">
        <v>6.1799999999999994E-2</v>
      </c>
      <c r="N78" s="27">
        <v>2.1099999999999997E-2</v>
      </c>
      <c r="O78" s="27">
        <v>4.5000000000000005E-3</v>
      </c>
      <c r="P78" s="27">
        <v>4.6999999999999993E-3</v>
      </c>
      <c r="Q78" s="27">
        <v>2.2000000000000001E-3</v>
      </c>
      <c r="R78" s="27">
        <v>4.0000000000000001E-3</v>
      </c>
      <c r="S78" s="27">
        <v>1.5300000000000001E-2</v>
      </c>
      <c r="T78" s="27">
        <v>8.1000000000000013E-3</v>
      </c>
      <c r="U78" s="27"/>
    </row>
    <row r="79" spans="1:21" x14ac:dyDescent="0.2">
      <c r="A79" s="26" t="s">
        <v>150</v>
      </c>
      <c r="B79" s="27">
        <v>0.2697</v>
      </c>
      <c r="C79" s="27">
        <v>0.27779999999999999</v>
      </c>
      <c r="D79" s="27">
        <v>0.48100000000000004</v>
      </c>
      <c r="E79" s="27">
        <v>4.6399999999999997E-2</v>
      </c>
      <c r="F79" s="27">
        <v>0.2029</v>
      </c>
      <c r="G79" s="27">
        <v>0.1399</v>
      </c>
      <c r="H79" s="27">
        <v>0.2014</v>
      </c>
      <c r="I79" s="27">
        <v>2.1299999999999999E-2</v>
      </c>
      <c r="J79" s="27">
        <v>3.85E-2</v>
      </c>
      <c r="K79" s="27">
        <v>2.6499999999999999E-2</v>
      </c>
      <c r="L79" s="27">
        <v>1.3000000000000001E-2</v>
      </c>
      <c r="M79" s="27">
        <v>4.3200000000000002E-2</v>
      </c>
      <c r="N79" s="27">
        <v>1.6E-2</v>
      </c>
      <c r="O79" s="27">
        <v>4.0000000000000001E-3</v>
      </c>
      <c r="P79" s="27">
        <v>3.3E-3</v>
      </c>
      <c r="Q79" s="27">
        <v>1.6000000000000001E-3</v>
      </c>
      <c r="R79" s="27">
        <v>3.8E-3</v>
      </c>
      <c r="S79" s="27">
        <v>1.46E-2</v>
      </c>
      <c r="T79" s="27">
        <v>1.1399999999999999E-2</v>
      </c>
      <c r="U79" s="27"/>
    </row>
    <row r="80" spans="1:21" x14ac:dyDescent="0.2">
      <c r="A80" s="26" t="s">
        <v>151</v>
      </c>
      <c r="B80" s="27">
        <v>0.27279999999999999</v>
      </c>
      <c r="C80" s="27">
        <v>0.27679999999999999</v>
      </c>
      <c r="D80" s="27">
        <v>0.39549999999999996</v>
      </c>
      <c r="E80" s="27">
        <v>6.0700000000000004E-2</v>
      </c>
      <c r="F80" s="27">
        <v>0.1946</v>
      </c>
      <c r="G80" s="27">
        <v>8.5199999999999998E-2</v>
      </c>
      <c r="H80" s="27">
        <v>0.1011</v>
      </c>
      <c r="I80" s="27">
        <v>4.4500000000000005E-2</v>
      </c>
      <c r="J80" s="27">
        <v>4.4600000000000001E-2</v>
      </c>
      <c r="K80" s="27">
        <v>3.5900000000000001E-2</v>
      </c>
      <c r="L80" s="27">
        <v>1.61E-2</v>
      </c>
      <c r="M80" s="27">
        <v>4.41E-2</v>
      </c>
      <c r="N80" s="27">
        <v>3.0699999999999998E-2</v>
      </c>
      <c r="O80" s="27">
        <v>5.8999999999999999E-3</v>
      </c>
      <c r="P80" s="27">
        <v>3.5999999999999999E-3</v>
      </c>
      <c r="Q80" s="27">
        <v>2.2000000000000001E-3</v>
      </c>
      <c r="R80" s="27">
        <v>3.3E-3</v>
      </c>
      <c r="S80" s="27">
        <v>1.5600000000000001E-2</v>
      </c>
      <c r="T80" s="27">
        <v>1.23E-2</v>
      </c>
      <c r="U80" s="27"/>
    </row>
    <row r="81" spans="1:21" x14ac:dyDescent="0.2">
      <c r="A81" s="26" t="s">
        <v>152</v>
      </c>
      <c r="B81" s="27">
        <v>0.37990000000000002</v>
      </c>
      <c r="C81" s="27">
        <v>0.26700000000000002</v>
      </c>
      <c r="D81" s="27">
        <v>0.37939999999999996</v>
      </c>
      <c r="E81" s="27">
        <v>5.8700000000000002E-2</v>
      </c>
      <c r="F81" s="27">
        <v>0.1711</v>
      </c>
      <c r="G81" s="27">
        <v>0.16390000000000002</v>
      </c>
      <c r="H81" s="27">
        <v>9.74E-2</v>
      </c>
      <c r="I81" s="27">
        <v>1.5700000000000002E-2</v>
      </c>
      <c r="J81" s="27">
        <v>5.6799999999999996E-2</v>
      </c>
      <c r="K81" s="27">
        <v>2.07E-2</v>
      </c>
      <c r="L81" s="27">
        <v>1.26E-2</v>
      </c>
      <c r="M81" s="27">
        <v>4.24E-2</v>
      </c>
      <c r="N81" s="27">
        <v>1.3300000000000001E-2</v>
      </c>
      <c r="O81" s="27">
        <v>4.6999999999999993E-3</v>
      </c>
      <c r="P81" s="27">
        <v>2.8000000000000004E-3</v>
      </c>
      <c r="Q81" s="27">
        <v>3.2000000000000002E-3</v>
      </c>
      <c r="R81" s="27">
        <v>3.7000000000000002E-3</v>
      </c>
      <c r="S81" s="27">
        <v>1.34E-2</v>
      </c>
      <c r="T81" s="27">
        <v>1.0700000000000001E-2</v>
      </c>
      <c r="U81" s="27"/>
    </row>
    <row r="82" spans="1:21" x14ac:dyDescent="0.2">
      <c r="A82" s="26" t="s">
        <v>153</v>
      </c>
      <c r="B82" s="27">
        <v>0.30130000000000001</v>
      </c>
      <c r="C82" s="27">
        <v>0.25190000000000001</v>
      </c>
      <c r="D82" s="27">
        <v>0.42409999999999998</v>
      </c>
      <c r="E82" s="27">
        <v>7.3399999999999993E-2</v>
      </c>
      <c r="F82" s="27">
        <v>0.17579999999999998</v>
      </c>
      <c r="G82" s="27">
        <v>8.3599999999999994E-2</v>
      </c>
      <c r="H82" s="27">
        <v>8.6899999999999991E-2</v>
      </c>
      <c r="I82" s="27">
        <v>3.6499999999999998E-2</v>
      </c>
      <c r="J82" s="27">
        <v>6.6000000000000003E-2</v>
      </c>
      <c r="K82" s="27">
        <v>2.46E-2</v>
      </c>
      <c r="L82" s="27">
        <v>2.6600000000000002E-2</v>
      </c>
      <c r="M82" s="27">
        <v>7.0800000000000002E-2</v>
      </c>
      <c r="N82" s="27">
        <v>2.5399999999999999E-2</v>
      </c>
      <c r="O82" s="27">
        <v>1.11E-2</v>
      </c>
      <c r="P82" s="27">
        <v>5.5000000000000005E-3</v>
      </c>
      <c r="Q82" s="27">
        <v>2E-3</v>
      </c>
      <c r="R82" s="27">
        <v>9.0000000000000011E-3</v>
      </c>
      <c r="S82" s="27">
        <v>1.34E-2</v>
      </c>
      <c r="T82" s="27">
        <v>1.38E-2</v>
      </c>
      <c r="U82" s="27"/>
    </row>
    <row r="83" spans="1:21" x14ac:dyDescent="0.2">
      <c r="A83" s="26" t="s">
        <v>154</v>
      </c>
      <c r="B83" s="27">
        <v>0.26079999999999998</v>
      </c>
      <c r="C83" s="27">
        <v>0.2848</v>
      </c>
      <c r="D83" s="27">
        <v>0.37540000000000001</v>
      </c>
      <c r="E83" s="27">
        <v>5.9800000000000006E-2</v>
      </c>
      <c r="F83" s="27">
        <v>0.20149999999999998</v>
      </c>
      <c r="G83" s="27">
        <v>8.4199999999999997E-2</v>
      </c>
      <c r="H83" s="27">
        <v>7.5499999999999998E-2</v>
      </c>
      <c r="I83" s="27">
        <v>2.7200000000000002E-2</v>
      </c>
      <c r="J83" s="27">
        <v>8.5699999999999998E-2</v>
      </c>
      <c r="K83" s="27">
        <v>1.9199999999999998E-2</v>
      </c>
      <c r="L83" s="27">
        <v>1.43E-2</v>
      </c>
      <c r="M83" s="27">
        <v>6.7400000000000002E-2</v>
      </c>
      <c r="N83" s="27">
        <v>1.21E-2</v>
      </c>
      <c r="O83" s="27">
        <v>3.3E-3</v>
      </c>
      <c r="P83" s="27">
        <v>3.5999999999999999E-3</v>
      </c>
      <c r="Q83" s="27">
        <v>2.8000000000000004E-3</v>
      </c>
      <c r="R83" s="27">
        <v>3.9000000000000003E-3</v>
      </c>
      <c r="S83" s="27">
        <v>1.7600000000000001E-2</v>
      </c>
      <c r="T83" s="27">
        <v>2.3399999999999997E-2</v>
      </c>
      <c r="U83" s="27"/>
    </row>
    <row r="84" spans="1:21" x14ac:dyDescent="0.2">
      <c r="A84" s="26" t="s">
        <v>155</v>
      </c>
      <c r="B84" s="27">
        <v>0.31219999999999998</v>
      </c>
      <c r="C84" s="27">
        <v>0.27149999999999996</v>
      </c>
      <c r="D84" s="27">
        <v>0.44259999999999999</v>
      </c>
      <c r="E84" s="27">
        <v>6.9699999999999998E-2</v>
      </c>
      <c r="F84" s="27">
        <v>0.1772</v>
      </c>
      <c r="G84" s="27">
        <v>0.1082</v>
      </c>
      <c r="H84" s="27">
        <v>0.14349999999999999</v>
      </c>
      <c r="I84" s="27">
        <v>2.9900000000000003E-2</v>
      </c>
      <c r="J84" s="27">
        <v>7.7199999999999991E-2</v>
      </c>
      <c r="K84" s="27">
        <v>1.9E-2</v>
      </c>
      <c r="L84" s="27">
        <v>2.87E-2</v>
      </c>
      <c r="M84" s="27">
        <v>5.3800000000000001E-2</v>
      </c>
      <c r="N84" s="27">
        <v>1.1699999999999999E-2</v>
      </c>
      <c r="O84" s="27">
        <v>2.2000000000000001E-3</v>
      </c>
      <c r="P84" s="27">
        <v>1.44E-2</v>
      </c>
      <c r="Q84" s="27">
        <v>1.1999999999999999E-3</v>
      </c>
      <c r="R84" s="27">
        <v>4.3E-3</v>
      </c>
      <c r="S84" s="27">
        <v>1.11E-2</v>
      </c>
      <c r="T84" s="27">
        <v>2.1000000000000001E-2</v>
      </c>
      <c r="U84" s="27"/>
    </row>
    <row r="85" spans="1:21" x14ac:dyDescent="0.2">
      <c r="A85" s="26" t="s">
        <v>156</v>
      </c>
      <c r="B85" s="27">
        <v>0.3085</v>
      </c>
      <c r="C85" s="27">
        <v>0.28039999999999998</v>
      </c>
      <c r="D85" s="27">
        <v>0.35240000000000005</v>
      </c>
      <c r="E85" s="27">
        <v>5.2499999999999998E-2</v>
      </c>
      <c r="F85" s="27">
        <v>0.20649999999999999</v>
      </c>
      <c r="G85" s="27">
        <v>8.6300000000000002E-2</v>
      </c>
      <c r="H85" s="27">
        <v>8.9399999999999993E-2</v>
      </c>
      <c r="I85" s="27">
        <v>1.4199999999999999E-2</v>
      </c>
      <c r="J85" s="27">
        <v>6.7799999999999999E-2</v>
      </c>
      <c r="K85" s="27">
        <v>3.2300000000000002E-2</v>
      </c>
      <c r="L85" s="27">
        <v>1.46E-2</v>
      </c>
      <c r="M85" s="27">
        <v>4.4900000000000002E-2</v>
      </c>
      <c r="N85" s="27">
        <v>1.9099999999999999E-2</v>
      </c>
      <c r="O85" s="27">
        <v>2E-3</v>
      </c>
      <c r="P85" s="27">
        <v>7.1999999999999998E-3</v>
      </c>
      <c r="Q85" s="27">
        <v>1.8E-3</v>
      </c>
      <c r="R85" s="27">
        <v>2.3999999999999998E-3</v>
      </c>
      <c r="S85" s="27">
        <v>1.3000000000000001E-2</v>
      </c>
      <c r="T85" s="27">
        <v>1.5100000000000001E-2</v>
      </c>
      <c r="U85" s="27"/>
    </row>
    <row r="86" spans="1:21" x14ac:dyDescent="0.2">
      <c r="A86" s="26" t="s">
        <v>157</v>
      </c>
      <c r="B86" s="27">
        <v>0.33909999999999996</v>
      </c>
      <c r="C86" s="27">
        <v>0.2974</v>
      </c>
      <c r="D86" s="27">
        <v>0.39500000000000002</v>
      </c>
      <c r="E86" s="27">
        <v>5.6399999999999999E-2</v>
      </c>
      <c r="F86" s="27">
        <v>0.19469999999999998</v>
      </c>
      <c r="G86" s="27">
        <v>0.16440000000000002</v>
      </c>
      <c r="H86" s="27">
        <v>9.2899999999999996E-2</v>
      </c>
      <c r="I86" s="27">
        <v>1.3899999999999999E-2</v>
      </c>
      <c r="J86" s="27">
        <v>4.6300000000000001E-2</v>
      </c>
      <c r="K86" s="27">
        <v>2.7300000000000001E-2</v>
      </c>
      <c r="L86" s="27">
        <v>2.1000000000000001E-2</v>
      </c>
      <c r="M86" s="27">
        <v>5.0199999999999995E-2</v>
      </c>
      <c r="N86" s="27">
        <v>0.02</v>
      </c>
      <c r="O86" s="27">
        <v>2.0999999999999999E-3</v>
      </c>
      <c r="P86" s="27">
        <v>9.5999999999999992E-3</v>
      </c>
      <c r="Q86" s="27">
        <v>2.5000000000000001E-3</v>
      </c>
      <c r="R86" s="27">
        <v>4.0999999999999995E-3</v>
      </c>
      <c r="S86" s="27">
        <v>1.2199999999999999E-2</v>
      </c>
      <c r="T86" s="27">
        <v>8.3000000000000001E-3</v>
      </c>
      <c r="U86" s="27"/>
    </row>
    <row r="87" spans="1:21" x14ac:dyDescent="0.2">
      <c r="A87" s="26" t="s">
        <v>158</v>
      </c>
      <c r="B87" s="27">
        <v>0.34369999999999995</v>
      </c>
      <c r="C87" s="27">
        <v>0.29189999999999999</v>
      </c>
      <c r="D87" s="27">
        <v>0.43640000000000001</v>
      </c>
      <c r="E87" s="27">
        <v>0.06</v>
      </c>
      <c r="F87" s="27">
        <v>0.19870000000000002</v>
      </c>
      <c r="G87" s="27">
        <v>0.11689999999999999</v>
      </c>
      <c r="H87" s="27">
        <v>8.1300000000000011E-2</v>
      </c>
      <c r="I87" s="27">
        <v>1.7299999999999999E-2</v>
      </c>
      <c r="J87" s="27">
        <v>5.6299999999999996E-2</v>
      </c>
      <c r="K87" s="27">
        <v>2.4700000000000003E-2</v>
      </c>
      <c r="L87" s="27">
        <v>2.5899999999999999E-2</v>
      </c>
      <c r="M87" s="27">
        <v>0.1133</v>
      </c>
      <c r="N87" s="27">
        <v>1.5800000000000002E-2</v>
      </c>
      <c r="O87" s="27">
        <v>2.0999999999999999E-3</v>
      </c>
      <c r="P87" s="27">
        <v>8.3999999999999995E-3</v>
      </c>
      <c r="Q87" s="27">
        <v>2.2000000000000001E-3</v>
      </c>
      <c r="R87" s="27">
        <v>2E-3</v>
      </c>
      <c r="S87" s="27">
        <v>1.1899999999999999E-2</v>
      </c>
      <c r="T87" s="27">
        <v>1.6500000000000001E-2</v>
      </c>
      <c r="U87" s="27"/>
    </row>
    <row r="88" spans="1:21" x14ac:dyDescent="0.2">
      <c r="A88" s="26" t="s">
        <v>159</v>
      </c>
      <c r="B88" s="27">
        <v>0.32479999999999998</v>
      </c>
      <c r="C88" s="27">
        <v>0.30409999999999998</v>
      </c>
      <c r="D88" s="27">
        <v>0.44579999999999997</v>
      </c>
      <c r="E88" s="27">
        <v>4.5599999999999995E-2</v>
      </c>
      <c r="F88" s="27">
        <v>0.19149999999999998</v>
      </c>
      <c r="G88" s="27">
        <v>0.10349999999999999</v>
      </c>
      <c r="H88" s="27">
        <v>0.1245</v>
      </c>
      <c r="I88" s="27">
        <v>2.7999999999999997E-2</v>
      </c>
      <c r="J88" s="27">
        <v>0.1222</v>
      </c>
      <c r="K88" s="27">
        <v>1.83E-2</v>
      </c>
      <c r="L88" s="27">
        <v>1.6399999999999998E-2</v>
      </c>
      <c r="M88" s="27">
        <v>8.8399999999999992E-2</v>
      </c>
      <c r="N88" s="27">
        <v>1.1699999999999999E-2</v>
      </c>
      <c r="O88" s="27">
        <v>2.3999999999999998E-3</v>
      </c>
      <c r="P88" s="27">
        <v>3.3E-3</v>
      </c>
      <c r="Q88" s="27">
        <v>2.0999999999999999E-3</v>
      </c>
      <c r="R88" s="27">
        <v>2.7000000000000001E-3</v>
      </c>
      <c r="S88" s="27">
        <v>1.1299999999999999E-2</v>
      </c>
      <c r="T88" s="27">
        <v>8.3999999999999995E-3</v>
      </c>
      <c r="U88" s="27"/>
    </row>
    <row r="89" spans="1:21" x14ac:dyDescent="0.2">
      <c r="A89" s="26" t="s">
        <v>160</v>
      </c>
      <c r="B89" s="27">
        <v>0.35840000000000005</v>
      </c>
      <c r="C89" s="27">
        <v>0.33950000000000002</v>
      </c>
      <c r="D89" s="27">
        <v>0.375</v>
      </c>
      <c r="E89" s="27">
        <v>5.5999999999999994E-2</v>
      </c>
      <c r="F89" s="27">
        <v>0.23329999999999998</v>
      </c>
      <c r="G89" s="27">
        <v>0.13150000000000001</v>
      </c>
      <c r="H89" s="27">
        <v>9.6500000000000002E-2</v>
      </c>
      <c r="I89" s="27">
        <v>2.23E-2</v>
      </c>
      <c r="J89" s="27">
        <v>4.9699999999999994E-2</v>
      </c>
      <c r="K89" s="27">
        <v>3.61E-2</v>
      </c>
      <c r="L89" s="27">
        <v>2.2200000000000001E-2</v>
      </c>
      <c r="M89" s="27">
        <v>3.4200000000000001E-2</v>
      </c>
      <c r="N89" s="27">
        <v>1.6899999999999998E-2</v>
      </c>
      <c r="O89" s="27">
        <v>3.3E-3</v>
      </c>
      <c r="P89" s="27">
        <v>4.3E-3</v>
      </c>
      <c r="Q89" s="27">
        <v>3.0000000000000001E-3</v>
      </c>
      <c r="R89" s="27">
        <v>3.7000000000000002E-3</v>
      </c>
      <c r="S89" s="27">
        <v>2.2099999999999998E-2</v>
      </c>
      <c r="T89" s="27">
        <v>1.44E-2</v>
      </c>
      <c r="U89" s="27"/>
    </row>
    <row r="90" spans="1:21" x14ac:dyDescent="0.2">
      <c r="A90" s="26">
        <v>45309</v>
      </c>
      <c r="B90" s="27">
        <v>0.32030000000000003</v>
      </c>
      <c r="C90" s="27">
        <v>0.2747</v>
      </c>
      <c r="D90" s="27">
        <v>0.41229999999999994</v>
      </c>
      <c r="E90" s="27">
        <v>5.6600000000000004E-2</v>
      </c>
      <c r="F90" s="27">
        <v>0.19760000000000003</v>
      </c>
      <c r="G90" s="27">
        <v>0.1091</v>
      </c>
      <c r="H90" s="27">
        <v>0.1489</v>
      </c>
      <c r="I90" s="27">
        <v>1.6399999999999998E-2</v>
      </c>
      <c r="J90" s="27">
        <v>6.4100000000000004E-2</v>
      </c>
      <c r="K90" s="27">
        <v>3.0099999999999998E-2</v>
      </c>
      <c r="L90" s="27">
        <v>2.23E-2</v>
      </c>
      <c r="M90" s="27">
        <v>4.58E-2</v>
      </c>
      <c r="N90" s="27">
        <v>1.7899999999999999E-2</v>
      </c>
      <c r="O90" s="27">
        <v>4.0999999999999995E-3</v>
      </c>
      <c r="P90" s="27">
        <v>4.4000000000000003E-3</v>
      </c>
      <c r="Q90" s="27">
        <v>2.5999999999999999E-3</v>
      </c>
      <c r="R90" s="27">
        <v>3.5999999999999999E-3</v>
      </c>
      <c r="S90" s="27">
        <v>1.38E-2</v>
      </c>
      <c r="T90" s="27">
        <v>8.8999999999999999E-3</v>
      </c>
      <c r="U90" s="27"/>
    </row>
    <row r="91" spans="1:21" x14ac:dyDescent="0.2">
      <c r="A91" s="26" t="s">
        <v>161</v>
      </c>
      <c r="B91" s="27">
        <v>0.33529999999999999</v>
      </c>
      <c r="C91" s="27">
        <v>0.23960000000000001</v>
      </c>
      <c r="D91" s="27">
        <v>0.43979999999999997</v>
      </c>
      <c r="E91" s="27">
        <v>5.4699999999999999E-2</v>
      </c>
      <c r="F91" s="27">
        <v>0.16260000000000002</v>
      </c>
      <c r="G91" s="27">
        <v>0.19519999999999998</v>
      </c>
      <c r="H91" s="27">
        <v>0.10529999999999999</v>
      </c>
      <c r="I91" s="27">
        <v>1.38E-2</v>
      </c>
      <c r="J91" s="27">
        <v>6.7599999999999993E-2</v>
      </c>
      <c r="K91" s="27">
        <v>2.69E-2</v>
      </c>
      <c r="L91" s="27">
        <v>1.9099999999999999E-2</v>
      </c>
      <c r="M91" s="27">
        <v>4.1799999999999997E-2</v>
      </c>
      <c r="N91" s="27">
        <v>1.7399999999999999E-2</v>
      </c>
      <c r="O91" s="27">
        <v>4.4000000000000003E-3</v>
      </c>
      <c r="P91" s="27">
        <v>3.4999999999999996E-3</v>
      </c>
      <c r="Q91" s="27">
        <v>1.8E-3</v>
      </c>
      <c r="R91" s="27">
        <v>2.3999999999999998E-3</v>
      </c>
      <c r="S91" s="27">
        <v>1.3899999999999999E-2</v>
      </c>
      <c r="T91" s="27">
        <v>7.8000000000000005E-3</v>
      </c>
      <c r="U91" s="27"/>
    </row>
    <row r="92" spans="1:21" x14ac:dyDescent="0.2">
      <c r="A92" s="26" t="s">
        <v>162</v>
      </c>
      <c r="B92" s="27">
        <v>0.36820000000000003</v>
      </c>
      <c r="C92" s="27">
        <v>0.28039999999999998</v>
      </c>
      <c r="D92" s="27">
        <v>0.4022</v>
      </c>
      <c r="E92" s="27">
        <v>6.7299999999999999E-2</v>
      </c>
      <c r="F92" s="27">
        <v>0.18600000000000003</v>
      </c>
      <c r="G92" s="27">
        <v>0.1176</v>
      </c>
      <c r="H92" s="27">
        <v>9.3100000000000002E-2</v>
      </c>
      <c r="I92" s="27">
        <v>1.4999999999999999E-2</v>
      </c>
      <c r="J92" s="27">
        <v>0.10589999999999999</v>
      </c>
      <c r="K92" s="27">
        <v>4.1200000000000001E-2</v>
      </c>
      <c r="L92" s="27">
        <v>1.5900000000000001E-2</v>
      </c>
      <c r="M92" s="27">
        <v>5.0599999999999999E-2</v>
      </c>
      <c r="N92" s="27">
        <v>1.47E-2</v>
      </c>
      <c r="O92" s="27">
        <v>3.7000000000000002E-3</v>
      </c>
      <c r="P92" s="27">
        <v>4.8999999999999998E-3</v>
      </c>
      <c r="Q92" s="27">
        <v>2.7000000000000001E-3</v>
      </c>
      <c r="R92" s="27">
        <v>3.5999999999999999E-3</v>
      </c>
      <c r="S92" s="27">
        <v>1.5900000000000001E-2</v>
      </c>
      <c r="T92" s="27">
        <v>8.8999999999999999E-3</v>
      </c>
      <c r="U92" s="27"/>
    </row>
    <row r="93" spans="1:21" x14ac:dyDescent="0.2">
      <c r="A93" s="26" t="s">
        <v>163</v>
      </c>
      <c r="B93" s="27">
        <v>0.36749999999999999</v>
      </c>
      <c r="C93" s="27">
        <v>0.26750000000000002</v>
      </c>
      <c r="D93" s="27">
        <v>0.37180000000000002</v>
      </c>
      <c r="E93" s="27">
        <v>7.0400000000000004E-2</v>
      </c>
      <c r="F93" s="27">
        <v>0.20149999999999998</v>
      </c>
      <c r="G93" s="27">
        <v>0.125</v>
      </c>
      <c r="H93" s="27">
        <v>9.5000000000000001E-2</v>
      </c>
      <c r="I93" s="27">
        <v>1.6799999999999999E-2</v>
      </c>
      <c r="J93" s="27">
        <v>4.2699999999999995E-2</v>
      </c>
      <c r="K93" s="27">
        <v>2.52E-2</v>
      </c>
      <c r="L93" s="27">
        <v>2.3399999999999997E-2</v>
      </c>
      <c r="M93" s="27">
        <v>4.9200000000000001E-2</v>
      </c>
      <c r="N93" s="27">
        <v>1.6200000000000003E-2</v>
      </c>
      <c r="O93" s="27">
        <v>3.4999999999999996E-3</v>
      </c>
      <c r="P93" s="27">
        <v>4.1999999999999997E-3</v>
      </c>
      <c r="Q93" s="27">
        <v>2.3999999999999998E-3</v>
      </c>
      <c r="R93" s="27">
        <v>2.3E-3</v>
      </c>
      <c r="S93" s="27">
        <v>1.84E-2</v>
      </c>
      <c r="T93" s="27">
        <v>7.4000000000000003E-3</v>
      </c>
      <c r="U93" s="27"/>
    </row>
    <row r="94" spans="1:21" x14ac:dyDescent="0.2">
      <c r="A94" s="26" t="s">
        <v>164</v>
      </c>
      <c r="B94" s="27">
        <v>0.35460000000000003</v>
      </c>
      <c r="C94" s="27">
        <v>0.2964</v>
      </c>
      <c r="D94" s="27">
        <v>0.40139999999999998</v>
      </c>
      <c r="E94" s="27">
        <v>8.6199999999999999E-2</v>
      </c>
      <c r="F94" s="27">
        <v>0.2311</v>
      </c>
      <c r="G94" s="27">
        <v>0.11109999999999999</v>
      </c>
      <c r="H94" s="27">
        <v>0.1162</v>
      </c>
      <c r="I94" s="27">
        <v>1.9699999999999999E-2</v>
      </c>
      <c r="J94" s="27">
        <v>4.82E-2</v>
      </c>
      <c r="K94" s="27">
        <v>1.55E-2</v>
      </c>
      <c r="L94" s="27">
        <v>2.2000000000000002E-2</v>
      </c>
      <c r="M94" s="27">
        <v>2.8300000000000002E-2</v>
      </c>
      <c r="N94" s="27">
        <v>1.6200000000000003E-2</v>
      </c>
      <c r="O94" s="27">
        <v>4.0999999999999995E-3</v>
      </c>
      <c r="P94" s="27">
        <v>5.1000000000000004E-3</v>
      </c>
      <c r="Q94" s="27">
        <v>3.5999999999999999E-3</v>
      </c>
      <c r="R94" s="27">
        <v>3.0999999999999999E-3</v>
      </c>
      <c r="S94" s="27">
        <v>2.7900000000000001E-2</v>
      </c>
      <c r="T94" s="27">
        <v>1.1399999999999999E-2</v>
      </c>
      <c r="U94" s="27"/>
    </row>
    <row r="95" spans="1:21" x14ac:dyDescent="0.2">
      <c r="A95" s="26" t="s">
        <v>165</v>
      </c>
      <c r="B95" s="27">
        <v>0.33390000000000003</v>
      </c>
      <c r="C95" s="27">
        <v>0.2676</v>
      </c>
      <c r="D95" s="27">
        <v>0.37060000000000004</v>
      </c>
      <c r="E95" s="27">
        <v>5.6399999999999999E-2</v>
      </c>
      <c r="F95" s="27">
        <v>0.21489999999999998</v>
      </c>
      <c r="G95" s="27">
        <v>0.13689999999999999</v>
      </c>
      <c r="H95" s="27">
        <v>7.3599999999999999E-2</v>
      </c>
      <c r="I95" s="27">
        <v>1.67E-2</v>
      </c>
      <c r="J95" s="27">
        <v>3.9599999999999996E-2</v>
      </c>
      <c r="K95" s="27">
        <v>1.44E-2</v>
      </c>
      <c r="L95" s="27">
        <v>1.84E-2</v>
      </c>
      <c r="M95" s="27">
        <v>2.0400000000000001E-2</v>
      </c>
      <c r="N95" s="27">
        <v>1.15E-2</v>
      </c>
      <c r="O95" s="27">
        <v>3.4999999999999996E-3</v>
      </c>
      <c r="P95" s="27">
        <v>3.2000000000000002E-3</v>
      </c>
      <c r="Q95" s="27">
        <v>2.5000000000000001E-3</v>
      </c>
      <c r="R95" s="27">
        <v>2.5000000000000001E-3</v>
      </c>
      <c r="S95" s="27">
        <v>2.0799999999999999E-2</v>
      </c>
      <c r="T95" s="27">
        <v>7.9000000000000008E-3</v>
      </c>
      <c r="U95" s="27"/>
    </row>
    <row r="96" spans="1:21" x14ac:dyDescent="0.2">
      <c r="A96" s="26" t="s">
        <v>166</v>
      </c>
      <c r="B96" s="27">
        <v>0.37070000000000003</v>
      </c>
      <c r="C96" s="27">
        <v>0.27140000000000003</v>
      </c>
      <c r="D96" s="27">
        <v>0.37530000000000002</v>
      </c>
      <c r="E96" s="27">
        <v>7.5899999999999995E-2</v>
      </c>
      <c r="F96" s="27">
        <v>0.19899999999999998</v>
      </c>
      <c r="G96" s="27">
        <v>0.1079</v>
      </c>
      <c r="H96" s="27">
        <v>9.9299999999999999E-2</v>
      </c>
      <c r="I96" s="27">
        <v>1.89E-2</v>
      </c>
      <c r="J96" s="27">
        <v>6.7199999999999996E-2</v>
      </c>
      <c r="K96" s="27">
        <v>1.7899999999999999E-2</v>
      </c>
      <c r="L96" s="27">
        <v>2.2400000000000003E-2</v>
      </c>
      <c r="M96" s="27">
        <v>2.69E-2</v>
      </c>
      <c r="N96" s="27">
        <v>2.1600000000000001E-2</v>
      </c>
      <c r="O96" s="27">
        <v>2.5000000000000001E-3</v>
      </c>
      <c r="P96" s="27">
        <v>3.5999999999999999E-3</v>
      </c>
      <c r="Q96" s="27">
        <v>3.4000000000000002E-3</v>
      </c>
      <c r="R96" s="27">
        <v>3.4000000000000002E-3</v>
      </c>
      <c r="S96" s="27">
        <v>1.9099999999999999E-2</v>
      </c>
      <c r="T96" s="27">
        <v>1.18E-2</v>
      </c>
      <c r="U96" s="27"/>
    </row>
    <row r="97" spans="1:21" x14ac:dyDescent="0.2">
      <c r="A97" s="26" t="s">
        <v>167</v>
      </c>
      <c r="B97" s="27">
        <v>0.27960000000000002</v>
      </c>
      <c r="C97" s="27">
        <v>0.22690000000000002</v>
      </c>
      <c r="D97" s="27">
        <v>0.44119999999999998</v>
      </c>
      <c r="E97" s="27">
        <v>7.9899999999999999E-2</v>
      </c>
      <c r="F97" s="27">
        <v>0.14419999999999999</v>
      </c>
      <c r="G97" s="27">
        <v>0.1074</v>
      </c>
      <c r="H97" s="27">
        <v>0.11349999999999999</v>
      </c>
      <c r="I97" s="27">
        <v>2.2599999999999999E-2</v>
      </c>
      <c r="J97" s="27">
        <v>7.0999999999999994E-2</v>
      </c>
      <c r="K97" s="27">
        <v>2.06E-2</v>
      </c>
      <c r="L97" s="27">
        <v>3.4599999999999999E-2</v>
      </c>
      <c r="M97" s="27">
        <v>2.5699999999999997E-2</v>
      </c>
      <c r="N97" s="27">
        <v>2.0099999999999996E-2</v>
      </c>
      <c r="O97" s="27">
        <v>7.3000000000000001E-3</v>
      </c>
      <c r="P97" s="27">
        <v>4.5000000000000005E-3</v>
      </c>
      <c r="Q97" s="27">
        <v>3.2000000000000002E-3</v>
      </c>
      <c r="R97" s="27">
        <v>2.3E-3</v>
      </c>
      <c r="S97" s="27">
        <v>2.46E-2</v>
      </c>
      <c r="T97" s="27">
        <v>1.54E-2</v>
      </c>
      <c r="U97" s="27"/>
    </row>
    <row r="98" spans="1:21" x14ac:dyDescent="0.2">
      <c r="A98" s="26" t="s">
        <v>168</v>
      </c>
      <c r="B98" s="27">
        <v>0.30609999999999998</v>
      </c>
      <c r="C98" s="27">
        <v>0.21870000000000001</v>
      </c>
      <c r="D98" s="27">
        <v>0.41249999999999998</v>
      </c>
      <c r="E98" s="27">
        <v>7.8200000000000006E-2</v>
      </c>
      <c r="F98" s="27">
        <v>0.1343</v>
      </c>
      <c r="G98" s="27">
        <v>0.10220000000000001</v>
      </c>
      <c r="H98" s="27">
        <v>0.1288</v>
      </c>
      <c r="I98" s="27">
        <v>1.4800000000000001E-2</v>
      </c>
      <c r="J98" s="27">
        <v>6.0599999999999994E-2</v>
      </c>
      <c r="K98" s="27">
        <v>1.8200000000000001E-2</v>
      </c>
      <c r="L98" s="27">
        <v>1.95E-2</v>
      </c>
      <c r="M98" s="27">
        <v>2.7999999999999997E-2</v>
      </c>
      <c r="N98" s="27">
        <v>1.3500000000000002E-2</v>
      </c>
      <c r="O98" s="27">
        <v>4.1999999999999997E-3</v>
      </c>
      <c r="P98" s="27">
        <v>3.8E-3</v>
      </c>
      <c r="Q98" s="27">
        <v>3.8E-3</v>
      </c>
      <c r="R98" s="27">
        <v>4.8999999999999998E-3</v>
      </c>
      <c r="S98" s="27">
        <v>1.6E-2</v>
      </c>
      <c r="T98" s="27">
        <v>1.1000000000000001E-2</v>
      </c>
      <c r="U98" s="27"/>
    </row>
    <row r="99" spans="1:21" x14ac:dyDescent="0.2">
      <c r="A99" s="26" t="s">
        <v>169</v>
      </c>
      <c r="B99" s="27">
        <v>0.29699999999999999</v>
      </c>
      <c r="C99" s="27">
        <v>0.23769999999999999</v>
      </c>
      <c r="D99" s="27">
        <v>0.39840000000000003</v>
      </c>
      <c r="E99" s="27">
        <v>9.1400000000000009E-2</v>
      </c>
      <c r="F99" s="27">
        <v>0.1578</v>
      </c>
      <c r="G99" s="27">
        <v>0.1106</v>
      </c>
      <c r="H99" s="27">
        <v>0.1079</v>
      </c>
      <c r="I99" s="27">
        <v>1.9099999999999999E-2</v>
      </c>
      <c r="J99" s="27">
        <v>4.7599999999999996E-2</v>
      </c>
      <c r="K99" s="27">
        <v>2.2799999999999997E-2</v>
      </c>
      <c r="L99" s="27">
        <v>1.5600000000000001E-2</v>
      </c>
      <c r="M99" s="27">
        <v>2.7300000000000001E-2</v>
      </c>
      <c r="N99" s="27">
        <v>1.3899999999999999E-2</v>
      </c>
      <c r="O99" s="27">
        <v>4.0000000000000001E-3</v>
      </c>
      <c r="P99" s="27">
        <v>7.4999999999999997E-3</v>
      </c>
      <c r="Q99" s="27">
        <v>4.5000000000000005E-3</v>
      </c>
      <c r="R99" s="27">
        <v>4.5000000000000005E-3</v>
      </c>
      <c r="S99" s="27">
        <v>2.7400000000000001E-2</v>
      </c>
      <c r="T99" s="27">
        <v>9.3999999999999986E-3</v>
      </c>
      <c r="U99" s="27"/>
    </row>
    <row r="100" spans="1:21" x14ac:dyDescent="0.2">
      <c r="A100" s="26" t="s">
        <v>170</v>
      </c>
      <c r="B100" s="27">
        <v>0.36979999999999996</v>
      </c>
      <c r="C100" s="27">
        <v>0.31759999999999999</v>
      </c>
      <c r="D100" s="27">
        <v>0.38469999999999999</v>
      </c>
      <c r="E100" s="27">
        <v>1.54E-2</v>
      </c>
      <c r="F100" s="27">
        <v>0.21710000000000002</v>
      </c>
      <c r="G100" s="27">
        <v>0.1588</v>
      </c>
      <c r="H100" s="27">
        <v>8.3400000000000002E-2</v>
      </c>
      <c r="I100" s="27">
        <v>2.1000000000000001E-2</v>
      </c>
      <c r="J100" s="27">
        <v>5.1799999999999999E-2</v>
      </c>
      <c r="K100" s="27">
        <v>1.6E-2</v>
      </c>
      <c r="L100" s="27">
        <v>1.9099999999999999E-2</v>
      </c>
      <c r="M100" s="27">
        <v>2.2499999999999999E-2</v>
      </c>
      <c r="N100" s="27">
        <v>1.4499999999999999E-2</v>
      </c>
      <c r="O100" s="27">
        <v>3.0000000000000001E-3</v>
      </c>
      <c r="P100" s="27">
        <v>4.3E-3</v>
      </c>
      <c r="Q100" s="27">
        <v>4.0000000000000002E-4</v>
      </c>
      <c r="R100" s="27">
        <v>2.2000000000000001E-3</v>
      </c>
      <c r="S100" s="27">
        <v>2.5000000000000001E-2</v>
      </c>
      <c r="T100" s="27">
        <v>1.41E-2</v>
      </c>
      <c r="U100" s="27"/>
    </row>
    <row r="101" spans="1:21" x14ac:dyDescent="0.2">
      <c r="A101" s="26" t="s">
        <v>171</v>
      </c>
      <c r="B101" s="27">
        <v>0.27639999999999998</v>
      </c>
      <c r="C101" s="27">
        <v>0.20449999999999999</v>
      </c>
      <c r="D101" s="27">
        <v>0.36969999999999997</v>
      </c>
      <c r="E101" s="27">
        <v>1.83E-2</v>
      </c>
      <c r="F101" s="27">
        <v>0.13819999999999999</v>
      </c>
      <c r="G101" s="27">
        <v>8.8699999999999987E-2</v>
      </c>
      <c r="H101" s="27">
        <v>6.480000000000001E-2</v>
      </c>
      <c r="I101" s="27">
        <v>2.1600000000000001E-2</v>
      </c>
      <c r="J101" s="27">
        <v>4.5599999999999995E-2</v>
      </c>
      <c r="K101" s="27">
        <v>2.46E-2</v>
      </c>
      <c r="L101" s="27">
        <v>1.5600000000000001E-2</v>
      </c>
      <c r="M101" s="27">
        <v>5.6600000000000004E-2</v>
      </c>
      <c r="N101" s="27">
        <v>1.2800000000000001E-2</v>
      </c>
      <c r="O101" s="27">
        <v>5.5000000000000005E-3</v>
      </c>
      <c r="P101" s="27">
        <v>6.8999999999999999E-3</v>
      </c>
      <c r="Q101" s="27">
        <v>2.9999999999999997E-4</v>
      </c>
      <c r="R101" s="27">
        <v>9.1999999999999998E-3</v>
      </c>
      <c r="S101" s="27">
        <v>2.41E-2</v>
      </c>
      <c r="T101" s="27">
        <v>8.6999999999999994E-3</v>
      </c>
      <c r="U101" s="27"/>
    </row>
    <row r="102" spans="1:21" x14ac:dyDescent="0.2">
      <c r="A102" s="26" t="s">
        <v>172</v>
      </c>
      <c r="B102" s="27">
        <v>0.25540000000000002</v>
      </c>
      <c r="C102" s="27">
        <v>0.18940000000000001</v>
      </c>
      <c r="D102" s="27">
        <v>0.47979999999999995</v>
      </c>
      <c r="E102" s="27">
        <v>9.6600000000000005E-2</v>
      </c>
      <c r="F102" s="27">
        <v>0.1137</v>
      </c>
      <c r="G102" s="27">
        <v>0.17010000000000003</v>
      </c>
      <c r="H102" s="27">
        <v>9.1499999999999998E-2</v>
      </c>
      <c r="I102" s="27">
        <v>1.9E-2</v>
      </c>
      <c r="J102" s="27">
        <v>5.8200000000000002E-2</v>
      </c>
      <c r="K102" s="27">
        <v>1.84E-2</v>
      </c>
      <c r="L102" s="27">
        <v>1.4999999999999999E-2</v>
      </c>
      <c r="M102" s="27">
        <v>2.41E-2</v>
      </c>
      <c r="N102" s="27">
        <v>1.1000000000000001E-2</v>
      </c>
      <c r="O102" s="27">
        <v>3.5999999999999999E-3</v>
      </c>
      <c r="P102" s="27">
        <v>4.0000000000000001E-3</v>
      </c>
      <c r="Q102" s="27">
        <v>9.5999999999999992E-3</v>
      </c>
      <c r="R102" s="27">
        <v>1.8E-3</v>
      </c>
      <c r="S102" s="27">
        <v>6.0400000000000002E-2</v>
      </c>
      <c r="T102" s="27">
        <v>1.38E-2</v>
      </c>
      <c r="U102" s="27"/>
    </row>
  </sheetData>
  <mergeCells count="1">
    <mergeCell ref="A1:W1"/>
  </mergeCells>
  <conditionalFormatting sqref="E69:E102">
    <cfRule type="cellIs" dxfId="85" priority="40" operator="greaterThan">
      <formula>0.09</formula>
    </cfRule>
  </conditionalFormatting>
  <conditionalFormatting sqref="D69:D102">
    <cfRule type="cellIs" dxfId="84" priority="38" stopIfTrue="1" operator="greaterThan">
      <formula>0.48</formula>
    </cfRule>
    <cfRule type="cellIs" dxfId="83" priority="39" stopIfTrue="1" operator="lessThan">
      <formula>0.38</formula>
    </cfRule>
  </conditionalFormatting>
  <conditionalFormatting sqref="K84:K102 K53:K63 K3:K35">
    <cfRule type="cellIs" dxfId="82" priority="37" operator="greaterThan">
      <formula>AVERAGE($K3:K20)+AVERAGE($K3:K20)*0.2</formula>
    </cfRule>
  </conditionalFormatting>
  <conditionalFormatting sqref="J84:J102 J9:J35 J53:J63">
    <cfRule type="cellIs" dxfId="81" priority="36" operator="greaterThan">
      <formula>AVERAGE($J9:J26)+AVERAGE($J9:J26)*0.2</formula>
    </cfRule>
  </conditionalFormatting>
  <conditionalFormatting sqref="I83:I102 I11:I35 I53:I63">
    <cfRule type="cellIs" dxfId="80" priority="35" operator="greaterThan">
      <formula>AVERAGE($I11:I28)+AVERAGE($I11:I28)*0.2</formula>
    </cfRule>
  </conditionalFormatting>
  <conditionalFormatting sqref="H84:H102 H10:H35 H53:H63">
    <cfRule type="cellIs" dxfId="79" priority="34" operator="greaterThan">
      <formula>AVERAGE($H10:H27)+AVERAGE($H10:H27)*0.2</formula>
    </cfRule>
  </conditionalFormatting>
  <conditionalFormatting sqref="G84:G102 G9:G35 G53:G63">
    <cfRule type="cellIs" dxfId="78" priority="33" operator="greaterThan">
      <formula>AVERAGE($G9:G26)+AVERAGE($G9:G26)*0.2</formula>
    </cfRule>
  </conditionalFormatting>
  <conditionalFormatting sqref="F53:F63 F80:F102 F3:F35">
    <cfRule type="cellIs" dxfId="77" priority="32" operator="greaterThan">
      <formula>AVERAGE($F3:F20)+AVERAGE($F3:F20)*0.2</formula>
    </cfRule>
  </conditionalFormatting>
  <conditionalFormatting sqref="L8:L35 L53:L63 L81:L102">
    <cfRule type="cellIs" dxfId="76" priority="31" operator="greaterThan">
      <formula>AVERAGE($L8:L25)+AVERAGE($L8:L25)*0.2</formula>
    </cfRule>
  </conditionalFormatting>
  <conditionalFormatting sqref="M15:M35 M53:M63 M81:M102">
    <cfRule type="cellIs" dxfId="75" priority="30" operator="greaterThan">
      <formula>AVERAGE($M15:M32)+AVERAGE($M15:M32)*0.2</formula>
    </cfRule>
  </conditionalFormatting>
  <conditionalFormatting sqref="N53:N63 N81:N102 N4:N35">
    <cfRule type="cellIs" dxfId="74" priority="29" operator="greaterThan">
      <formula>AVERAGE($N4:N21)+AVERAGE($N4:N21)*0.2</formula>
    </cfRule>
  </conditionalFormatting>
  <conditionalFormatting sqref="O92:O102 O71:O80">
    <cfRule type="cellIs" dxfId="73" priority="28" operator="greaterThan">
      <formula>AVERAGE($O71:O81)+AVERAGE($O71:O81)*0.2</formula>
    </cfRule>
  </conditionalFormatting>
  <conditionalFormatting sqref="P10:P35 P53:P63 P81:P102">
    <cfRule type="cellIs" dxfId="72" priority="27" operator="greaterThan">
      <formula>AVERAGE($P10:P27)+AVERAGE($P10:P27)*0.2</formula>
    </cfRule>
  </conditionalFormatting>
  <conditionalFormatting sqref="Q5:Q35 Q53:Q63 Q81:Q102">
    <cfRule type="cellIs" dxfId="71" priority="26" operator="greaterThan">
      <formula>AVERAGE($Q5:Q22)+AVERAGE($Q5:Q22)*0.2</formula>
    </cfRule>
  </conditionalFormatting>
  <conditionalFormatting sqref="R81:R102">
    <cfRule type="cellIs" dxfId="70" priority="25" operator="greaterThan">
      <formula>AVERAGE($R81:R98)+AVERAGE($R81:R98)*0.2</formula>
    </cfRule>
  </conditionalFormatting>
  <conditionalFormatting sqref="S53:S63 S81:S102 S3:S35">
    <cfRule type="cellIs" dxfId="69" priority="24" operator="greaterThan">
      <formula>AVERAGE($S3:S20)+AVERAGE($S3:S20)*0.2</formula>
    </cfRule>
  </conditionalFormatting>
  <conditionalFormatting sqref="T5:T35 T53:T63 T81:T102">
    <cfRule type="cellIs" dxfId="68" priority="23" operator="greaterThan">
      <formula>AVERAGE($T5:T22)+AVERAGE($T5:T22)*0.2</formula>
    </cfRule>
  </conditionalFormatting>
  <conditionalFormatting sqref="K90:K91">
    <cfRule type="cellIs" dxfId="67" priority="41" operator="greaterThan">
      <formula>AVERAGE($K90:K102)+AVERAGE($K90:K102)*0.2</formula>
    </cfRule>
  </conditionalFormatting>
  <conditionalFormatting sqref="J90:J91">
    <cfRule type="cellIs" dxfId="66" priority="42" operator="greaterThan">
      <formula>AVERAGE($J90:J102)+AVERAGE($J90:J102)*0.2</formula>
    </cfRule>
  </conditionalFormatting>
  <conditionalFormatting sqref="I90:I91">
    <cfRule type="cellIs" dxfId="65" priority="43" operator="greaterThan">
      <formula>AVERAGE($I90:I102)+AVERAGE($I90:I102)*0.2</formula>
    </cfRule>
  </conditionalFormatting>
  <conditionalFormatting sqref="H90:H91">
    <cfRule type="cellIs" dxfId="64" priority="44" operator="greaterThan">
      <formula>AVERAGE($H90:H102)+AVERAGE($H90:H102)*0.2</formula>
    </cfRule>
  </conditionalFormatting>
  <conditionalFormatting sqref="G90:G91">
    <cfRule type="cellIs" dxfId="63" priority="45" operator="greaterThan">
      <formula>AVERAGE($G90:G102)+AVERAGE($G90:G102)*0.2</formula>
    </cfRule>
  </conditionalFormatting>
  <conditionalFormatting sqref="F90:F91">
    <cfRule type="cellIs" dxfId="62" priority="46" operator="greaterThan">
      <formula>AVERAGE($F90:F102)+AVERAGE($F90:F102)*0.2</formula>
    </cfRule>
  </conditionalFormatting>
  <conditionalFormatting sqref="L90:L91">
    <cfRule type="cellIs" dxfId="61" priority="47" operator="greaterThan">
      <formula>AVERAGE($L90:L102)+AVERAGE($L90:L102)*0.2</formula>
    </cfRule>
  </conditionalFormatting>
  <conditionalFormatting sqref="M90:M91">
    <cfRule type="cellIs" dxfId="60" priority="48" operator="greaterThan">
      <formula>AVERAGE($M90:M102)+AVERAGE($M90:M102)*0.2</formula>
    </cfRule>
  </conditionalFormatting>
  <conditionalFormatting sqref="N90:N91">
    <cfRule type="cellIs" dxfId="59" priority="49" operator="greaterThan">
      <formula>AVERAGE($N90:N102)+AVERAGE($N90:N102)*0.2</formula>
    </cfRule>
  </conditionalFormatting>
  <conditionalFormatting sqref="O53:O68 O81:O91 O3:O40">
    <cfRule type="cellIs" dxfId="58" priority="50" operator="greaterThan">
      <formula>AVERAGE($O3:O15)+AVERAGE($O3:O15)*0.2</formula>
    </cfRule>
  </conditionalFormatting>
  <conditionalFormatting sqref="P90:P91">
    <cfRule type="cellIs" dxfId="57" priority="51" operator="greaterThan">
      <formula>AVERAGE($P90:P102)+AVERAGE($P90:P102)*0.2</formula>
    </cfRule>
  </conditionalFormatting>
  <conditionalFormatting sqref="Q90:Q91">
    <cfRule type="cellIs" dxfId="56" priority="52" operator="greaterThan">
      <formula>AVERAGE($Q90:Q102)+AVERAGE($Q90:Q102)*0.2</formula>
    </cfRule>
  </conditionalFormatting>
  <conditionalFormatting sqref="R90:R91">
    <cfRule type="cellIs" dxfId="55" priority="53" operator="greaterThan">
      <formula>AVERAGE($R90:R102)+AVERAGE($R90:R102)*0.2</formula>
    </cfRule>
  </conditionalFormatting>
  <conditionalFormatting sqref="S90:S91">
    <cfRule type="cellIs" dxfId="54" priority="54" operator="greaterThan">
      <formula>AVERAGE($S90:S102)+AVERAGE($S90:S102)*0.2</formula>
    </cfRule>
  </conditionalFormatting>
  <conditionalFormatting sqref="T90:T91">
    <cfRule type="cellIs" dxfId="53" priority="55" operator="greaterThan">
      <formula>AVERAGE($T90:T102)+AVERAGE($T90:T102)*0.2</formula>
    </cfRule>
  </conditionalFormatting>
  <conditionalFormatting sqref="K89">
    <cfRule type="cellIs" dxfId="52" priority="56" operator="greaterThan">
      <formula>AVERAGE($K89:K100)+AVERAGE($K89:K100)*0.2</formula>
    </cfRule>
  </conditionalFormatting>
  <conditionalFormatting sqref="J89">
    <cfRule type="cellIs" dxfId="51" priority="57" operator="greaterThan">
      <formula>AVERAGE($J89:J100)+AVERAGE($J89:J100)*0.2</formula>
    </cfRule>
  </conditionalFormatting>
  <conditionalFormatting sqref="I89">
    <cfRule type="cellIs" dxfId="50" priority="58" operator="greaterThan">
      <formula>AVERAGE($I89:I100)+AVERAGE($I89:I100)*0.2</formula>
    </cfRule>
  </conditionalFormatting>
  <conditionalFormatting sqref="H89">
    <cfRule type="cellIs" dxfId="49" priority="59" operator="greaterThan">
      <formula>AVERAGE($H89:H100)+AVERAGE($H89:H100)*0.2</formula>
    </cfRule>
  </conditionalFormatting>
  <conditionalFormatting sqref="G89">
    <cfRule type="cellIs" dxfId="48" priority="60" operator="greaterThan">
      <formula>AVERAGE($G89:G100)+AVERAGE($G89:G100)*0.2</formula>
    </cfRule>
  </conditionalFormatting>
  <conditionalFormatting sqref="F53:F69 F80:F89 F3:F41">
    <cfRule type="cellIs" dxfId="47" priority="61" operator="greaterThan">
      <formula>AVERAGE($F3:F14)+AVERAGE($F3:F14)*0.2</formula>
    </cfRule>
  </conditionalFormatting>
  <conditionalFormatting sqref="L89">
    <cfRule type="cellIs" dxfId="46" priority="62" operator="greaterThan">
      <formula>AVERAGE($L89:L100)+AVERAGE($L89:L100)*0.2</formula>
    </cfRule>
  </conditionalFormatting>
  <conditionalFormatting sqref="M89">
    <cfRule type="cellIs" dxfId="45" priority="63" operator="greaterThan">
      <formula>AVERAGE($M89:M100)+AVERAGE($M89:M100)*0.2</formula>
    </cfRule>
  </conditionalFormatting>
  <conditionalFormatting sqref="N89">
    <cfRule type="cellIs" dxfId="44" priority="64" operator="greaterThan">
      <formula>AVERAGE($N89:N100)+AVERAGE($N89:N100)*0.2</formula>
    </cfRule>
  </conditionalFormatting>
  <conditionalFormatting sqref="O89 O41:O46 O69:O70">
    <cfRule type="cellIs" dxfId="43" priority="65" operator="greaterThan">
      <formula>AVERAGE($O41:O52)+AVERAGE($O41:O52)*0.2</formula>
    </cfRule>
  </conditionalFormatting>
  <conditionalFormatting sqref="P89">
    <cfRule type="cellIs" dxfId="42" priority="66" operator="greaterThan">
      <formula>AVERAGE($P89:P100)+AVERAGE($P89:P100)*0.2</formula>
    </cfRule>
  </conditionalFormatting>
  <conditionalFormatting sqref="Q89">
    <cfRule type="cellIs" dxfId="41" priority="67" operator="greaterThan">
      <formula>AVERAGE($Q89:Q100)+AVERAGE($Q89:Q100)*0.2</formula>
    </cfRule>
  </conditionalFormatting>
  <conditionalFormatting sqref="R89">
    <cfRule type="cellIs" dxfId="40" priority="68" operator="greaterThan">
      <formula>AVERAGE($R89:R100)+AVERAGE($R89:R100)*0.2</formula>
    </cfRule>
  </conditionalFormatting>
  <conditionalFormatting sqref="S89">
    <cfRule type="cellIs" dxfId="39" priority="69" operator="greaterThan">
      <formula>AVERAGE($S89:S100)+AVERAGE($S89:S100)*0.2</formula>
    </cfRule>
  </conditionalFormatting>
  <conditionalFormatting sqref="T89">
    <cfRule type="cellIs" dxfId="38" priority="70" operator="greaterThan">
      <formula>AVERAGE($T89:T100)+AVERAGE($T89:T100)*0.2</formula>
    </cfRule>
  </conditionalFormatting>
  <conditionalFormatting sqref="O83">
    <cfRule type="cellIs" dxfId="37" priority="22" operator="greaterThan">
      <formula>AVERAGE($O83:O95)+AVERAGE($O83:O95)*0.2</formula>
    </cfRule>
  </conditionalFormatting>
  <conditionalFormatting sqref="B7:B102">
    <cfRule type="cellIs" dxfId="36" priority="20" operator="lessThan">
      <formula>0.25</formula>
    </cfRule>
    <cfRule type="cellIs" dxfId="35" priority="21" operator="greaterThan">
      <formula>0.31</formula>
    </cfRule>
  </conditionalFormatting>
  <conditionalFormatting sqref="S53:S63 S81:S102 S3:S35">
    <cfRule type="cellIs" dxfId="34" priority="5" stopIfTrue="1" operator="greaterThan">
      <formula>AVERAGE($S3:S20)+AVERAGE($S3:S20)*0.2</formula>
    </cfRule>
  </conditionalFormatting>
  <conditionalFormatting sqref="S3:S102">
    <cfRule type="cellIs" dxfId="33" priority="4" operator="greaterThan">
      <formula>0.025</formula>
    </cfRule>
  </conditionalFormatting>
  <conditionalFormatting sqref="H36:H52 H64:H65">
    <cfRule type="cellIs" dxfId="32" priority="73" operator="greaterThan">
      <formula>AVERAGE($H36:H52)+AVERAGE($H36:H52)*0.2</formula>
    </cfRule>
  </conditionalFormatting>
  <conditionalFormatting sqref="F36:F52 F64:F65">
    <cfRule type="cellIs" dxfId="31" priority="77" operator="greaterThan">
      <formula>AVERAGE($F36:F52)+AVERAGE($F36:F52)*0.2</formula>
    </cfRule>
  </conditionalFormatting>
  <conditionalFormatting sqref="L36:L52 L64:L65">
    <cfRule type="cellIs" dxfId="30" priority="81" operator="greaterThan">
      <formula>AVERAGE($L36:L52)+AVERAGE($L36:L52)*0.2</formula>
    </cfRule>
  </conditionalFormatting>
  <conditionalFormatting sqref="M36:M52 M64:M65">
    <cfRule type="cellIs" dxfId="29" priority="85" operator="greaterThan">
      <formula>AVERAGE($M36:M52)+AVERAGE($M36:M52)*0.2</formula>
    </cfRule>
  </conditionalFormatting>
  <conditionalFormatting sqref="P36:P52 P64:P65">
    <cfRule type="cellIs" dxfId="28" priority="87" operator="greaterThan">
      <formula>AVERAGE($P36:P52)+AVERAGE($P36:P52)*0.2</formula>
    </cfRule>
  </conditionalFormatting>
  <conditionalFormatting sqref="Q36:Q52 Q64:Q65">
    <cfRule type="cellIs" dxfId="27" priority="91" operator="greaterThan">
      <formula>AVERAGE($Q36:Q52)+AVERAGE($Q36:Q52)*0.2</formula>
    </cfRule>
  </conditionalFormatting>
  <conditionalFormatting sqref="S36:S52 S64:S65">
    <cfRule type="cellIs" dxfId="26" priority="95" operator="greaterThan">
      <formula>AVERAGE($S36:S52)+AVERAGE($S36:S52)*0.2</formula>
    </cfRule>
  </conditionalFormatting>
  <conditionalFormatting sqref="T36:T52 T64:T65">
    <cfRule type="cellIs" dxfId="25" priority="99" operator="greaterThan">
      <formula>AVERAGE($T36:T52)+AVERAGE($T36:T52)*0.2</formula>
    </cfRule>
  </conditionalFormatting>
  <conditionalFormatting sqref="F42:F52 F70:F71">
    <cfRule type="cellIs" dxfId="24" priority="104" operator="greaterThan">
      <formula>AVERAGE($F42:F52)+AVERAGE($F42:F52)*0.2</formula>
    </cfRule>
  </conditionalFormatting>
  <conditionalFormatting sqref="I36:I52 I64:I65">
    <cfRule type="cellIs" dxfId="23" priority="112" operator="greaterThan">
      <formula>AVERAGE($I36:I52)+AVERAGE($I36:I52)*0.2</formula>
    </cfRule>
  </conditionalFormatting>
  <conditionalFormatting sqref="J36:J52 J64:J65">
    <cfRule type="cellIs" dxfId="22" priority="116" operator="greaterThan">
      <formula>AVERAGE($J36:J52)+AVERAGE($J36:J52)*0.2</formula>
    </cfRule>
  </conditionalFormatting>
  <conditionalFormatting sqref="K36:K52 K64:K65">
    <cfRule type="cellIs" dxfId="21" priority="120" operator="greaterThan">
      <formula>AVERAGE($K36:K52)+AVERAGE($K36:K52)*0.2</formula>
    </cfRule>
  </conditionalFormatting>
  <conditionalFormatting sqref="G36:G52 G64:G65">
    <cfRule type="cellIs" dxfId="20" priority="124" operator="greaterThan">
      <formula>AVERAGE($G36:G52)+AVERAGE($G36:G52)*0.2</formula>
    </cfRule>
  </conditionalFormatting>
  <conditionalFormatting sqref="N36:N52 N64:N65">
    <cfRule type="cellIs" dxfId="19" priority="131" operator="greaterThan">
      <formula>AVERAGE($N36:N52)+AVERAGE($N36:N52)*0.2</formula>
    </cfRule>
  </conditionalFormatting>
  <conditionalFormatting sqref="S36:S52 S64:S65">
    <cfRule type="cellIs" dxfId="18" priority="135" stopIfTrue="1" operator="greaterThan">
      <formula>AVERAGE($S36:S52)+AVERAGE($S36:S52)*0.2</formula>
    </cfRule>
  </conditionalFormatting>
  <conditionalFormatting sqref="K66:K80">
    <cfRule type="cellIs" dxfId="17" priority="143" operator="greaterThan">
      <formula>AVERAGE($K66:K81)+AVERAGE($K66:K81)*0.2</formula>
    </cfRule>
  </conditionalFormatting>
  <conditionalFormatting sqref="J66:J80">
    <cfRule type="cellIs" dxfId="16" priority="146" operator="greaterThan">
      <formula>AVERAGE($J66:J81)+AVERAGE($J66:J81)*0.2</formula>
    </cfRule>
  </conditionalFormatting>
  <conditionalFormatting sqref="I66:I80">
    <cfRule type="cellIs" dxfId="15" priority="149" operator="greaterThan">
      <formula>AVERAGE($I66:I81)+AVERAGE($I66:I81)*0.2</formula>
    </cfRule>
  </conditionalFormatting>
  <conditionalFormatting sqref="H66:H80">
    <cfRule type="cellIs" dxfId="14" priority="152" operator="greaterThan">
      <formula>AVERAGE($H66:H81)+AVERAGE($H66:H81)*0.2</formula>
    </cfRule>
  </conditionalFormatting>
  <conditionalFormatting sqref="G78 G66:G76">
    <cfRule type="cellIs" dxfId="13" priority="154" operator="greaterThan">
      <formula>AVERAGE($G66:G81)+AVERAGE($G66:G81)*0.2</formula>
    </cfRule>
  </conditionalFormatting>
  <conditionalFormatting sqref="F66:F80">
    <cfRule type="cellIs" dxfId="12" priority="160" operator="greaterThan">
      <formula>AVERAGE($F66:F81)+AVERAGE($F66:F81)*0.2</formula>
    </cfRule>
  </conditionalFormatting>
  <conditionalFormatting sqref="L66:L80">
    <cfRule type="cellIs" dxfId="11" priority="164" operator="greaterThan">
      <formula>AVERAGE($L66:L81)+AVERAGE($L66:L81)*0.2</formula>
    </cfRule>
  </conditionalFormatting>
  <conditionalFormatting sqref="M66:M80">
    <cfRule type="cellIs" dxfId="10" priority="168" operator="greaterThan">
      <formula>AVERAGE($M66:M81)+AVERAGE($M66:M81)*0.2</formula>
    </cfRule>
  </conditionalFormatting>
  <conditionalFormatting sqref="N66:N80">
    <cfRule type="cellIs" dxfId="9" priority="172" operator="greaterThan">
      <formula>AVERAGE($N66:N81)+AVERAGE($N66:N81)*0.2</formula>
    </cfRule>
  </conditionalFormatting>
  <conditionalFormatting sqref="P66:P80">
    <cfRule type="cellIs" dxfId="8" priority="176" operator="greaterThan">
      <formula>AVERAGE($P66:P81)+AVERAGE($P66:P81)*0.2</formula>
    </cfRule>
  </conditionalFormatting>
  <conditionalFormatting sqref="Q66:Q80">
    <cfRule type="cellIs" dxfId="7" priority="180" operator="greaterThan">
      <formula>AVERAGE($Q66:Q81)+AVERAGE($Q66:Q81)*0.2</formula>
    </cfRule>
  </conditionalFormatting>
  <conditionalFormatting sqref="R69:R80">
    <cfRule type="cellIs" dxfId="6" priority="182" operator="greaterThan">
      <formula>AVERAGE($R69:R84)+AVERAGE($R69:R84)*0.2</formula>
    </cfRule>
  </conditionalFormatting>
  <conditionalFormatting sqref="S66:S80">
    <cfRule type="cellIs" dxfId="5" priority="186" operator="greaterThan">
      <formula>AVERAGE($S66:S81)+AVERAGE($S66:S81)*0.2</formula>
    </cfRule>
  </conditionalFormatting>
  <conditionalFormatting sqref="T66:T80">
    <cfRule type="cellIs" dxfId="4" priority="190" operator="greaterThan">
      <formula>AVERAGE($T66:T81)+AVERAGE($T66:T81)*0.2</formula>
    </cfRule>
  </conditionalFormatting>
  <conditionalFormatting sqref="F72:F80">
    <cfRule type="cellIs" dxfId="3" priority="198" operator="greaterThan">
      <formula>AVERAGE($F72:F81)+AVERAGE($F72:F81)*0.2</formula>
    </cfRule>
  </conditionalFormatting>
  <conditionalFormatting sqref="S66:S80">
    <cfRule type="cellIs" dxfId="2" priority="214" stopIfTrue="1" operator="greaterThan">
      <formula>AVERAGE($S66:S81)+AVERAGE($S66:S81)*0.2</formula>
    </cfRule>
  </conditionalFormatting>
  <conditionalFormatting sqref="U73">
    <cfRule type="cellIs" dxfId="1" priority="2" operator="greaterThan">
      <formula>3.4</formula>
    </cfRule>
  </conditionalFormatting>
  <conditionalFormatting sqref="U4:U75">
    <cfRule type="cellIs" dxfId="0" priority="1" operator="greaterThan">
      <formula>0.034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860D3-88F8-5745-BA82-C08893F5CA63}">
  <sheetPr codeName="Sheet2"/>
  <dimension ref="A1:M107"/>
  <sheetViews>
    <sheetView workbookViewId="0">
      <selection activeCell="D75" sqref="D75:D77"/>
    </sheetView>
  </sheetViews>
  <sheetFormatPr baseColWidth="10" defaultRowHeight="16" x14ac:dyDescent="0.2"/>
  <cols>
    <col min="3" max="3" width="15" customWidth="1"/>
    <col min="4" max="4" width="16.5" customWidth="1"/>
    <col min="5" max="5" width="16.6640625" customWidth="1"/>
    <col min="6" max="6" width="13.33203125" customWidth="1"/>
    <col min="7" max="7" width="15.6640625" customWidth="1"/>
    <col min="8" max="8" width="15.1640625" customWidth="1"/>
    <col min="9" max="9" width="13.5" customWidth="1"/>
    <col min="10" max="10" width="15.1640625" customWidth="1"/>
    <col min="11" max="11" width="15.5" customWidth="1"/>
    <col min="12" max="12" width="17.5" customWidth="1"/>
    <col min="13" max="13" width="14.33203125" customWidth="1"/>
    <col min="14" max="14" width="15.6640625" customWidth="1"/>
    <col min="15" max="15" width="15.1640625" customWidth="1"/>
  </cols>
  <sheetData>
    <row r="1" spans="1:13" x14ac:dyDescent="0.2">
      <c r="A1" s="29" t="s">
        <v>120</v>
      </c>
      <c r="B1" s="28" t="s">
        <v>180</v>
      </c>
    </row>
    <row r="2" spans="1:13" x14ac:dyDescent="0.2">
      <c r="A2" s="44" t="s">
        <v>375</v>
      </c>
      <c r="B2" t="s">
        <v>177</v>
      </c>
      <c r="G2" t="s">
        <v>194</v>
      </c>
      <c r="H2" t="s">
        <v>183</v>
      </c>
    </row>
    <row r="3" spans="1:13" x14ac:dyDescent="0.2">
      <c r="A3" s="44"/>
      <c r="B3" t="s">
        <v>176</v>
      </c>
      <c r="E3" t="s">
        <v>227</v>
      </c>
      <c r="G3" t="s">
        <v>194</v>
      </c>
      <c r="H3" t="s">
        <v>183</v>
      </c>
    </row>
    <row r="4" spans="1:13" x14ac:dyDescent="0.2">
      <c r="A4" s="44"/>
      <c r="B4" t="s">
        <v>173</v>
      </c>
      <c r="C4" t="s">
        <v>83</v>
      </c>
      <c r="D4" t="s">
        <v>26</v>
      </c>
      <c r="E4" t="s">
        <v>227</v>
      </c>
      <c r="F4" t="s">
        <v>376</v>
      </c>
      <c r="G4" t="s">
        <v>194</v>
      </c>
      <c r="H4" t="s">
        <v>183</v>
      </c>
      <c r="I4" t="s">
        <v>364</v>
      </c>
    </row>
    <row r="5" spans="1:13" x14ac:dyDescent="0.2">
      <c r="A5" s="44"/>
      <c r="B5" t="s">
        <v>198</v>
      </c>
      <c r="C5" s="17">
        <v>62934030000</v>
      </c>
      <c r="D5" s="17">
        <v>53230990000</v>
      </c>
      <c r="E5" s="17">
        <v>14025956959</v>
      </c>
      <c r="F5" s="17">
        <v>11392590000</v>
      </c>
      <c r="G5" s="17">
        <v>2188880000</v>
      </c>
      <c r="H5" s="17">
        <v>727780000</v>
      </c>
      <c r="I5" s="17">
        <v>572680000</v>
      </c>
    </row>
    <row r="6" spans="1:13" x14ac:dyDescent="0.2">
      <c r="A6" s="44" t="s">
        <v>370</v>
      </c>
      <c r="B6" t="s">
        <v>177</v>
      </c>
      <c r="C6" t="s">
        <v>44</v>
      </c>
    </row>
    <row r="7" spans="1:13" x14ac:dyDescent="0.2">
      <c r="A7" s="44"/>
      <c r="B7" t="s">
        <v>176</v>
      </c>
      <c r="C7" t="s">
        <v>44</v>
      </c>
      <c r="D7" t="s">
        <v>63</v>
      </c>
      <c r="E7" t="s">
        <v>77</v>
      </c>
    </row>
    <row r="8" spans="1:13" x14ac:dyDescent="0.2">
      <c r="A8" s="44"/>
      <c r="B8" t="s">
        <v>173</v>
      </c>
      <c r="C8" t="s">
        <v>44</v>
      </c>
      <c r="D8" t="s">
        <v>63</v>
      </c>
      <c r="E8" t="s">
        <v>77</v>
      </c>
      <c r="F8" t="s">
        <v>88</v>
      </c>
      <c r="G8" t="s">
        <v>317</v>
      </c>
      <c r="H8" t="s">
        <v>66</v>
      </c>
      <c r="I8" t="s">
        <v>360</v>
      </c>
    </row>
    <row r="9" spans="1:13" x14ac:dyDescent="0.2">
      <c r="A9" s="44"/>
      <c r="B9" t="s">
        <v>198</v>
      </c>
      <c r="C9" s="17">
        <v>24342580000</v>
      </c>
      <c r="D9" s="17">
        <v>13853090000</v>
      </c>
      <c r="E9" s="17">
        <v>11479190000</v>
      </c>
      <c r="F9" s="17">
        <v>8862058128</v>
      </c>
      <c r="G9" s="17">
        <v>2029610000</v>
      </c>
      <c r="H9" s="17">
        <v>1736771163</v>
      </c>
      <c r="I9" s="17">
        <v>667020000</v>
      </c>
    </row>
    <row r="10" spans="1:13" x14ac:dyDescent="0.2">
      <c r="A10" s="44" t="s">
        <v>290</v>
      </c>
      <c r="B10" t="s">
        <v>178</v>
      </c>
      <c r="C10" t="s">
        <v>36</v>
      </c>
    </row>
    <row r="11" spans="1:13" x14ac:dyDescent="0.2">
      <c r="A11" s="44"/>
      <c r="B11" t="s">
        <v>177</v>
      </c>
      <c r="C11" t="s">
        <v>36</v>
      </c>
    </row>
    <row r="12" spans="1:13" x14ac:dyDescent="0.2">
      <c r="A12" s="44"/>
      <c r="B12" t="s">
        <v>176</v>
      </c>
      <c r="C12" t="s">
        <v>36</v>
      </c>
    </row>
    <row r="13" spans="1:13" x14ac:dyDescent="0.2">
      <c r="A13" s="44"/>
      <c r="B13" t="s">
        <v>173</v>
      </c>
      <c r="C13" t="s">
        <v>36</v>
      </c>
      <c r="D13" t="s">
        <v>42</v>
      </c>
      <c r="E13" t="s">
        <v>114</v>
      </c>
      <c r="F13" t="s">
        <v>223</v>
      </c>
      <c r="G13" t="s">
        <v>113</v>
      </c>
      <c r="H13" t="s">
        <v>188</v>
      </c>
      <c r="I13" t="s">
        <v>200</v>
      </c>
      <c r="J13" t="s">
        <v>105</v>
      </c>
      <c r="K13" t="s">
        <v>191</v>
      </c>
      <c r="L13" t="s">
        <v>174</v>
      </c>
      <c r="M13" t="s">
        <v>197</v>
      </c>
    </row>
    <row r="14" spans="1:13" x14ac:dyDescent="0.2">
      <c r="A14" s="44"/>
      <c r="B14" t="s">
        <v>198</v>
      </c>
      <c r="C14" s="17">
        <v>136073680000</v>
      </c>
      <c r="D14" s="17">
        <v>22460430000</v>
      </c>
      <c r="E14" s="17">
        <v>20195210000</v>
      </c>
      <c r="F14" s="17">
        <v>8703460000</v>
      </c>
      <c r="G14" s="17">
        <v>5938000000</v>
      </c>
      <c r="H14" s="17">
        <v>4500200000</v>
      </c>
      <c r="I14" s="17">
        <v>3403070000</v>
      </c>
      <c r="J14" s="17">
        <v>3322160000</v>
      </c>
      <c r="K14" s="17">
        <v>2769780000</v>
      </c>
      <c r="L14" s="17">
        <v>517690160</v>
      </c>
      <c r="M14" s="17">
        <v>304800000</v>
      </c>
    </row>
    <row r="15" spans="1:13" x14ac:dyDescent="0.2">
      <c r="A15" s="44" t="s">
        <v>289</v>
      </c>
      <c r="B15" t="s">
        <v>178</v>
      </c>
      <c r="C15" t="s">
        <v>30</v>
      </c>
      <c r="D15" t="s">
        <v>7</v>
      </c>
    </row>
    <row r="16" spans="1:13" x14ac:dyDescent="0.2">
      <c r="A16" s="44"/>
      <c r="B16" t="s">
        <v>177</v>
      </c>
      <c r="C16" t="s">
        <v>30</v>
      </c>
      <c r="D16" t="s">
        <v>7</v>
      </c>
    </row>
    <row r="17" spans="1:6" x14ac:dyDescent="0.2">
      <c r="A17" s="44"/>
      <c r="B17" t="s">
        <v>176</v>
      </c>
      <c r="C17" t="s">
        <v>30</v>
      </c>
      <c r="D17" t="s">
        <v>7</v>
      </c>
    </row>
    <row r="18" spans="1:6" x14ac:dyDescent="0.2">
      <c r="A18" s="44"/>
      <c r="B18" t="s">
        <v>173</v>
      </c>
      <c r="C18" t="s">
        <v>30</v>
      </c>
      <c r="D18" t="s">
        <v>7</v>
      </c>
    </row>
    <row r="19" spans="1:6" x14ac:dyDescent="0.2">
      <c r="A19" s="44"/>
      <c r="B19" t="s">
        <v>198</v>
      </c>
      <c r="C19" s="17">
        <v>39872210000</v>
      </c>
      <c r="D19" s="17">
        <v>23759837130</v>
      </c>
    </row>
    <row r="20" spans="1:6" x14ac:dyDescent="0.2">
      <c r="A20" s="44" t="s">
        <v>288</v>
      </c>
      <c r="B20" t="s">
        <v>178</v>
      </c>
      <c r="C20" t="s">
        <v>313</v>
      </c>
    </row>
    <row r="21" spans="1:6" x14ac:dyDescent="0.2">
      <c r="A21" s="44"/>
      <c r="B21" t="s">
        <v>177</v>
      </c>
      <c r="C21" t="s">
        <v>313</v>
      </c>
    </row>
    <row r="22" spans="1:6" x14ac:dyDescent="0.2">
      <c r="A22" s="44"/>
      <c r="B22" t="s">
        <v>176</v>
      </c>
      <c r="C22" t="s">
        <v>313</v>
      </c>
    </row>
    <row r="23" spans="1:6" x14ac:dyDescent="0.2">
      <c r="A23" s="44"/>
      <c r="B23" t="s">
        <v>173</v>
      </c>
      <c r="C23" t="s">
        <v>313</v>
      </c>
    </row>
    <row r="24" spans="1:6" x14ac:dyDescent="0.2">
      <c r="A24" s="44"/>
      <c r="B24" t="s">
        <v>198</v>
      </c>
      <c r="C24" s="17">
        <v>1278030000</v>
      </c>
    </row>
    <row r="25" spans="1:6" x14ac:dyDescent="0.2">
      <c r="A25" s="44" t="s">
        <v>287</v>
      </c>
      <c r="B25" t="s">
        <v>178</v>
      </c>
      <c r="C25" t="s">
        <v>102</v>
      </c>
    </row>
    <row r="26" spans="1:6" x14ac:dyDescent="0.2">
      <c r="A26" s="44"/>
      <c r="B26" t="s">
        <v>177</v>
      </c>
      <c r="C26" t="s">
        <v>102</v>
      </c>
    </row>
    <row r="27" spans="1:6" x14ac:dyDescent="0.2">
      <c r="A27" s="44"/>
      <c r="B27" t="s">
        <v>176</v>
      </c>
      <c r="C27" t="s">
        <v>102</v>
      </c>
    </row>
    <row r="28" spans="1:6" x14ac:dyDescent="0.2">
      <c r="A28" s="44"/>
      <c r="B28" t="s">
        <v>173</v>
      </c>
      <c r="C28" t="s">
        <v>102</v>
      </c>
    </row>
    <row r="29" spans="1:6" x14ac:dyDescent="0.2">
      <c r="A29" s="44"/>
      <c r="B29" t="s">
        <v>198</v>
      </c>
      <c r="C29" s="17">
        <v>26818920000</v>
      </c>
    </row>
    <row r="30" spans="1:6" x14ac:dyDescent="0.2">
      <c r="A30" s="44" t="s">
        <v>286</v>
      </c>
      <c r="B30" t="s">
        <v>178</v>
      </c>
      <c r="C30" t="s">
        <v>351</v>
      </c>
      <c r="D30" t="s">
        <v>205</v>
      </c>
      <c r="E30" t="s">
        <v>352</v>
      </c>
      <c r="F30" t="s">
        <v>306</v>
      </c>
    </row>
    <row r="31" spans="1:6" x14ac:dyDescent="0.2">
      <c r="A31" s="44"/>
      <c r="B31" t="s">
        <v>177</v>
      </c>
      <c r="C31" t="s">
        <v>351</v>
      </c>
      <c r="D31" t="s">
        <v>205</v>
      </c>
      <c r="E31" t="s">
        <v>352</v>
      </c>
      <c r="F31" t="s">
        <v>306</v>
      </c>
    </row>
    <row r="32" spans="1:6" x14ac:dyDescent="0.2">
      <c r="A32" s="44"/>
      <c r="B32" t="s">
        <v>176</v>
      </c>
      <c r="C32" t="s">
        <v>351</v>
      </c>
      <c r="D32" t="s">
        <v>205</v>
      </c>
      <c r="E32" t="s">
        <v>352</v>
      </c>
      <c r="F32" t="s">
        <v>306</v>
      </c>
    </row>
    <row r="33" spans="1:6" x14ac:dyDescent="0.2">
      <c r="A33" s="44"/>
      <c r="B33" t="s">
        <v>173</v>
      </c>
      <c r="C33" t="s">
        <v>351</v>
      </c>
      <c r="D33" t="s">
        <v>205</v>
      </c>
      <c r="E33" t="s">
        <v>352</v>
      </c>
      <c r="F33" t="s">
        <v>306</v>
      </c>
    </row>
    <row r="34" spans="1:6" x14ac:dyDescent="0.2">
      <c r="A34" s="44"/>
      <c r="B34" t="s">
        <v>198</v>
      </c>
      <c r="C34" s="17">
        <v>19966351962</v>
      </c>
      <c r="D34" s="17">
        <v>15305110000</v>
      </c>
      <c r="E34" s="17">
        <v>9714050000</v>
      </c>
      <c r="F34" s="17">
        <v>4225549695</v>
      </c>
    </row>
    <row r="35" spans="1:6" x14ac:dyDescent="0.2">
      <c r="A35" s="44" t="s">
        <v>284</v>
      </c>
      <c r="B35" t="s">
        <v>178</v>
      </c>
      <c r="C35" t="s">
        <v>74</v>
      </c>
      <c r="D35" t="s">
        <v>293</v>
      </c>
    </row>
    <row r="36" spans="1:6" x14ac:dyDescent="0.2">
      <c r="A36" s="44"/>
      <c r="B36" t="s">
        <v>177</v>
      </c>
      <c r="C36" t="s">
        <v>74</v>
      </c>
      <c r="D36" t="s">
        <v>293</v>
      </c>
    </row>
    <row r="37" spans="1:6" x14ac:dyDescent="0.2">
      <c r="A37" s="44"/>
      <c r="B37" t="s">
        <v>176</v>
      </c>
      <c r="C37" t="s">
        <v>74</v>
      </c>
      <c r="D37" t="s">
        <v>293</v>
      </c>
    </row>
    <row r="38" spans="1:6" x14ac:dyDescent="0.2">
      <c r="A38" s="44"/>
      <c r="B38" t="s">
        <v>173</v>
      </c>
      <c r="C38" t="s">
        <v>74</v>
      </c>
      <c r="D38" t="s">
        <v>293</v>
      </c>
    </row>
    <row r="39" spans="1:6" x14ac:dyDescent="0.2">
      <c r="A39" s="44"/>
      <c r="B39" t="s">
        <v>198</v>
      </c>
      <c r="C39" s="17">
        <v>288572790000</v>
      </c>
      <c r="D39" s="17">
        <v>32537151941</v>
      </c>
    </row>
    <row r="40" spans="1:6" x14ac:dyDescent="0.2">
      <c r="A40" s="44" t="s">
        <v>283</v>
      </c>
      <c r="B40" t="s">
        <v>178</v>
      </c>
      <c r="C40" t="s">
        <v>341</v>
      </c>
    </row>
    <row r="41" spans="1:6" x14ac:dyDescent="0.2">
      <c r="A41" s="44"/>
      <c r="B41" t="s">
        <v>177</v>
      </c>
      <c r="C41" t="s">
        <v>341</v>
      </c>
    </row>
    <row r="42" spans="1:6" x14ac:dyDescent="0.2">
      <c r="A42" s="44"/>
      <c r="B42" t="s">
        <v>176</v>
      </c>
      <c r="C42" t="s">
        <v>29</v>
      </c>
      <c r="D42" t="s">
        <v>341</v>
      </c>
    </row>
    <row r="43" spans="1:6" x14ac:dyDescent="0.2">
      <c r="A43" s="44"/>
      <c r="B43" t="s">
        <v>173</v>
      </c>
      <c r="C43" t="s">
        <v>29</v>
      </c>
      <c r="D43" t="s">
        <v>341</v>
      </c>
    </row>
    <row r="44" spans="1:6" x14ac:dyDescent="0.2">
      <c r="A44" s="44"/>
      <c r="B44" t="s">
        <v>198</v>
      </c>
      <c r="C44" s="17">
        <v>31713300000</v>
      </c>
      <c r="D44" s="17">
        <v>8171840000</v>
      </c>
    </row>
    <row r="45" spans="1:6" x14ac:dyDescent="0.2">
      <c r="A45" s="44" t="s">
        <v>282</v>
      </c>
      <c r="B45" t="s">
        <v>178</v>
      </c>
      <c r="C45" t="s">
        <v>92</v>
      </c>
    </row>
    <row r="46" spans="1:6" x14ac:dyDescent="0.2">
      <c r="A46" s="44"/>
      <c r="B46" t="s">
        <v>177</v>
      </c>
      <c r="C46" t="s">
        <v>92</v>
      </c>
    </row>
    <row r="47" spans="1:6" x14ac:dyDescent="0.2">
      <c r="A47" s="44"/>
      <c r="B47" t="s">
        <v>176</v>
      </c>
      <c r="C47" t="s">
        <v>92</v>
      </c>
    </row>
    <row r="48" spans="1:6" x14ac:dyDescent="0.2">
      <c r="A48" s="44"/>
      <c r="B48" t="s">
        <v>173</v>
      </c>
      <c r="C48" t="s">
        <v>92</v>
      </c>
    </row>
    <row r="49" spans="1:7" x14ac:dyDescent="0.2">
      <c r="A49" s="44"/>
      <c r="B49" t="s">
        <v>198</v>
      </c>
      <c r="C49" s="17">
        <v>42286920000</v>
      </c>
    </row>
    <row r="50" spans="1:7" x14ac:dyDescent="0.2">
      <c r="A50" s="44" t="s">
        <v>281</v>
      </c>
      <c r="B50" t="s">
        <v>178</v>
      </c>
      <c r="C50" t="s">
        <v>61</v>
      </c>
      <c r="D50" t="s">
        <v>219</v>
      </c>
    </row>
    <row r="51" spans="1:7" x14ac:dyDescent="0.2">
      <c r="A51" s="44"/>
      <c r="B51" t="s">
        <v>177</v>
      </c>
      <c r="C51" t="s">
        <v>61</v>
      </c>
      <c r="D51" t="s">
        <v>219</v>
      </c>
    </row>
    <row r="52" spans="1:7" x14ac:dyDescent="0.2">
      <c r="A52" s="44"/>
      <c r="B52" t="s">
        <v>176</v>
      </c>
      <c r="C52" t="s">
        <v>61</v>
      </c>
      <c r="D52" t="s">
        <v>219</v>
      </c>
    </row>
    <row r="53" spans="1:7" x14ac:dyDescent="0.2">
      <c r="A53" s="44"/>
      <c r="B53" t="s">
        <v>173</v>
      </c>
      <c r="C53" t="s">
        <v>61</v>
      </c>
    </row>
    <row r="54" spans="1:7" x14ac:dyDescent="0.2">
      <c r="A54" s="44"/>
      <c r="B54" t="s">
        <v>198</v>
      </c>
      <c r="C54" s="17">
        <v>111059600000</v>
      </c>
    </row>
    <row r="55" spans="1:7" x14ac:dyDescent="0.2">
      <c r="A55" s="44" t="s">
        <v>280</v>
      </c>
      <c r="B55" t="s">
        <v>178</v>
      </c>
      <c r="C55" t="s">
        <v>72</v>
      </c>
      <c r="D55" t="s">
        <v>328</v>
      </c>
      <c r="E55" t="s">
        <v>329</v>
      </c>
      <c r="F55" t="s">
        <v>35</v>
      </c>
    </row>
    <row r="56" spans="1:7" x14ac:dyDescent="0.2">
      <c r="A56" s="44"/>
      <c r="B56" t="s">
        <v>177</v>
      </c>
      <c r="C56" t="s">
        <v>72</v>
      </c>
      <c r="D56" t="s">
        <v>328</v>
      </c>
      <c r="E56" t="s">
        <v>329</v>
      </c>
      <c r="F56" t="s">
        <v>35</v>
      </c>
    </row>
    <row r="57" spans="1:7" x14ac:dyDescent="0.2">
      <c r="A57" s="44"/>
      <c r="B57" t="s">
        <v>176</v>
      </c>
      <c r="C57" t="s">
        <v>72</v>
      </c>
      <c r="D57" t="s">
        <v>328</v>
      </c>
      <c r="E57" t="s">
        <v>329</v>
      </c>
      <c r="F57" t="s">
        <v>35</v>
      </c>
    </row>
    <row r="58" spans="1:7" x14ac:dyDescent="0.2">
      <c r="A58" s="44"/>
      <c r="B58" t="s">
        <v>173</v>
      </c>
      <c r="C58" t="s">
        <v>72</v>
      </c>
      <c r="D58" t="s">
        <v>328</v>
      </c>
      <c r="E58" t="s">
        <v>329</v>
      </c>
      <c r="F58" t="s">
        <v>330</v>
      </c>
      <c r="G58" t="s">
        <v>35</v>
      </c>
    </row>
    <row r="59" spans="1:7" x14ac:dyDescent="0.2">
      <c r="A59" s="44"/>
      <c r="B59" t="s">
        <v>198</v>
      </c>
      <c r="C59" s="17">
        <v>59582570000</v>
      </c>
      <c r="D59" s="17">
        <v>32754480000</v>
      </c>
      <c r="E59" s="17">
        <v>7218951421</v>
      </c>
      <c r="F59" s="17">
        <v>1646907711</v>
      </c>
      <c r="G59" s="17">
        <v>1575230000</v>
      </c>
    </row>
    <row r="60" spans="1:7" x14ac:dyDescent="0.2">
      <c r="A60" s="44" t="s">
        <v>278</v>
      </c>
      <c r="B60" t="s">
        <v>178</v>
      </c>
      <c r="C60" t="s">
        <v>91</v>
      </c>
      <c r="D60" t="s">
        <v>310</v>
      </c>
    </row>
    <row r="61" spans="1:7" x14ac:dyDescent="0.2">
      <c r="A61" s="44"/>
      <c r="B61" t="s">
        <v>177</v>
      </c>
      <c r="C61" t="s">
        <v>91</v>
      </c>
      <c r="D61" t="s">
        <v>310</v>
      </c>
    </row>
    <row r="62" spans="1:7" x14ac:dyDescent="0.2">
      <c r="A62" s="44"/>
      <c r="B62" t="s">
        <v>176</v>
      </c>
      <c r="C62" t="s">
        <v>91</v>
      </c>
      <c r="D62" t="s">
        <v>310</v>
      </c>
    </row>
    <row r="63" spans="1:7" x14ac:dyDescent="0.2">
      <c r="A63" s="44"/>
      <c r="B63" t="s">
        <v>173</v>
      </c>
      <c r="C63" t="s">
        <v>91</v>
      </c>
      <c r="D63" t="s">
        <v>310</v>
      </c>
    </row>
    <row r="64" spans="1:7" x14ac:dyDescent="0.2">
      <c r="A64" s="44"/>
      <c r="B64" t="s">
        <v>198</v>
      </c>
      <c r="C64" s="17">
        <v>51969160858</v>
      </c>
      <c r="D64" s="17">
        <v>1947009626</v>
      </c>
    </row>
    <row r="65" spans="1:4" x14ac:dyDescent="0.2">
      <c r="A65" s="44" t="s">
        <v>277</v>
      </c>
      <c r="B65" t="s">
        <v>178</v>
      </c>
      <c r="C65" t="s">
        <v>204</v>
      </c>
    </row>
    <row r="66" spans="1:4" x14ac:dyDescent="0.2">
      <c r="A66" s="44"/>
      <c r="B66" t="s">
        <v>177</v>
      </c>
      <c r="C66" t="s">
        <v>204</v>
      </c>
    </row>
    <row r="67" spans="1:4" x14ac:dyDescent="0.2">
      <c r="A67" s="44"/>
      <c r="B67" t="s">
        <v>176</v>
      </c>
      <c r="C67" t="s">
        <v>204</v>
      </c>
    </row>
    <row r="68" spans="1:4" x14ac:dyDescent="0.2">
      <c r="A68" s="44"/>
      <c r="B68" t="s">
        <v>173</v>
      </c>
      <c r="C68" t="s">
        <v>204</v>
      </c>
    </row>
    <row r="69" spans="1:4" x14ac:dyDescent="0.2">
      <c r="A69" s="44"/>
      <c r="B69" t="s">
        <v>198</v>
      </c>
      <c r="C69" s="17">
        <v>48765430000</v>
      </c>
    </row>
    <row r="70" spans="1:4" x14ac:dyDescent="0.2">
      <c r="A70" s="44" t="s">
        <v>273</v>
      </c>
      <c r="B70" t="s">
        <v>178</v>
      </c>
      <c r="C70" t="s">
        <v>71</v>
      </c>
      <c r="D70" t="s">
        <v>305</v>
      </c>
    </row>
    <row r="71" spans="1:4" x14ac:dyDescent="0.2">
      <c r="A71" s="44"/>
      <c r="B71" t="s">
        <v>177</v>
      </c>
      <c r="C71" t="s">
        <v>71</v>
      </c>
      <c r="D71" t="s">
        <v>305</v>
      </c>
    </row>
    <row r="72" spans="1:4" x14ac:dyDescent="0.2">
      <c r="A72" s="44"/>
      <c r="B72" t="s">
        <v>176</v>
      </c>
      <c r="C72" t="s">
        <v>71</v>
      </c>
      <c r="D72" t="s">
        <v>305</v>
      </c>
    </row>
    <row r="73" spans="1:4" x14ac:dyDescent="0.2">
      <c r="A73" s="44"/>
      <c r="B73" t="s">
        <v>173</v>
      </c>
      <c r="C73" t="s">
        <v>71</v>
      </c>
      <c r="D73" t="s">
        <v>305</v>
      </c>
    </row>
    <row r="74" spans="1:4" x14ac:dyDescent="0.2">
      <c r="A74" s="44"/>
      <c r="B74" t="s">
        <v>198</v>
      </c>
      <c r="C74" s="17">
        <v>16174500000</v>
      </c>
      <c r="D74" s="17">
        <v>22450000</v>
      </c>
    </row>
    <row r="75" spans="1:4" x14ac:dyDescent="0.2">
      <c r="A75" s="44" t="s">
        <v>272</v>
      </c>
      <c r="B75" t="s">
        <v>178</v>
      </c>
      <c r="D75" t="s">
        <v>194</v>
      </c>
    </row>
    <row r="76" spans="1:4" x14ac:dyDescent="0.2">
      <c r="A76" s="44"/>
      <c r="B76" t="s">
        <v>177</v>
      </c>
      <c r="D76" t="s">
        <v>194</v>
      </c>
    </row>
    <row r="77" spans="1:4" x14ac:dyDescent="0.2">
      <c r="A77" s="44"/>
      <c r="B77" t="s">
        <v>176</v>
      </c>
      <c r="D77" t="s">
        <v>194</v>
      </c>
    </row>
    <row r="78" spans="1:4" x14ac:dyDescent="0.2">
      <c r="A78" s="44"/>
      <c r="B78" t="s">
        <v>173</v>
      </c>
      <c r="C78" t="s">
        <v>21</v>
      </c>
      <c r="D78" t="s">
        <v>194</v>
      </c>
    </row>
    <row r="79" spans="1:4" x14ac:dyDescent="0.2">
      <c r="A79" s="44"/>
      <c r="B79" t="s">
        <v>198</v>
      </c>
      <c r="C79" s="17">
        <v>74508187214</v>
      </c>
      <c r="D79" s="17">
        <v>1415680000</v>
      </c>
    </row>
    <row r="80" spans="1:4" x14ac:dyDescent="0.2">
      <c r="A80" s="44" t="s">
        <v>271</v>
      </c>
      <c r="B80" t="s">
        <v>178</v>
      </c>
      <c r="C80" t="s">
        <v>44</v>
      </c>
    </row>
    <row r="81" spans="1:5" x14ac:dyDescent="0.2">
      <c r="A81" s="44"/>
      <c r="B81" t="s">
        <v>177</v>
      </c>
      <c r="C81" t="s">
        <v>44</v>
      </c>
    </row>
    <row r="82" spans="1:5" x14ac:dyDescent="0.2">
      <c r="A82" s="44"/>
      <c r="B82" t="s">
        <v>176</v>
      </c>
      <c r="C82" t="s">
        <v>44</v>
      </c>
    </row>
    <row r="83" spans="1:5" x14ac:dyDescent="0.2">
      <c r="A83" s="44"/>
      <c r="B83" t="s">
        <v>173</v>
      </c>
      <c r="C83" t="s">
        <v>44</v>
      </c>
    </row>
    <row r="84" spans="1:5" x14ac:dyDescent="0.2">
      <c r="A84" s="44"/>
      <c r="B84" t="s">
        <v>198</v>
      </c>
      <c r="C84" s="17">
        <v>11069670000</v>
      </c>
    </row>
    <row r="85" spans="1:5" x14ac:dyDescent="0.2">
      <c r="A85" s="44" t="s">
        <v>269</v>
      </c>
      <c r="B85" t="s">
        <v>178</v>
      </c>
      <c r="C85" t="s">
        <v>18</v>
      </c>
    </row>
    <row r="86" spans="1:5" x14ac:dyDescent="0.2">
      <c r="A86" s="44"/>
      <c r="B86" t="s">
        <v>177</v>
      </c>
      <c r="C86" t="s">
        <v>18</v>
      </c>
    </row>
    <row r="87" spans="1:5" x14ac:dyDescent="0.2">
      <c r="A87" s="44"/>
      <c r="B87" t="s">
        <v>176</v>
      </c>
      <c r="C87" t="s">
        <v>18</v>
      </c>
    </row>
    <row r="88" spans="1:5" x14ac:dyDescent="0.2">
      <c r="A88" s="44"/>
      <c r="B88" t="s">
        <v>173</v>
      </c>
      <c r="C88" t="s">
        <v>18</v>
      </c>
    </row>
    <row r="89" spans="1:5" x14ac:dyDescent="0.2">
      <c r="A89" s="44"/>
      <c r="B89" t="s">
        <v>198</v>
      </c>
      <c r="C89" s="17">
        <v>545488620000</v>
      </c>
    </row>
    <row r="90" spans="1:5" x14ac:dyDescent="0.2">
      <c r="A90" s="44" t="s">
        <v>268</v>
      </c>
      <c r="B90" t="s">
        <v>178</v>
      </c>
      <c r="C90" t="s">
        <v>179</v>
      </c>
    </row>
    <row r="91" spans="1:5" x14ac:dyDescent="0.2">
      <c r="A91" s="44"/>
      <c r="B91" t="s">
        <v>177</v>
      </c>
      <c r="C91" t="s">
        <v>179</v>
      </c>
    </row>
    <row r="92" spans="1:5" x14ac:dyDescent="0.2">
      <c r="A92" s="44"/>
      <c r="B92" t="s">
        <v>176</v>
      </c>
      <c r="C92" t="s">
        <v>179</v>
      </c>
    </row>
    <row r="93" spans="1:5" x14ac:dyDescent="0.2">
      <c r="A93" s="44"/>
      <c r="B93" t="s">
        <v>173</v>
      </c>
      <c r="C93" t="s">
        <v>179</v>
      </c>
      <c r="D93" t="s">
        <v>27</v>
      </c>
      <c r="E93" t="s">
        <v>219</v>
      </c>
    </row>
    <row r="94" spans="1:5" x14ac:dyDescent="0.2">
      <c r="A94" s="44"/>
      <c r="B94" t="s">
        <v>198</v>
      </c>
      <c r="C94" s="17">
        <v>54782470000</v>
      </c>
      <c r="D94" s="17">
        <v>24799900000</v>
      </c>
      <c r="E94" s="17">
        <v>1667980000</v>
      </c>
    </row>
    <row r="107" spans="1:1" x14ac:dyDescent="0.2">
      <c r="A107" t="s">
        <v>181</v>
      </c>
    </row>
  </sheetData>
  <mergeCells count="19">
    <mergeCell ref="A2:A5"/>
    <mergeCell ref="A90:A94"/>
    <mergeCell ref="A85:A89"/>
    <mergeCell ref="A80:A84"/>
    <mergeCell ref="A75:A79"/>
    <mergeCell ref="A30:A34"/>
    <mergeCell ref="A55:A59"/>
    <mergeCell ref="A50:A54"/>
    <mergeCell ref="A45:A49"/>
    <mergeCell ref="A40:A44"/>
    <mergeCell ref="A35:A39"/>
    <mergeCell ref="A6:A9"/>
    <mergeCell ref="A10:A14"/>
    <mergeCell ref="A70:A74"/>
    <mergeCell ref="A65:A69"/>
    <mergeCell ref="A60:A64"/>
    <mergeCell ref="A25:A29"/>
    <mergeCell ref="A20:A24"/>
    <mergeCell ref="A15:A1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7FFD4-60EC-7543-AB9E-966DAB3621FA}">
  <sheetPr codeName="Sheet3"/>
  <dimension ref="A1:Y113"/>
  <sheetViews>
    <sheetView topLeftCell="A32" workbookViewId="0">
      <selection activeCell="G104" sqref="G104"/>
    </sheetView>
  </sheetViews>
  <sheetFormatPr baseColWidth="10" defaultRowHeight="16" x14ac:dyDescent="0.2"/>
  <cols>
    <col min="3" max="3" width="20.83203125" customWidth="1"/>
    <col min="4" max="4" width="20" customWidth="1"/>
    <col min="5" max="5" width="21.33203125" customWidth="1"/>
    <col min="6" max="6" width="18" customWidth="1"/>
    <col min="7" max="8" width="15.33203125" customWidth="1"/>
    <col min="9" max="9" width="14.1640625" customWidth="1"/>
    <col min="10" max="10" width="15.6640625" customWidth="1"/>
    <col min="11" max="11" width="18.6640625" customWidth="1"/>
    <col min="12" max="12" width="14.6640625" customWidth="1"/>
    <col min="13" max="13" width="15.5" customWidth="1"/>
    <col min="14" max="15" width="17.5" customWidth="1"/>
    <col min="16" max="16" width="14.33203125" customWidth="1"/>
    <col min="17" max="17" width="14.6640625" customWidth="1"/>
    <col min="18" max="18" width="15" customWidth="1"/>
    <col min="19" max="19" width="16.33203125" customWidth="1"/>
    <col min="20" max="20" width="17.5" customWidth="1"/>
    <col min="21" max="21" width="16.5" customWidth="1"/>
  </cols>
  <sheetData>
    <row r="1" spans="1:16" x14ac:dyDescent="0.2">
      <c r="A1" s="29" t="s">
        <v>120</v>
      </c>
      <c r="B1" s="28" t="s">
        <v>180</v>
      </c>
    </row>
    <row r="2" spans="1:16" x14ac:dyDescent="0.2">
      <c r="A2" s="44" t="s">
        <v>375</v>
      </c>
      <c r="B2" t="s">
        <v>177</v>
      </c>
      <c r="C2" t="s">
        <v>13</v>
      </c>
      <c r="D2" t="s">
        <v>293</v>
      </c>
      <c r="I2" t="s">
        <v>313</v>
      </c>
    </row>
    <row r="3" spans="1:16" x14ac:dyDescent="0.2">
      <c r="A3" s="44"/>
      <c r="B3" t="s">
        <v>176</v>
      </c>
      <c r="C3" t="s">
        <v>13</v>
      </c>
      <c r="D3" t="s">
        <v>293</v>
      </c>
      <c r="H3" t="s">
        <v>378</v>
      </c>
      <c r="I3" t="s">
        <v>313</v>
      </c>
      <c r="L3" t="s">
        <v>379</v>
      </c>
    </row>
    <row r="4" spans="1:16" x14ac:dyDescent="0.2">
      <c r="A4" s="44"/>
      <c r="B4" t="s">
        <v>173</v>
      </c>
      <c r="C4" t="s">
        <v>13</v>
      </c>
      <c r="D4" t="s">
        <v>293</v>
      </c>
      <c r="E4" t="s">
        <v>299</v>
      </c>
      <c r="F4" t="s">
        <v>203</v>
      </c>
      <c r="G4" t="s">
        <v>377</v>
      </c>
      <c r="H4" t="s">
        <v>378</v>
      </c>
      <c r="I4" t="s">
        <v>313</v>
      </c>
      <c r="J4" t="s">
        <v>188</v>
      </c>
      <c r="K4" t="s">
        <v>184</v>
      </c>
      <c r="L4" t="s">
        <v>379</v>
      </c>
    </row>
    <row r="5" spans="1:16" x14ac:dyDescent="0.2">
      <c r="A5" s="44"/>
      <c r="B5" t="s">
        <v>198</v>
      </c>
      <c r="C5" s="17">
        <v>-256790900000</v>
      </c>
      <c r="D5" s="17">
        <v>-82791735776</v>
      </c>
      <c r="E5" s="17">
        <v>-17948690000</v>
      </c>
      <c r="F5" s="17">
        <v>-6954800000</v>
      </c>
      <c r="G5" s="17">
        <v>-4065440214</v>
      </c>
      <c r="H5" s="17">
        <v>-2767660000</v>
      </c>
      <c r="I5" s="17">
        <v>-2696060000</v>
      </c>
      <c r="J5" s="17">
        <v>-2266680000</v>
      </c>
      <c r="K5" s="17">
        <v>-615030000</v>
      </c>
      <c r="L5" s="17">
        <v>-60630000</v>
      </c>
    </row>
    <row r="6" spans="1:16" x14ac:dyDescent="0.2">
      <c r="A6" s="44" t="s">
        <v>370</v>
      </c>
      <c r="B6" t="s">
        <v>177</v>
      </c>
      <c r="C6" t="s">
        <v>38</v>
      </c>
      <c r="F6" t="s">
        <v>39</v>
      </c>
      <c r="J6" t="s">
        <v>80</v>
      </c>
      <c r="L6" t="s">
        <v>195</v>
      </c>
    </row>
    <row r="7" spans="1:16" x14ac:dyDescent="0.2">
      <c r="A7" s="44"/>
      <c r="B7" t="s">
        <v>176</v>
      </c>
      <c r="C7" t="s">
        <v>38</v>
      </c>
      <c r="D7" t="s">
        <v>13</v>
      </c>
      <c r="F7" t="s">
        <v>39</v>
      </c>
      <c r="J7" t="s">
        <v>80</v>
      </c>
      <c r="L7" t="s">
        <v>195</v>
      </c>
    </row>
    <row r="8" spans="1:16" x14ac:dyDescent="0.2">
      <c r="A8" s="44"/>
      <c r="B8" t="s">
        <v>173</v>
      </c>
      <c r="C8" t="s">
        <v>38</v>
      </c>
      <c r="D8" t="s">
        <v>13</v>
      </c>
      <c r="E8" t="s">
        <v>25</v>
      </c>
      <c r="F8" t="s">
        <v>39</v>
      </c>
      <c r="G8" t="s">
        <v>112</v>
      </c>
      <c r="H8" t="s">
        <v>17</v>
      </c>
      <c r="I8" t="s">
        <v>189</v>
      </c>
      <c r="J8" t="s">
        <v>80</v>
      </c>
      <c r="K8" t="s">
        <v>37</v>
      </c>
      <c r="L8" t="s">
        <v>195</v>
      </c>
      <c r="M8" t="s">
        <v>103</v>
      </c>
      <c r="N8" t="s">
        <v>345</v>
      </c>
      <c r="O8" t="s">
        <v>329</v>
      </c>
      <c r="P8" t="s">
        <v>309</v>
      </c>
    </row>
    <row r="9" spans="1:16" x14ac:dyDescent="0.2">
      <c r="A9" s="44"/>
      <c r="B9" t="s">
        <v>198</v>
      </c>
      <c r="C9" s="17">
        <v>-218914600000</v>
      </c>
      <c r="D9" s="17">
        <v>-112905280000</v>
      </c>
      <c r="E9" s="17">
        <v>-100471270000</v>
      </c>
      <c r="F9" s="17">
        <v>-63288240000</v>
      </c>
      <c r="G9" s="17">
        <v>-30082700000</v>
      </c>
      <c r="H9" s="17">
        <v>-13440880000</v>
      </c>
      <c r="I9" s="17">
        <v>-11086140000</v>
      </c>
      <c r="J9" s="17">
        <v>-10582710000</v>
      </c>
      <c r="K9" s="17">
        <v>-10399000000</v>
      </c>
      <c r="L9" s="17">
        <v>-4951190000</v>
      </c>
      <c r="M9" s="17">
        <v>-4840390000</v>
      </c>
      <c r="N9" s="17">
        <v>-3705420000</v>
      </c>
      <c r="O9" s="17">
        <v>-2531670094</v>
      </c>
      <c r="P9" s="17">
        <v>-66159202</v>
      </c>
    </row>
    <row r="10" spans="1:16" x14ac:dyDescent="0.2">
      <c r="A10" s="44" t="s">
        <v>290</v>
      </c>
      <c r="B10" t="s">
        <v>178</v>
      </c>
      <c r="E10" t="s">
        <v>62</v>
      </c>
      <c r="F10" t="s">
        <v>219</v>
      </c>
      <c r="K10" t="s">
        <v>102</v>
      </c>
    </row>
    <row r="11" spans="1:16" x14ac:dyDescent="0.2">
      <c r="A11" s="44"/>
      <c r="B11" t="s">
        <v>177</v>
      </c>
      <c r="E11" t="s">
        <v>62</v>
      </c>
      <c r="F11" t="s">
        <v>219</v>
      </c>
      <c r="K11" t="s">
        <v>102</v>
      </c>
    </row>
    <row r="12" spans="1:16" x14ac:dyDescent="0.2">
      <c r="A12" s="44"/>
      <c r="B12" t="s">
        <v>176</v>
      </c>
      <c r="C12" t="s">
        <v>15</v>
      </c>
      <c r="E12" t="s">
        <v>62</v>
      </c>
      <c r="F12" t="s">
        <v>219</v>
      </c>
      <c r="K12" t="s">
        <v>102</v>
      </c>
    </row>
    <row r="13" spans="1:16" x14ac:dyDescent="0.2">
      <c r="A13" s="44"/>
      <c r="B13" t="s">
        <v>173</v>
      </c>
      <c r="C13" t="s">
        <v>15</v>
      </c>
      <c r="D13" t="s">
        <v>6</v>
      </c>
      <c r="E13" t="s">
        <v>62</v>
      </c>
      <c r="F13" t="s">
        <v>5</v>
      </c>
      <c r="G13" t="s">
        <v>25</v>
      </c>
      <c r="H13" t="s">
        <v>98</v>
      </c>
      <c r="I13" t="s">
        <v>74</v>
      </c>
      <c r="J13" t="s">
        <v>30</v>
      </c>
      <c r="K13" t="s">
        <v>102</v>
      </c>
      <c r="L13" t="s">
        <v>175</v>
      </c>
      <c r="M13" t="s">
        <v>82</v>
      </c>
      <c r="N13" t="s">
        <v>219</v>
      </c>
      <c r="O13" t="s">
        <v>203</v>
      </c>
      <c r="P13" t="s">
        <v>184</v>
      </c>
    </row>
    <row r="14" spans="1:16" x14ac:dyDescent="0.2">
      <c r="A14" s="44"/>
      <c r="B14" t="s">
        <v>198</v>
      </c>
      <c r="C14" s="17">
        <v>-231061130000</v>
      </c>
      <c r="D14" s="17">
        <v>-188108080000</v>
      </c>
      <c r="E14" s="17">
        <v>-109278270000</v>
      </c>
      <c r="F14" s="17">
        <v>-104055990000</v>
      </c>
      <c r="G14" s="17">
        <v>-59450940000</v>
      </c>
      <c r="H14" s="17">
        <v>-44087900000</v>
      </c>
      <c r="I14" s="17">
        <v>-37693660000</v>
      </c>
      <c r="J14" s="17">
        <v>-33561240000</v>
      </c>
      <c r="K14" s="17">
        <v>-20809130000</v>
      </c>
      <c r="L14" s="17">
        <v>-6687050000</v>
      </c>
      <c r="M14" s="17">
        <v>-6519583532</v>
      </c>
      <c r="N14" s="17">
        <v>-6022440000</v>
      </c>
      <c r="O14" s="17">
        <v>-3925790000</v>
      </c>
      <c r="P14" s="17">
        <v>-614000000</v>
      </c>
    </row>
    <row r="15" spans="1:16" x14ac:dyDescent="0.2">
      <c r="A15" s="44" t="s">
        <v>289</v>
      </c>
      <c r="B15" t="s">
        <v>178</v>
      </c>
      <c r="C15" t="s">
        <v>19</v>
      </c>
      <c r="D15" t="s">
        <v>61</v>
      </c>
      <c r="E15" t="s">
        <v>363</v>
      </c>
      <c r="F15" t="s">
        <v>222</v>
      </c>
      <c r="G15" t="s">
        <v>364</v>
      </c>
      <c r="H15" t="s">
        <v>183</v>
      </c>
      <c r="I15" t="s">
        <v>365</v>
      </c>
    </row>
    <row r="16" spans="1:16" x14ac:dyDescent="0.2">
      <c r="A16" s="44"/>
      <c r="B16" t="s">
        <v>177</v>
      </c>
      <c r="C16" t="s">
        <v>19</v>
      </c>
      <c r="D16" t="s">
        <v>61</v>
      </c>
      <c r="E16" t="s">
        <v>363</v>
      </c>
      <c r="F16" t="s">
        <v>222</v>
      </c>
      <c r="G16" t="s">
        <v>364</v>
      </c>
      <c r="H16" t="s">
        <v>183</v>
      </c>
      <c r="I16" t="s">
        <v>365</v>
      </c>
    </row>
    <row r="17" spans="1:10" x14ac:dyDescent="0.2">
      <c r="A17" s="44"/>
      <c r="B17" t="s">
        <v>176</v>
      </c>
      <c r="C17" t="s">
        <v>19</v>
      </c>
      <c r="D17" t="s">
        <v>61</v>
      </c>
      <c r="E17" t="s">
        <v>363</v>
      </c>
      <c r="F17" t="s">
        <v>222</v>
      </c>
      <c r="G17" t="s">
        <v>364</v>
      </c>
      <c r="H17" t="s">
        <v>183</v>
      </c>
      <c r="I17" t="s">
        <v>365</v>
      </c>
    </row>
    <row r="18" spans="1:10" x14ac:dyDescent="0.2">
      <c r="A18" s="44"/>
      <c r="B18" t="s">
        <v>173</v>
      </c>
      <c r="C18" t="s">
        <v>19</v>
      </c>
      <c r="D18" t="s">
        <v>61</v>
      </c>
      <c r="E18" t="s">
        <v>363</v>
      </c>
      <c r="F18" t="s">
        <v>222</v>
      </c>
      <c r="G18" t="s">
        <v>364</v>
      </c>
      <c r="H18" t="s">
        <v>183</v>
      </c>
      <c r="I18" t="s">
        <v>365</v>
      </c>
    </row>
    <row r="19" spans="1:10" x14ac:dyDescent="0.2">
      <c r="A19" s="44"/>
      <c r="B19" t="s">
        <v>198</v>
      </c>
      <c r="C19" s="17">
        <v>-464735810000</v>
      </c>
      <c r="D19" s="17">
        <v>-28892480000</v>
      </c>
      <c r="E19" s="17">
        <v>-18919980000</v>
      </c>
      <c r="F19" s="17">
        <v>-15346269353</v>
      </c>
      <c r="G19" s="17">
        <v>-3844520000</v>
      </c>
      <c r="H19" s="17">
        <v>-1712770000</v>
      </c>
      <c r="I19" s="17">
        <v>-47120144</v>
      </c>
    </row>
    <row r="20" spans="1:10" x14ac:dyDescent="0.2">
      <c r="A20" s="44" t="s">
        <v>288</v>
      </c>
      <c r="B20" t="s">
        <v>178</v>
      </c>
      <c r="D20" t="s">
        <v>357</v>
      </c>
    </row>
    <row r="21" spans="1:10" x14ac:dyDescent="0.2">
      <c r="A21" s="44"/>
      <c r="B21" t="s">
        <v>177</v>
      </c>
      <c r="D21" t="s">
        <v>357</v>
      </c>
    </row>
    <row r="22" spans="1:10" x14ac:dyDescent="0.2">
      <c r="A22" s="44"/>
      <c r="B22" t="s">
        <v>176</v>
      </c>
      <c r="C22" t="s">
        <v>64</v>
      </c>
      <c r="D22" t="s">
        <v>357</v>
      </c>
    </row>
    <row r="23" spans="1:10" x14ac:dyDescent="0.2">
      <c r="A23" s="44"/>
      <c r="B23" t="s">
        <v>173</v>
      </c>
      <c r="C23" t="s">
        <v>64</v>
      </c>
      <c r="D23" t="s">
        <v>357</v>
      </c>
    </row>
    <row r="24" spans="1:10" x14ac:dyDescent="0.2">
      <c r="A24" s="44"/>
      <c r="B24" t="s">
        <v>198</v>
      </c>
      <c r="C24" s="17">
        <v>-35874770000</v>
      </c>
      <c r="D24" s="17">
        <v>-3356115</v>
      </c>
    </row>
    <row r="25" spans="1:10" x14ac:dyDescent="0.2">
      <c r="A25" s="44" t="s">
        <v>287</v>
      </c>
      <c r="B25" t="s">
        <v>178</v>
      </c>
      <c r="C25" t="s">
        <v>36</v>
      </c>
      <c r="D25" t="s">
        <v>38</v>
      </c>
      <c r="G25" t="s">
        <v>194</v>
      </c>
      <c r="H25" t="s">
        <v>193</v>
      </c>
      <c r="I25" t="s">
        <v>360</v>
      </c>
      <c r="J25" t="s">
        <v>313</v>
      </c>
    </row>
    <row r="26" spans="1:10" x14ac:dyDescent="0.2">
      <c r="A26" s="44"/>
      <c r="B26" t="s">
        <v>177</v>
      </c>
      <c r="C26" t="s">
        <v>36</v>
      </c>
      <c r="D26" t="s">
        <v>38</v>
      </c>
      <c r="G26" t="s">
        <v>194</v>
      </c>
      <c r="H26" t="s">
        <v>193</v>
      </c>
      <c r="I26" t="s">
        <v>360</v>
      </c>
      <c r="J26" t="s">
        <v>313</v>
      </c>
    </row>
    <row r="27" spans="1:10" x14ac:dyDescent="0.2">
      <c r="A27" s="44"/>
      <c r="B27" t="s">
        <v>176</v>
      </c>
      <c r="C27" t="s">
        <v>36</v>
      </c>
      <c r="D27" t="s">
        <v>38</v>
      </c>
      <c r="E27" t="s">
        <v>70</v>
      </c>
      <c r="G27" t="s">
        <v>194</v>
      </c>
      <c r="H27" t="s">
        <v>193</v>
      </c>
      <c r="I27" t="s">
        <v>360</v>
      </c>
      <c r="J27" t="s">
        <v>313</v>
      </c>
    </row>
    <row r="28" spans="1:10" x14ac:dyDescent="0.2">
      <c r="A28" s="44"/>
      <c r="B28" t="s">
        <v>173</v>
      </c>
      <c r="C28" t="s">
        <v>36</v>
      </c>
      <c r="D28" t="s">
        <v>38</v>
      </c>
      <c r="E28" t="s">
        <v>70</v>
      </c>
      <c r="F28" t="s">
        <v>20</v>
      </c>
      <c r="G28" t="s">
        <v>194</v>
      </c>
      <c r="H28" t="s">
        <v>193</v>
      </c>
      <c r="I28" t="s">
        <v>360</v>
      </c>
      <c r="J28" t="s">
        <v>313</v>
      </c>
    </row>
    <row r="29" spans="1:10" x14ac:dyDescent="0.2">
      <c r="A29" s="44"/>
      <c r="B29" t="s">
        <v>198</v>
      </c>
      <c r="C29" s="17">
        <v>-355307980000</v>
      </c>
      <c r="D29" s="17">
        <v>-112955840000</v>
      </c>
      <c r="E29" s="17">
        <v>-43732760000</v>
      </c>
      <c r="F29" s="17">
        <v>-33870480000</v>
      </c>
      <c r="G29" s="17">
        <v>-10717860000</v>
      </c>
      <c r="H29" s="17">
        <v>-5695720000</v>
      </c>
      <c r="I29" s="17">
        <v>-1609430000</v>
      </c>
      <c r="J29" s="17">
        <v>-1033950000</v>
      </c>
    </row>
    <row r="30" spans="1:10" x14ac:dyDescent="0.2">
      <c r="A30" s="44" t="s">
        <v>286</v>
      </c>
      <c r="B30" t="s">
        <v>178</v>
      </c>
      <c r="C30" t="s">
        <v>310</v>
      </c>
    </row>
    <row r="31" spans="1:10" x14ac:dyDescent="0.2">
      <c r="A31" s="44"/>
      <c r="B31" t="s">
        <v>177</v>
      </c>
      <c r="C31" t="s">
        <v>310</v>
      </c>
    </row>
    <row r="32" spans="1:10" x14ac:dyDescent="0.2">
      <c r="A32" s="44"/>
      <c r="B32" t="s">
        <v>176</v>
      </c>
      <c r="C32" t="s">
        <v>310</v>
      </c>
    </row>
    <row r="33" spans="1:6" x14ac:dyDescent="0.2">
      <c r="A33" s="44"/>
      <c r="B33" t="s">
        <v>173</v>
      </c>
      <c r="C33" t="s">
        <v>310</v>
      </c>
    </row>
    <row r="34" spans="1:6" x14ac:dyDescent="0.2">
      <c r="A34" s="44"/>
      <c r="B34" t="s">
        <v>198</v>
      </c>
      <c r="C34" s="17">
        <v>-854831412</v>
      </c>
    </row>
    <row r="35" spans="1:6" x14ac:dyDescent="0.2">
      <c r="A35" s="44" t="s">
        <v>285</v>
      </c>
      <c r="B35" t="s">
        <v>178</v>
      </c>
      <c r="C35" t="s">
        <v>92</v>
      </c>
      <c r="F35" t="s">
        <v>348</v>
      </c>
    </row>
    <row r="36" spans="1:6" x14ac:dyDescent="0.2">
      <c r="A36" s="44"/>
      <c r="B36" t="s">
        <v>177</v>
      </c>
      <c r="C36" t="s">
        <v>92</v>
      </c>
      <c r="F36" t="s">
        <v>348</v>
      </c>
    </row>
    <row r="37" spans="1:6" x14ac:dyDescent="0.2">
      <c r="A37" s="44"/>
      <c r="B37" t="s">
        <v>176</v>
      </c>
      <c r="C37" t="s">
        <v>92</v>
      </c>
      <c r="E37" t="s">
        <v>347</v>
      </c>
      <c r="F37" t="s">
        <v>348</v>
      </c>
    </row>
    <row r="38" spans="1:6" x14ac:dyDescent="0.2">
      <c r="A38" s="44"/>
      <c r="B38" t="s">
        <v>173</v>
      </c>
      <c r="C38" t="s">
        <v>92</v>
      </c>
      <c r="D38" t="s">
        <v>71</v>
      </c>
      <c r="E38" t="s">
        <v>347</v>
      </c>
      <c r="F38" t="s">
        <v>348</v>
      </c>
    </row>
    <row r="39" spans="1:6" x14ac:dyDescent="0.2">
      <c r="A39" s="44"/>
      <c r="B39" t="s">
        <v>198</v>
      </c>
      <c r="C39" s="17">
        <v>-55611390000</v>
      </c>
      <c r="D39" s="17">
        <v>-17797170000</v>
      </c>
      <c r="E39" s="17">
        <v>-5468172924</v>
      </c>
      <c r="F39" s="17">
        <v>-3524292727</v>
      </c>
    </row>
    <row r="40" spans="1:6" x14ac:dyDescent="0.2">
      <c r="A40" s="44" t="s">
        <v>284</v>
      </c>
      <c r="B40" t="s">
        <v>178</v>
      </c>
      <c r="C40" t="s">
        <v>66</v>
      </c>
      <c r="D40" t="s">
        <v>114</v>
      </c>
      <c r="E40" t="s">
        <v>227</v>
      </c>
    </row>
    <row r="41" spans="1:6" x14ac:dyDescent="0.2">
      <c r="A41" s="44"/>
      <c r="B41" t="s">
        <v>177</v>
      </c>
      <c r="C41" t="s">
        <v>66</v>
      </c>
      <c r="D41" t="s">
        <v>114</v>
      </c>
      <c r="E41" t="s">
        <v>227</v>
      </c>
    </row>
    <row r="42" spans="1:6" x14ac:dyDescent="0.2">
      <c r="A42" s="44"/>
      <c r="B42" t="s">
        <v>176</v>
      </c>
      <c r="C42" t="s">
        <v>66</v>
      </c>
      <c r="D42" t="s">
        <v>114</v>
      </c>
      <c r="E42" t="s">
        <v>227</v>
      </c>
    </row>
    <row r="43" spans="1:6" x14ac:dyDescent="0.2">
      <c r="A43" s="44"/>
      <c r="B43" t="s">
        <v>173</v>
      </c>
      <c r="C43" t="s">
        <v>66</v>
      </c>
      <c r="D43" t="s">
        <v>114</v>
      </c>
      <c r="E43" t="s">
        <v>227</v>
      </c>
    </row>
    <row r="44" spans="1:6" x14ac:dyDescent="0.2">
      <c r="A44" s="44"/>
      <c r="B44" t="s">
        <v>198</v>
      </c>
      <c r="C44" s="17">
        <v>-371213929700</v>
      </c>
      <c r="D44" s="17">
        <v>-192735790000</v>
      </c>
      <c r="E44" s="17">
        <v>-18072676175</v>
      </c>
    </row>
    <row r="45" spans="1:6" x14ac:dyDescent="0.2">
      <c r="A45" s="44" t="s">
        <v>283</v>
      </c>
      <c r="B45" t="s">
        <v>178</v>
      </c>
      <c r="C45" t="s">
        <v>43</v>
      </c>
      <c r="D45" t="s">
        <v>77</v>
      </c>
      <c r="E45" t="s">
        <v>342</v>
      </c>
      <c r="F45" t="s">
        <v>343</v>
      </c>
    </row>
    <row r="46" spans="1:6" x14ac:dyDescent="0.2">
      <c r="A46" s="44"/>
      <c r="B46" t="s">
        <v>177</v>
      </c>
      <c r="C46" t="s">
        <v>43</v>
      </c>
      <c r="D46" t="s">
        <v>77</v>
      </c>
      <c r="E46" t="s">
        <v>342</v>
      </c>
      <c r="F46" t="s">
        <v>343</v>
      </c>
    </row>
    <row r="47" spans="1:6" x14ac:dyDescent="0.2">
      <c r="A47" s="44"/>
      <c r="B47" t="s">
        <v>176</v>
      </c>
      <c r="C47" t="s">
        <v>43</v>
      </c>
      <c r="D47" t="s">
        <v>77</v>
      </c>
      <c r="E47" t="s">
        <v>342</v>
      </c>
      <c r="F47" t="s">
        <v>343</v>
      </c>
    </row>
    <row r="48" spans="1:6" x14ac:dyDescent="0.2">
      <c r="A48" s="44"/>
      <c r="B48" t="s">
        <v>173</v>
      </c>
      <c r="C48" t="s">
        <v>43</v>
      </c>
      <c r="D48" t="s">
        <v>77</v>
      </c>
      <c r="E48" t="s">
        <v>342</v>
      </c>
      <c r="F48" t="s">
        <v>343</v>
      </c>
    </row>
    <row r="49" spans="1:6" x14ac:dyDescent="0.2">
      <c r="A49" s="44"/>
      <c r="B49" t="s">
        <v>198</v>
      </c>
      <c r="C49" s="17">
        <v>-29878580000</v>
      </c>
      <c r="D49" s="17">
        <v>-21786220000</v>
      </c>
      <c r="E49" s="17">
        <v>-196801818</v>
      </c>
      <c r="F49" s="17">
        <v>-4008629</v>
      </c>
    </row>
    <row r="50" spans="1:6" x14ac:dyDescent="0.2">
      <c r="A50" s="44" t="s">
        <v>282</v>
      </c>
      <c r="B50" t="s">
        <v>178</v>
      </c>
      <c r="C50" t="s">
        <v>42</v>
      </c>
      <c r="D50" t="s">
        <v>330</v>
      </c>
    </row>
    <row r="51" spans="1:6" x14ac:dyDescent="0.2">
      <c r="A51" s="44"/>
      <c r="B51" t="s">
        <v>177</v>
      </c>
      <c r="C51" t="s">
        <v>42</v>
      </c>
      <c r="D51" t="s">
        <v>330</v>
      </c>
    </row>
    <row r="52" spans="1:6" x14ac:dyDescent="0.2">
      <c r="A52" s="44"/>
      <c r="B52" t="s">
        <v>176</v>
      </c>
      <c r="C52" t="s">
        <v>42</v>
      </c>
      <c r="D52" t="s">
        <v>330</v>
      </c>
    </row>
    <row r="53" spans="1:6" x14ac:dyDescent="0.2">
      <c r="A53" s="44"/>
      <c r="B53" t="s">
        <v>173</v>
      </c>
      <c r="C53" t="s">
        <v>42</v>
      </c>
      <c r="D53" t="s">
        <v>330</v>
      </c>
    </row>
    <row r="54" spans="1:6" x14ac:dyDescent="0.2">
      <c r="A54" s="44"/>
      <c r="B54" t="s">
        <v>198</v>
      </c>
      <c r="C54" s="17">
        <v>-14161310000</v>
      </c>
      <c r="D54" s="17">
        <v>-7844804319</v>
      </c>
    </row>
    <row r="55" spans="1:6" x14ac:dyDescent="0.2">
      <c r="A55" s="44" t="s">
        <v>281</v>
      </c>
      <c r="B55" t="s">
        <v>178</v>
      </c>
      <c r="C55" t="s">
        <v>293</v>
      </c>
    </row>
    <row r="56" spans="1:6" x14ac:dyDescent="0.2">
      <c r="A56" s="44"/>
      <c r="B56" t="s">
        <v>173</v>
      </c>
      <c r="C56" t="s">
        <v>334</v>
      </c>
    </row>
    <row r="57" spans="1:6" x14ac:dyDescent="0.2">
      <c r="A57" s="44"/>
      <c r="B57" t="s">
        <v>198</v>
      </c>
      <c r="C57" s="17">
        <v>-1205407755</v>
      </c>
    </row>
    <row r="58" spans="1:6" x14ac:dyDescent="0.2">
      <c r="A58" s="44" t="s">
        <v>280</v>
      </c>
      <c r="B58" t="s">
        <v>178</v>
      </c>
      <c r="C58" t="s">
        <v>298</v>
      </c>
    </row>
    <row r="59" spans="1:6" x14ac:dyDescent="0.2">
      <c r="A59" s="44"/>
      <c r="B59" t="s">
        <v>177</v>
      </c>
      <c r="C59" t="s">
        <v>298</v>
      </c>
    </row>
    <row r="60" spans="1:6" x14ac:dyDescent="0.2">
      <c r="A60" s="44"/>
      <c r="B60" t="s">
        <v>176</v>
      </c>
      <c r="C60" t="s">
        <v>298</v>
      </c>
      <c r="D60" t="s">
        <v>331</v>
      </c>
    </row>
    <row r="61" spans="1:6" x14ac:dyDescent="0.2">
      <c r="A61" s="44"/>
      <c r="B61" t="s">
        <v>173</v>
      </c>
      <c r="C61" t="s">
        <v>298</v>
      </c>
      <c r="D61" t="s">
        <v>331</v>
      </c>
    </row>
    <row r="62" spans="1:6" x14ac:dyDescent="0.2">
      <c r="A62" s="44"/>
      <c r="B62" t="s">
        <v>198</v>
      </c>
      <c r="C62" s="17">
        <v>-4739440904</v>
      </c>
      <c r="D62" s="17">
        <v>-3582290000</v>
      </c>
    </row>
    <row r="63" spans="1:6" x14ac:dyDescent="0.2">
      <c r="A63" s="44" t="s">
        <v>278</v>
      </c>
      <c r="B63" t="s">
        <v>178</v>
      </c>
      <c r="C63" t="s">
        <v>311</v>
      </c>
    </row>
    <row r="64" spans="1:6" x14ac:dyDescent="0.2">
      <c r="A64" s="44"/>
      <c r="B64" t="s">
        <v>177</v>
      </c>
      <c r="C64" t="s">
        <v>311</v>
      </c>
    </row>
    <row r="65" spans="1:7" x14ac:dyDescent="0.2">
      <c r="A65" s="44"/>
      <c r="B65" t="s">
        <v>176</v>
      </c>
      <c r="C65" t="s">
        <v>311</v>
      </c>
    </row>
    <row r="66" spans="1:7" x14ac:dyDescent="0.2">
      <c r="A66" s="44"/>
      <c r="B66" t="s">
        <v>173</v>
      </c>
      <c r="C66" t="s">
        <v>311</v>
      </c>
    </row>
    <row r="67" spans="1:7" x14ac:dyDescent="0.2">
      <c r="A67" s="44"/>
      <c r="B67" t="s">
        <v>198</v>
      </c>
      <c r="C67" s="17">
        <v>-1900345730</v>
      </c>
    </row>
    <row r="68" spans="1:7" x14ac:dyDescent="0.2">
      <c r="A68" s="44" t="s">
        <v>277</v>
      </c>
      <c r="B68" t="s">
        <v>178</v>
      </c>
      <c r="C68" t="s">
        <v>306</v>
      </c>
      <c r="D68" t="s">
        <v>35</v>
      </c>
    </row>
    <row r="69" spans="1:7" x14ac:dyDescent="0.2">
      <c r="A69" s="44"/>
      <c r="B69" t="s">
        <v>177</v>
      </c>
      <c r="C69" t="s">
        <v>306</v>
      </c>
      <c r="D69" t="s">
        <v>35</v>
      </c>
    </row>
    <row r="70" spans="1:7" x14ac:dyDescent="0.2">
      <c r="A70" s="44"/>
      <c r="B70" t="s">
        <v>176</v>
      </c>
      <c r="C70" t="s">
        <v>306</v>
      </c>
      <c r="D70" t="s">
        <v>35</v>
      </c>
    </row>
    <row r="71" spans="1:7" x14ac:dyDescent="0.2">
      <c r="A71" s="44"/>
      <c r="B71" t="s">
        <v>173</v>
      </c>
      <c r="C71" t="s">
        <v>306</v>
      </c>
      <c r="D71" t="s">
        <v>35</v>
      </c>
    </row>
    <row r="72" spans="1:7" x14ac:dyDescent="0.2">
      <c r="A72" s="44"/>
      <c r="B72" t="s">
        <v>198</v>
      </c>
      <c r="C72" s="17">
        <v>-6125290747</v>
      </c>
      <c r="D72" s="17">
        <v>-1541680000</v>
      </c>
    </row>
    <row r="73" spans="1:7" x14ac:dyDescent="0.2">
      <c r="A73" s="44" t="s">
        <v>273</v>
      </c>
      <c r="B73" t="s">
        <v>178</v>
      </c>
      <c r="C73" t="s">
        <v>27</v>
      </c>
      <c r="D73" t="s">
        <v>187</v>
      </c>
      <c r="G73" t="s">
        <v>104</v>
      </c>
    </row>
    <row r="74" spans="1:7" x14ac:dyDescent="0.2">
      <c r="A74" s="44"/>
      <c r="B74" t="s">
        <v>177</v>
      </c>
      <c r="C74" t="s">
        <v>27</v>
      </c>
      <c r="D74" t="s">
        <v>187</v>
      </c>
      <c r="G74" t="s">
        <v>104</v>
      </c>
    </row>
    <row r="75" spans="1:7" x14ac:dyDescent="0.2">
      <c r="A75" s="44"/>
      <c r="B75" t="s">
        <v>176</v>
      </c>
      <c r="C75" t="s">
        <v>27</v>
      </c>
      <c r="D75" t="s">
        <v>187</v>
      </c>
      <c r="E75" t="s">
        <v>208</v>
      </c>
      <c r="G75" t="s">
        <v>104</v>
      </c>
    </row>
    <row r="76" spans="1:7" x14ac:dyDescent="0.2">
      <c r="A76" s="44"/>
      <c r="B76" t="s">
        <v>173</v>
      </c>
      <c r="C76" t="s">
        <v>27</v>
      </c>
      <c r="D76" t="s">
        <v>187</v>
      </c>
      <c r="E76" t="s">
        <v>208</v>
      </c>
      <c r="F76" t="s">
        <v>200</v>
      </c>
      <c r="G76" t="s">
        <v>104</v>
      </c>
    </row>
    <row r="77" spans="1:7" x14ac:dyDescent="0.2">
      <c r="A77" s="44"/>
      <c r="B77" t="s">
        <v>198</v>
      </c>
      <c r="C77" s="17">
        <v>-1250918830000</v>
      </c>
      <c r="D77" s="17">
        <v>-101054980000</v>
      </c>
      <c r="E77" s="17">
        <v>-27616610000</v>
      </c>
      <c r="F77" s="17">
        <v>-9867360000</v>
      </c>
      <c r="G77" s="17">
        <v>-2714852793</v>
      </c>
    </row>
    <row r="78" spans="1:7" x14ac:dyDescent="0.2">
      <c r="A78" s="44" t="s">
        <v>272</v>
      </c>
      <c r="B78" t="s">
        <v>178</v>
      </c>
      <c r="C78" t="s">
        <v>83</v>
      </c>
      <c r="D78" t="s">
        <v>291</v>
      </c>
    </row>
    <row r="79" spans="1:7" x14ac:dyDescent="0.2">
      <c r="A79" s="44"/>
      <c r="B79" t="s">
        <v>177</v>
      </c>
      <c r="C79" t="s">
        <v>83</v>
      </c>
      <c r="D79" t="s">
        <v>291</v>
      </c>
    </row>
    <row r="80" spans="1:7" x14ac:dyDescent="0.2">
      <c r="A80" s="44"/>
      <c r="B80" t="s">
        <v>176</v>
      </c>
      <c r="C80" t="s">
        <v>83</v>
      </c>
      <c r="D80" t="s">
        <v>291</v>
      </c>
    </row>
    <row r="81" spans="1:10" x14ac:dyDescent="0.2">
      <c r="A81" s="44"/>
      <c r="B81" t="s">
        <v>173</v>
      </c>
      <c r="C81" t="s">
        <v>83</v>
      </c>
      <c r="D81" t="s">
        <v>291</v>
      </c>
    </row>
    <row r="82" spans="1:10" x14ac:dyDescent="0.2">
      <c r="A82" s="44"/>
      <c r="B82" t="s">
        <v>198</v>
      </c>
      <c r="C82" s="17">
        <v>-219331790000</v>
      </c>
      <c r="D82" s="17">
        <v>-13103270000</v>
      </c>
    </row>
    <row r="83" spans="1:10" x14ac:dyDescent="0.2">
      <c r="A83" s="44" t="s">
        <v>269</v>
      </c>
      <c r="B83" t="s">
        <v>178</v>
      </c>
      <c r="C83" t="s">
        <v>60</v>
      </c>
    </row>
    <row r="84" spans="1:10" x14ac:dyDescent="0.2">
      <c r="A84" s="44"/>
      <c r="B84" t="s">
        <v>177</v>
      </c>
      <c r="C84" t="s">
        <v>60</v>
      </c>
    </row>
    <row r="85" spans="1:10" x14ac:dyDescent="0.2">
      <c r="A85" s="44"/>
      <c r="B85" t="s">
        <v>176</v>
      </c>
      <c r="C85" t="s">
        <v>60</v>
      </c>
    </row>
    <row r="86" spans="1:10" x14ac:dyDescent="0.2">
      <c r="A86" s="44"/>
      <c r="B86" t="s">
        <v>173</v>
      </c>
      <c r="C86" t="s">
        <v>60</v>
      </c>
    </row>
    <row r="87" spans="1:10" x14ac:dyDescent="0.2">
      <c r="A87" s="44"/>
      <c r="B87" t="s">
        <v>198</v>
      </c>
      <c r="C87" s="17">
        <v>-34920256491</v>
      </c>
    </row>
    <row r="88" spans="1:10" x14ac:dyDescent="0.2">
      <c r="A88" s="44" t="s">
        <v>268</v>
      </c>
      <c r="B88" t="s">
        <v>178</v>
      </c>
      <c r="C88" t="s">
        <v>44</v>
      </c>
    </row>
    <row r="89" spans="1:10" x14ac:dyDescent="0.2">
      <c r="A89" s="44"/>
      <c r="B89" t="s">
        <v>177</v>
      </c>
      <c r="C89" t="s">
        <v>44</v>
      </c>
      <c r="F89" t="s">
        <v>293</v>
      </c>
    </row>
    <row r="90" spans="1:10" x14ac:dyDescent="0.2">
      <c r="A90" s="44"/>
      <c r="B90" t="s">
        <v>176</v>
      </c>
      <c r="C90" t="s">
        <v>44</v>
      </c>
      <c r="F90" t="s">
        <v>293</v>
      </c>
    </row>
    <row r="91" spans="1:10" x14ac:dyDescent="0.2">
      <c r="A91" s="44"/>
      <c r="B91" t="s">
        <v>173</v>
      </c>
      <c r="C91" t="s">
        <v>44</v>
      </c>
      <c r="D91" t="s">
        <v>101</v>
      </c>
      <c r="E91" t="s">
        <v>39</v>
      </c>
      <c r="F91" t="s">
        <v>293</v>
      </c>
      <c r="G91" t="s">
        <v>89</v>
      </c>
      <c r="H91" t="s">
        <v>294</v>
      </c>
      <c r="I91" t="s">
        <v>37</v>
      </c>
    </row>
    <row r="92" spans="1:10" x14ac:dyDescent="0.2">
      <c r="A92" s="44"/>
      <c r="B92" t="s">
        <v>198</v>
      </c>
      <c r="C92" s="17">
        <v>-469863100000</v>
      </c>
      <c r="D92" s="17">
        <v>-61020160000</v>
      </c>
      <c r="E92" s="17">
        <v>-21522880000</v>
      </c>
      <c r="F92" s="17">
        <v>-16016901182</v>
      </c>
      <c r="G92" s="17">
        <v>-9275880167</v>
      </c>
      <c r="H92" s="17">
        <v>-7053040000</v>
      </c>
      <c r="I92" s="17">
        <v>-579760000</v>
      </c>
    </row>
    <row r="93" spans="1:10" x14ac:dyDescent="0.2">
      <c r="A93" s="26"/>
    </row>
    <row r="94" spans="1:10" x14ac:dyDescent="0.2">
      <c r="A94" s="26"/>
      <c r="C94" s="17"/>
      <c r="D94" s="17"/>
      <c r="E94" s="17"/>
      <c r="F94" s="17"/>
      <c r="G94" s="17"/>
      <c r="H94" s="17"/>
      <c r="I94" s="17"/>
      <c r="J94" s="17"/>
    </row>
    <row r="95" spans="1:10" x14ac:dyDescent="0.2">
      <c r="A95" s="26"/>
    </row>
    <row r="96" spans="1:10" x14ac:dyDescent="0.2">
      <c r="A96" s="26"/>
    </row>
    <row r="97" spans="1:25" x14ac:dyDescent="0.2">
      <c r="A97" s="26"/>
    </row>
    <row r="98" spans="1:25" x14ac:dyDescent="0.2">
      <c r="A98" s="26"/>
    </row>
    <row r="99" spans="1:25" x14ac:dyDescent="0.2">
      <c r="A99" s="26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</row>
    <row r="100" spans="1:25" x14ac:dyDescent="0.2">
      <c r="A100" s="44"/>
    </row>
    <row r="101" spans="1:25" x14ac:dyDescent="0.2">
      <c r="A101" s="44"/>
    </row>
    <row r="102" spans="1:25" x14ac:dyDescent="0.2">
      <c r="A102" s="44"/>
    </row>
    <row r="103" spans="1:25" x14ac:dyDescent="0.2">
      <c r="A103" s="44"/>
    </row>
    <row r="104" spans="1:25" x14ac:dyDescent="0.2">
      <c r="A104" s="44"/>
      <c r="C104" s="17"/>
      <c r="D104" s="17"/>
      <c r="E104" s="17"/>
      <c r="F104" s="17"/>
      <c r="G104" s="17"/>
      <c r="H104" s="17"/>
      <c r="I104" s="17"/>
      <c r="J104" s="17"/>
      <c r="K104" s="17"/>
    </row>
    <row r="105" spans="1:25" x14ac:dyDescent="0.2">
      <c r="A105" s="44"/>
    </row>
    <row r="106" spans="1:25" x14ac:dyDescent="0.2">
      <c r="A106" s="44"/>
    </row>
    <row r="107" spans="1:25" x14ac:dyDescent="0.2">
      <c r="A107" s="44"/>
    </row>
    <row r="108" spans="1:25" x14ac:dyDescent="0.2">
      <c r="A108" s="44"/>
      <c r="V108" t="s">
        <v>192</v>
      </c>
      <c r="W108" t="s">
        <v>193</v>
      </c>
      <c r="X108" t="s">
        <v>194</v>
      </c>
      <c r="Y108" t="s">
        <v>195</v>
      </c>
    </row>
    <row r="109" spans="1:25" x14ac:dyDescent="0.2">
      <c r="A109" s="44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</row>
    <row r="113" spans="1:1" x14ac:dyDescent="0.2">
      <c r="A113" s="26"/>
    </row>
  </sheetData>
  <mergeCells count="21">
    <mergeCell ref="A2:A5"/>
    <mergeCell ref="A30:A34"/>
    <mergeCell ref="A25:A29"/>
    <mergeCell ref="A20:A24"/>
    <mergeCell ref="A15:A19"/>
    <mergeCell ref="A6:A9"/>
    <mergeCell ref="A10:A14"/>
    <mergeCell ref="A105:A109"/>
    <mergeCell ref="A100:A104"/>
    <mergeCell ref="A88:A92"/>
    <mergeCell ref="A83:A87"/>
    <mergeCell ref="A58:A62"/>
    <mergeCell ref="A78:A82"/>
    <mergeCell ref="A73:A77"/>
    <mergeCell ref="A68:A72"/>
    <mergeCell ref="A63:A67"/>
    <mergeCell ref="A55:A57"/>
    <mergeCell ref="A50:A54"/>
    <mergeCell ref="A45:A49"/>
    <mergeCell ref="A40:A44"/>
    <mergeCell ref="A35:A3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DB5C5-26A6-CD4B-B9EB-D2F539F49F73}">
  <sheetPr codeName="Sheet4"/>
  <dimension ref="A1:P87"/>
  <sheetViews>
    <sheetView topLeftCell="A56" workbookViewId="0">
      <selection activeCell="D92" sqref="D92"/>
    </sheetView>
  </sheetViews>
  <sheetFormatPr baseColWidth="10" defaultRowHeight="16" x14ac:dyDescent="0.2"/>
  <cols>
    <col min="3" max="3" width="18.83203125" customWidth="1"/>
    <col min="4" max="4" width="16.33203125" customWidth="1"/>
    <col min="5" max="5" width="16" customWidth="1"/>
    <col min="6" max="6" width="17.83203125" customWidth="1"/>
    <col min="7" max="7" width="16.83203125" customWidth="1"/>
    <col min="8" max="8" width="18" customWidth="1"/>
    <col min="9" max="9" width="15.83203125" customWidth="1"/>
    <col min="10" max="10" width="17" customWidth="1"/>
    <col min="11" max="11" width="15.6640625" customWidth="1"/>
    <col min="12" max="12" width="16" customWidth="1"/>
    <col min="13" max="13" width="14.83203125" customWidth="1"/>
    <col min="14" max="14" width="17.1640625" customWidth="1"/>
    <col min="15" max="15" width="15" customWidth="1"/>
    <col min="16" max="16" width="13.5" customWidth="1"/>
    <col min="17" max="17" width="15" customWidth="1"/>
    <col min="18" max="18" width="14" customWidth="1"/>
    <col min="19" max="19" width="14.83203125" customWidth="1"/>
    <col min="20" max="20" width="15" customWidth="1"/>
    <col min="22" max="22" width="18.5" customWidth="1"/>
    <col min="29" max="29" width="15.1640625" customWidth="1"/>
    <col min="37" max="37" width="18.1640625" customWidth="1"/>
    <col min="38" max="38" width="17.1640625" customWidth="1"/>
    <col min="39" max="39" width="15.1640625" customWidth="1"/>
  </cols>
  <sheetData>
    <row r="1" spans="1:16" x14ac:dyDescent="0.2">
      <c r="A1" s="29" t="s">
        <v>120</v>
      </c>
      <c r="B1" s="28" t="s">
        <v>180</v>
      </c>
    </row>
    <row r="2" spans="1:16" x14ac:dyDescent="0.2">
      <c r="A2" s="44" t="s">
        <v>375</v>
      </c>
      <c r="B2" t="s">
        <v>176</v>
      </c>
      <c r="D2" t="s">
        <v>352</v>
      </c>
      <c r="E2" t="s">
        <v>78</v>
      </c>
      <c r="P2" t="s">
        <v>376</v>
      </c>
    </row>
    <row r="3" spans="1:16" x14ac:dyDescent="0.2">
      <c r="A3" s="44"/>
      <c r="B3" t="s">
        <v>173</v>
      </c>
      <c r="C3" t="s">
        <v>15</v>
      </c>
      <c r="D3" t="s">
        <v>352</v>
      </c>
      <c r="E3" t="s">
        <v>78</v>
      </c>
      <c r="F3" t="s">
        <v>28</v>
      </c>
      <c r="G3" t="s">
        <v>110</v>
      </c>
      <c r="H3" t="s">
        <v>380</v>
      </c>
      <c r="I3" t="s">
        <v>11</v>
      </c>
      <c r="J3" t="s">
        <v>381</v>
      </c>
      <c r="K3" t="s">
        <v>382</v>
      </c>
      <c r="L3" t="s">
        <v>99</v>
      </c>
      <c r="M3" t="s">
        <v>210</v>
      </c>
      <c r="N3" t="s">
        <v>182</v>
      </c>
      <c r="O3" t="s">
        <v>111</v>
      </c>
      <c r="P3" t="s">
        <v>376</v>
      </c>
    </row>
    <row r="4" spans="1:16" x14ac:dyDescent="0.2">
      <c r="A4" s="44"/>
      <c r="B4" t="s">
        <v>198</v>
      </c>
      <c r="C4" s="17">
        <v>63484248000</v>
      </c>
      <c r="D4" s="17">
        <v>20993770000</v>
      </c>
      <c r="E4" s="17">
        <v>7220770000</v>
      </c>
      <c r="F4" s="17">
        <v>6015980000</v>
      </c>
      <c r="G4" s="17">
        <v>1688410000</v>
      </c>
      <c r="H4" s="17">
        <v>1480000000</v>
      </c>
      <c r="I4" s="17">
        <v>860855000</v>
      </c>
      <c r="J4" s="17">
        <v>482760000</v>
      </c>
      <c r="K4" s="17">
        <v>397110000</v>
      </c>
      <c r="L4" s="17">
        <v>371160000</v>
      </c>
      <c r="M4" s="17">
        <v>357585000</v>
      </c>
      <c r="N4" s="17">
        <v>317220000</v>
      </c>
      <c r="O4" s="17">
        <v>192330000</v>
      </c>
      <c r="P4" s="17">
        <v>52100000</v>
      </c>
    </row>
    <row r="5" spans="1:16" x14ac:dyDescent="0.2">
      <c r="A5" s="44" t="s">
        <v>370</v>
      </c>
      <c r="B5" t="s">
        <v>176</v>
      </c>
      <c r="C5" t="s">
        <v>217</v>
      </c>
      <c r="F5" t="s">
        <v>363</v>
      </c>
    </row>
    <row r="6" spans="1:16" x14ac:dyDescent="0.2">
      <c r="A6" s="44"/>
      <c r="B6" t="s">
        <v>173</v>
      </c>
      <c r="C6" t="s">
        <v>217</v>
      </c>
      <c r="D6" t="s">
        <v>73</v>
      </c>
      <c r="E6" t="s">
        <v>227</v>
      </c>
      <c r="F6" t="s">
        <v>363</v>
      </c>
      <c r="G6" t="s">
        <v>7</v>
      </c>
    </row>
    <row r="7" spans="1:16" x14ac:dyDescent="0.2">
      <c r="A7" s="44"/>
      <c r="B7" t="s">
        <v>198</v>
      </c>
      <c r="C7" s="17">
        <v>196611260000</v>
      </c>
      <c r="D7" s="17">
        <v>17789730000</v>
      </c>
      <c r="E7" s="17">
        <v>3650000000</v>
      </c>
      <c r="F7" s="17">
        <v>2370705000</v>
      </c>
      <c r="G7" s="17">
        <v>220320000</v>
      </c>
    </row>
    <row r="8" spans="1:16" x14ac:dyDescent="0.2">
      <c r="A8" s="44" t="s">
        <v>290</v>
      </c>
      <c r="B8" t="s">
        <v>178</v>
      </c>
      <c r="C8" t="s">
        <v>30</v>
      </c>
      <c r="E8" t="s">
        <v>104</v>
      </c>
      <c r="F8" t="s">
        <v>78</v>
      </c>
    </row>
    <row r="9" spans="1:16" x14ac:dyDescent="0.2">
      <c r="A9" s="44"/>
      <c r="B9" t="s">
        <v>177</v>
      </c>
      <c r="C9" t="s">
        <v>30</v>
      </c>
      <c r="E9" t="s">
        <v>104</v>
      </c>
      <c r="F9" t="s">
        <v>78</v>
      </c>
    </row>
    <row r="10" spans="1:16" x14ac:dyDescent="0.2">
      <c r="A10" s="44"/>
      <c r="B10" t="s">
        <v>176</v>
      </c>
      <c r="C10" t="s">
        <v>30</v>
      </c>
      <c r="E10" t="s">
        <v>104</v>
      </c>
      <c r="F10" t="s">
        <v>78</v>
      </c>
      <c r="G10" t="s">
        <v>17</v>
      </c>
    </row>
    <row r="11" spans="1:16" x14ac:dyDescent="0.2">
      <c r="A11" s="44"/>
      <c r="B11" t="s">
        <v>173</v>
      </c>
      <c r="C11" t="s">
        <v>30</v>
      </c>
      <c r="D11" t="s">
        <v>112</v>
      </c>
      <c r="E11" t="s">
        <v>104</v>
      </c>
      <c r="F11" t="s">
        <v>78</v>
      </c>
      <c r="G11" t="s">
        <v>17</v>
      </c>
      <c r="H11" t="s">
        <v>66</v>
      </c>
      <c r="I11" t="s">
        <v>212</v>
      </c>
    </row>
    <row r="12" spans="1:16" x14ac:dyDescent="0.2">
      <c r="A12" s="44"/>
      <c r="B12" t="s">
        <v>198</v>
      </c>
      <c r="C12" s="17">
        <v>38085320000</v>
      </c>
      <c r="D12" s="17">
        <v>14893110000</v>
      </c>
      <c r="E12" s="17">
        <v>13744700000</v>
      </c>
      <c r="F12" s="17">
        <v>7128805000</v>
      </c>
      <c r="G12" s="17">
        <v>5098950000</v>
      </c>
      <c r="H12" s="17">
        <v>2221000000</v>
      </c>
      <c r="I12" s="17">
        <v>2176120000</v>
      </c>
    </row>
    <row r="13" spans="1:16" x14ac:dyDescent="0.2">
      <c r="A13" s="44" t="s">
        <v>289</v>
      </c>
      <c r="B13" t="s">
        <v>173</v>
      </c>
      <c r="C13" t="s">
        <v>19</v>
      </c>
    </row>
    <row r="14" spans="1:16" x14ac:dyDescent="0.2">
      <c r="A14" s="44"/>
      <c r="B14" t="s">
        <v>198</v>
      </c>
      <c r="C14" s="17">
        <v>40732570000</v>
      </c>
    </row>
    <row r="15" spans="1:16" x14ac:dyDescent="0.2">
      <c r="A15" s="44" t="s">
        <v>288</v>
      </c>
      <c r="B15" t="s">
        <v>178</v>
      </c>
      <c r="C15" t="s">
        <v>362</v>
      </c>
    </row>
    <row r="16" spans="1:16" x14ac:dyDescent="0.2">
      <c r="A16" s="44"/>
      <c r="B16" t="s">
        <v>177</v>
      </c>
      <c r="C16" t="s">
        <v>362</v>
      </c>
    </row>
    <row r="17" spans="1:5" x14ac:dyDescent="0.2">
      <c r="A17" s="44"/>
      <c r="B17" t="s">
        <v>176</v>
      </c>
      <c r="C17" t="s">
        <v>362</v>
      </c>
    </row>
    <row r="18" spans="1:5" x14ac:dyDescent="0.2">
      <c r="A18" s="44"/>
      <c r="B18" t="s">
        <v>173</v>
      </c>
      <c r="C18" t="s">
        <v>362</v>
      </c>
    </row>
    <row r="19" spans="1:5" x14ac:dyDescent="0.2">
      <c r="A19" s="44"/>
      <c r="B19" t="s">
        <v>198</v>
      </c>
      <c r="C19" s="17">
        <v>438495000</v>
      </c>
    </row>
    <row r="20" spans="1:5" x14ac:dyDescent="0.2">
      <c r="A20" s="44" t="s">
        <v>287</v>
      </c>
      <c r="B20" t="s">
        <v>178</v>
      </c>
      <c r="C20" t="s">
        <v>98</v>
      </c>
      <c r="D20" t="s">
        <v>70</v>
      </c>
      <c r="E20" t="s">
        <v>361</v>
      </c>
    </row>
    <row r="21" spans="1:5" x14ac:dyDescent="0.2">
      <c r="A21" s="44"/>
      <c r="B21" t="s">
        <v>177</v>
      </c>
      <c r="C21" t="s">
        <v>98</v>
      </c>
      <c r="D21" t="s">
        <v>70</v>
      </c>
      <c r="E21" t="s">
        <v>361</v>
      </c>
    </row>
    <row r="22" spans="1:5" x14ac:dyDescent="0.2">
      <c r="A22" s="44"/>
      <c r="B22" t="s">
        <v>176</v>
      </c>
      <c r="C22" t="s">
        <v>98</v>
      </c>
      <c r="D22" t="s">
        <v>70</v>
      </c>
      <c r="E22" t="s">
        <v>361</v>
      </c>
    </row>
    <row r="23" spans="1:5" x14ac:dyDescent="0.2">
      <c r="A23" s="44"/>
      <c r="B23" t="s">
        <v>173</v>
      </c>
      <c r="C23" t="s">
        <v>98</v>
      </c>
      <c r="D23" t="s">
        <v>70</v>
      </c>
      <c r="E23" t="s">
        <v>361</v>
      </c>
    </row>
    <row r="24" spans="1:5" x14ac:dyDescent="0.2">
      <c r="A24" s="44"/>
      <c r="B24" t="s">
        <v>198</v>
      </c>
      <c r="C24" s="17">
        <v>53991560000</v>
      </c>
      <c r="D24" s="17">
        <v>46380335000</v>
      </c>
      <c r="E24" s="17">
        <v>27612235000</v>
      </c>
    </row>
    <row r="25" spans="1:5" x14ac:dyDescent="0.2">
      <c r="A25" s="44" t="s">
        <v>286</v>
      </c>
      <c r="B25" t="s">
        <v>178</v>
      </c>
      <c r="C25" t="s">
        <v>29</v>
      </c>
      <c r="D25" t="s">
        <v>208</v>
      </c>
      <c r="E25" t="s">
        <v>91</v>
      </c>
    </row>
    <row r="26" spans="1:5" x14ac:dyDescent="0.2">
      <c r="A26" s="44"/>
      <c r="B26" t="s">
        <v>177</v>
      </c>
      <c r="C26" t="s">
        <v>29</v>
      </c>
      <c r="D26" t="s">
        <v>208</v>
      </c>
      <c r="E26" t="s">
        <v>91</v>
      </c>
    </row>
    <row r="27" spans="1:5" x14ac:dyDescent="0.2">
      <c r="A27" s="44"/>
      <c r="B27" t="s">
        <v>176</v>
      </c>
      <c r="C27" t="s">
        <v>29</v>
      </c>
      <c r="D27" t="s">
        <v>208</v>
      </c>
      <c r="E27" t="s">
        <v>91</v>
      </c>
    </row>
    <row r="28" spans="1:5" x14ac:dyDescent="0.2">
      <c r="A28" s="44"/>
      <c r="B28" t="s">
        <v>173</v>
      </c>
      <c r="C28" t="s">
        <v>29</v>
      </c>
      <c r="D28" t="s">
        <v>208</v>
      </c>
      <c r="E28" t="s">
        <v>91</v>
      </c>
    </row>
    <row r="29" spans="1:5" x14ac:dyDescent="0.2">
      <c r="A29" s="44"/>
      <c r="B29" t="s">
        <v>198</v>
      </c>
      <c r="C29" s="17">
        <v>60666265000</v>
      </c>
      <c r="D29" s="17">
        <v>28541500000</v>
      </c>
      <c r="E29" s="17">
        <v>5617500000</v>
      </c>
    </row>
    <row r="30" spans="1:5" x14ac:dyDescent="0.2">
      <c r="A30" s="44" t="s">
        <v>285</v>
      </c>
      <c r="B30" t="s">
        <v>178</v>
      </c>
      <c r="C30" t="s">
        <v>214</v>
      </c>
      <c r="D30" t="s">
        <v>77</v>
      </c>
    </row>
    <row r="31" spans="1:5" x14ac:dyDescent="0.2">
      <c r="A31" s="44"/>
      <c r="B31" t="s">
        <v>177</v>
      </c>
      <c r="C31" t="s">
        <v>214</v>
      </c>
      <c r="D31" t="s">
        <v>77</v>
      </c>
    </row>
    <row r="32" spans="1:5" x14ac:dyDescent="0.2">
      <c r="A32" s="44"/>
      <c r="B32" t="s">
        <v>176</v>
      </c>
      <c r="C32" t="s">
        <v>214</v>
      </c>
      <c r="D32" t="s">
        <v>77</v>
      </c>
    </row>
    <row r="33" spans="1:16" x14ac:dyDescent="0.2">
      <c r="A33" s="44"/>
      <c r="B33" t="s">
        <v>173</v>
      </c>
      <c r="C33" t="s">
        <v>214</v>
      </c>
      <c r="D33" t="s">
        <v>77</v>
      </c>
    </row>
    <row r="34" spans="1:16" x14ac:dyDescent="0.2">
      <c r="A34" s="44"/>
      <c r="B34" t="s">
        <v>198</v>
      </c>
      <c r="C34" s="17">
        <v>46080000000</v>
      </c>
      <c r="D34" s="17">
        <v>5588649000</v>
      </c>
    </row>
    <row r="35" spans="1:16" x14ac:dyDescent="0.2">
      <c r="A35" s="44" t="s">
        <v>283</v>
      </c>
      <c r="B35" t="s">
        <v>178</v>
      </c>
      <c r="C35" t="s">
        <v>344</v>
      </c>
    </row>
    <row r="36" spans="1:16" x14ac:dyDescent="0.2">
      <c r="A36" s="44"/>
      <c r="B36" t="s">
        <v>177</v>
      </c>
      <c r="C36" t="s">
        <v>344</v>
      </c>
    </row>
    <row r="37" spans="1:16" x14ac:dyDescent="0.2">
      <c r="A37" s="44"/>
      <c r="B37" t="s">
        <v>176</v>
      </c>
      <c r="C37" t="s">
        <v>344</v>
      </c>
    </row>
    <row r="38" spans="1:16" x14ac:dyDescent="0.2">
      <c r="A38" s="44"/>
      <c r="B38" t="s">
        <v>173</v>
      </c>
      <c r="C38" t="s">
        <v>344</v>
      </c>
    </row>
    <row r="39" spans="1:16" x14ac:dyDescent="0.2">
      <c r="A39" s="44"/>
      <c r="B39" t="s">
        <v>198</v>
      </c>
      <c r="C39" s="17">
        <v>10200000000</v>
      </c>
    </row>
    <row r="40" spans="1:16" x14ac:dyDescent="0.2">
      <c r="A40" s="44" t="s">
        <v>282</v>
      </c>
      <c r="B40" t="s">
        <v>178</v>
      </c>
      <c r="C40" t="s">
        <v>74</v>
      </c>
    </row>
    <row r="41" spans="1:16" x14ac:dyDescent="0.2">
      <c r="A41" s="44"/>
      <c r="B41" t="s">
        <v>177</v>
      </c>
      <c r="C41" t="s">
        <v>74</v>
      </c>
    </row>
    <row r="42" spans="1:16" x14ac:dyDescent="0.2">
      <c r="A42" s="44"/>
      <c r="B42" t="s">
        <v>176</v>
      </c>
      <c r="C42" t="s">
        <v>74</v>
      </c>
    </row>
    <row r="43" spans="1:16" x14ac:dyDescent="0.2">
      <c r="A43" s="44"/>
      <c r="B43" t="s">
        <v>173</v>
      </c>
      <c r="C43" t="s">
        <v>74</v>
      </c>
      <c r="D43" t="s">
        <v>100</v>
      </c>
    </row>
    <row r="44" spans="1:16" x14ac:dyDescent="0.2">
      <c r="A44" s="44"/>
      <c r="B44" t="s">
        <v>198</v>
      </c>
      <c r="C44" s="17">
        <v>232315895000</v>
      </c>
      <c r="D44" s="17">
        <v>13172205000</v>
      </c>
    </row>
    <row r="45" spans="1:16" x14ac:dyDescent="0.2">
      <c r="A45" s="44" t="s">
        <v>281</v>
      </c>
      <c r="B45" t="s">
        <v>178</v>
      </c>
      <c r="C45" t="s">
        <v>83</v>
      </c>
      <c r="D45" t="s">
        <v>13</v>
      </c>
      <c r="E45" t="s">
        <v>24</v>
      </c>
      <c r="F45" t="s">
        <v>14</v>
      </c>
      <c r="G45" t="s">
        <v>40</v>
      </c>
      <c r="H45" t="s">
        <v>67</v>
      </c>
      <c r="I45" t="s">
        <v>72</v>
      </c>
      <c r="J45" t="s">
        <v>237</v>
      </c>
      <c r="K45" t="s">
        <v>335</v>
      </c>
      <c r="L45" t="s">
        <v>69</v>
      </c>
      <c r="M45" t="s">
        <v>336</v>
      </c>
      <c r="N45" t="s">
        <v>337</v>
      </c>
      <c r="O45" t="s">
        <v>338</v>
      </c>
      <c r="P45" t="s">
        <v>339</v>
      </c>
    </row>
    <row r="46" spans="1:16" x14ac:dyDescent="0.2">
      <c r="A46" s="44"/>
      <c r="B46" t="s">
        <v>177</v>
      </c>
      <c r="C46" t="s">
        <v>83</v>
      </c>
      <c r="D46" t="s">
        <v>13</v>
      </c>
      <c r="E46" t="s">
        <v>24</v>
      </c>
      <c r="F46" t="s">
        <v>14</v>
      </c>
      <c r="G46" t="s">
        <v>40</v>
      </c>
      <c r="H46" t="s">
        <v>67</v>
      </c>
      <c r="I46" t="s">
        <v>72</v>
      </c>
      <c r="J46" t="s">
        <v>237</v>
      </c>
      <c r="K46" t="s">
        <v>335</v>
      </c>
      <c r="L46" t="s">
        <v>69</v>
      </c>
      <c r="M46" t="s">
        <v>336</v>
      </c>
      <c r="N46" t="s">
        <v>337</v>
      </c>
      <c r="O46" t="s">
        <v>338</v>
      </c>
      <c r="P46" t="s">
        <v>339</v>
      </c>
    </row>
    <row r="47" spans="1:16" x14ac:dyDescent="0.2">
      <c r="A47" s="44"/>
      <c r="B47" t="s">
        <v>176</v>
      </c>
      <c r="C47" t="s">
        <v>83</v>
      </c>
      <c r="D47" t="s">
        <v>13</v>
      </c>
      <c r="E47" t="s">
        <v>24</v>
      </c>
      <c r="F47" t="s">
        <v>14</v>
      </c>
      <c r="G47" t="s">
        <v>40</v>
      </c>
      <c r="H47" t="s">
        <v>67</v>
      </c>
      <c r="I47" t="s">
        <v>72</v>
      </c>
      <c r="J47" t="s">
        <v>237</v>
      </c>
      <c r="K47" t="s">
        <v>335</v>
      </c>
      <c r="L47" t="s">
        <v>69</v>
      </c>
      <c r="M47" t="s">
        <v>336</v>
      </c>
      <c r="N47" t="s">
        <v>337</v>
      </c>
      <c r="O47" t="s">
        <v>338</v>
      </c>
      <c r="P47" t="s">
        <v>339</v>
      </c>
    </row>
    <row r="48" spans="1:16" x14ac:dyDescent="0.2">
      <c r="A48" s="44"/>
      <c r="B48" t="s">
        <v>173</v>
      </c>
      <c r="C48" t="s">
        <v>83</v>
      </c>
      <c r="D48" t="s">
        <v>13</v>
      </c>
      <c r="E48" t="s">
        <v>24</v>
      </c>
      <c r="F48" t="s">
        <v>14</v>
      </c>
      <c r="G48" t="s">
        <v>40</v>
      </c>
      <c r="H48" t="s">
        <v>67</v>
      </c>
      <c r="I48" t="s">
        <v>72</v>
      </c>
      <c r="J48" t="s">
        <v>237</v>
      </c>
      <c r="K48" t="s">
        <v>335</v>
      </c>
      <c r="L48" t="s">
        <v>69</v>
      </c>
      <c r="M48" t="s">
        <v>336</v>
      </c>
      <c r="N48" t="s">
        <v>337</v>
      </c>
      <c r="O48" t="s">
        <v>338</v>
      </c>
      <c r="P48" t="s">
        <v>339</v>
      </c>
    </row>
    <row r="49" spans="1:16" x14ac:dyDescent="0.2">
      <c r="A49" s="44"/>
      <c r="B49" t="s">
        <v>198</v>
      </c>
      <c r="C49" s="17">
        <v>112662494000</v>
      </c>
      <c r="D49" s="17">
        <v>68175432000</v>
      </c>
      <c r="E49" s="17">
        <v>56252460000</v>
      </c>
      <c r="F49" s="17">
        <v>48957070000</v>
      </c>
      <c r="G49" s="17">
        <v>48462665000</v>
      </c>
      <c r="H49" s="17">
        <v>40791940000</v>
      </c>
      <c r="I49" s="17">
        <v>29635580000</v>
      </c>
      <c r="J49" s="17">
        <v>24693350000</v>
      </c>
      <c r="K49" s="17">
        <v>15446370000</v>
      </c>
      <c r="L49" s="17">
        <v>15424120000</v>
      </c>
      <c r="M49" s="17">
        <v>7768665000</v>
      </c>
      <c r="N49" s="17">
        <v>2309935000</v>
      </c>
      <c r="O49" s="17">
        <v>263300000</v>
      </c>
      <c r="P49" s="17">
        <v>220000</v>
      </c>
    </row>
    <row r="50" spans="1:16" x14ac:dyDescent="0.2">
      <c r="A50" s="44" t="s">
        <v>280</v>
      </c>
      <c r="B50" t="s">
        <v>178</v>
      </c>
      <c r="C50" t="s">
        <v>332</v>
      </c>
      <c r="D50" t="s">
        <v>219</v>
      </c>
    </row>
    <row r="51" spans="1:16" x14ac:dyDescent="0.2">
      <c r="A51" s="44"/>
      <c r="B51" t="s">
        <v>177</v>
      </c>
      <c r="C51" t="s">
        <v>332</v>
      </c>
      <c r="D51" t="s">
        <v>219</v>
      </c>
    </row>
    <row r="52" spans="1:16" x14ac:dyDescent="0.2">
      <c r="A52" s="44"/>
      <c r="B52" t="s">
        <v>176</v>
      </c>
      <c r="C52" t="s">
        <v>332</v>
      </c>
      <c r="D52" t="s">
        <v>219</v>
      </c>
    </row>
    <row r="53" spans="1:16" x14ac:dyDescent="0.2">
      <c r="A53" s="44"/>
      <c r="B53" t="s">
        <v>173</v>
      </c>
      <c r="C53" t="s">
        <v>332</v>
      </c>
      <c r="D53" t="s">
        <v>219</v>
      </c>
      <c r="E53" t="s">
        <v>333</v>
      </c>
    </row>
    <row r="54" spans="1:16" x14ac:dyDescent="0.2">
      <c r="A54" s="44"/>
      <c r="B54" t="s">
        <v>198</v>
      </c>
      <c r="C54" s="17">
        <v>46182000000</v>
      </c>
      <c r="D54" s="17">
        <v>18223620000</v>
      </c>
      <c r="E54" s="17">
        <v>2972480000</v>
      </c>
    </row>
    <row r="55" spans="1:16" x14ac:dyDescent="0.2">
      <c r="A55" s="44" t="s">
        <v>279</v>
      </c>
      <c r="B55" t="s">
        <v>178</v>
      </c>
      <c r="C55" t="s">
        <v>189</v>
      </c>
      <c r="D55" t="s">
        <v>325</v>
      </c>
      <c r="E55" t="s">
        <v>312</v>
      </c>
    </row>
    <row r="56" spans="1:16" x14ac:dyDescent="0.2">
      <c r="A56" s="44"/>
      <c r="B56" t="s">
        <v>177</v>
      </c>
      <c r="C56" t="s">
        <v>189</v>
      </c>
      <c r="D56" t="s">
        <v>325</v>
      </c>
      <c r="E56" t="s">
        <v>312</v>
      </c>
    </row>
    <row r="57" spans="1:16" x14ac:dyDescent="0.2">
      <c r="A57" s="44"/>
      <c r="B57" t="s">
        <v>176</v>
      </c>
      <c r="C57" t="s">
        <v>189</v>
      </c>
      <c r="D57" t="s">
        <v>325</v>
      </c>
      <c r="E57" t="s">
        <v>312</v>
      </c>
    </row>
    <row r="58" spans="1:16" x14ac:dyDescent="0.2">
      <c r="A58" s="44"/>
      <c r="B58" t="s">
        <v>173</v>
      </c>
      <c r="C58" t="s">
        <v>189</v>
      </c>
      <c r="D58" t="s">
        <v>325</v>
      </c>
      <c r="E58" t="s">
        <v>312</v>
      </c>
    </row>
    <row r="59" spans="1:16" x14ac:dyDescent="0.2">
      <c r="A59" s="44"/>
      <c r="B59" t="s">
        <v>198</v>
      </c>
      <c r="C59" s="17">
        <v>7277510000</v>
      </c>
      <c r="D59" s="17">
        <v>5439860000</v>
      </c>
      <c r="E59" s="17">
        <v>2257227000</v>
      </c>
    </row>
    <row r="60" spans="1:16" x14ac:dyDescent="0.2">
      <c r="A60" s="44" t="s">
        <v>278</v>
      </c>
      <c r="B60" t="s">
        <v>178</v>
      </c>
      <c r="C60" t="s">
        <v>292</v>
      </c>
      <c r="D60" t="s">
        <v>209</v>
      </c>
      <c r="E60" t="s">
        <v>60</v>
      </c>
    </row>
    <row r="61" spans="1:16" x14ac:dyDescent="0.2">
      <c r="A61" s="44"/>
      <c r="B61" t="s">
        <v>177</v>
      </c>
      <c r="C61" t="s">
        <v>292</v>
      </c>
      <c r="D61" t="s">
        <v>209</v>
      </c>
      <c r="E61" t="s">
        <v>60</v>
      </c>
    </row>
    <row r="62" spans="1:16" x14ac:dyDescent="0.2">
      <c r="A62" s="44"/>
      <c r="B62" t="s">
        <v>176</v>
      </c>
      <c r="C62" t="s">
        <v>292</v>
      </c>
      <c r="D62" t="s">
        <v>209</v>
      </c>
      <c r="E62" t="s">
        <v>60</v>
      </c>
    </row>
    <row r="63" spans="1:16" x14ac:dyDescent="0.2">
      <c r="A63" s="44"/>
      <c r="B63" t="s">
        <v>173</v>
      </c>
      <c r="C63" t="s">
        <v>292</v>
      </c>
      <c r="D63" t="s">
        <v>209</v>
      </c>
      <c r="E63" t="s">
        <v>60</v>
      </c>
    </row>
    <row r="64" spans="1:16" x14ac:dyDescent="0.2">
      <c r="A64" s="44"/>
      <c r="B64" t="s">
        <v>198</v>
      </c>
      <c r="C64" s="17">
        <v>33904800000</v>
      </c>
      <c r="D64" s="17">
        <v>11195090000</v>
      </c>
      <c r="E64" s="17">
        <v>10400000000</v>
      </c>
    </row>
    <row r="65" spans="1:6" x14ac:dyDescent="0.2">
      <c r="A65" s="44" t="s">
        <v>277</v>
      </c>
      <c r="B65" t="s">
        <v>178</v>
      </c>
      <c r="C65" t="s">
        <v>307</v>
      </c>
    </row>
    <row r="66" spans="1:6" x14ac:dyDescent="0.2">
      <c r="A66" s="44"/>
      <c r="B66" t="s">
        <v>177</v>
      </c>
      <c r="C66" t="s">
        <v>307</v>
      </c>
    </row>
    <row r="67" spans="1:6" x14ac:dyDescent="0.2">
      <c r="A67" s="44"/>
      <c r="B67" t="s">
        <v>176</v>
      </c>
      <c r="C67" t="s">
        <v>307</v>
      </c>
    </row>
    <row r="68" spans="1:6" x14ac:dyDescent="0.2">
      <c r="A68" s="44"/>
      <c r="B68" t="s">
        <v>173</v>
      </c>
      <c r="C68" t="s">
        <v>307</v>
      </c>
    </row>
    <row r="69" spans="1:6" x14ac:dyDescent="0.2">
      <c r="A69" s="44"/>
      <c r="B69" t="s">
        <v>198</v>
      </c>
      <c r="C69" s="17">
        <v>9450000000</v>
      </c>
    </row>
    <row r="70" spans="1:6" x14ac:dyDescent="0.2">
      <c r="A70" s="44" t="s">
        <v>272</v>
      </c>
      <c r="B70" t="s">
        <v>178</v>
      </c>
      <c r="C70" t="s">
        <v>303</v>
      </c>
      <c r="D70" t="s">
        <v>174</v>
      </c>
      <c r="E70" t="s">
        <v>304</v>
      </c>
    </row>
    <row r="71" spans="1:6" x14ac:dyDescent="0.2">
      <c r="A71" s="44"/>
      <c r="B71" t="s">
        <v>177</v>
      </c>
      <c r="C71" t="s">
        <v>303</v>
      </c>
      <c r="D71" t="s">
        <v>174</v>
      </c>
      <c r="E71" t="s">
        <v>304</v>
      </c>
    </row>
    <row r="72" spans="1:6" x14ac:dyDescent="0.2">
      <c r="A72" s="44"/>
      <c r="B72" t="s">
        <v>176</v>
      </c>
      <c r="C72" t="s">
        <v>303</v>
      </c>
      <c r="D72" t="s">
        <v>174</v>
      </c>
      <c r="E72" t="s">
        <v>304</v>
      </c>
    </row>
    <row r="73" spans="1:6" x14ac:dyDescent="0.2">
      <c r="A73" s="44"/>
      <c r="B73" t="s">
        <v>173</v>
      </c>
      <c r="C73" t="s">
        <v>303</v>
      </c>
      <c r="D73" t="s">
        <v>174</v>
      </c>
      <c r="E73" t="s">
        <v>304</v>
      </c>
    </row>
    <row r="74" spans="1:6" x14ac:dyDescent="0.2">
      <c r="A74" s="44"/>
      <c r="B74" t="s">
        <v>198</v>
      </c>
      <c r="C74" s="17">
        <v>82000000000</v>
      </c>
      <c r="D74" s="17">
        <v>3188090000</v>
      </c>
      <c r="E74" s="17">
        <v>1617750000</v>
      </c>
    </row>
    <row r="75" spans="1:6" x14ac:dyDescent="0.2">
      <c r="A75" s="44" t="s">
        <v>271</v>
      </c>
      <c r="B75" t="s">
        <v>178</v>
      </c>
      <c r="C75" t="s">
        <v>297</v>
      </c>
      <c r="D75" t="s">
        <v>298</v>
      </c>
      <c r="E75" t="s">
        <v>299</v>
      </c>
    </row>
    <row r="76" spans="1:6" x14ac:dyDescent="0.2">
      <c r="A76" s="44"/>
      <c r="B76" t="s">
        <v>177</v>
      </c>
      <c r="C76" t="s">
        <v>297</v>
      </c>
      <c r="D76" t="s">
        <v>298</v>
      </c>
      <c r="E76" t="s">
        <v>299</v>
      </c>
    </row>
    <row r="77" spans="1:6" x14ac:dyDescent="0.2">
      <c r="A77" s="44"/>
      <c r="B77" t="s">
        <v>176</v>
      </c>
      <c r="C77" t="s">
        <v>297</v>
      </c>
      <c r="D77" t="s">
        <v>298</v>
      </c>
      <c r="E77" t="s">
        <v>299</v>
      </c>
    </row>
    <row r="78" spans="1:6" x14ac:dyDescent="0.2">
      <c r="A78" s="44"/>
      <c r="B78" t="s">
        <v>173</v>
      </c>
      <c r="C78" t="s">
        <v>297</v>
      </c>
      <c r="D78" t="s">
        <v>298</v>
      </c>
      <c r="E78" t="s">
        <v>299</v>
      </c>
    </row>
    <row r="79" spans="1:6" x14ac:dyDescent="0.2">
      <c r="A79" s="44"/>
      <c r="B79" t="s">
        <v>198</v>
      </c>
      <c r="C79" s="17">
        <v>66098595000</v>
      </c>
      <c r="D79" s="17">
        <v>12849770000</v>
      </c>
      <c r="E79" s="17">
        <v>5564545000</v>
      </c>
    </row>
    <row r="80" spans="1:6" x14ac:dyDescent="0.2">
      <c r="A80" s="44" t="s">
        <v>269</v>
      </c>
      <c r="B80" t="s">
        <v>178</v>
      </c>
      <c r="E80" t="s">
        <v>61</v>
      </c>
      <c r="F80" t="s">
        <v>197</v>
      </c>
    </row>
    <row r="81" spans="1:6" x14ac:dyDescent="0.2">
      <c r="A81" s="44"/>
      <c r="B81" t="s">
        <v>177</v>
      </c>
      <c r="E81" t="s">
        <v>61</v>
      </c>
      <c r="F81" t="s">
        <v>197</v>
      </c>
    </row>
    <row r="82" spans="1:6" x14ac:dyDescent="0.2">
      <c r="A82" s="44"/>
      <c r="B82" t="s">
        <v>176</v>
      </c>
      <c r="E82" t="s">
        <v>61</v>
      </c>
      <c r="F82" t="s">
        <v>197</v>
      </c>
    </row>
    <row r="83" spans="1:6" x14ac:dyDescent="0.2">
      <c r="A83" s="44"/>
      <c r="B83" t="s">
        <v>173</v>
      </c>
      <c r="C83" t="s">
        <v>62</v>
      </c>
      <c r="D83" t="s">
        <v>43</v>
      </c>
      <c r="E83" t="s">
        <v>61</v>
      </c>
      <c r="F83" t="s">
        <v>197</v>
      </c>
    </row>
    <row r="84" spans="1:6" x14ac:dyDescent="0.2">
      <c r="A84" s="44"/>
      <c r="B84" t="s">
        <v>198</v>
      </c>
      <c r="C84" s="17">
        <v>134194415000</v>
      </c>
      <c r="D84" s="17">
        <v>130049660000</v>
      </c>
      <c r="E84" s="17">
        <v>103669225000</v>
      </c>
      <c r="F84" s="17">
        <v>76166320000</v>
      </c>
    </row>
    <row r="85" spans="1:6" x14ac:dyDescent="0.2">
      <c r="A85" s="44" t="s">
        <v>268</v>
      </c>
      <c r="B85" t="s">
        <v>176</v>
      </c>
      <c r="D85" t="s">
        <v>39</v>
      </c>
      <c r="E85" t="s">
        <v>291</v>
      </c>
    </row>
    <row r="86" spans="1:6" x14ac:dyDescent="0.2">
      <c r="A86" s="44"/>
      <c r="B86" t="s">
        <v>173</v>
      </c>
      <c r="C86" t="s">
        <v>25</v>
      </c>
      <c r="D86" t="s">
        <v>39</v>
      </c>
      <c r="E86" t="s">
        <v>291</v>
      </c>
    </row>
    <row r="87" spans="1:6" x14ac:dyDescent="0.2">
      <c r="A87" s="44"/>
      <c r="B87" t="s">
        <v>198</v>
      </c>
      <c r="C87" s="17">
        <v>35961815000</v>
      </c>
      <c r="D87" s="17">
        <v>12972210000</v>
      </c>
      <c r="E87" s="17">
        <v>1941640000</v>
      </c>
    </row>
  </sheetData>
  <mergeCells count="19">
    <mergeCell ref="A45:A49"/>
    <mergeCell ref="A40:A44"/>
    <mergeCell ref="A2:A4"/>
    <mergeCell ref="A85:A87"/>
    <mergeCell ref="A80:A84"/>
    <mergeCell ref="A75:A79"/>
    <mergeCell ref="A70:A74"/>
    <mergeCell ref="A50:A54"/>
    <mergeCell ref="A55:A59"/>
    <mergeCell ref="A65:A69"/>
    <mergeCell ref="A60:A64"/>
    <mergeCell ref="A35:A39"/>
    <mergeCell ref="A30:A34"/>
    <mergeCell ref="A25:A29"/>
    <mergeCell ref="A20:A24"/>
    <mergeCell ref="A5:A7"/>
    <mergeCell ref="A15:A19"/>
    <mergeCell ref="A13:A14"/>
    <mergeCell ref="A8:A1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84BD0-8C39-D440-A246-D93546408C2B}">
  <sheetPr codeName="Sheet5"/>
  <dimension ref="A1:S102"/>
  <sheetViews>
    <sheetView tabSelected="1" topLeftCell="A7" workbookViewId="0">
      <selection activeCell="G7" sqref="G7"/>
    </sheetView>
  </sheetViews>
  <sheetFormatPr baseColWidth="10" defaultRowHeight="16" x14ac:dyDescent="0.2"/>
  <cols>
    <col min="3" max="3" width="16.6640625" customWidth="1"/>
    <col min="4" max="4" width="20" customWidth="1"/>
    <col min="5" max="5" width="15.1640625" customWidth="1"/>
    <col min="6" max="6" width="15.83203125" customWidth="1"/>
    <col min="7" max="7" width="14.6640625" customWidth="1"/>
    <col min="8" max="8" width="16.6640625" customWidth="1"/>
    <col min="9" max="9" width="17.83203125" customWidth="1"/>
    <col min="10" max="10" width="17.6640625" customWidth="1"/>
    <col min="11" max="11" width="16.5" customWidth="1"/>
    <col min="12" max="12" width="15.33203125" customWidth="1"/>
    <col min="13" max="13" width="17.83203125" customWidth="1"/>
    <col min="14" max="14" width="17" customWidth="1"/>
    <col min="15" max="15" width="17.6640625" customWidth="1"/>
    <col min="16" max="16" width="14.6640625" customWidth="1"/>
    <col min="17" max="17" width="15" customWidth="1"/>
    <col min="18" max="18" width="15.33203125" customWidth="1"/>
    <col min="19" max="19" width="14.33203125" customWidth="1"/>
    <col min="26" max="26" width="15.1640625" customWidth="1"/>
    <col min="27" max="27" width="14.5" customWidth="1"/>
    <col min="36" max="36" width="13.5" customWidth="1"/>
    <col min="39" max="39" width="18.1640625" customWidth="1"/>
    <col min="40" max="40" width="15.5" customWidth="1"/>
    <col min="41" max="41" width="16.5" customWidth="1"/>
    <col min="42" max="42" width="13.5" customWidth="1"/>
    <col min="43" max="43" width="21.6640625" customWidth="1"/>
  </cols>
  <sheetData>
    <row r="1" spans="1:8" x14ac:dyDescent="0.2">
      <c r="A1" s="29" t="s">
        <v>120</v>
      </c>
      <c r="B1" s="28" t="s">
        <v>180</v>
      </c>
    </row>
    <row r="2" spans="1:8" x14ac:dyDescent="0.2">
      <c r="A2" s="44" t="s">
        <v>375</v>
      </c>
      <c r="B2" t="s">
        <v>176</v>
      </c>
      <c r="C2" t="s">
        <v>31</v>
      </c>
      <c r="E2" t="s">
        <v>314</v>
      </c>
      <c r="F2" t="s">
        <v>368</v>
      </c>
      <c r="G2" t="s">
        <v>316</v>
      </c>
    </row>
    <row r="3" spans="1:8" x14ac:dyDescent="0.2">
      <c r="A3" s="44"/>
      <c r="B3" t="s">
        <v>173</v>
      </c>
      <c r="C3" t="s">
        <v>31</v>
      </c>
      <c r="D3" t="s">
        <v>174</v>
      </c>
      <c r="E3" t="s">
        <v>314</v>
      </c>
      <c r="F3" t="s">
        <v>368</v>
      </c>
      <c r="G3" t="s">
        <v>316</v>
      </c>
    </row>
    <row r="4" spans="1:8" x14ac:dyDescent="0.2">
      <c r="A4" s="44"/>
      <c r="B4" t="s">
        <v>198</v>
      </c>
      <c r="C4" s="17">
        <v>-31764910000</v>
      </c>
      <c r="D4" s="17">
        <v>-517000000</v>
      </c>
      <c r="E4" s="17">
        <v>-478215000</v>
      </c>
      <c r="F4" s="17">
        <v>-176000000</v>
      </c>
      <c r="G4" s="17">
        <v>-976000</v>
      </c>
    </row>
    <row r="5" spans="1:8" x14ac:dyDescent="0.2">
      <c r="A5" s="44" t="s">
        <v>370</v>
      </c>
      <c r="B5" t="s">
        <v>176</v>
      </c>
      <c r="C5" t="s">
        <v>15</v>
      </c>
      <c r="D5" t="s">
        <v>29</v>
      </c>
      <c r="E5" t="s">
        <v>72</v>
      </c>
      <c r="F5" t="s">
        <v>77</v>
      </c>
      <c r="G5" t="s">
        <v>371</v>
      </c>
      <c r="H5" t="s">
        <v>314</v>
      </c>
    </row>
    <row r="6" spans="1:8" x14ac:dyDescent="0.2">
      <c r="A6" s="44"/>
      <c r="B6" t="s">
        <v>173</v>
      </c>
      <c r="C6" t="s">
        <v>15</v>
      </c>
      <c r="D6" t="s">
        <v>29</v>
      </c>
      <c r="E6" t="s">
        <v>72</v>
      </c>
      <c r="F6" t="s">
        <v>77</v>
      </c>
      <c r="G6" t="s">
        <v>371</v>
      </c>
      <c r="H6" t="s">
        <v>314</v>
      </c>
    </row>
    <row r="7" spans="1:8" x14ac:dyDescent="0.2">
      <c r="A7" s="44"/>
      <c r="B7" t="s">
        <v>198</v>
      </c>
      <c r="C7" s="17">
        <v>-142468233000</v>
      </c>
      <c r="D7" s="17">
        <v>-52831720000</v>
      </c>
      <c r="E7" s="17">
        <v>-45025520000</v>
      </c>
      <c r="F7" s="17">
        <v>-6670947000</v>
      </c>
      <c r="G7" s="17">
        <v>-6073600000</v>
      </c>
      <c r="H7" s="17">
        <v>-380605000</v>
      </c>
    </row>
    <row r="8" spans="1:8" x14ac:dyDescent="0.2">
      <c r="A8" s="44" t="s">
        <v>290</v>
      </c>
      <c r="B8" t="s">
        <v>178</v>
      </c>
      <c r="C8" t="s">
        <v>7</v>
      </c>
      <c r="D8" t="s">
        <v>109</v>
      </c>
    </row>
    <row r="9" spans="1:8" x14ac:dyDescent="0.2">
      <c r="A9" s="44"/>
      <c r="B9" t="s">
        <v>177</v>
      </c>
      <c r="C9" t="s">
        <v>7</v>
      </c>
      <c r="D9" t="s">
        <v>109</v>
      </c>
    </row>
    <row r="10" spans="1:8" x14ac:dyDescent="0.2">
      <c r="A10" s="44"/>
      <c r="B10" t="s">
        <v>176</v>
      </c>
      <c r="C10" t="s">
        <v>7</v>
      </c>
      <c r="D10" t="s">
        <v>109</v>
      </c>
    </row>
    <row r="11" spans="1:8" x14ac:dyDescent="0.2">
      <c r="A11" s="44"/>
      <c r="B11" t="s">
        <v>173</v>
      </c>
      <c r="C11" t="s">
        <v>7</v>
      </c>
      <c r="D11" t="s">
        <v>80</v>
      </c>
      <c r="E11" t="s">
        <v>174</v>
      </c>
      <c r="F11" t="s">
        <v>109</v>
      </c>
    </row>
    <row r="12" spans="1:8" x14ac:dyDescent="0.2">
      <c r="A12" s="44"/>
      <c r="B12" t="s">
        <v>198</v>
      </c>
      <c r="C12" s="17">
        <v>-10147090000</v>
      </c>
      <c r="D12" s="17">
        <v>-6462197000</v>
      </c>
      <c r="E12" s="17">
        <v>-342000000</v>
      </c>
      <c r="F12" s="17">
        <v>-3590000</v>
      </c>
    </row>
    <row r="13" spans="1:8" x14ac:dyDescent="0.2">
      <c r="A13" s="44" t="s">
        <v>289</v>
      </c>
      <c r="B13" t="s">
        <v>178</v>
      </c>
      <c r="C13" t="s">
        <v>33</v>
      </c>
      <c r="D13" t="s">
        <v>69</v>
      </c>
      <c r="E13" t="s">
        <v>366</v>
      </c>
      <c r="F13" t="s">
        <v>367</v>
      </c>
      <c r="G13" t="s">
        <v>368</v>
      </c>
    </row>
    <row r="14" spans="1:8" x14ac:dyDescent="0.2">
      <c r="A14" s="44"/>
      <c r="B14" t="s">
        <v>177</v>
      </c>
      <c r="C14" t="s">
        <v>33</v>
      </c>
      <c r="D14" t="s">
        <v>69</v>
      </c>
      <c r="E14" t="s">
        <v>366</v>
      </c>
      <c r="F14" t="s">
        <v>367</v>
      </c>
      <c r="G14" t="s">
        <v>368</v>
      </c>
    </row>
    <row r="15" spans="1:8" x14ac:dyDescent="0.2">
      <c r="A15" s="44"/>
      <c r="B15" t="s">
        <v>176</v>
      </c>
      <c r="C15" t="s">
        <v>33</v>
      </c>
      <c r="D15" t="s">
        <v>69</v>
      </c>
      <c r="E15" t="s">
        <v>366</v>
      </c>
      <c r="F15" t="s">
        <v>367</v>
      </c>
      <c r="G15" t="s">
        <v>368</v>
      </c>
    </row>
    <row r="16" spans="1:8" x14ac:dyDescent="0.2">
      <c r="A16" s="44"/>
      <c r="B16" t="s">
        <v>173</v>
      </c>
      <c r="C16" t="s">
        <v>33</v>
      </c>
      <c r="D16" t="s">
        <v>69</v>
      </c>
      <c r="E16" t="s">
        <v>366</v>
      </c>
      <c r="F16" t="s">
        <v>367</v>
      </c>
      <c r="G16" t="s">
        <v>368</v>
      </c>
    </row>
    <row r="17" spans="1:11" x14ac:dyDescent="0.2">
      <c r="A17" s="44"/>
      <c r="B17" t="s">
        <v>198</v>
      </c>
      <c r="C17" s="17">
        <v>-22192195000</v>
      </c>
      <c r="D17" s="17">
        <v>-3646260000</v>
      </c>
      <c r="E17" s="17">
        <v>-370680000</v>
      </c>
      <c r="F17" s="17">
        <v>-178758000</v>
      </c>
      <c r="G17" s="17">
        <v>-47400000</v>
      </c>
    </row>
    <row r="18" spans="1:11" x14ac:dyDescent="0.2">
      <c r="A18" s="44" t="s">
        <v>288</v>
      </c>
      <c r="B18" t="s">
        <v>178</v>
      </c>
      <c r="C18" t="s">
        <v>66</v>
      </c>
    </row>
    <row r="19" spans="1:11" x14ac:dyDescent="0.2">
      <c r="A19" s="44"/>
      <c r="B19" t="s">
        <v>177</v>
      </c>
      <c r="C19" t="s">
        <v>66</v>
      </c>
    </row>
    <row r="20" spans="1:11" x14ac:dyDescent="0.2">
      <c r="A20" s="44"/>
      <c r="B20" t="s">
        <v>176</v>
      </c>
      <c r="C20" t="s">
        <v>66</v>
      </c>
    </row>
    <row r="21" spans="1:11" x14ac:dyDescent="0.2">
      <c r="A21" s="44"/>
      <c r="B21" t="s">
        <v>173</v>
      </c>
      <c r="C21" t="s">
        <v>66</v>
      </c>
    </row>
    <row r="22" spans="1:11" x14ac:dyDescent="0.2">
      <c r="A22" s="44"/>
      <c r="B22" t="s">
        <v>198</v>
      </c>
      <c r="C22" s="17">
        <v>-3175600000</v>
      </c>
    </row>
    <row r="23" spans="1:11" x14ac:dyDescent="0.2">
      <c r="A23" s="44" t="s">
        <v>287</v>
      </c>
      <c r="B23" t="s">
        <v>178</v>
      </c>
      <c r="C23" t="s">
        <v>27</v>
      </c>
      <c r="D23" t="s">
        <v>81</v>
      </c>
    </row>
    <row r="24" spans="1:11" x14ac:dyDescent="0.2">
      <c r="A24" s="44"/>
      <c r="B24" t="s">
        <v>177</v>
      </c>
      <c r="C24" t="s">
        <v>27</v>
      </c>
      <c r="D24" t="s">
        <v>81</v>
      </c>
    </row>
    <row r="25" spans="1:11" x14ac:dyDescent="0.2">
      <c r="A25" s="44"/>
      <c r="B25" t="s">
        <v>176</v>
      </c>
      <c r="C25" t="s">
        <v>27</v>
      </c>
      <c r="D25" t="s">
        <v>81</v>
      </c>
    </row>
    <row r="26" spans="1:11" x14ac:dyDescent="0.2">
      <c r="A26" s="44"/>
      <c r="B26" t="s">
        <v>173</v>
      </c>
      <c r="C26" t="s">
        <v>27</v>
      </c>
      <c r="D26" t="s">
        <v>81</v>
      </c>
    </row>
    <row r="27" spans="1:11" x14ac:dyDescent="0.2">
      <c r="A27" s="44"/>
      <c r="B27" t="s">
        <v>198</v>
      </c>
      <c r="C27" s="17">
        <v>-52843285000</v>
      </c>
      <c r="D27" s="17">
        <v>-27007095000</v>
      </c>
    </row>
    <row r="28" spans="1:11" x14ac:dyDescent="0.2">
      <c r="A28" s="44" t="s">
        <v>286</v>
      </c>
      <c r="B28" t="s">
        <v>178</v>
      </c>
      <c r="C28" t="s">
        <v>335</v>
      </c>
      <c r="D28" t="s">
        <v>40</v>
      </c>
      <c r="E28" t="s">
        <v>353</v>
      </c>
      <c r="F28" t="s">
        <v>354</v>
      </c>
      <c r="G28" t="s">
        <v>355</v>
      </c>
      <c r="H28" t="s">
        <v>356</v>
      </c>
      <c r="I28" t="s">
        <v>357</v>
      </c>
      <c r="J28" t="s">
        <v>358</v>
      </c>
      <c r="K28" t="s">
        <v>359</v>
      </c>
    </row>
    <row r="29" spans="1:11" x14ac:dyDescent="0.2">
      <c r="A29" s="44"/>
      <c r="B29" t="s">
        <v>177</v>
      </c>
      <c r="C29" t="s">
        <v>335</v>
      </c>
      <c r="D29" t="s">
        <v>40</v>
      </c>
      <c r="E29" t="s">
        <v>353</v>
      </c>
      <c r="F29" t="s">
        <v>354</v>
      </c>
      <c r="G29" t="s">
        <v>355</v>
      </c>
      <c r="H29" t="s">
        <v>356</v>
      </c>
      <c r="I29" t="s">
        <v>357</v>
      </c>
      <c r="J29" t="s">
        <v>358</v>
      </c>
      <c r="K29" t="s">
        <v>359</v>
      </c>
    </row>
    <row r="30" spans="1:11" x14ac:dyDescent="0.2">
      <c r="A30" s="44"/>
      <c r="B30" t="s">
        <v>176</v>
      </c>
      <c r="C30" t="s">
        <v>335</v>
      </c>
      <c r="D30" t="s">
        <v>40</v>
      </c>
      <c r="E30" t="s">
        <v>353</v>
      </c>
      <c r="F30" t="s">
        <v>354</v>
      </c>
      <c r="G30" t="s">
        <v>355</v>
      </c>
      <c r="H30" t="s">
        <v>356</v>
      </c>
      <c r="I30" t="s">
        <v>357</v>
      </c>
      <c r="J30" t="s">
        <v>358</v>
      </c>
      <c r="K30" t="s">
        <v>359</v>
      </c>
    </row>
    <row r="31" spans="1:11" x14ac:dyDescent="0.2">
      <c r="A31" s="44"/>
      <c r="B31" t="s">
        <v>173</v>
      </c>
      <c r="C31" t="s">
        <v>335</v>
      </c>
      <c r="D31" t="s">
        <v>40</v>
      </c>
      <c r="E31" t="s">
        <v>353</v>
      </c>
      <c r="F31" t="s">
        <v>354</v>
      </c>
      <c r="G31" t="s">
        <v>355</v>
      </c>
      <c r="H31" t="s">
        <v>356</v>
      </c>
      <c r="I31" t="s">
        <v>357</v>
      </c>
      <c r="J31" t="s">
        <v>358</v>
      </c>
      <c r="K31" t="s">
        <v>359</v>
      </c>
    </row>
    <row r="32" spans="1:11" x14ac:dyDescent="0.2">
      <c r="A32" s="44"/>
      <c r="B32" t="s">
        <v>198</v>
      </c>
      <c r="C32" s="17">
        <v>-31486250000</v>
      </c>
      <c r="D32" s="17">
        <v>-27675385000</v>
      </c>
      <c r="E32" s="17">
        <v>-11098550000</v>
      </c>
      <c r="F32" s="17">
        <v>-877350800</v>
      </c>
      <c r="G32" s="17">
        <v>-683000000</v>
      </c>
      <c r="H32" s="17">
        <v>-584950000</v>
      </c>
      <c r="I32" s="17">
        <v>-348260000</v>
      </c>
      <c r="J32" s="17">
        <v>-278000000</v>
      </c>
      <c r="K32" s="17">
        <v>-153000</v>
      </c>
    </row>
    <row r="33" spans="1:7" x14ac:dyDescent="0.2">
      <c r="A33" s="44" t="s">
        <v>285</v>
      </c>
      <c r="B33" t="s">
        <v>178</v>
      </c>
      <c r="C33" t="s">
        <v>16</v>
      </c>
      <c r="D33" t="s">
        <v>60</v>
      </c>
      <c r="E33" t="s">
        <v>336</v>
      </c>
      <c r="F33" t="s">
        <v>349</v>
      </c>
      <c r="G33" t="s">
        <v>350</v>
      </c>
    </row>
    <row r="34" spans="1:7" x14ac:dyDescent="0.2">
      <c r="A34" s="44"/>
      <c r="B34" t="s">
        <v>177</v>
      </c>
      <c r="C34" t="s">
        <v>16</v>
      </c>
      <c r="D34" t="s">
        <v>60</v>
      </c>
      <c r="E34" t="s">
        <v>336</v>
      </c>
      <c r="F34" t="s">
        <v>349</v>
      </c>
      <c r="G34" t="s">
        <v>350</v>
      </c>
    </row>
    <row r="35" spans="1:7" x14ac:dyDescent="0.2">
      <c r="A35" s="44"/>
      <c r="B35" t="s">
        <v>176</v>
      </c>
      <c r="C35" t="s">
        <v>16</v>
      </c>
      <c r="D35" t="s">
        <v>60</v>
      </c>
      <c r="E35" t="s">
        <v>336</v>
      </c>
      <c r="F35" t="s">
        <v>349</v>
      </c>
      <c r="G35" t="s">
        <v>350</v>
      </c>
    </row>
    <row r="36" spans="1:7" x14ac:dyDescent="0.2">
      <c r="A36" s="44"/>
      <c r="B36" t="s">
        <v>173</v>
      </c>
      <c r="C36" t="s">
        <v>16</v>
      </c>
      <c r="D36" t="s">
        <v>60</v>
      </c>
      <c r="E36" t="s">
        <v>336</v>
      </c>
      <c r="F36" t="s">
        <v>349</v>
      </c>
      <c r="G36" t="s">
        <v>350</v>
      </c>
    </row>
    <row r="37" spans="1:7" x14ac:dyDescent="0.2">
      <c r="A37" s="44"/>
      <c r="B37" t="s">
        <v>198</v>
      </c>
      <c r="C37" s="17">
        <v>-428924611000</v>
      </c>
      <c r="D37" s="17">
        <v>-27568880000</v>
      </c>
      <c r="E37" s="17">
        <v>-8365475000</v>
      </c>
      <c r="F37" s="17">
        <v>-1345000000</v>
      </c>
      <c r="G37" s="17">
        <v>-158045000</v>
      </c>
    </row>
    <row r="38" spans="1:7" x14ac:dyDescent="0.2">
      <c r="A38" s="44" t="s">
        <v>284</v>
      </c>
      <c r="B38" t="s">
        <v>178</v>
      </c>
      <c r="C38" t="s">
        <v>74</v>
      </c>
      <c r="D38" t="s">
        <v>100</v>
      </c>
      <c r="E38" t="s">
        <v>189</v>
      </c>
      <c r="F38" t="s">
        <v>346</v>
      </c>
    </row>
    <row r="39" spans="1:7" x14ac:dyDescent="0.2">
      <c r="A39" s="44"/>
      <c r="B39" t="s">
        <v>177</v>
      </c>
      <c r="C39" t="s">
        <v>74</v>
      </c>
      <c r="D39" t="s">
        <v>100</v>
      </c>
      <c r="E39" t="s">
        <v>189</v>
      </c>
      <c r="F39" t="s">
        <v>346</v>
      </c>
    </row>
    <row r="40" spans="1:7" x14ac:dyDescent="0.2">
      <c r="A40" s="44"/>
      <c r="B40" t="s">
        <v>176</v>
      </c>
      <c r="C40" t="s">
        <v>74</v>
      </c>
      <c r="D40" t="s">
        <v>100</v>
      </c>
      <c r="E40" t="s">
        <v>189</v>
      </c>
      <c r="F40" t="s">
        <v>346</v>
      </c>
    </row>
    <row r="41" spans="1:7" x14ac:dyDescent="0.2">
      <c r="A41" s="44"/>
      <c r="B41" t="s">
        <v>173</v>
      </c>
      <c r="C41" t="s">
        <v>74</v>
      </c>
      <c r="D41" t="s">
        <v>100</v>
      </c>
      <c r="E41" t="s">
        <v>189</v>
      </c>
      <c r="F41" t="s">
        <v>346</v>
      </c>
    </row>
    <row r="42" spans="1:7" x14ac:dyDescent="0.2">
      <c r="A42" s="44"/>
      <c r="B42" t="s">
        <v>198</v>
      </c>
      <c r="C42" s="17">
        <v>-204855100000</v>
      </c>
      <c r="D42" s="17">
        <v>-13280180000</v>
      </c>
      <c r="E42" s="17">
        <v>-5807100000</v>
      </c>
      <c r="F42" s="17">
        <v>-5658003000</v>
      </c>
    </row>
    <row r="43" spans="1:7" x14ac:dyDescent="0.2">
      <c r="A43" s="44" t="s">
        <v>283</v>
      </c>
      <c r="B43" t="s">
        <v>178</v>
      </c>
      <c r="C43" t="s">
        <v>332</v>
      </c>
      <c r="D43" t="s">
        <v>303</v>
      </c>
      <c r="E43" t="s">
        <v>345</v>
      </c>
    </row>
    <row r="44" spans="1:7" x14ac:dyDescent="0.2">
      <c r="A44" s="44"/>
      <c r="B44" t="s">
        <v>177</v>
      </c>
      <c r="C44" t="s">
        <v>332</v>
      </c>
      <c r="D44" t="s">
        <v>303</v>
      </c>
      <c r="E44" t="s">
        <v>345</v>
      </c>
    </row>
    <row r="45" spans="1:7" x14ac:dyDescent="0.2">
      <c r="A45" s="44"/>
      <c r="B45" t="s">
        <v>176</v>
      </c>
      <c r="C45" t="s">
        <v>332</v>
      </c>
      <c r="D45" t="s">
        <v>303</v>
      </c>
      <c r="E45" t="s">
        <v>345</v>
      </c>
    </row>
    <row r="46" spans="1:7" x14ac:dyDescent="0.2">
      <c r="A46" s="44"/>
      <c r="B46" t="s">
        <v>173</v>
      </c>
      <c r="C46" t="s">
        <v>332</v>
      </c>
      <c r="D46" t="s">
        <v>303</v>
      </c>
      <c r="E46" t="s">
        <v>345</v>
      </c>
    </row>
    <row r="47" spans="1:7" x14ac:dyDescent="0.2">
      <c r="A47" s="44"/>
      <c r="B47" t="s">
        <v>198</v>
      </c>
      <c r="C47" s="17">
        <v>-43786085000</v>
      </c>
      <c r="D47" s="17">
        <v>-30915535000</v>
      </c>
      <c r="E47" s="17">
        <v>-5028500000</v>
      </c>
    </row>
    <row r="48" spans="1:7" x14ac:dyDescent="0.2">
      <c r="A48" s="44" t="s">
        <v>282</v>
      </c>
      <c r="B48" t="s">
        <v>178</v>
      </c>
      <c r="C48" t="s">
        <v>219</v>
      </c>
      <c r="D48" t="s">
        <v>204</v>
      </c>
    </row>
    <row r="49" spans="1:4" x14ac:dyDescent="0.2">
      <c r="A49" s="44"/>
      <c r="B49" t="s">
        <v>177</v>
      </c>
      <c r="C49" t="s">
        <v>219</v>
      </c>
      <c r="D49" t="s">
        <v>204</v>
      </c>
    </row>
    <row r="50" spans="1:4" x14ac:dyDescent="0.2">
      <c r="A50" s="44"/>
      <c r="B50" t="s">
        <v>176</v>
      </c>
      <c r="C50" t="s">
        <v>219</v>
      </c>
      <c r="D50" t="s">
        <v>204</v>
      </c>
    </row>
    <row r="51" spans="1:4" x14ac:dyDescent="0.2">
      <c r="A51" s="44"/>
      <c r="B51" t="s">
        <v>173</v>
      </c>
      <c r="C51" t="s">
        <v>219</v>
      </c>
      <c r="D51" t="s">
        <v>204</v>
      </c>
    </row>
    <row r="52" spans="1:4" x14ac:dyDescent="0.2">
      <c r="A52" s="44"/>
      <c r="B52" t="s">
        <v>198</v>
      </c>
      <c r="C52" s="17">
        <v>-22474656000</v>
      </c>
      <c r="D52" s="17">
        <v>-19436145000</v>
      </c>
    </row>
    <row r="53" spans="1:4" x14ac:dyDescent="0.2">
      <c r="A53" s="44" t="s">
        <v>281</v>
      </c>
      <c r="B53" t="s">
        <v>178</v>
      </c>
      <c r="C53" t="s">
        <v>31</v>
      </c>
      <c r="D53" t="s">
        <v>340</v>
      </c>
    </row>
    <row r="54" spans="1:4" x14ac:dyDescent="0.2">
      <c r="A54" s="44"/>
      <c r="B54" t="s">
        <v>177</v>
      </c>
      <c r="C54" t="s">
        <v>31</v>
      </c>
      <c r="D54" t="s">
        <v>340</v>
      </c>
    </row>
    <row r="55" spans="1:4" x14ac:dyDescent="0.2">
      <c r="A55" s="44"/>
      <c r="B55" t="s">
        <v>176</v>
      </c>
      <c r="C55" t="s">
        <v>31</v>
      </c>
      <c r="D55" t="s">
        <v>340</v>
      </c>
    </row>
    <row r="56" spans="1:4" x14ac:dyDescent="0.2">
      <c r="A56" s="44"/>
      <c r="B56" t="s">
        <v>173</v>
      </c>
      <c r="C56" t="s">
        <v>31</v>
      </c>
      <c r="D56" t="s">
        <v>340</v>
      </c>
    </row>
    <row r="57" spans="1:4" x14ac:dyDescent="0.2">
      <c r="A57" s="44"/>
      <c r="B57" t="s">
        <v>198</v>
      </c>
      <c r="C57" s="17">
        <v>-20755170000</v>
      </c>
      <c r="D57" s="17">
        <v>-368010000</v>
      </c>
    </row>
    <row r="58" spans="1:4" x14ac:dyDescent="0.2">
      <c r="A58" s="44" t="s">
        <v>280</v>
      </c>
      <c r="B58" t="s">
        <v>178</v>
      </c>
      <c r="C58" t="s">
        <v>227</v>
      </c>
    </row>
    <row r="59" spans="1:4" x14ac:dyDescent="0.2">
      <c r="A59" s="44"/>
      <c r="B59" t="s">
        <v>177</v>
      </c>
      <c r="C59" t="s">
        <v>227</v>
      </c>
    </row>
    <row r="60" spans="1:4" x14ac:dyDescent="0.2">
      <c r="A60" s="44"/>
      <c r="B60" t="s">
        <v>176</v>
      </c>
      <c r="C60" t="s">
        <v>227</v>
      </c>
    </row>
    <row r="61" spans="1:4" x14ac:dyDescent="0.2">
      <c r="A61" s="44"/>
      <c r="B61" t="s">
        <v>173</v>
      </c>
      <c r="C61" t="s">
        <v>227</v>
      </c>
    </row>
    <row r="62" spans="1:4" x14ac:dyDescent="0.2">
      <c r="A62" s="44"/>
      <c r="B62" t="s">
        <v>198</v>
      </c>
      <c r="C62" s="17">
        <v>-4870000000</v>
      </c>
    </row>
    <row r="63" spans="1:4" x14ac:dyDescent="0.2">
      <c r="A63" s="44" t="s">
        <v>279</v>
      </c>
      <c r="B63" t="s">
        <v>178</v>
      </c>
      <c r="C63" t="s">
        <v>326</v>
      </c>
      <c r="D63" t="s">
        <v>327</v>
      </c>
    </row>
    <row r="64" spans="1:4" x14ac:dyDescent="0.2">
      <c r="A64" s="44"/>
      <c r="B64" t="s">
        <v>177</v>
      </c>
      <c r="C64" t="s">
        <v>326</v>
      </c>
      <c r="D64" t="s">
        <v>327</v>
      </c>
    </row>
    <row r="65" spans="1:19" x14ac:dyDescent="0.2">
      <c r="A65" s="44"/>
      <c r="B65" t="s">
        <v>176</v>
      </c>
      <c r="C65" t="s">
        <v>326</v>
      </c>
      <c r="D65" t="s">
        <v>327</v>
      </c>
    </row>
    <row r="66" spans="1:19" x14ac:dyDescent="0.2">
      <c r="A66" s="44"/>
      <c r="B66" t="s">
        <v>173</v>
      </c>
      <c r="C66" t="s">
        <v>326</v>
      </c>
      <c r="D66" t="s">
        <v>327</v>
      </c>
    </row>
    <row r="67" spans="1:19" x14ac:dyDescent="0.2">
      <c r="A67" s="44"/>
      <c r="B67" t="s">
        <v>198</v>
      </c>
      <c r="C67" s="17">
        <v>-580000</v>
      </c>
      <c r="D67" s="17">
        <v>-385000</v>
      </c>
    </row>
    <row r="68" spans="1:19" x14ac:dyDescent="0.2">
      <c r="A68" s="44" t="s">
        <v>278</v>
      </c>
      <c r="B68" t="s">
        <v>178</v>
      </c>
      <c r="C68" t="s">
        <v>307</v>
      </c>
      <c r="D68" t="s">
        <v>299</v>
      </c>
      <c r="E68" t="s">
        <v>312</v>
      </c>
      <c r="F68" t="s">
        <v>313</v>
      </c>
      <c r="G68" t="s">
        <v>314</v>
      </c>
      <c r="H68" t="s">
        <v>315</v>
      </c>
      <c r="I68" t="s">
        <v>316</v>
      </c>
      <c r="J68" t="s">
        <v>317</v>
      </c>
      <c r="K68" t="s">
        <v>175</v>
      </c>
      <c r="L68" t="s">
        <v>318</v>
      </c>
      <c r="M68" t="s">
        <v>319</v>
      </c>
      <c r="N68" t="s">
        <v>184</v>
      </c>
      <c r="O68" t="s">
        <v>320</v>
      </c>
      <c r="P68" t="s">
        <v>321</v>
      </c>
      <c r="Q68" t="s">
        <v>322</v>
      </c>
      <c r="R68" t="s">
        <v>323</v>
      </c>
      <c r="S68" t="s">
        <v>324</v>
      </c>
    </row>
    <row r="69" spans="1:19" x14ac:dyDescent="0.2">
      <c r="A69" s="44"/>
      <c r="B69" t="s">
        <v>177</v>
      </c>
      <c r="C69" t="s">
        <v>307</v>
      </c>
      <c r="D69" t="s">
        <v>299</v>
      </c>
      <c r="E69" t="s">
        <v>312</v>
      </c>
      <c r="F69" t="s">
        <v>313</v>
      </c>
      <c r="G69" t="s">
        <v>314</v>
      </c>
      <c r="H69" t="s">
        <v>315</v>
      </c>
      <c r="I69" t="s">
        <v>316</v>
      </c>
      <c r="J69" t="s">
        <v>317</v>
      </c>
      <c r="K69" t="s">
        <v>175</v>
      </c>
      <c r="L69" t="s">
        <v>318</v>
      </c>
      <c r="M69" t="s">
        <v>319</v>
      </c>
      <c r="N69" t="s">
        <v>184</v>
      </c>
      <c r="O69" t="s">
        <v>320</v>
      </c>
      <c r="P69" t="s">
        <v>321</v>
      </c>
      <c r="Q69" t="s">
        <v>322</v>
      </c>
      <c r="R69" t="s">
        <v>323</v>
      </c>
      <c r="S69" t="s">
        <v>324</v>
      </c>
    </row>
    <row r="70" spans="1:19" x14ac:dyDescent="0.2">
      <c r="A70" s="44"/>
      <c r="B70" t="s">
        <v>176</v>
      </c>
      <c r="C70" t="s">
        <v>307</v>
      </c>
      <c r="D70" t="s">
        <v>299</v>
      </c>
      <c r="E70" t="s">
        <v>312</v>
      </c>
      <c r="F70" t="s">
        <v>313</v>
      </c>
      <c r="G70" t="s">
        <v>314</v>
      </c>
      <c r="H70" t="s">
        <v>315</v>
      </c>
      <c r="I70" t="s">
        <v>316</v>
      </c>
      <c r="J70" t="s">
        <v>317</v>
      </c>
      <c r="K70" t="s">
        <v>175</v>
      </c>
      <c r="L70" t="s">
        <v>318</v>
      </c>
      <c r="M70" t="s">
        <v>319</v>
      </c>
      <c r="N70" t="s">
        <v>184</v>
      </c>
      <c r="O70" t="s">
        <v>320</v>
      </c>
      <c r="P70" t="s">
        <v>321</v>
      </c>
      <c r="Q70" t="s">
        <v>322</v>
      </c>
      <c r="R70" t="s">
        <v>323</v>
      </c>
      <c r="S70" t="s">
        <v>324</v>
      </c>
    </row>
    <row r="71" spans="1:19" x14ac:dyDescent="0.2">
      <c r="A71" s="44"/>
      <c r="B71" t="s">
        <v>173</v>
      </c>
      <c r="C71" t="s">
        <v>307</v>
      </c>
      <c r="D71" t="s">
        <v>299</v>
      </c>
      <c r="E71" t="s">
        <v>312</v>
      </c>
      <c r="F71" t="s">
        <v>313</v>
      </c>
      <c r="G71" t="s">
        <v>314</v>
      </c>
      <c r="H71" t="s">
        <v>315</v>
      </c>
      <c r="I71" t="s">
        <v>316</v>
      </c>
      <c r="J71" t="s">
        <v>317</v>
      </c>
      <c r="K71" t="s">
        <v>175</v>
      </c>
      <c r="L71" t="s">
        <v>318</v>
      </c>
      <c r="M71" t="s">
        <v>319</v>
      </c>
      <c r="N71" t="s">
        <v>184</v>
      </c>
      <c r="O71" t="s">
        <v>320</v>
      </c>
      <c r="P71" t="s">
        <v>321</v>
      </c>
      <c r="Q71" t="s">
        <v>322</v>
      </c>
      <c r="R71" t="s">
        <v>323</v>
      </c>
      <c r="S71" t="s">
        <v>324</v>
      </c>
    </row>
    <row r="72" spans="1:19" x14ac:dyDescent="0.2">
      <c r="A72" s="44"/>
      <c r="B72" t="s">
        <v>198</v>
      </c>
      <c r="C72" s="17">
        <v>-9113370000</v>
      </c>
      <c r="D72" s="17">
        <v>-5871468000</v>
      </c>
      <c r="E72" s="17">
        <v>-3874363000</v>
      </c>
      <c r="F72" s="17">
        <v>-1434625000</v>
      </c>
      <c r="G72" s="17">
        <v>-211500000</v>
      </c>
      <c r="H72" s="17">
        <v>-2180000</v>
      </c>
      <c r="I72" s="17">
        <v>-735000</v>
      </c>
      <c r="J72" s="17">
        <v>-450000</v>
      </c>
      <c r="K72" s="17">
        <v>-439000</v>
      </c>
      <c r="L72" s="17">
        <v>-399300</v>
      </c>
      <c r="M72" s="17">
        <v>-352000</v>
      </c>
      <c r="N72" s="17">
        <v>-295000</v>
      </c>
      <c r="O72" s="17">
        <v>-44000</v>
      </c>
      <c r="P72" s="17">
        <v>-41000</v>
      </c>
      <c r="Q72" s="17">
        <v>-40000</v>
      </c>
      <c r="R72" s="17">
        <v>-29000</v>
      </c>
      <c r="S72" s="17">
        <v>-5400</v>
      </c>
    </row>
    <row r="73" spans="1:19" x14ac:dyDescent="0.2">
      <c r="A73" s="44" t="s">
        <v>277</v>
      </c>
      <c r="B73" t="s">
        <v>178</v>
      </c>
      <c r="C73" t="s">
        <v>297</v>
      </c>
      <c r="D73" t="s">
        <v>308</v>
      </c>
      <c r="E73" t="s">
        <v>309</v>
      </c>
    </row>
    <row r="74" spans="1:19" x14ac:dyDescent="0.2">
      <c r="A74" s="44"/>
      <c r="B74" t="s">
        <v>177</v>
      </c>
      <c r="C74" t="s">
        <v>297</v>
      </c>
      <c r="D74" t="s">
        <v>308</v>
      </c>
      <c r="E74" t="s">
        <v>309</v>
      </c>
    </row>
    <row r="75" spans="1:19" x14ac:dyDescent="0.2">
      <c r="A75" s="44"/>
      <c r="B75" t="s">
        <v>176</v>
      </c>
      <c r="C75" t="s">
        <v>297</v>
      </c>
      <c r="D75" t="s">
        <v>308</v>
      </c>
      <c r="E75" t="s">
        <v>309</v>
      </c>
    </row>
    <row r="76" spans="1:19" x14ac:dyDescent="0.2">
      <c r="A76" s="44"/>
      <c r="B76" t="s">
        <v>173</v>
      </c>
      <c r="C76" t="s">
        <v>297</v>
      </c>
      <c r="D76" t="s">
        <v>308</v>
      </c>
      <c r="E76" t="s">
        <v>309</v>
      </c>
    </row>
    <row r="77" spans="1:19" x14ac:dyDescent="0.2">
      <c r="A77" s="44"/>
      <c r="B77" t="s">
        <v>198</v>
      </c>
      <c r="C77" s="17">
        <v>-158925190000</v>
      </c>
      <c r="D77" s="17">
        <v>-806880000</v>
      </c>
      <c r="E77" s="17">
        <v>-8200</v>
      </c>
    </row>
    <row r="78" spans="1:19" x14ac:dyDescent="0.2">
      <c r="A78" s="44" t="s">
        <v>272</v>
      </c>
      <c r="B78" t="s">
        <v>178</v>
      </c>
      <c r="C78" t="s">
        <v>197</v>
      </c>
      <c r="D78" t="s">
        <v>21</v>
      </c>
      <c r="E78" t="s">
        <v>32</v>
      </c>
      <c r="F78" t="s">
        <v>298</v>
      </c>
    </row>
    <row r="79" spans="1:19" x14ac:dyDescent="0.2">
      <c r="A79" s="44"/>
      <c r="B79" t="s">
        <v>177</v>
      </c>
      <c r="C79" t="s">
        <v>197</v>
      </c>
      <c r="D79" t="s">
        <v>21</v>
      </c>
      <c r="E79" t="s">
        <v>32</v>
      </c>
      <c r="F79" t="s">
        <v>298</v>
      </c>
    </row>
    <row r="80" spans="1:19" x14ac:dyDescent="0.2">
      <c r="A80" s="44"/>
      <c r="B80" t="s">
        <v>176</v>
      </c>
      <c r="C80" t="s">
        <v>197</v>
      </c>
      <c r="D80" t="s">
        <v>21</v>
      </c>
      <c r="E80" t="s">
        <v>32</v>
      </c>
      <c r="F80" t="s">
        <v>298</v>
      </c>
    </row>
    <row r="81" spans="1:13" x14ac:dyDescent="0.2">
      <c r="A81" s="44"/>
      <c r="B81" t="s">
        <v>173</v>
      </c>
      <c r="C81" t="s">
        <v>197</v>
      </c>
      <c r="D81" t="s">
        <v>21</v>
      </c>
      <c r="E81" t="s">
        <v>32</v>
      </c>
      <c r="F81" t="s">
        <v>298</v>
      </c>
    </row>
    <row r="82" spans="1:13" x14ac:dyDescent="0.2">
      <c r="A82" s="44"/>
      <c r="B82" t="s">
        <v>198</v>
      </c>
      <c r="C82" s="17">
        <v>-96015120000</v>
      </c>
      <c r="D82" s="17">
        <v>-64211830500</v>
      </c>
      <c r="E82" s="17">
        <v>-34730990000</v>
      </c>
      <c r="F82" s="17">
        <v>-14873500000</v>
      </c>
    </row>
    <row r="83" spans="1:13" x14ac:dyDescent="0.2">
      <c r="A83" s="44" t="s">
        <v>271</v>
      </c>
      <c r="B83" t="s">
        <v>178</v>
      </c>
      <c r="C83" t="s">
        <v>43</v>
      </c>
      <c r="D83" t="s">
        <v>39</v>
      </c>
      <c r="F83" t="s">
        <v>61</v>
      </c>
      <c r="G83" t="s">
        <v>70</v>
      </c>
      <c r="I83" t="s">
        <v>291</v>
      </c>
      <c r="J83" t="s">
        <v>300</v>
      </c>
      <c r="K83" t="s">
        <v>301</v>
      </c>
      <c r="L83" t="s">
        <v>302</v>
      </c>
      <c r="M83" t="s">
        <v>63</v>
      </c>
    </row>
    <row r="84" spans="1:13" x14ac:dyDescent="0.2">
      <c r="A84" s="44"/>
      <c r="B84" t="s">
        <v>177</v>
      </c>
      <c r="C84" t="s">
        <v>43</v>
      </c>
      <c r="D84" t="s">
        <v>39</v>
      </c>
      <c r="F84" t="s">
        <v>61</v>
      </c>
      <c r="G84" t="s">
        <v>70</v>
      </c>
      <c r="I84" t="s">
        <v>291</v>
      </c>
      <c r="J84" t="s">
        <v>300</v>
      </c>
      <c r="K84" t="s">
        <v>301</v>
      </c>
      <c r="L84" t="s">
        <v>302</v>
      </c>
      <c r="M84" t="s">
        <v>63</v>
      </c>
    </row>
    <row r="85" spans="1:13" x14ac:dyDescent="0.2">
      <c r="A85" s="44"/>
      <c r="B85" t="s">
        <v>176</v>
      </c>
      <c r="C85" t="s">
        <v>43</v>
      </c>
      <c r="D85" t="s">
        <v>39</v>
      </c>
      <c r="F85" t="s">
        <v>61</v>
      </c>
      <c r="G85" t="s">
        <v>70</v>
      </c>
      <c r="I85" t="s">
        <v>291</v>
      </c>
      <c r="J85" t="s">
        <v>300</v>
      </c>
      <c r="K85" t="s">
        <v>301</v>
      </c>
      <c r="L85" t="s">
        <v>302</v>
      </c>
      <c r="M85" t="s">
        <v>63</v>
      </c>
    </row>
    <row r="86" spans="1:13" x14ac:dyDescent="0.2">
      <c r="A86" s="44"/>
      <c r="B86" t="s">
        <v>173</v>
      </c>
      <c r="C86" t="s">
        <v>43</v>
      </c>
      <c r="D86" t="s">
        <v>39</v>
      </c>
      <c r="E86" t="s">
        <v>62</v>
      </c>
      <c r="F86" t="s">
        <v>61</v>
      </c>
      <c r="G86" t="s">
        <v>70</v>
      </c>
      <c r="H86" t="s">
        <v>25</v>
      </c>
      <c r="I86" t="s">
        <v>291</v>
      </c>
      <c r="J86" t="s">
        <v>300</v>
      </c>
      <c r="K86" t="s">
        <v>301</v>
      </c>
      <c r="L86" t="s">
        <v>302</v>
      </c>
      <c r="M86" t="s">
        <v>63</v>
      </c>
    </row>
    <row r="87" spans="1:13" x14ac:dyDescent="0.2">
      <c r="A87" s="44"/>
      <c r="B87" t="s">
        <v>198</v>
      </c>
      <c r="C87" s="17">
        <v>-243285394000</v>
      </c>
      <c r="D87" s="17">
        <v>-242363352000</v>
      </c>
      <c r="E87" s="17">
        <v>-172215325000</v>
      </c>
      <c r="F87" s="17">
        <v>-120049574000</v>
      </c>
      <c r="G87" s="17">
        <v>-41035840000</v>
      </c>
      <c r="H87" s="17">
        <v>-38909175000</v>
      </c>
      <c r="I87" s="17">
        <v>-13269760000</v>
      </c>
      <c r="J87" s="17">
        <v>-1442450000</v>
      </c>
      <c r="K87" s="17">
        <v>-574497000</v>
      </c>
      <c r="L87" s="17">
        <v>-337930000</v>
      </c>
      <c r="M87" s="17">
        <v>-296205000</v>
      </c>
    </row>
    <row r="88" spans="1:13" x14ac:dyDescent="0.2">
      <c r="A88" s="44" t="s">
        <v>270</v>
      </c>
      <c r="B88" t="s">
        <v>178</v>
      </c>
      <c r="C88" t="s">
        <v>296</v>
      </c>
    </row>
    <row r="89" spans="1:13" x14ac:dyDescent="0.2">
      <c r="A89" s="44"/>
      <c r="B89" t="s">
        <v>177</v>
      </c>
      <c r="C89" t="s">
        <v>296</v>
      </c>
    </row>
    <row r="90" spans="1:13" x14ac:dyDescent="0.2">
      <c r="A90" s="44"/>
      <c r="B90" t="s">
        <v>176</v>
      </c>
      <c r="C90" t="s">
        <v>296</v>
      </c>
    </row>
    <row r="91" spans="1:13" x14ac:dyDescent="0.2">
      <c r="A91" s="44"/>
      <c r="B91" t="s">
        <v>173</v>
      </c>
      <c r="C91" t="s">
        <v>296</v>
      </c>
    </row>
    <row r="92" spans="1:13" x14ac:dyDescent="0.2">
      <c r="A92" s="44"/>
      <c r="B92" t="s">
        <v>198</v>
      </c>
      <c r="C92" s="17">
        <v>-892160000</v>
      </c>
    </row>
    <row r="93" spans="1:13" x14ac:dyDescent="0.2">
      <c r="A93" s="44" t="s">
        <v>269</v>
      </c>
      <c r="B93" t="s">
        <v>178</v>
      </c>
      <c r="C93" t="s">
        <v>186</v>
      </c>
      <c r="D93" t="s">
        <v>295</v>
      </c>
    </row>
    <row r="94" spans="1:13" x14ac:dyDescent="0.2">
      <c r="A94" s="44"/>
      <c r="B94" t="s">
        <v>177</v>
      </c>
      <c r="C94" t="s">
        <v>186</v>
      </c>
      <c r="D94" t="s">
        <v>295</v>
      </c>
    </row>
    <row r="95" spans="1:13" x14ac:dyDescent="0.2">
      <c r="A95" s="44"/>
      <c r="B95" t="s">
        <v>176</v>
      </c>
      <c r="C95" t="s">
        <v>186</v>
      </c>
      <c r="D95" t="s">
        <v>295</v>
      </c>
    </row>
    <row r="96" spans="1:13" x14ac:dyDescent="0.2">
      <c r="A96" s="44"/>
      <c r="B96" t="s">
        <v>173</v>
      </c>
      <c r="C96" t="s">
        <v>186</v>
      </c>
      <c r="D96" t="s">
        <v>295</v>
      </c>
    </row>
    <row r="97" spans="1:4" x14ac:dyDescent="0.2">
      <c r="A97" s="44"/>
      <c r="B97" t="s">
        <v>198</v>
      </c>
      <c r="C97" s="17">
        <v>-900495000</v>
      </c>
      <c r="D97" s="17">
        <v>-232000000</v>
      </c>
    </row>
    <row r="98" spans="1:4" x14ac:dyDescent="0.2">
      <c r="A98" s="44" t="s">
        <v>268</v>
      </c>
      <c r="B98" t="s">
        <v>178</v>
      </c>
      <c r="C98" t="s">
        <v>179</v>
      </c>
    </row>
    <row r="99" spans="1:4" x14ac:dyDescent="0.2">
      <c r="A99" s="44"/>
      <c r="B99" t="s">
        <v>177</v>
      </c>
      <c r="C99" t="s">
        <v>179</v>
      </c>
    </row>
    <row r="100" spans="1:4" x14ac:dyDescent="0.2">
      <c r="A100" s="44"/>
      <c r="B100" t="s">
        <v>176</v>
      </c>
      <c r="C100" t="s">
        <v>179</v>
      </c>
      <c r="D100" t="s">
        <v>292</v>
      </c>
    </row>
    <row r="101" spans="1:4" x14ac:dyDescent="0.2">
      <c r="A101" s="44"/>
      <c r="B101" t="s">
        <v>173</v>
      </c>
      <c r="C101" t="s">
        <v>179</v>
      </c>
      <c r="D101" t="s">
        <v>292</v>
      </c>
    </row>
    <row r="102" spans="1:4" x14ac:dyDescent="0.2">
      <c r="A102" s="44"/>
      <c r="B102" t="s">
        <v>198</v>
      </c>
      <c r="C102" s="17">
        <v>-53878338000</v>
      </c>
      <c r="D102" s="17">
        <v>-131345000</v>
      </c>
    </row>
  </sheetData>
  <mergeCells count="21">
    <mergeCell ref="A2:A4"/>
    <mergeCell ref="A43:A47"/>
    <mergeCell ref="A13:A17"/>
    <mergeCell ref="A38:A42"/>
    <mergeCell ref="A33:A37"/>
    <mergeCell ref="A98:A102"/>
    <mergeCell ref="A93:A97"/>
    <mergeCell ref="A83:A87"/>
    <mergeCell ref="A88:A92"/>
    <mergeCell ref="A58:A62"/>
    <mergeCell ref="A63:A67"/>
    <mergeCell ref="A78:A82"/>
    <mergeCell ref="A73:A77"/>
    <mergeCell ref="A68:A72"/>
    <mergeCell ref="A53:A57"/>
    <mergeCell ref="A48:A52"/>
    <mergeCell ref="A5:A7"/>
    <mergeCell ref="A28:A32"/>
    <mergeCell ref="A23:A27"/>
    <mergeCell ref="A18:A22"/>
    <mergeCell ref="A8:A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T4-2024</vt:lpstr>
      <vt:lpstr>T3-2024</vt:lpstr>
      <vt:lpstr>T2-2024</vt:lpstr>
      <vt:lpstr>T1-2024</vt:lpstr>
      <vt:lpstr>2024</vt:lpstr>
      <vt:lpstr>Template</vt:lpstr>
      <vt:lpstr>Intraday</vt:lpstr>
      <vt:lpstr>MoneyFlow</vt:lpstr>
      <vt:lpstr>Volatile_Foreign_Buy</vt:lpstr>
      <vt:lpstr>Volatile_Foreign_Sell</vt:lpstr>
      <vt:lpstr>Volatile_Proprietary_Buy</vt:lpstr>
      <vt:lpstr>Volatile_Proprietary_Sell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2024-02-08T03:04:46Z</dcterms:created>
  <dcterms:modified xsi:type="dcterms:W3CDTF">2024-05-31T14:21:17Z</dcterms:modified>
</cp:coreProperties>
</file>